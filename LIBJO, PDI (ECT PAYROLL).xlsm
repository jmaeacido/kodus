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aragon\www\kodus\"/>
    </mc:Choice>
  </mc:AlternateContent>
  <xr:revisionPtr revIDLastSave="0" documentId="13_ncr:1_{0660FEA0-B90D-4135-A8A0-C8FDC96CE65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BAROBO" sheetId="1" r:id="rId1"/>
    <sheet name="Sheet3" sheetId="7" r:id="rId2"/>
    <sheet name="request for CA" sheetId="2" r:id="rId3"/>
    <sheet name="DV" sheetId="3" r:id="rId4"/>
    <sheet name="OBS" sheetId="4" r:id="rId5"/>
    <sheet name="BOA" sheetId="6" r:id="rId6"/>
    <sheet name="CABUNGA-AN" sheetId="8" r:id="rId7"/>
  </sheets>
  <functionGroups builtInGroupCount="19"/>
  <externalReferences>
    <externalReference r:id="rId8"/>
  </externalReferences>
  <definedNames>
    <definedName name="_xlnm.Print_Area" localSheetId="0">BAROBO!$A$1545:$K$1589</definedName>
    <definedName name="_xlnm.Print_Area" localSheetId="3">DV!$A$1:$AG$55</definedName>
    <definedName name="_xlnm.Print_Area" localSheetId="4">OBS!$A$1:$N$55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563" i="1" l="1"/>
  <c r="H1562" i="1"/>
  <c r="H1561" i="1"/>
  <c r="H1559" i="1"/>
  <c r="H1560" i="1"/>
  <c r="H1565" i="1"/>
  <c r="H1566" i="1"/>
  <c r="H1567" i="1"/>
  <c r="H1568" i="1"/>
  <c r="H1569" i="1"/>
  <c r="H1564" i="1"/>
  <c r="H1549" i="1"/>
  <c r="H1550" i="1"/>
  <c r="H1551" i="1"/>
  <c r="H1552" i="1"/>
  <c r="H1553" i="1"/>
  <c r="H1554" i="1"/>
  <c r="H1555" i="1"/>
  <c r="H1556" i="1"/>
  <c r="H1557" i="1"/>
  <c r="H1558" i="1"/>
  <c r="H1548" i="1"/>
  <c r="E1" i="8"/>
  <c r="F2" i="7" l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1" i="7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1" i="7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" i="6"/>
  <c r="G1570" i="1" l="1"/>
  <c r="H1570" i="1" l="1"/>
  <c r="G1571" i="1" l="1"/>
  <c r="A16" i="3" l="1"/>
  <c r="E14" i="4" s="1"/>
  <c r="G1572" i="1"/>
  <c r="C25" i="2" l="1"/>
  <c r="A4" i="3"/>
  <c r="A3" i="3"/>
  <c r="D22" i="2"/>
  <c r="AB16" i="3" l="1"/>
  <c r="AB22" i="3" l="1"/>
  <c r="M14" i="4"/>
  <c r="M22" i="4" s="1"/>
</calcChain>
</file>

<file path=xl/sharedStrings.xml><?xml version="1.0" encoding="utf-8"?>
<sst xmlns="http://schemas.openxmlformats.org/spreadsheetml/2006/main" count="6607" uniqueCount="3377">
  <si>
    <t>PAY-OUT DATE:    __________________________</t>
  </si>
  <si>
    <t xml:space="preserve">NO. </t>
  </si>
  <si>
    <t>NAME</t>
  </si>
  <si>
    <t>BARANGAY</t>
  </si>
  <si>
    <t>SIGNATURE / THUMBMARK</t>
  </si>
  <si>
    <t>ID PRESENTED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</si>
  <si>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</si>
  <si>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</si>
  <si>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</si>
  <si>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</si>
  <si>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</si>
  <si>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</si>
  <si>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</si>
  <si>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</si>
  <si>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</si>
  <si>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</si>
  <si>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</si>
  <si>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</si>
  <si>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</si>
  <si>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</si>
  <si>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</si>
  <si>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</si>
  <si>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</si>
  <si>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</si>
  <si>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</si>
  <si>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</si>
  <si>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</si>
  <si>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</si>
  <si>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</si>
  <si>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</si>
  <si>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</si>
  <si>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</si>
  <si>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</si>
  <si>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</si>
  <si>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</si>
  <si>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</si>
  <si>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</si>
  <si>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</si>
  <si>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</si>
  <si>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</si>
  <si>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</si>
  <si>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</si>
  <si>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</si>
  <si>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</si>
  <si>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</si>
  <si>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</si>
  <si>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</si>
  <si>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</si>
  <si>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</si>
  <si>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</si>
  <si>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</si>
  <si>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</si>
  <si>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</si>
  <si>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</si>
  <si>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</si>
  <si>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</si>
  <si>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</si>
  <si>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</si>
  <si>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</si>
  <si>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</si>
  <si>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</si>
  <si>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</si>
  <si>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</si>
  <si>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</si>
  <si>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</si>
  <si>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</si>
  <si>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</si>
  <si>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</si>
  <si>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</si>
  <si>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</si>
  <si>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</si>
  <si>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</si>
  <si>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</si>
  <si>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</si>
  <si>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</si>
  <si>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</si>
  <si>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</si>
  <si>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</si>
  <si>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</si>
  <si>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</si>
  <si>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</si>
  <si>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</si>
  <si>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</si>
  <si>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</si>
  <si>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</si>
  <si>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</si>
  <si>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</si>
  <si>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</si>
  <si>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</si>
  <si>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</si>
  <si>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</si>
  <si>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</si>
  <si>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</si>
  <si>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</si>
  <si>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</si>
  <si>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</si>
  <si>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</si>
  <si>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</si>
  <si>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</si>
  <si>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</si>
  <si>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</si>
  <si>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</si>
  <si>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</si>
  <si>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</si>
  <si>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</si>
  <si>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</si>
  <si>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</si>
  <si>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</si>
  <si>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</si>
  <si>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</si>
  <si>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</si>
  <si>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</si>
  <si>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</si>
  <si>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</si>
  <si>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</si>
  <si>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</si>
  <si>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</si>
  <si>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</si>
  <si>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</si>
  <si>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</si>
  <si>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</si>
  <si>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</si>
  <si>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</si>
  <si>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</si>
  <si>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</si>
  <si>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</si>
  <si>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</si>
  <si>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</si>
  <si>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</si>
  <si>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</si>
  <si>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</si>
  <si>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</si>
  <si>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</si>
  <si>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</si>
  <si>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</si>
  <si>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</si>
  <si>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</si>
  <si>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</si>
  <si>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</si>
  <si>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</si>
  <si>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</si>
  <si>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</si>
  <si>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</si>
  <si>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</si>
  <si>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</si>
  <si>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</si>
  <si>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</si>
  <si>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</si>
  <si>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</si>
  <si>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</si>
  <si>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</si>
  <si>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</si>
  <si>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</si>
  <si>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</si>
  <si>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</si>
  <si>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</si>
  <si>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</si>
  <si>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</si>
  <si>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</si>
  <si>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</si>
  <si>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</si>
  <si>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</si>
  <si>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</si>
  <si>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</si>
  <si>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</si>
  <si>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</si>
  <si>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</si>
  <si>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</si>
  <si>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</si>
  <si>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</si>
  <si>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</si>
  <si>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</si>
  <si>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</si>
  <si>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</si>
  <si>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</si>
  <si>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</si>
  <si>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</si>
  <si>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</si>
  <si>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</si>
  <si>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</si>
  <si>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</si>
  <si>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</si>
  <si>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</si>
  <si>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</si>
  <si>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</si>
  <si>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</si>
  <si>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</si>
  <si>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</si>
  <si>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</si>
  <si>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</si>
  <si>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</si>
  <si>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</si>
  <si>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</si>
  <si>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</si>
  <si>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</si>
  <si>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</si>
  <si>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</si>
  <si>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</si>
  <si>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</si>
  <si>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</si>
  <si>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</si>
  <si>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</si>
  <si>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</si>
  <si>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</si>
  <si>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</si>
  <si>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</si>
  <si>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</si>
  <si>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</si>
  <si>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</si>
  <si>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</si>
  <si>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</si>
  <si>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</si>
  <si>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</si>
  <si>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</si>
  <si>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</si>
  <si>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</si>
  <si>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</si>
  <si>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</si>
  <si>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</si>
  <si>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</si>
  <si>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</si>
  <si>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</si>
  <si>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</si>
  <si>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</si>
  <si>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</si>
  <si>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</si>
  <si>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</si>
  <si>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</si>
  <si>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</si>
  <si>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</si>
  <si>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</si>
  <si>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</si>
  <si>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</si>
  <si>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</si>
  <si>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</si>
  <si>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</si>
  <si>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</si>
  <si>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</si>
  <si>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</si>
  <si>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</si>
  <si>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</si>
  <si>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</si>
  <si>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</si>
  <si>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</si>
  <si>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</si>
  <si>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</si>
  <si>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</si>
  <si>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</si>
  <si>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</si>
  <si>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</si>
  <si>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</si>
  <si>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</si>
  <si>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</si>
  <si>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</si>
  <si>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</si>
  <si>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</si>
  <si>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</si>
  <si>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</si>
  <si>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</si>
  <si>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</si>
  <si>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</si>
  <si>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</si>
  <si>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</si>
  <si>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</si>
  <si>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</si>
  <si>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</si>
  <si>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</si>
  <si>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</si>
  <si>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</si>
  <si>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</si>
  <si>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</si>
  <si>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</si>
  <si>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</si>
  <si>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</si>
  <si>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</si>
  <si>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</si>
  <si>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</si>
  <si>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</si>
  <si>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</si>
  <si>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</si>
  <si>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</si>
  <si>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</si>
  <si>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</si>
  <si>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</si>
  <si>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</si>
  <si>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</si>
  <si>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</si>
  <si>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</si>
  <si>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</si>
  <si>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</si>
  <si>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</si>
  <si>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</si>
  <si>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</si>
  <si>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</si>
  <si>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</si>
  <si>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</si>
  <si>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</si>
  <si>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</si>
  <si>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</si>
  <si>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</si>
  <si>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</si>
  <si>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</si>
  <si>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</si>
  <si>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</si>
  <si>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</si>
  <si>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</si>
  <si>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</si>
  <si>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</si>
  <si>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</si>
  <si>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</si>
  <si>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</si>
  <si>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</si>
  <si>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</si>
  <si>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</si>
  <si>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</si>
  <si>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</si>
  <si>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</si>
  <si>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</si>
  <si>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</si>
  <si>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</si>
  <si>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</si>
  <si>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</si>
  <si>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</si>
  <si>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</si>
  <si>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</si>
  <si>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</si>
  <si>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</si>
  <si>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</si>
  <si>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</si>
  <si>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</si>
  <si>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</si>
  <si>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</si>
  <si>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</si>
  <si>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</si>
  <si>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</si>
  <si>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</si>
  <si>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</si>
  <si>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</si>
  <si>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</si>
  <si>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</si>
  <si>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</si>
  <si>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</si>
  <si>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</si>
  <si>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</si>
  <si>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</si>
  <si>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</si>
  <si>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</si>
  <si>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</si>
  <si>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</si>
  <si>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</si>
  <si>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</si>
  <si>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</si>
  <si>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</si>
  <si>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</si>
  <si>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</si>
  <si>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</si>
  <si>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</si>
  <si>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</si>
  <si>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</si>
  <si>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</si>
  <si>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</si>
  <si>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</si>
  <si>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</si>
  <si>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</si>
  <si>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</si>
  <si>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</si>
  <si>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</si>
  <si>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</si>
  <si>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</si>
  <si>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</si>
  <si>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</si>
  <si>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</si>
  <si>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</si>
  <si>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</si>
  <si>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</si>
  <si>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</si>
  <si>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</si>
  <si>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</si>
  <si>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</si>
  <si>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</si>
  <si>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</si>
  <si>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</si>
  <si>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</si>
  <si>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</si>
  <si>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</si>
  <si>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</si>
  <si>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</si>
  <si>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</si>
  <si>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</si>
  <si>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</si>
  <si>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</si>
  <si>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</si>
  <si>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</si>
  <si>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</si>
  <si>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</si>
  <si>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</si>
  <si>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</si>
  <si>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</si>
  <si>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</si>
  <si>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</si>
  <si>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</si>
  <si>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</si>
  <si>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</si>
  <si>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</si>
  <si>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</si>
  <si>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</si>
  <si>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</si>
  <si>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</si>
  <si>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</si>
  <si>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</si>
  <si>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</si>
  <si>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</si>
  <si>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</si>
  <si>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</si>
  <si>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</si>
  <si>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</si>
  <si>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</si>
  <si>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</si>
  <si>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</si>
  <si>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</si>
  <si>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</si>
  <si>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</si>
  <si>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</si>
  <si>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</si>
  <si>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</si>
  <si>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</si>
  <si>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</si>
  <si>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</si>
  <si>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</si>
  <si>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</si>
  <si>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</si>
  <si>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</si>
  <si>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</si>
  <si>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</si>
  <si>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</si>
  <si>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</si>
  <si>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</si>
  <si>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</si>
  <si>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</si>
  <si>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</si>
  <si>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</si>
  <si>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</si>
  <si>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</si>
  <si>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</si>
  <si>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</si>
  <si>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</si>
  <si>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</si>
  <si>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</si>
  <si>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</si>
  <si>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</si>
  <si>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</si>
  <si>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</si>
  <si>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</si>
  <si>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</si>
  <si>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</si>
  <si>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</si>
  <si>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</si>
  <si>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</si>
  <si>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</si>
  <si>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</si>
  <si>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</si>
  <si>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</si>
  <si>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</si>
  <si>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</si>
  <si>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</si>
  <si>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</si>
  <si>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</si>
  <si>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</si>
  <si>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</si>
  <si>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</si>
  <si>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</si>
  <si>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</si>
  <si>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</si>
  <si>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</si>
  <si>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</si>
  <si>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</si>
  <si>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</si>
  <si>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</si>
  <si>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</si>
  <si>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</si>
  <si>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</si>
  <si>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</si>
  <si>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</si>
  <si>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</si>
  <si>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</si>
  <si>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</si>
  <si>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</si>
  <si>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</si>
  <si>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</si>
  <si>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</si>
  <si>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</si>
  <si>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</si>
  <si>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</si>
  <si>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</si>
  <si>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</si>
  <si>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</si>
  <si>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</si>
  <si>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</si>
  <si>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</si>
  <si>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</si>
  <si>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</si>
  <si>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</si>
  <si>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</si>
  <si>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</si>
  <si>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</si>
  <si>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</si>
  <si>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</si>
  <si>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</si>
  <si>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</si>
  <si>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</si>
  <si>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</si>
  <si>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</si>
  <si>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</si>
  <si>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</si>
  <si>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</si>
  <si>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</si>
  <si>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</si>
  <si>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</si>
  <si>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</si>
  <si>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</si>
  <si>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</si>
  <si>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</si>
  <si>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</si>
  <si>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</si>
  <si>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</si>
  <si>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</si>
  <si>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</si>
  <si>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</si>
  <si>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</si>
  <si>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</si>
  <si>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</si>
  <si>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</si>
  <si>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</si>
  <si>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</si>
  <si>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</si>
  <si>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</si>
  <si>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</si>
  <si>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</si>
  <si>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</si>
  <si>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</si>
  <si>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</si>
  <si>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</si>
  <si>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</si>
  <si>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</si>
  <si>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</si>
  <si>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</si>
  <si>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</si>
  <si>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</si>
  <si>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</si>
  <si>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</si>
  <si>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</si>
  <si>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</si>
  <si>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</si>
  <si>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</si>
  <si>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</si>
  <si>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</si>
  <si>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</si>
  <si>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</si>
  <si>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</si>
  <si>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</si>
  <si>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</si>
  <si>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</si>
  <si>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</si>
  <si>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</si>
  <si>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</si>
  <si>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</si>
  <si>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</si>
  <si>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</si>
  <si>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</si>
  <si>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</si>
  <si>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</si>
  <si>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</si>
  <si>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</si>
  <si>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</si>
  <si>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</si>
  <si>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</si>
  <si>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</si>
  <si>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</si>
  <si>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</si>
  <si>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</si>
  <si>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</si>
  <si>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</si>
  <si>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</si>
  <si>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</si>
  <si>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</si>
  <si>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</si>
  <si>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</si>
  <si>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</si>
  <si>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</si>
  <si>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</si>
  <si>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</si>
  <si>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</si>
  <si>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</si>
  <si>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</si>
  <si>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</si>
  <si>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</si>
  <si>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</si>
  <si>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</si>
  <si>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</si>
  <si>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</si>
  <si>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</si>
  <si>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</si>
  <si>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</si>
  <si>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</si>
  <si>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</si>
  <si>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</si>
  <si>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</si>
  <si>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</si>
  <si>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</si>
  <si>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</si>
  <si>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</si>
  <si>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</si>
  <si>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</si>
  <si>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</si>
  <si>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</si>
  <si>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</si>
  <si>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</si>
  <si>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</si>
  <si>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</si>
  <si>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</si>
  <si>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</si>
  <si>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</si>
  <si>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</si>
  <si>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</si>
  <si>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</si>
  <si>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</si>
  <si>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</si>
  <si>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</si>
  <si>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</si>
  <si>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</si>
  <si>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</si>
  <si>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</si>
  <si>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</si>
  <si>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</si>
  <si>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</si>
  <si>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</si>
  <si>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</si>
  <si>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</si>
  <si>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</si>
  <si>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</si>
  <si>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</si>
  <si>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</si>
  <si>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</si>
  <si>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</si>
  <si>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</si>
  <si>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</si>
  <si>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</si>
  <si>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</si>
  <si>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</si>
  <si>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</si>
  <si>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</si>
  <si>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</si>
  <si>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</si>
  <si>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</si>
  <si>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</si>
  <si>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</si>
  <si>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</si>
  <si>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</si>
  <si>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</si>
  <si>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</si>
  <si>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</si>
  <si>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</si>
  <si>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</si>
  <si>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</si>
  <si>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</si>
  <si>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</si>
  <si>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</si>
  <si>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</si>
  <si>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</si>
  <si>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</si>
  <si>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</si>
  <si>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</si>
  <si>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</si>
  <si>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</si>
  <si>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</si>
  <si>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</si>
  <si>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</si>
  <si>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</si>
  <si>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</si>
  <si>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POBLACION</t>
  </si>
  <si>
    <t>ACERO, CARLOS SALO</t>
  </si>
  <si>
    <t>ADELAN, CELSO AUMINTO</t>
  </si>
  <si>
    <t>ALMENCION, NAPOLION HIGANTE</t>
  </si>
  <si>
    <t>ALMENCION, JUVY ALEMNCION</t>
  </si>
  <si>
    <t>ALMONICAR, JULIAN DABALOS</t>
  </si>
  <si>
    <t>AMOGUIS, DANNY LUPAZ</t>
  </si>
  <si>
    <t>AMOGUIS, JULIETO BATISTIL</t>
  </si>
  <si>
    <t>ARABIS, BRENDA CASEÑAS</t>
  </si>
  <si>
    <t>ARABIS, MELANIE ALMENCION</t>
  </si>
  <si>
    <t>ARANA, FLORENCIO MEORUM</t>
  </si>
  <si>
    <t>ARANA, FLOR VASQUEZ</t>
  </si>
  <si>
    <t>ARICAYOS, ARGIE GESORO</t>
  </si>
  <si>
    <t>BALILING, RENATO OPOS</t>
  </si>
  <si>
    <t>BALILING, CHRISTINE INDINO</t>
  </si>
  <si>
    <t>BANDECO, LADITO CURTEVA</t>
  </si>
  <si>
    <t>BAYSON, LUZMINDA RATILLA</t>
  </si>
  <si>
    <t>BAZAR, RAYMOND SALO</t>
  </si>
  <si>
    <t>BERDON, CARMELTA OPOS</t>
  </si>
  <si>
    <t>BIHAG, ADELO CAHILES</t>
  </si>
  <si>
    <t>BIHAG, VIRGENCITA ARABIS</t>
  </si>
  <si>
    <t>BIONA, ROMULO RICAMONTE</t>
  </si>
  <si>
    <t>CAAYAMAN, ELMER CAGATIN</t>
  </si>
  <si>
    <t>CAAYAMAN, CORNELIA MANTILLA</t>
  </si>
  <si>
    <t>CAAYAMAN, JOVANNI POLINAR</t>
  </si>
  <si>
    <t>CAAYAMAN, SALVADOR BARTON</t>
  </si>
  <si>
    <t>CAAYAMAN, NADOR CAGATIN</t>
  </si>
  <si>
    <t>CAAYAMAN, REBECCA ROSALITA</t>
  </si>
  <si>
    <t>CAAYAMAN, ADELAIDA BAYRON</t>
  </si>
  <si>
    <t>CAGAS, JAY-AR WAHING</t>
  </si>
  <si>
    <t>CAGAS, JUNEL WAHING</t>
  </si>
  <si>
    <t>CAGAS, ROMELITO PAGHUBASAN</t>
  </si>
  <si>
    <t>CALLANO, FELICITAS ANTIPASADO</t>
  </si>
  <si>
    <t>CALLANO, NARCISO ALQUISOLA</t>
  </si>
  <si>
    <t>CALLANO, DEOLITO BALDOS</t>
  </si>
  <si>
    <t>CAÑONES, ESTRELITA SARAMOSING</t>
  </si>
  <si>
    <t>CAÑONES, LOVELY BAZAR</t>
  </si>
  <si>
    <t>CAÑONES, JULIET CAÑONES</t>
  </si>
  <si>
    <t>CANUNAYON, MERLINDA LUMANTA</t>
  </si>
  <si>
    <t>CASIPE, SUSAN REFUELA</t>
  </si>
  <si>
    <t>CREDO, LEODEGARIO AMIGO</t>
  </si>
  <si>
    <t>CUBONG, ERENITA ORILLO</t>
  </si>
  <si>
    <t>DESIK, REGINA BUTRA</t>
  </si>
  <si>
    <t>EDUSMA, GILBERT MAPUTOL</t>
  </si>
  <si>
    <t>ENAD, MYLENE BAYRON</t>
  </si>
  <si>
    <t>EPAN, ALFREDA PAGAPONG</t>
  </si>
  <si>
    <t>GERMATA, ROY SANGALLA</t>
  </si>
  <si>
    <t>GERMATA, RICKY PELONIA</t>
  </si>
  <si>
    <t>GERMATA, DAISY DALION</t>
  </si>
  <si>
    <t>GORDONAS, MONETTE MONTERDE</t>
  </si>
  <si>
    <t>GUCOR, JENELYN TERANTE</t>
  </si>
  <si>
    <t>JAGAPE, JESSIE BAZAR</t>
  </si>
  <si>
    <t>JUNTONG, ELPEDIO MAGLASANG</t>
  </si>
  <si>
    <t>KELESTE, VICENTE DUARTE</t>
  </si>
  <si>
    <t>KELESTE, LEONILA CERRO</t>
  </si>
  <si>
    <t>LLANAZA, SILVINO HINALOC</t>
  </si>
  <si>
    <t>LLANAZA, ROLDAN SEQUIÑA</t>
  </si>
  <si>
    <t>LORONIO, ALONA ARANETA</t>
  </si>
  <si>
    <t>MACARINE, REY JOHN AMOGUIS</t>
  </si>
  <si>
    <t>MAGCANTA, ELMER LAVICTORIA</t>
  </si>
  <si>
    <t>MALATE, RENANTE CORUMPIDO</t>
  </si>
  <si>
    <t>MANTILLA, NICANOR GALOSO</t>
  </si>
  <si>
    <t>MARQUEZ, GENEROSA CEPRIANO</t>
  </si>
  <si>
    <t>MENDEZ, ROMEO PIEDAD</t>
  </si>
  <si>
    <t>MENDEZ, ROMEO JR. MONDRESA</t>
  </si>
  <si>
    <t>MONDERO , JERRY SALIBONGCOGON</t>
  </si>
  <si>
    <t>MONECILLO, JUSTINIANO ZASPA</t>
  </si>
  <si>
    <t>MONECILLO, JUNNIE MONTERDE</t>
  </si>
  <si>
    <t>MONTERO, CARLO ARQUILLANO</t>
  </si>
  <si>
    <t>NOTARTE, ALEJANDRO VISCARA</t>
  </si>
  <si>
    <t>OGDOC , GENA CAÑONES</t>
  </si>
  <si>
    <t>ORILLO, MODESTO PARAGUILLES</t>
  </si>
  <si>
    <t>PAJE, EMELIE RELON</t>
  </si>
  <si>
    <t>PEPITO, LUCKY GUY CAGAS</t>
  </si>
  <si>
    <t>RAMIREZ, DIEGO GOMA</t>
  </si>
  <si>
    <t>RECEMULO, NARCISO DOMINGO</t>
  </si>
  <si>
    <t>RECOMATA, ELIAZAR MANGGALOW</t>
  </si>
  <si>
    <t>SABROSO, JOVELYN RONQUILLO</t>
  </si>
  <si>
    <t>SALIBAY, ESMAEL MACARAYAN</t>
  </si>
  <si>
    <t>SALIBAY, NIDA EDUSMA</t>
  </si>
  <si>
    <t>SALO, GLORIGIE JAGAPE</t>
  </si>
  <si>
    <t>SALO, ERENIO AYOBAN</t>
  </si>
  <si>
    <t>SALO, SARILYN LINDONGAN</t>
  </si>
  <si>
    <t>SALO, JOCELYN LINDONGAN</t>
  </si>
  <si>
    <t>SANCHEZ, ELVIS CASEÑAS</t>
  </si>
  <si>
    <t>SANCHEZ, ANDRESA ALMENCION</t>
  </si>
  <si>
    <t>SANCHEZ, ERLINDA RATILLA</t>
  </si>
  <si>
    <t>SARAMOSING, JUSTINO JR. LOBIDO</t>
  </si>
  <si>
    <t>SARAMOSING, MA. VICTORIA LOBIDO</t>
  </si>
  <si>
    <t>SARAMOSING, GELCOR LOBIDO</t>
  </si>
  <si>
    <t>SARAMOSING, MALYN ESPEJON</t>
  </si>
  <si>
    <t>SEQUIÑA, MARIVIC TIZON</t>
  </si>
  <si>
    <t>TALDE, CARMENCITA LAGO</t>
  </si>
  <si>
    <t>TERANTE, SAMUEL ALONDE</t>
  </si>
  <si>
    <t>TERES, ERMELINA LAGO</t>
  </si>
  <si>
    <t>TION, SANTIAGO ABUSO</t>
  </si>
  <si>
    <t>TIZON, ZALDY ORILLO</t>
  </si>
  <si>
    <t>VALCORZA, ROSALINA TIMOLA</t>
  </si>
  <si>
    <t>VASQUEZ, ABUNDIO BESINGGA</t>
  </si>
  <si>
    <t>VICENTINO, MISAURE ODCHIGUE</t>
  </si>
  <si>
    <t>OSMENA</t>
  </si>
  <si>
    <t>ADORNO, JENELYN A</t>
  </si>
  <si>
    <t>ALAO, GUILLERMA D</t>
  </si>
  <si>
    <t>ALAO, SALVADOR D</t>
  </si>
  <si>
    <t xml:space="preserve">ALICO, CLEMINTINO JR. </t>
  </si>
  <si>
    <t>ALINIABON, AMELYN G</t>
  </si>
  <si>
    <t>ALPANTE , ABELENA L</t>
  </si>
  <si>
    <t>ALPANTE, RODOLFO D</t>
  </si>
  <si>
    <t>BAJA, CHEERLYN B</t>
  </si>
  <si>
    <t>BAJA, JOJELYN S</t>
  </si>
  <si>
    <t>BANDA, ROSE A</t>
  </si>
  <si>
    <t>BARRIENTOS, MARY ANN A</t>
  </si>
  <si>
    <t>BARRIOS, LIONCHITO D</t>
  </si>
  <si>
    <t xml:space="preserve">BAYOT, ANTONIO </t>
  </si>
  <si>
    <t>CABUBTUCAN, AILYN B</t>
  </si>
  <si>
    <t>CABUNTUCAN, ANABETH B</t>
  </si>
  <si>
    <t>CABUNTUCAN, IRENE A</t>
  </si>
  <si>
    <t>CABUNTUCAN, LIZA B</t>
  </si>
  <si>
    <t>CALIPES,   WENNIE C</t>
  </si>
  <si>
    <t>CAMPOS, RONICA M</t>
  </si>
  <si>
    <t xml:space="preserve">CAMUS, JOCELYN C. </t>
  </si>
  <si>
    <t>CAUBE, RAMON F</t>
  </si>
  <si>
    <t>CHAVEZ, JACK B</t>
  </si>
  <si>
    <t>COMOS, ALLAN B</t>
  </si>
  <si>
    <t>CONTINEDAS, DANNY P</t>
  </si>
  <si>
    <t>CONTINEDAS, VALERIANA M</t>
  </si>
  <si>
    <t>CUYAM, MARYJANE E</t>
  </si>
  <si>
    <t>DEPALUBOS, LEO N</t>
  </si>
  <si>
    <t>DURAN, BELRISS Y</t>
  </si>
  <si>
    <t>ESPINOSA, MERCY A</t>
  </si>
  <si>
    <t>GAROPEL, JULIUS B</t>
  </si>
  <si>
    <t>GAROPEL, MARISSA C</t>
  </si>
  <si>
    <t>GAROPEZ, MARIVIC B</t>
  </si>
  <si>
    <t>GAROPIL, JOSUA B</t>
  </si>
  <si>
    <t>GOMEZ, BERTULDO V</t>
  </si>
  <si>
    <t>GUINGGUING, ANALYN P</t>
  </si>
  <si>
    <t>INTROSO, CARMILO G</t>
  </si>
  <si>
    <t>INTROSO, MARVIN A</t>
  </si>
  <si>
    <t>JISON, ARNELO B</t>
  </si>
  <si>
    <t>LABANDIA, JULIA T</t>
  </si>
  <si>
    <t>LAHOY LAHOY, MARJON B</t>
  </si>
  <si>
    <t>LARIBA, REGINE B</t>
  </si>
  <si>
    <t>LARITA, NILDA D</t>
  </si>
  <si>
    <t xml:space="preserve">LINDE, RODRIGO </t>
  </si>
  <si>
    <t>MANABA, AMELITA M</t>
  </si>
  <si>
    <t>MANABA, RUEL T</t>
  </si>
  <si>
    <t xml:space="preserve">MEDINA , ROGELIO </t>
  </si>
  <si>
    <t>MELO, MA.CARMENSITA O</t>
  </si>
  <si>
    <t xml:space="preserve">MENDEZ, JEZREZ </t>
  </si>
  <si>
    <t>MENDEZ, JONATHAN L.</t>
  </si>
  <si>
    <t>MONTICELLEO, JONEL P</t>
  </si>
  <si>
    <t>MONTILLA, ENDRIQUE V</t>
  </si>
  <si>
    <t>MONTILLA, ERMON M</t>
  </si>
  <si>
    <t>MONTILLA, EUGENE M</t>
  </si>
  <si>
    <t>MONTILLA, MARIO M</t>
  </si>
  <si>
    <t>MONTILLA, NATIVIDAD M</t>
  </si>
  <si>
    <t>MONTILLA, RIZA C</t>
  </si>
  <si>
    <t>NAVALES, CHERRY ANN T</t>
  </si>
  <si>
    <t>NEMENZO, FLORENTINO B</t>
  </si>
  <si>
    <t>NUMERON, JUNRY SAGA</t>
  </si>
  <si>
    <t>OLANDRIA, ERBEN VERAS</t>
  </si>
  <si>
    <t>ORCULLO, RECHEE D</t>
  </si>
  <si>
    <t xml:space="preserve">PAGALAN, FELIPE </t>
  </si>
  <si>
    <t>PANDAC, GENALYN C</t>
  </si>
  <si>
    <t>PANDAC, REBENYA L</t>
  </si>
  <si>
    <t>PANDAC, REGELYN C</t>
  </si>
  <si>
    <t>PANTALLANO, WILMA E.</t>
  </si>
  <si>
    <t>PASAYLO, ROWENA L</t>
  </si>
  <si>
    <t>PENERO, CONSTANTINO T</t>
  </si>
  <si>
    <t>PONTERAS, JUNIFFER B</t>
  </si>
  <si>
    <t>PONTERAS, MARICEL A</t>
  </si>
  <si>
    <t xml:space="preserve">QUIBOD, DATIBO </t>
  </si>
  <si>
    <t>QUIÑONES, RELLEY JHON T</t>
  </si>
  <si>
    <t>QUINONES, RELLYJOHN T</t>
  </si>
  <si>
    <t>REGIR, IMEY M</t>
  </si>
  <si>
    <t xml:space="preserve">REPOYLA, MELECIO </t>
  </si>
  <si>
    <t>REPULLA, RENE S</t>
  </si>
  <si>
    <t>RICABURDA, SHERWIN C</t>
  </si>
  <si>
    <t>ROCABERTE, NELISA A</t>
  </si>
  <si>
    <t>SENIAGAN, ALEX M</t>
  </si>
  <si>
    <t>SENIAGAN, ELMER M</t>
  </si>
  <si>
    <t>SENIAGAN, FELIX M</t>
  </si>
  <si>
    <t xml:space="preserve">SUGANO, SATURNINO </t>
  </si>
  <si>
    <t xml:space="preserve">TACDORO, REYNOLD </t>
  </si>
  <si>
    <t>TAGANILE, CHERYL C</t>
  </si>
  <si>
    <t>TAGANILE, JESEL P</t>
  </si>
  <si>
    <t>TAGANILE, RAQUEL O</t>
  </si>
  <si>
    <t>TAPING, LEONDRA E</t>
  </si>
  <si>
    <t>TAPING, RENEBOY L</t>
  </si>
  <si>
    <t>TRACIO, ELVERA P</t>
  </si>
  <si>
    <t>TRUITA, ANGELITO A</t>
  </si>
  <si>
    <t>TRUITA, NESTOR A</t>
  </si>
  <si>
    <t>TUBIA, EVANGELINE P</t>
  </si>
  <si>
    <t>VERAS , STEPHEN Q</t>
  </si>
  <si>
    <t>VERAS, DOLLANO S</t>
  </si>
  <si>
    <t>VERAS, FEDERICO S</t>
  </si>
  <si>
    <t>VERAS, LEVI R</t>
  </si>
  <si>
    <t>VIAJEDOR, ERJOHN C</t>
  </si>
  <si>
    <t xml:space="preserve">VILLASAN, CONSTANCIO </t>
  </si>
  <si>
    <t>VILLEGAS, ALJON A</t>
  </si>
  <si>
    <t>VILLEGAS, JOAN A</t>
  </si>
  <si>
    <t>ALBARACIN, ELIDA MANTILLA</t>
  </si>
  <si>
    <t>ALINGALAN, EVELYN ARCHES</t>
  </si>
  <si>
    <t xml:space="preserve">ALINGALAN, ALINGALAN </t>
  </si>
  <si>
    <t>ALLARCOS, ANAVILMA MAG-ASO</t>
  </si>
  <si>
    <t>ALLARCOS, CRISTINA VELARDE</t>
  </si>
  <si>
    <t>ANOBLING, AGUSTINA PADERNILLA</t>
  </si>
  <si>
    <t>ANOBLING, LANIE SAMOYA</t>
  </si>
  <si>
    <t>ARCHES, JULIETA ALINGALAN</t>
  </si>
  <si>
    <t>ARGOS, MARITES LAGUMBAY</t>
  </si>
  <si>
    <t>AROCHA, MARY JANE MALINAO</t>
  </si>
  <si>
    <t>AVILA, MARITA MARQUEZ</t>
  </si>
  <si>
    <t>BALINGAN, JESUSA RANARA</t>
  </si>
  <si>
    <t>BULAQINA, DELIA PEDRAVERDE</t>
  </si>
  <si>
    <t>CABAJES, ROSALYN HAMODIONG</t>
  </si>
  <si>
    <t>CABUSAO, PERLA BARRIOS</t>
  </si>
  <si>
    <t>CAGOCO, MARYLU DAUGDAUG</t>
  </si>
  <si>
    <t>CAMINO, ROSEMAY DOMIGRACIA</t>
  </si>
  <si>
    <t>CAMINO, JOVEY TAGUPA</t>
  </si>
  <si>
    <t>CAMINO, HARDENCIO NUMERON</t>
  </si>
  <si>
    <t>CAPUCANAN, JOCELYN JAMILA</t>
  </si>
  <si>
    <t>CAPUCANAN, JERALDINE CEJAR</t>
  </si>
  <si>
    <t>CASERA, MARICEL CAGOCO</t>
  </si>
  <si>
    <t>CASERA, LETECIA BORJA</t>
  </si>
  <si>
    <t>CASERA, JEREVEL POLITA</t>
  </si>
  <si>
    <t>CINCO, WILMA SANQUINA</t>
  </si>
  <si>
    <t>COMIDA, ELLEN MANTILLA</t>
  </si>
  <si>
    <t>CONDEZA, LORNA RAG</t>
  </si>
  <si>
    <t>CONDEZA, RAZEL TIEMPO</t>
  </si>
  <si>
    <t>CORVERA, PERRY POGUSA</t>
  </si>
  <si>
    <t>CORVERA, MARLY LUMAKIN</t>
  </si>
  <si>
    <t>DALION, GENALYN CARIO</t>
  </si>
  <si>
    <t>DAMIAN, QUENNIE MILITARES</t>
  </si>
  <si>
    <t>DELA CRUZ, WILMA Batchinitcha</t>
  </si>
  <si>
    <t>DERECHO, IRENE ALOLOD</t>
  </si>
  <si>
    <t>DIAZ, ROSALINDA LANIBA</t>
  </si>
  <si>
    <t>DIAZ, ANALYN ORCULLO</t>
  </si>
  <si>
    <t>DIONG, DERLINA DIAZ</t>
  </si>
  <si>
    <t>DIONG, CONCORDIA LAGRE</t>
  </si>
  <si>
    <t>DIONG, ROSY CAPUCANAN</t>
  </si>
  <si>
    <t>DIVINAGRACIA, MILA COTIANGCO</t>
  </si>
  <si>
    <t>DUBLAS, IGNACIA ALINGALAN</t>
  </si>
  <si>
    <t>EMPAL, GLORIA BUGAY</t>
  </si>
  <si>
    <t>ESCALANTE, EDNALYN SABATIN</t>
  </si>
  <si>
    <t>ESCALANTE, MARIVIC SERNA</t>
  </si>
  <si>
    <t>ESPARTERO, MADILYN EMPAL</t>
  </si>
  <si>
    <t>FLORENO, SYLVIA ENTERIO</t>
  </si>
  <si>
    <t>GIDACAN, JOSEPHINE ATAGUE</t>
  </si>
  <si>
    <t>HAMODIONG, LUZMINDA TOLENTINO</t>
  </si>
  <si>
    <t>HAMODIONG, REYNALDO OBIAS</t>
  </si>
  <si>
    <t>LABASTIDA, GENALYN CURATO</t>
  </si>
  <si>
    <t>LAGANAO, NENITA DECASTRO</t>
  </si>
  <si>
    <t>LANAZA, LETECIA OCATE</t>
  </si>
  <si>
    <t>LASCUNA, JOCELYN SAJOL</t>
  </si>
  <si>
    <t>LASTIMA, YOLANDA MANCILE</t>
  </si>
  <si>
    <t>LINCUNA , LEONIDES ELLAGA</t>
  </si>
  <si>
    <t>LUMINDAS, ALBERTA TAGRA</t>
  </si>
  <si>
    <t>MADES, ROLAN TRIMIDAL</t>
  </si>
  <si>
    <t>MAHINAY, ELKIE MANTILLA</t>
  </si>
  <si>
    <t>MALINAO, MARIVIC PALEZ</t>
  </si>
  <si>
    <t>MALINAO, JOAN DECASTRO</t>
  </si>
  <si>
    <t>MALINAO, DANILO FERNANDEZ</t>
  </si>
  <si>
    <t>MANTILLA, RICHELL CATAMPONGAN</t>
  </si>
  <si>
    <t>MARQUEZ, MARGIE BANLUTA</t>
  </si>
  <si>
    <t>MENDOZA, JUVEY Batchinicha</t>
  </si>
  <si>
    <t>MONDERO, ERLINDA TEJANO</t>
  </si>
  <si>
    <t>NIEVES, EVANGELINE OCATE</t>
  </si>
  <si>
    <t>PALANG-AT, EMELYN DIAZ</t>
  </si>
  <si>
    <t>PANDELING, EARLYN DIAZ</t>
  </si>
  <si>
    <t>PARAJES, LORNA Batchinitcha</t>
  </si>
  <si>
    <t>PAYAC, PRESCILA LAGANAO</t>
  </si>
  <si>
    <t>PELIGRINO, NELLY CAMINO</t>
  </si>
  <si>
    <t>RANARA, MERCEDITA DIONG</t>
  </si>
  <si>
    <t>RAYOS, JULIETA MILITARES</t>
  </si>
  <si>
    <t>RAZO, EVELYN MILITARES</t>
  </si>
  <si>
    <t>SAMACO, EVELYN VITO</t>
  </si>
  <si>
    <t>SANGALLA, EVANGELINE AVILA</t>
  </si>
  <si>
    <t>SERNA, RUBELYN ENTERIO</t>
  </si>
  <si>
    <t>SIMBACO, JOSEPHINE GASCON</t>
  </si>
  <si>
    <t>SUAN, DIONESIA AMOGUEZ</t>
  </si>
  <si>
    <t>TAGRA, ESTELA ISLA</t>
  </si>
  <si>
    <t>TAN, AL DIAZ</t>
  </si>
  <si>
    <t>TANOD-TANOD, CELIA VELARDE</t>
  </si>
  <si>
    <t>TEJANO, VIRGIE DOLOQUIN</t>
  </si>
  <si>
    <t>TEJANO, ROWEL TABARANZA</t>
  </si>
  <si>
    <t>TEJANO, NYMPHA TITOY</t>
  </si>
  <si>
    <t>TINDOY, MA. NILDA RIVERA</t>
  </si>
  <si>
    <t>TITOY, BERNICE PURACAN</t>
  </si>
  <si>
    <t>TITOY, RICA ARGOS</t>
  </si>
  <si>
    <t>TITOY, RINA CAMPOS</t>
  </si>
  <si>
    <t>TITOY, MARIVEL JAMODIONG</t>
  </si>
  <si>
    <t>TOLEDO, MARIFE TINDOY</t>
  </si>
  <si>
    <t>TUQUIB, HENRITA SERNA</t>
  </si>
  <si>
    <t>VILLASAN, AMIE AMOGUEZ</t>
  </si>
  <si>
    <t>VILLASAN, ELSIE BETONIO</t>
  </si>
  <si>
    <t>VITO, BENEFEL CEMENE</t>
  </si>
  <si>
    <t>VIVAS, CRISTE COTIANGCO</t>
  </si>
  <si>
    <t>YMEA, FLORA MALINAO</t>
  </si>
  <si>
    <t>QUEZON</t>
  </si>
  <si>
    <t>BATCHINITCHA, ADRIANA ROMULO</t>
  </si>
  <si>
    <t>BATCHINITCHA, MARIALYN MALINAO</t>
  </si>
  <si>
    <t>CAMINGAWANL, LEONECITA BATCHINITCHA</t>
  </si>
  <si>
    <t>ABLANEDA, ELLY PONTIVILLA</t>
  </si>
  <si>
    <t>ACEBEDO, WANIVIE SALISE</t>
  </si>
  <si>
    <t>ACUNIN, ROSALIE MALINAO</t>
  </si>
  <si>
    <t>ALARMA, ALICIA OMANDAM</t>
  </si>
  <si>
    <t>ALARMA , CHARLITO QUINONES</t>
  </si>
  <si>
    <t>ARGUILLES, DIONESIA ANGOB</t>
  </si>
  <si>
    <t>ATAMOSA, FLORICEL DE GRACIA</t>
  </si>
  <si>
    <t>BACQUIANO, GERLIE LIBRE</t>
  </si>
  <si>
    <t>BACQUIANO, DYAN LOU PASTORITE</t>
  </si>
  <si>
    <t>BARRIOS, JENNIFER DALMAN</t>
  </si>
  <si>
    <t>BARRIOS, LANIFE MABONG</t>
  </si>
  <si>
    <t>BARRIOS, JULITA DALMAN</t>
  </si>
  <si>
    <t>BARRIOS, SUSAN AYALA</t>
  </si>
  <si>
    <t>BARRIOS, EDETHA ALARMA</t>
  </si>
  <si>
    <t>BARRIOS, ROSELYN DAMILAN</t>
  </si>
  <si>
    <t>BELTRAN, MENERVA SIBUNGA</t>
  </si>
  <si>
    <t>BOLONDRO, MARILOU GALAGNARA</t>
  </si>
  <si>
    <t>BUCAWE, BETTY EMIAS</t>
  </si>
  <si>
    <t>BUCAWE, DOMIC ANDOYO</t>
  </si>
  <si>
    <t>BUCAWE, GEMMA ARGUILLES</t>
  </si>
  <si>
    <t>CABUYAO, NENEH PASTORITE</t>
  </si>
  <si>
    <t>CAJOLO, MARISSA OYBENES</t>
  </si>
  <si>
    <t>CAMARA, MYRNA APOR</t>
  </si>
  <si>
    <t>CANUOG, BENEGNA LIBRE</t>
  </si>
  <si>
    <t>CAPA, ELIZA ESPANYA</t>
  </si>
  <si>
    <t>CAPUYAN, JANICE OYBENES</t>
  </si>
  <si>
    <t>CASIPONG, ERMELITA BACLAY</t>
  </si>
  <si>
    <t>CORDERO, GEMMA CORALDE</t>
  </si>
  <si>
    <t>COTIANGCO, ACITA MABAYAO</t>
  </si>
  <si>
    <t>COTIANGCO, VERGILIO MABAYAO</t>
  </si>
  <si>
    <t>DALMAN, MARIANITO BOISER</t>
  </si>
  <si>
    <t>DALMAN, AMELITA VERANO</t>
  </si>
  <si>
    <t>DAMIAN, ANATALIA DALMAN</t>
  </si>
  <si>
    <t>DAMIAN, ESTELITA ROBLES</t>
  </si>
  <si>
    <t>DELACERNA, CARMELITA RIZALDO</t>
  </si>
  <si>
    <t>DUMANAT, EVELYN DALMAN</t>
  </si>
  <si>
    <t>EMIAS, MODESTA BARRIOS</t>
  </si>
  <si>
    <t>ESTRILLA, LEONILLA SABATIN</t>
  </si>
  <si>
    <t>FIEL, MARGIE MANGA</t>
  </si>
  <si>
    <t>FRIOLO JR., FELIPE MABAYAO</t>
  </si>
  <si>
    <t>GALINGAN, MELESA TINDOY</t>
  </si>
  <si>
    <t>GANUT, MAICRIS DE GRACIA</t>
  </si>
  <si>
    <t>GEMINO, EVELYN ORILLANEDA</t>
  </si>
  <si>
    <t>GEMINO, RONALYN OWANG</t>
  </si>
  <si>
    <t>GEMINO, JULIA RECTO</t>
  </si>
  <si>
    <t>GEMINO, JOSIE ORILLANEDA</t>
  </si>
  <si>
    <t>GUINGGUING, CRISTINA CARILLO</t>
  </si>
  <si>
    <t>GUINGGUING, MARICEL BARRIOS</t>
  </si>
  <si>
    <t>GUINGGUING, ANALIZA LEHIDAN</t>
  </si>
  <si>
    <t>HIMONGALA, EDNA ALICABO</t>
  </si>
  <si>
    <t>HIMONGALA, LEAH RANIOLA</t>
  </si>
  <si>
    <t>IDO, MARLITA REQUIRAS</t>
  </si>
  <si>
    <t>IDO, MARIVEL BELTRAN</t>
  </si>
  <si>
    <t>IGNALIG, GINALYN SANDIG</t>
  </si>
  <si>
    <t>JAMIN, NILDA BIONA</t>
  </si>
  <si>
    <t>LABRAADO, JESSICA SALON</t>
  </si>
  <si>
    <t>LABRAADO, JULITA MAHINAY</t>
  </si>
  <si>
    <t>LAMIGO, GINALYN ESPINOS</t>
  </si>
  <si>
    <t xml:space="preserve">LAUGO, AMALIO </t>
  </si>
  <si>
    <t>LEGASPI, MARIO ALIMANGCO</t>
  </si>
  <si>
    <t>LEGHIDAN, GINALYN SAHAY</t>
  </si>
  <si>
    <t>LINAZA, ALMA SAHAY</t>
  </si>
  <si>
    <t>MABAYAO, ERNESTA BOLONTON</t>
  </si>
  <si>
    <t>MANIDLANGAN, CELSO CLEMENTE</t>
  </si>
  <si>
    <t>MARIANAS, ELIZABETH ENICO</t>
  </si>
  <si>
    <t>MARTIZANO, SALVACION MAHUMAS</t>
  </si>
  <si>
    <t>MARTIZANO, VICTORIA DELA CRUZ</t>
  </si>
  <si>
    <t>MARTIZANO, ANETA ARQUILLES</t>
  </si>
  <si>
    <t>MONTEBON, MACRINA MONTE</t>
  </si>
  <si>
    <t>MONTILLA, LONIE MANIDLANGAN</t>
  </si>
  <si>
    <t>MONTILLA, ANALIZA ARDUILLES</t>
  </si>
  <si>
    <t>MULATO, MARGIELYN OXERIAL</t>
  </si>
  <si>
    <t>NUMERON, BONETA ROBLES</t>
  </si>
  <si>
    <t>NUMERON, MICHELLLE ANDRINO</t>
  </si>
  <si>
    <t>NUMERON, JESSA LIGUTOM</t>
  </si>
  <si>
    <t>ORILLANEDA, BRECILDA CORDERO</t>
  </si>
  <si>
    <t>OWANG, JANE SAHAY</t>
  </si>
  <si>
    <t>OWANG, MARILOU CUARENTA</t>
  </si>
  <si>
    <t>OXERIAL, FRANCISCA INANOD</t>
  </si>
  <si>
    <t>OYBENES, GINALYN  UNTUA</t>
  </si>
  <si>
    <t>OYBENES, ESMAELITA BACLAY</t>
  </si>
  <si>
    <t>PEREZ, ANDRESA SAHAY</t>
  </si>
  <si>
    <t>PUGOSA, ALPHA DALMAN</t>
  </si>
  <si>
    <t>PUGOSA, CARMELITA CAMARA</t>
  </si>
  <si>
    <t>PUGOSA, PERLITA DAMIAN</t>
  </si>
  <si>
    <t>PUGOSA, ELIZABETH ASPIRIN</t>
  </si>
  <si>
    <t>QUINONES, NENITA SALAET</t>
  </si>
  <si>
    <t>RABINA, JACRIS BALLIOS</t>
  </si>
  <si>
    <t>RIVAS, NILDE BOLONTON</t>
  </si>
  <si>
    <t>RIZALDO, CESAR LEGHIDAD</t>
  </si>
  <si>
    <t>RIZALDO, LUDIVINA ROBLES</t>
  </si>
  <si>
    <t>ROBLES, JOSEPHINE MABAYAO</t>
  </si>
  <si>
    <t>ROBLES, MARY JANE BARRIOS</t>
  </si>
  <si>
    <t>ROBLES, MARILOU RIZALDO</t>
  </si>
  <si>
    <t>SAHAY, DIZA GUINGGUING</t>
  </si>
  <si>
    <t>SAHAY, ROSAVILLA NONONG</t>
  </si>
  <si>
    <t>SITOY, EMELITA SAHAY</t>
  </si>
  <si>
    <t>SUAT, LOLITA RIZALDO</t>
  </si>
  <si>
    <t>VALES, FE  CAMPOS</t>
  </si>
  <si>
    <t>VALLES, ANASTACIA ACLAN</t>
  </si>
  <si>
    <t>SORIANO</t>
  </si>
  <si>
    <t>ACITA, ADITA ACEDILLA</t>
  </si>
  <si>
    <t>ALBERO, EMIE CALIMOUSAN</t>
  </si>
  <si>
    <t>ALVENES, RENALYN ELICOTE</t>
  </si>
  <si>
    <t>ANDAO, FLOREDELIZA BANDOLA</t>
  </si>
  <si>
    <t>APAS, VERONICA PILANDE</t>
  </si>
  <si>
    <t>ARCIGA, MERALUNA CAGAMPANG</t>
  </si>
  <si>
    <t>ASUNCION, SHIAMSY CALOTIKAN</t>
  </si>
  <si>
    <t>AVANZADO, HELEN TEVES</t>
  </si>
  <si>
    <t>BABOL, FELOMINA COSTAN</t>
  </si>
  <si>
    <t>BAGUHIN, LELEBETH ABAYON</t>
  </si>
  <si>
    <t>BAJA, CAROLINA GOMEZ</t>
  </si>
  <si>
    <t>BISNAR, KIMBERLY COSTAN</t>
  </si>
  <si>
    <t>BISNAR, SALVACION ALMERIA</t>
  </si>
  <si>
    <t>BUCTOT, ROSALINDA MONTENEGRO</t>
  </si>
  <si>
    <t>BUDIONGANON, CHERLITA GALOPE</t>
  </si>
  <si>
    <t>BURLAZA, LUCITA BASIGSIG</t>
  </si>
  <si>
    <t>CABALE, STELLA DAUHOG</t>
  </si>
  <si>
    <t>CALIMPUSAN, RUEL ONITA</t>
  </si>
  <si>
    <t>CALIMPUSAN, HERNANI ONITA</t>
  </si>
  <si>
    <t>CALIMPUSAN, MELICUSA MONTENEGRO</t>
  </si>
  <si>
    <t>CANDELANZA, EVELYN APAS</t>
  </si>
  <si>
    <t>CAÑO, CARMELITA NACARIO</t>
  </si>
  <si>
    <t>CAÑO, TERESITA PABALAN</t>
  </si>
  <si>
    <t>CAPUNONG, PEDRITA MABONG</t>
  </si>
  <si>
    <t>CARTILLA, ROSA DOLEA</t>
  </si>
  <si>
    <t>CEBUALA, ISABEL CASTAÑO</t>
  </si>
  <si>
    <t>CEBUALA, JOELITA BIONG</t>
  </si>
  <si>
    <t>CORALAT, NELFA SALILIN</t>
  </si>
  <si>
    <t>CORALDE, RITCHELLE PENADOS</t>
  </si>
  <si>
    <t>CORALDE, REBECCA ARAÑEZ</t>
  </si>
  <si>
    <t>COSGAPA, ROWINA CARINOTE</t>
  </si>
  <si>
    <t>DAMA-ULAO, ARLYN SAJORGA</t>
  </si>
  <si>
    <t>DAYAGANON, ELIZA GALURAN</t>
  </si>
  <si>
    <t>DELAVEGA, LUZVIMINDA LIMBING</t>
  </si>
  <si>
    <t>DOBLAS, FLORA BUDIONGAN</t>
  </si>
  <si>
    <t>DOMIGUEZ, NILDA MANGIN</t>
  </si>
  <si>
    <t>ELLAZAR, ANALYN MARTINOTE</t>
  </si>
  <si>
    <t>GALURAN, EDUARDO TEVES</t>
  </si>
  <si>
    <t>JASIS, JENNIFER DEGAYO</t>
  </si>
  <si>
    <t>JASIS, MERIZA FELECIA</t>
  </si>
  <si>
    <t>JASIS, ANNABELLE BASAGAN</t>
  </si>
  <si>
    <t>JURANES, JERNIE MANGIN</t>
  </si>
  <si>
    <t>JURANES, GINA MAGNO</t>
  </si>
  <si>
    <t xml:space="preserve">JUSAY, LIMUEL </t>
  </si>
  <si>
    <t>LIMBING, MARIBEL ANDAO</t>
  </si>
  <si>
    <t>LLORENTE, MILDRED DELA VEGA</t>
  </si>
  <si>
    <t>MABONG, NENITA BAJA</t>
  </si>
  <si>
    <t>MACEDA, ELVERA BALOLONG</t>
  </si>
  <si>
    <t>MACEDA, EMELY BERCEDE</t>
  </si>
  <si>
    <t>MACEDA, JEFFRY GALOPE</t>
  </si>
  <si>
    <t>MAGNO, ESMERALDA CAÑO</t>
  </si>
  <si>
    <t>MAGNO, GENEROS NAPITAN</t>
  </si>
  <si>
    <t>MANGIN, MARGIE TALICUG</t>
  </si>
  <si>
    <t>MANGIN, AURELIO OTACAN</t>
  </si>
  <si>
    <t>MANGIN, SALLY GUTEB</t>
  </si>
  <si>
    <t>MANGIN, NOLASCO PONDOON</t>
  </si>
  <si>
    <t>MANLANGIT, LINA CRAYO</t>
  </si>
  <si>
    <t>MARTINEZ, SARA MAE POTENCIANDO</t>
  </si>
  <si>
    <t>MARTINEZ, MANSUETO SERNA</t>
  </si>
  <si>
    <t>MARTINEZ, RIANNE CONSIGNA</t>
  </si>
  <si>
    <t>MARTINEZ, ELISA GELLERA</t>
  </si>
  <si>
    <t>MARTINOTE, DELIA BANTILANO</t>
  </si>
  <si>
    <t>MERIOUS, SOLIETA ARAÑEZ</t>
  </si>
  <si>
    <t>MOLINO, EDUARDO COSCOS</t>
  </si>
  <si>
    <t>MONTENEGRO, ROSANA BUCTOT</t>
  </si>
  <si>
    <t>MONTERONA, ANALIZA CANOOG</t>
  </si>
  <si>
    <t>MULAY, JESSIL MABONG</t>
  </si>
  <si>
    <t>NARBAY, ROWINA VALERIANO</t>
  </si>
  <si>
    <t>NOBLETA, MENCHIE BALBARES</t>
  </si>
  <si>
    <t>NUMERON, MARCELINA MATAGANAS</t>
  </si>
  <si>
    <t>OGA-A, ENRIQUITA MABONG</t>
  </si>
  <si>
    <t>ONITA, MARIVIC DAVIS</t>
  </si>
  <si>
    <t>PACIENCIA, ELIAS CUSTUDIO</t>
  </si>
  <si>
    <t>PACIENCIA, JOAQUIN CUSTUDIO</t>
  </si>
  <si>
    <t>PACIENCIA, BUENVINIDO CUSTUDIO</t>
  </si>
  <si>
    <t>PANDILI, CHERLITA BUCTOT</t>
  </si>
  <si>
    <t>PEPITO, ANITA SABANDAL</t>
  </si>
  <si>
    <t>PONDO-ON, ALEX BANDOLA</t>
  </si>
  <si>
    <t>PUROL, NEDIE TELEWIK</t>
  </si>
  <si>
    <t>PUROL, BELEN CRAYO</t>
  </si>
  <si>
    <t>RABAYA , MILA COSCOS</t>
  </si>
  <si>
    <t>RABAYA , ROSALINDA LLORENTE</t>
  </si>
  <si>
    <t>RANARA, MELCHIE ABAMONGGA</t>
  </si>
  <si>
    <t>RAPER, ARLYN TAYABAS</t>
  </si>
  <si>
    <t>SALENAS, MARICEL COSCOS</t>
  </si>
  <si>
    <t>SANCHEZ, LEONARDO BACUNO</t>
  </si>
  <si>
    <t>SANCHEZ, ANALIZA VALERIANO</t>
  </si>
  <si>
    <t>SAYAWAN, NORMA AZARIA</t>
  </si>
  <si>
    <t>SAYAWAN, ROSALIE RAPER</t>
  </si>
  <si>
    <t>SEÑERES, REJUN AZARIA</t>
  </si>
  <si>
    <t>SERNA, LILLY MARNE CABALLES</t>
  </si>
  <si>
    <t>SERRANO, JOEVY ALIPAO</t>
  </si>
  <si>
    <t>TAYO, MARIO SORIANO</t>
  </si>
  <si>
    <t>TEMONIO, JOSE ANINON</t>
  </si>
  <si>
    <t>TESHORNA, JEAN DELLOMES</t>
  </si>
  <si>
    <t xml:space="preserve">TEVES, MARIBETH </t>
  </si>
  <si>
    <t>VALERIANO, ROSA PEPITO</t>
  </si>
  <si>
    <t>VALERIANO, PROTILDA PARAS</t>
  </si>
  <si>
    <t>VALLEJOS, AGUSTINA BAJA</t>
  </si>
  <si>
    <t>VILLAVER, AIDA DAMAULAO</t>
  </si>
  <si>
    <t>TAGONGON</t>
  </si>
  <si>
    <t>ALABAT, ROSA JUNIO</t>
  </si>
  <si>
    <t>ALGONES, EVARESTO BALILI</t>
  </si>
  <si>
    <t>ALGONES, REYMUNDA LEBOMFASIL</t>
  </si>
  <si>
    <t>ALGONES, MERIAM EBORDA</t>
  </si>
  <si>
    <t>ALGONES, CRESENTE BALILI</t>
  </si>
  <si>
    <t>ARICAYOS, CHARLITA ABAD</t>
  </si>
  <si>
    <t>BANDOLA, ESADELA CAGAS</t>
  </si>
  <si>
    <t>BAYARCAL, FLORENCIA AMOSORA</t>
  </si>
  <si>
    <t>BAYARCAL, ARLENE CUMAHIG</t>
  </si>
  <si>
    <t>BAYARCAL , MELONA CONSIGNA</t>
  </si>
  <si>
    <t>BOLHANO, ERWIN MORALES</t>
  </si>
  <si>
    <t>COMENDADOR, CONSOLACION CUMAHIG</t>
  </si>
  <si>
    <t>DAUT, JOCELYN GEGAGUIT</t>
  </si>
  <si>
    <t>DINOPOL, GINALYN PANDILI</t>
  </si>
  <si>
    <t>EBORDA, LUICITA LOZANO</t>
  </si>
  <si>
    <t>EMNACE, RUBELYN QUIBAN</t>
  </si>
  <si>
    <t>FIGARUM, ARLYN VERTUDAZO</t>
  </si>
  <si>
    <t>GALAGAR, VIRGINIA ERNO</t>
  </si>
  <si>
    <t>GALAGAR, JOEMAR ERNO</t>
  </si>
  <si>
    <t>GEGAGUIT, TERESITA MAGSINOLOG</t>
  </si>
  <si>
    <t>GEGAGUIT, NARCISO ACLAO</t>
  </si>
  <si>
    <t>GONZAGA, ANDRESIA RULE</t>
  </si>
  <si>
    <t>GOTIB, NORA URIAT</t>
  </si>
  <si>
    <t>INTONG, LORINA MOŇEVA</t>
  </si>
  <si>
    <t>INTONG , REY MOŇEVA</t>
  </si>
  <si>
    <t>LAQUINTA, LOUIE MALALIS</t>
  </si>
  <si>
    <t>LORION, JENNILYN GAROPIL</t>
  </si>
  <si>
    <t>LOZADA, RODREGO ACEDO</t>
  </si>
  <si>
    <t>MANAIT , JOCIEL  LORION</t>
  </si>
  <si>
    <t>MANAIT , JERLONE DACALOS</t>
  </si>
  <si>
    <t>MAQUITED, VEDELIO RASAY</t>
  </si>
  <si>
    <t>MONDERO, ELENA SALIMBOCOGON</t>
  </si>
  <si>
    <t>MONDERO, PACITA SALIMBOCOGON</t>
  </si>
  <si>
    <t>MOŇEVA, BARCILISA APOR</t>
  </si>
  <si>
    <t>MOŇEVA, AIZA APOR</t>
  </si>
  <si>
    <t>MUNDAS, MARLITA ROQUILLO</t>
  </si>
  <si>
    <t>NAVAREZ, MEDOLINA ROMO</t>
  </si>
  <si>
    <t>PANDILI, ROSALIE ARISTON</t>
  </si>
  <si>
    <t>PANDILI, MATILDI EVANGELIO</t>
  </si>
  <si>
    <t>PLATERO, ELVIRA EMNACE</t>
  </si>
  <si>
    <t>PLATERO, JESNAR CANTAR</t>
  </si>
  <si>
    <t>PLATERO, HYDRA ALGONES</t>
  </si>
  <si>
    <t>PLATERO, JEZEL INTONG</t>
  </si>
  <si>
    <t>PORPAYAS, ANNALY RULE</t>
  </si>
  <si>
    <t>QUIBAN, BRELLY  DE JESUS</t>
  </si>
  <si>
    <t>RAMAS, MARGELITA BAYARCAL</t>
  </si>
  <si>
    <t>ROMO, RICHARD JR. LAQUINTA</t>
  </si>
  <si>
    <t>ROMO, MARISSA DINOPOL</t>
  </si>
  <si>
    <t>RULE, NORMELITA ALGONES</t>
  </si>
  <si>
    <t>SAMUYA, EUFEMIA GARIDOS</t>
  </si>
  <si>
    <t>SIALANA, LEAH HERSOMOSADA</t>
  </si>
  <si>
    <t>SIALANA, ALECIA BREGES</t>
  </si>
  <si>
    <t>SIALANA, SOFRONIO BREGES</t>
  </si>
  <si>
    <t>SIALANA, ANJELINE ABAYAN</t>
  </si>
  <si>
    <t>SIMAN, CARMELIZA TAMBIS</t>
  </si>
  <si>
    <t>TECSON, LIZA SAMUYA</t>
  </si>
  <si>
    <t>TRIMIDAL, ALDWIN NIVE</t>
  </si>
  <si>
    <t>VALER, CONSTANTINO CAGANTAS</t>
  </si>
  <si>
    <t>VERTUDAZO, JOSEFINA TAMBIS</t>
  </si>
  <si>
    <t>VERTUDAZO, PEPITO SR. TALECUG</t>
  </si>
  <si>
    <t>VERTUDAZO, ARNEL LAMELA</t>
  </si>
  <si>
    <t>VERTUDEZ, ALMA GEGAGUIT</t>
  </si>
  <si>
    <t>VIRTUDAZO, BEBINA DECINA</t>
  </si>
  <si>
    <t>VIRTUDAZO, LEAH INTONG</t>
  </si>
  <si>
    <t>VIRTUDAZO, MARLYN BAJA</t>
  </si>
  <si>
    <t>YTING, ERMA INTONG</t>
  </si>
  <si>
    <t>YTING, ERLINDA ACOMPAŇADO</t>
  </si>
  <si>
    <t>YTING, DIVINA MALAGANTE</t>
  </si>
  <si>
    <t>TRINIDAD</t>
  </si>
  <si>
    <t>SALO, FAUSTINO GOMOP-AS</t>
  </si>
  <si>
    <t>ALABAT, JOANNAH JUNIO</t>
  </si>
  <si>
    <t>ALGONES, NICOMEDEZ BALILI</t>
  </si>
  <si>
    <t>ALGONES, PAULINO BALILI</t>
  </si>
  <si>
    <t>APOR, FELEPE VENTURADO</t>
  </si>
  <si>
    <t>BAYARCAL, MACARIO AMOSORA</t>
  </si>
  <si>
    <t>DAUT, APOLINARIO GEGAGUIT</t>
  </si>
  <si>
    <t>EBORDA, DEXTER LOZANO</t>
  </si>
  <si>
    <t>EBORDA, JAMES LOZANO</t>
  </si>
  <si>
    <t>EMNACE, ELENA AMOSORA</t>
  </si>
  <si>
    <t>ESCARTIN, ASUNCION BERO</t>
  </si>
  <si>
    <t>ESPINOZA, CHERLITA DECINA</t>
  </si>
  <si>
    <t>FAN, AGUSTINE ALBERASTINE</t>
  </si>
  <si>
    <t>GALAGAR, JONATHAN ESCOBAL</t>
  </si>
  <si>
    <t>INTONG, RUEL CANTAR</t>
  </si>
  <si>
    <t>INTONG, CHERYL MOÑEVA</t>
  </si>
  <si>
    <t>IPAN, FLORITA TAMBIS</t>
  </si>
  <si>
    <t>MANAIT, ERLINDA DAUT</t>
  </si>
  <si>
    <t>MANAIT, ARNEL DACALOS</t>
  </si>
  <si>
    <t>MERCADO, ARNOLFO SOLIS</t>
  </si>
  <si>
    <t>MOÑEVA, FLORAMIE APOR</t>
  </si>
  <si>
    <t>PLATERO, RANDO EMNACE</t>
  </si>
  <si>
    <t>PLATERO, JERELOH EBORDA</t>
  </si>
  <si>
    <t>PLATERO, ELLE VIE EMNACE</t>
  </si>
  <si>
    <t>REMANDO, ROWENA NAVAREZ</t>
  </si>
  <si>
    <t>RICABLANCA, JULIAN RIQUINO</t>
  </si>
  <si>
    <t>ROXAS, JOLITO TALICUG</t>
  </si>
  <si>
    <t>SIALANA, ROSA NALASA</t>
  </si>
  <si>
    <t>SIALANA, JONATHAN NALASA</t>
  </si>
  <si>
    <t>SIMULAO, MARICEL COSTAN</t>
  </si>
  <si>
    <t>TOYOR, RONALO SAULGA</t>
  </si>
  <si>
    <t>VERTUDAZO, ELEZALDE LAMELA</t>
  </si>
  <si>
    <t>ABARQUEZ, MARY JEL E.</t>
  </si>
  <si>
    <t>AGURA, JUDY AN PAYAC</t>
  </si>
  <si>
    <t>ANDINA, MANUEL CROSADO</t>
  </si>
  <si>
    <t>ASEÑERO, RETCHEL  ABELLA</t>
  </si>
  <si>
    <t>BAJA, VIOLITA B.</t>
  </si>
  <si>
    <t>BARRIOS, LEONCHITO A.</t>
  </si>
  <si>
    <t>BRIGOLE, VICKY L.</t>
  </si>
  <si>
    <t>BRIONES, JONATHAN V.</t>
  </si>
  <si>
    <t>BULALA, JADE ARCILLA</t>
  </si>
  <si>
    <t>BULALA, LEINDALEWIN ARCILLA</t>
  </si>
  <si>
    <t>CABUNTUCAN, ALFREDO L.</t>
  </si>
  <si>
    <t>CABUNTUCAN, LIZA G.</t>
  </si>
  <si>
    <t>CABUNTUCAN, JENO PAYAK</t>
  </si>
  <si>
    <t>CABUNTUCAN, JAY BERNALDEZ</t>
  </si>
  <si>
    <t>CABUNTUCAN, JESON PAYAK</t>
  </si>
  <si>
    <t>CABUNTUCAN, BENJIE PAYAC</t>
  </si>
  <si>
    <t>CADAVID, APRIL JAMES C.</t>
  </si>
  <si>
    <t>CALIPES, WENNIE C.</t>
  </si>
  <si>
    <t>CASIDO, GERLIE R.</t>
  </si>
  <si>
    <t>CASIDO, TERRESA R.</t>
  </si>
  <si>
    <t>CASIDO, MARY JOY T.</t>
  </si>
  <si>
    <t>COSTINO, NARIBEL O.</t>
  </si>
  <si>
    <t>DALLEDA, FRANCISCA R.</t>
  </si>
  <si>
    <t>EMBLARINAG, RENEBOY I.</t>
  </si>
  <si>
    <t>EMBODO, AMALIA C.</t>
  </si>
  <si>
    <t>GAUDAN, NEL  TY</t>
  </si>
  <si>
    <t>GUIÑAREZ, JENESIL PERES</t>
  </si>
  <si>
    <t>GUING GUING, GIO T.</t>
  </si>
  <si>
    <t>GUYANO, ALME B.</t>
  </si>
  <si>
    <t>JUBANE, CRISME PAIS</t>
  </si>
  <si>
    <t>LABANDIA, FLOREMER GALECIA</t>
  </si>
  <si>
    <t>LABANDIA, CRISTINA REYES</t>
  </si>
  <si>
    <t>LABANDIA, CRISTOREY GALECIA</t>
  </si>
  <si>
    <t>LABANDIA, JULIA  TILLO</t>
  </si>
  <si>
    <t>LABANDIA, ROLLY JUN TAO TAO</t>
  </si>
  <si>
    <t>LAGURA, FELISA M</t>
  </si>
  <si>
    <t>LARIBA, JUVITA L.</t>
  </si>
  <si>
    <t>LUBIANO, VIOLITA P</t>
  </si>
  <si>
    <t>MANABA, AMELITA M.</t>
  </si>
  <si>
    <t>MANGIN, MIKE V.</t>
  </si>
  <si>
    <t>MANTALABA, ALMA E.</t>
  </si>
  <si>
    <t>OLANDRIA, CHERRY LOU V.</t>
  </si>
  <si>
    <t>OLIMAR, ADEL A.</t>
  </si>
  <si>
    <t>PAGALAN, FELIPE E.</t>
  </si>
  <si>
    <t>PANDELING, GERALYN O.</t>
  </si>
  <si>
    <t>PANDELING , JEAN O.</t>
  </si>
  <si>
    <t>PARAN, PHIL EDERIO</t>
  </si>
  <si>
    <t>PASAYLO, DELIA R.</t>
  </si>
  <si>
    <t>PAYAK, RETCHELLE J.</t>
  </si>
  <si>
    <t>PULOD, FATIMA T.</t>
  </si>
  <si>
    <t>PULOD, NILO R.</t>
  </si>
  <si>
    <t>PULOD, ARNOLFO C.</t>
  </si>
  <si>
    <t>PULOD, DANILO G.</t>
  </si>
  <si>
    <t>RAMIREZ, ARSENIA C.</t>
  </si>
  <si>
    <t>RELADOR, LOUIE P.</t>
  </si>
  <si>
    <t>ROCABERTE, NELIZA T.</t>
  </si>
  <si>
    <t>RUFIN, ANGELICA B.</t>
  </si>
  <si>
    <t>RUFIN, MERCEDITA B.</t>
  </si>
  <si>
    <t>RUFIN, JOEY T.</t>
  </si>
  <si>
    <t>SALIOT, ROSALIE E.</t>
  </si>
  <si>
    <t xml:space="preserve">TAGANILE, ARSENIO B. </t>
  </si>
  <si>
    <t>TAGANILE, MARRIZA C.</t>
  </si>
  <si>
    <t>TAGANILE, RANDY P.</t>
  </si>
  <si>
    <t>TANELON, ALICIA R.</t>
  </si>
  <si>
    <t>TANELON, RENBERT B.</t>
  </si>
  <si>
    <t>TANELON, MELBER R.</t>
  </si>
  <si>
    <t xml:space="preserve">TATSADO, AMER JOHN P. </t>
  </si>
  <si>
    <t>TINAY, DIOSDADO E.</t>
  </si>
  <si>
    <t>TOMACMOL, RANDY T.</t>
  </si>
  <si>
    <t>TOMACMOL, RYAN T.</t>
  </si>
  <si>
    <t>TRINIDAD, GENERARO C.</t>
  </si>
  <si>
    <t>VERANO, EDUARD E.</t>
  </si>
  <si>
    <t>VERAS, ALLAN V.</t>
  </si>
  <si>
    <t>VIAJEDOR, ERJOHN C.</t>
  </si>
  <si>
    <t>FIGARUM, MARISSA VERTUDAZO</t>
  </si>
  <si>
    <t>874</t>
  </si>
  <si>
    <t>REMARKS</t>
  </si>
  <si>
    <t>MUNICIPALITY/CITY</t>
  </si>
  <si>
    <t>NO. OF BENEFICIARIES</t>
  </si>
  <si>
    <t>TOTAL AMOUNT</t>
  </si>
  <si>
    <t>TOTAL</t>
  </si>
  <si>
    <t>Total Number of Persons:</t>
  </si>
  <si>
    <t>Total Amount Needed:</t>
  </si>
  <si>
    <t xml:space="preserve"> to cash assistance.</t>
  </si>
  <si>
    <t>I certify on my official oath that I have this day ________ of</t>
  </si>
  <si>
    <t xml:space="preserve">___________ paid in cash to each man whose name appears on </t>
  </si>
  <si>
    <t xml:space="preserve">payroll, the amount set opposite his/her name; he/she having </t>
  </si>
  <si>
    <t>present himself, establish his identity and affixed his signature</t>
  </si>
  <si>
    <t>_______________________</t>
  </si>
  <si>
    <t>MA. GENETTE B. MARBAN</t>
  </si>
  <si>
    <t xml:space="preserve">              Cashier II</t>
  </si>
  <si>
    <t>Approved for Payment:</t>
  </si>
  <si>
    <t>I hereby certify that each person whose name appears on this payroll are entitled</t>
  </si>
  <si>
    <t>A.</t>
  </si>
  <si>
    <t>C.</t>
  </si>
  <si>
    <t>B.</t>
  </si>
  <si>
    <t>SURNAME</t>
  </si>
  <si>
    <t>FIRST NAME</t>
  </si>
  <si>
    <t>MIDDLE NAME</t>
  </si>
  <si>
    <t xml:space="preserve"> </t>
  </si>
  <si>
    <t>MUNICIPALITY/ CITY</t>
  </si>
  <si>
    <t>REQUEST FOR CASH ADVANCE AND CASH ACCOUNTABILITY
 VERIFICATION FORM</t>
  </si>
  <si>
    <t xml:space="preserve">REQUEST FOR CASH ADVANCE </t>
  </si>
  <si>
    <t>To/For:</t>
  </si>
  <si>
    <t>(Name of DO/SDO)</t>
  </si>
  <si>
    <t>(Position)</t>
  </si>
  <si>
    <t xml:space="preserve">            The Undersigned requests for cash advance to be drawn under your name with the following </t>
  </si>
  <si>
    <t xml:space="preserve">   particulars:</t>
  </si>
  <si>
    <t>Activity/Purpose:</t>
  </si>
  <si>
    <t>Date of Conduct:</t>
  </si>
  <si>
    <t>Amount in Words:</t>
  </si>
  <si>
    <t>Requested by:</t>
  </si>
  <si>
    <t>Confirmed:</t>
  </si>
  <si>
    <t>Name &amp; Signature</t>
  </si>
  <si>
    <t>Name &amp; Signature of DO/SDO</t>
  </si>
  <si>
    <t>CASH ACCOUNTABILITY VERIFICATION</t>
  </si>
  <si>
    <t>Total Amount of Outstanding CA</t>
  </si>
  <si>
    <t>Add: This CA Request</t>
  </si>
  <si>
    <t>Total</t>
  </si>
  <si>
    <t>Max. Cash Accountability (MCA)</t>
  </si>
  <si>
    <t>Verified by:</t>
  </si>
  <si>
    <t>Endorsed by:</t>
  </si>
  <si>
    <t>Name &amp; Signature of Accounting Staff</t>
  </si>
  <si>
    <t>OIC-FMD Chief</t>
  </si>
  <si>
    <t xml:space="preserve">           (If the Total exceeds the MCA, the request is automatically disapproved and returned to the
   Requesting Party)
</t>
  </si>
  <si>
    <t>FINAL ACTION</t>
  </si>
  <si>
    <r>
      <rPr>
        <i/>
        <sz val="11"/>
        <color theme="1"/>
        <rFont val="Calibri"/>
        <family val="2"/>
        <scheme val="minor"/>
      </rPr>
      <t>In the absence of RD, the OIC order of succession takes effect</t>
    </r>
    <r>
      <rPr>
        <sz val="11"/>
        <color theme="1"/>
        <rFont val="Calibri"/>
        <family val="2"/>
        <scheme val="minor"/>
      </rPr>
      <t>.</t>
    </r>
  </si>
  <si>
    <t>Appendix 32</t>
  </si>
  <si>
    <t xml:space="preserve">Fund Cluster : </t>
  </si>
  <si>
    <t>DISBURSEMENT  VOUCHER</t>
  </si>
  <si>
    <t xml:space="preserve">Date :  </t>
  </si>
  <si>
    <t>DV No. :</t>
  </si>
  <si>
    <t>Mode of Payment</t>
  </si>
  <si>
    <t>MDS Check</t>
  </si>
  <si>
    <t>Commercial Check</t>
  </si>
  <si>
    <t>ADA</t>
  </si>
  <si>
    <t>Others (Please specify)</t>
  </si>
  <si>
    <t>_________________</t>
  </si>
  <si>
    <t>Payee</t>
  </si>
  <si>
    <t>TIN/Employee No.:</t>
  </si>
  <si>
    <t xml:space="preserve">ORS/BURS No.: </t>
  </si>
  <si>
    <t>Address</t>
  </si>
  <si>
    <t>FO CARAGA</t>
  </si>
  <si>
    <t>Initiator:</t>
  </si>
  <si>
    <t>Particulars</t>
  </si>
  <si>
    <t>Responsibility Center</t>
  </si>
  <si>
    <t>MFO/PAP</t>
  </si>
  <si>
    <t>Amount</t>
  </si>
  <si>
    <t>Amount Due</t>
  </si>
  <si>
    <t xml:space="preserve"> Certified:  Expenses/Cash Advance necessary,  lawful and  incurred under my direct supervision.</t>
  </si>
  <si>
    <t xml:space="preserve">  </t>
  </si>
  <si>
    <t>OIC - Disaster Response Management Division</t>
  </si>
  <si>
    <t xml:space="preserve"> Accounting Entry:</t>
  </si>
  <si>
    <t>Account Title</t>
  </si>
  <si>
    <t>Debit</t>
  </si>
  <si>
    <t>Credit</t>
  </si>
  <si>
    <t>Certified:</t>
  </si>
  <si>
    <t xml:space="preserve">D. Approved for Payment </t>
  </si>
  <si>
    <t>Approved for Payment</t>
  </si>
  <si>
    <t xml:space="preserve"> Cash available</t>
  </si>
  <si>
    <t xml:space="preserve"> Subject to Authority to Debit Account (when applicable)</t>
  </si>
  <si>
    <t xml:space="preserve"> Supporting documents complete and amount claimed </t>
  </si>
  <si>
    <t>proper</t>
  </si>
  <si>
    <t>Signature</t>
  </si>
  <si>
    <t>Printed Name</t>
  </si>
  <si>
    <t>Position</t>
  </si>
  <si>
    <t>Accountant III</t>
  </si>
  <si>
    <t>Head, Accounting Unit/Authorized Representative</t>
  </si>
  <si>
    <t>Agency Head/Authorized Representative</t>
  </si>
  <si>
    <t>Date</t>
  </si>
  <si>
    <t xml:space="preserve">E. </t>
  </si>
  <si>
    <t xml:space="preserve">Receipt of Payment </t>
  </si>
  <si>
    <t>JEV  No.</t>
  </si>
  <si>
    <t>Check/   ADA No. :</t>
  </si>
  <si>
    <t>Date :</t>
  </si>
  <si>
    <t>Bank Name &amp; Account Number:</t>
  </si>
  <si>
    <t>Signature :</t>
  </si>
  <si>
    <t>Official Receipt No. &amp; Date/Other Documents</t>
  </si>
  <si>
    <t>Appendix 11</t>
  </si>
  <si>
    <t>OBLIGATION REQUEST AND STATUS</t>
  </si>
  <si>
    <t>Serial No. : _____________________</t>
  </si>
  <si>
    <t>Department of Social Welfare and Development - Caraga</t>
  </si>
  <si>
    <t>Date : _________________________</t>
  </si>
  <si>
    <t>Entity Name</t>
  </si>
  <si>
    <t>Fund Cluster : ___________________</t>
  </si>
  <si>
    <t>Office</t>
  </si>
  <si>
    <t>DSWD FO-CARAGA</t>
  </si>
  <si>
    <t>BUTUAN CITY</t>
  </si>
  <si>
    <t>UACS Object Code</t>
  </si>
  <si>
    <t xml:space="preserve">                                                       Total</t>
  </si>
  <si>
    <t>Charges to appropriation/alloment are</t>
  </si>
  <si>
    <r>
      <t>Certified:</t>
    </r>
    <r>
      <rPr>
        <sz val="11"/>
        <rFont val="Times New Roman"/>
        <family val="1"/>
      </rPr>
      <t xml:space="preserve">  Allotment available and obligated</t>
    </r>
  </si>
  <si>
    <t>necessary, lawful and under my direct supervision;and</t>
  </si>
  <si>
    <t xml:space="preserve"> for the purpose/adjustment necessary as</t>
  </si>
  <si>
    <t>supporting documents valid, proper and legal</t>
  </si>
  <si>
    <t xml:space="preserve"> indicated above</t>
  </si>
  <si>
    <t xml:space="preserve">Signature      : </t>
  </si>
  <si>
    <t>___________________________________</t>
  </si>
  <si>
    <t>Signature      :</t>
  </si>
  <si>
    <t>Printed Name:</t>
  </si>
  <si>
    <t>Position        :</t>
  </si>
  <si>
    <t xml:space="preserve">         Administrative Officer V</t>
  </si>
  <si>
    <t>Head, Requesting Office/Authorized Representative</t>
  </si>
  <si>
    <t>Head, Budget Unit/Authorized Representative</t>
  </si>
  <si>
    <t>Date            :</t>
  </si>
  <si>
    <t>Date             :</t>
  </si>
  <si>
    <t>STATUS OF OBLIGATION</t>
  </si>
  <si>
    <t>Reference</t>
  </si>
  <si>
    <t>ORS/JEV/Check/        ADA/TRA No.</t>
  </si>
  <si>
    <t>Obligation</t>
  </si>
  <si>
    <t>Payable</t>
  </si>
  <si>
    <t>Payment</t>
  </si>
  <si>
    <t>Balance</t>
  </si>
  <si>
    <t>Not Yet Due</t>
  </si>
  <si>
    <t>Due and Demandable</t>
  </si>
  <si>
    <t>(a)</t>
  </si>
  <si>
    <t>(b)</t>
  </si>
  <si>
    <t>(c)</t>
  </si>
  <si>
    <t>(a-b)</t>
  </si>
  <si>
    <t>(b-c)</t>
  </si>
  <si>
    <t>On the basis of confirmed Request for Cash Advance and verifiied Maximum Cash Accountability,</t>
  </si>
  <si>
    <t xml:space="preserve"> the requestfor CA is approved subject to usual government accounting and auditing rules </t>
  </si>
  <si>
    <t>and regulations.</t>
  </si>
  <si>
    <t>________________________</t>
  </si>
  <si>
    <t>_________________________</t>
  </si>
  <si>
    <t>Witness by:</t>
  </si>
  <si>
    <t>MSWDO</t>
  </si>
  <si>
    <t>Paid by:_________________________</t>
  </si>
  <si>
    <t>AMOUNT</t>
  </si>
  <si>
    <t>MARY ANN M. MANLA</t>
  </si>
  <si>
    <t>JEAN PAUL S. PARAJES,RSW,MSSW</t>
  </si>
  <si>
    <t>ARDO</t>
  </si>
  <si>
    <t>OIC-DRMD Chief/SWO IV</t>
  </si>
  <si>
    <t>ALDIE MAE A. ANDOY</t>
  </si>
  <si>
    <t xml:space="preserve">           OIC - DRMD Chief/SWO IV</t>
  </si>
  <si>
    <t>TRISTAN C. TELEN, Ph.D</t>
  </si>
  <si>
    <t>ARDA</t>
  </si>
  <si>
    <t>MARJORIE R. RAMIREZ</t>
  </si>
  <si>
    <t>AILEEN B. MOLIA, CPA</t>
  </si>
  <si>
    <t xml:space="preserve">    TERESA M. BIDAURE</t>
  </si>
  <si>
    <t>ABUNDA</t>
  </si>
  <si>
    <t>ACOSTA</t>
  </si>
  <si>
    <t>BANTUASAN</t>
  </si>
  <si>
    <t>JOSEPH</t>
  </si>
  <si>
    <t>TAWIDE</t>
  </si>
  <si>
    <t>PASTOR</t>
  </si>
  <si>
    <t>ESTILITA</t>
  </si>
  <si>
    <t>SOTERO</t>
  </si>
  <si>
    <t>NOEL</t>
  </si>
  <si>
    <t>SR</t>
  </si>
  <si>
    <t>TORRES</t>
  </si>
  <si>
    <t>LOPE</t>
  </si>
  <si>
    <t>CASAL</t>
  </si>
  <si>
    <t>SANGGOD</t>
  </si>
  <si>
    <t>ROBERTO</t>
  </si>
  <si>
    <t>SAMUEL</t>
  </si>
  <si>
    <t>VELOSO</t>
  </si>
  <si>
    <t>EDDIE</t>
  </si>
  <si>
    <t>GONZALES</t>
  </si>
  <si>
    <t>ROLDAN</t>
  </si>
  <si>
    <t>JR</t>
  </si>
  <si>
    <t>MARLON</t>
  </si>
  <si>
    <t>JIMMY</t>
  </si>
  <si>
    <t>TURA</t>
  </si>
  <si>
    <t>FLORIDA</t>
  </si>
  <si>
    <t>FRANCISCO</t>
  </si>
  <si>
    <t>VIVIAN</t>
  </si>
  <si>
    <t>GOMEZ</t>
  </si>
  <si>
    <t>SATURNINO</t>
  </si>
  <si>
    <t>SANCHEZ</t>
  </si>
  <si>
    <t>HAVANA</t>
  </si>
  <si>
    <t>JAIME</t>
  </si>
  <si>
    <t>EDWIN</t>
  </si>
  <si>
    <t>MAGADAN</t>
  </si>
  <si>
    <t>JERRY</t>
  </si>
  <si>
    <t>ENDRIO</t>
  </si>
  <si>
    <t>SIMPROSO</t>
  </si>
  <si>
    <t>MANGUINIMBA</t>
  </si>
  <si>
    <t>GEMMA</t>
  </si>
  <si>
    <t>SUBLA</t>
  </si>
  <si>
    <t>TADAY</t>
  </si>
  <si>
    <t>HEGUITAN</t>
  </si>
  <si>
    <t>REYES</t>
  </si>
  <si>
    <t>CYRIL</t>
  </si>
  <si>
    <t>MUNDIA</t>
  </si>
  <si>
    <t>SUSAN</t>
  </si>
  <si>
    <t>AGAGDANG</t>
  </si>
  <si>
    <t>HELEN</t>
  </si>
  <si>
    <t>TELLEROS</t>
  </si>
  <si>
    <t>ALVAREZ</t>
  </si>
  <si>
    <t>ANN JEANETH</t>
  </si>
  <si>
    <t>PENZA</t>
  </si>
  <si>
    <t>ANGWAS</t>
  </si>
  <si>
    <t>CARLA ANGELA</t>
  </si>
  <si>
    <t>ELFA</t>
  </si>
  <si>
    <t>RIZA</t>
  </si>
  <si>
    <t>SANGCO</t>
  </si>
  <si>
    <t>ANTONIO</t>
  </si>
  <si>
    <t>ANA</t>
  </si>
  <si>
    <t>DIAHAN</t>
  </si>
  <si>
    <t>DIVINA</t>
  </si>
  <si>
    <t>GUTANG</t>
  </si>
  <si>
    <t>MARILOU</t>
  </si>
  <si>
    <t>TAMPUS</t>
  </si>
  <si>
    <t>NARINO</t>
  </si>
  <si>
    <t>IRAOLA</t>
  </si>
  <si>
    <t>REYMOND</t>
  </si>
  <si>
    <t>TAMPOS</t>
  </si>
  <si>
    <t>ROSALY</t>
  </si>
  <si>
    <t>BANTILLO</t>
  </si>
  <si>
    <t>ARTURO</t>
  </si>
  <si>
    <t>ALCANTARA</t>
  </si>
  <si>
    <t>ARTURO III</t>
  </si>
  <si>
    <t>CADIENTE</t>
  </si>
  <si>
    <t>ORLANDEZ</t>
  </si>
  <si>
    <t>BERMIL</t>
  </si>
  <si>
    <t>DIORY</t>
  </si>
  <si>
    <t>PAGAYON</t>
  </si>
  <si>
    <t>BUENAVISTA</t>
  </si>
  <si>
    <t>MARY ANN</t>
  </si>
  <si>
    <t>LIGUYAN</t>
  </si>
  <si>
    <t>CAHAYAG</t>
  </si>
  <si>
    <t>NILO</t>
  </si>
  <si>
    <t>ROYO</t>
  </si>
  <si>
    <t>CALLEZA</t>
  </si>
  <si>
    <t>JONATHAN</t>
  </si>
  <si>
    <t>CAÑETE</t>
  </si>
  <si>
    <t>JANETH</t>
  </si>
  <si>
    <t>TELEN</t>
  </si>
  <si>
    <t>BERCELEY</t>
  </si>
  <si>
    <t>SAGUIWAN</t>
  </si>
  <si>
    <t>EDEN</t>
  </si>
  <si>
    <t>SUMONDA</t>
  </si>
  <si>
    <t>JANNA</t>
  </si>
  <si>
    <t>JARRY</t>
  </si>
  <si>
    <t>JOVELYN</t>
  </si>
  <si>
    <t>LANIE</t>
  </si>
  <si>
    <t>MARGIE</t>
  </si>
  <si>
    <t>NELSON</t>
  </si>
  <si>
    <t>REYNALDO</t>
  </si>
  <si>
    <t>RICKY</t>
  </si>
  <si>
    <t>ROGELIO</t>
  </si>
  <si>
    <t>ROSELYN</t>
  </si>
  <si>
    <t>LACERDA</t>
  </si>
  <si>
    <t>ROWENA</t>
  </si>
  <si>
    <t>CORDOVA</t>
  </si>
  <si>
    <t>ISAGANI</t>
  </si>
  <si>
    <t>GOLORAN</t>
  </si>
  <si>
    <t>MARIO</t>
  </si>
  <si>
    <t>PADILLA</t>
  </si>
  <si>
    <t>TRINITA</t>
  </si>
  <si>
    <t>DUGAY</t>
  </si>
  <si>
    <t>EVANGELINE</t>
  </si>
  <si>
    <t>ARTIZA</t>
  </si>
  <si>
    <t>ECNAS</t>
  </si>
  <si>
    <t>JULITA</t>
  </si>
  <si>
    <t>ENCABO</t>
  </si>
  <si>
    <t>ACERNA</t>
  </si>
  <si>
    <t>FERNANDEZ</t>
  </si>
  <si>
    <t>ALIPIO</t>
  </si>
  <si>
    <t>PELONIO</t>
  </si>
  <si>
    <t>LUZVILLA</t>
  </si>
  <si>
    <t>FRIAS</t>
  </si>
  <si>
    <t>MARIVELLE</t>
  </si>
  <si>
    <t>GIGANTONE</t>
  </si>
  <si>
    <t>ELSA</t>
  </si>
  <si>
    <t>EUGINE</t>
  </si>
  <si>
    <t>ALEJANDRO</t>
  </si>
  <si>
    <t>FELIPE</t>
  </si>
  <si>
    <t>MARAVILLA</t>
  </si>
  <si>
    <t>JELYN</t>
  </si>
  <si>
    <t>JORIC</t>
  </si>
  <si>
    <t>BANGLID</t>
  </si>
  <si>
    <t>QUIRINO</t>
  </si>
  <si>
    <t>RICARDO</t>
  </si>
  <si>
    <t>ROMEO</t>
  </si>
  <si>
    <t>SANNY BOY</t>
  </si>
  <si>
    <t>ALON</t>
  </si>
  <si>
    <t>BAT-AW</t>
  </si>
  <si>
    <t>CHRISMAL</t>
  </si>
  <si>
    <t>BENGGA</t>
  </si>
  <si>
    <t>DOMINICA</t>
  </si>
  <si>
    <t>JOHNRICH</t>
  </si>
  <si>
    <t>MARVIN</t>
  </si>
  <si>
    <t>NGOJO</t>
  </si>
  <si>
    <t>HALLARDA</t>
  </si>
  <si>
    <t>ARLY</t>
  </si>
  <si>
    <t>BANDIANON</t>
  </si>
  <si>
    <t>MICHELL</t>
  </si>
  <si>
    <t>MERLINDA</t>
  </si>
  <si>
    <t>HERBRUELA</t>
  </si>
  <si>
    <t>RICHARD</t>
  </si>
  <si>
    <t>DORIMON</t>
  </si>
  <si>
    <t>INTONG</t>
  </si>
  <si>
    <t>JENNY</t>
  </si>
  <si>
    <t>JUADA</t>
  </si>
  <si>
    <t>LEONIDO</t>
  </si>
  <si>
    <t>BUYANTE</t>
  </si>
  <si>
    <t>LAPNO</t>
  </si>
  <si>
    <t>FELIX</t>
  </si>
  <si>
    <t>LINDAHAY</t>
  </si>
  <si>
    <t>ELIA</t>
  </si>
  <si>
    <t>LLENA</t>
  </si>
  <si>
    <t>AZENITH</t>
  </si>
  <si>
    <t>PACLIBAR</t>
  </si>
  <si>
    <t>LONGOS</t>
  </si>
  <si>
    <t>CARMELITA</t>
  </si>
  <si>
    <t>CHRISTOPHER</t>
  </si>
  <si>
    <t>DANDY</t>
  </si>
  <si>
    <t>JANIE</t>
  </si>
  <si>
    <t>JEPY</t>
  </si>
  <si>
    <t>JHUNTY</t>
  </si>
  <si>
    <t>JOLITA</t>
  </si>
  <si>
    <t>MEKI</t>
  </si>
  <si>
    <t>MEME</t>
  </si>
  <si>
    <t>SANTOS</t>
  </si>
  <si>
    <t>REBECCA</t>
  </si>
  <si>
    <t>LUIB</t>
  </si>
  <si>
    <t>ANGELITA</t>
  </si>
  <si>
    <t>JAMERA</t>
  </si>
  <si>
    <t>MAN-ANDILONG</t>
  </si>
  <si>
    <t>LAOS</t>
  </si>
  <si>
    <t>YOLLY</t>
  </si>
  <si>
    <t>CORNELIO</t>
  </si>
  <si>
    <t>JENNIFER</t>
  </si>
  <si>
    <t>LUMONTAD</t>
  </si>
  <si>
    <t>MONDEJAR</t>
  </si>
  <si>
    <t>ALVIN</t>
  </si>
  <si>
    <t>GABRIEL</t>
  </si>
  <si>
    <t>VERTUDAZO</t>
  </si>
  <si>
    <t>JOREX</t>
  </si>
  <si>
    <t>MORGADEZ</t>
  </si>
  <si>
    <t>DARNA</t>
  </si>
  <si>
    <t>MORRONDOZ</t>
  </si>
  <si>
    <t>CECILE</t>
  </si>
  <si>
    <t>MOSQUITO</t>
  </si>
  <si>
    <t>ARMIN</t>
  </si>
  <si>
    <t>TAGAPULOT</t>
  </si>
  <si>
    <t>JOHNNY</t>
  </si>
  <si>
    <t>NAPUCO</t>
  </si>
  <si>
    <t>NONO</t>
  </si>
  <si>
    <t>MYRNA</t>
  </si>
  <si>
    <t>OBLIGAR</t>
  </si>
  <si>
    <t>MARIANITA</t>
  </si>
  <si>
    <t>MIRALLES</t>
  </si>
  <si>
    <t>OLIVER</t>
  </si>
  <si>
    <t>ARMANCIO</t>
  </si>
  <si>
    <t>OSTOS</t>
  </si>
  <si>
    <t>PAGARAN</t>
  </si>
  <si>
    <t>LAWATAN</t>
  </si>
  <si>
    <t>PALMA</t>
  </si>
  <si>
    <t>CARLOU</t>
  </si>
  <si>
    <t>VERTOSO</t>
  </si>
  <si>
    <t>PANAL</t>
  </si>
  <si>
    <t>NONILON</t>
  </si>
  <si>
    <t>ADARO</t>
  </si>
  <si>
    <t>LEAH</t>
  </si>
  <si>
    <t>TELOCAN</t>
  </si>
  <si>
    <t>ROSALINDA</t>
  </si>
  <si>
    <t>POTENCIANO</t>
  </si>
  <si>
    <t>ESTELLA</t>
  </si>
  <si>
    <t>RAMMIL</t>
  </si>
  <si>
    <t>CADABOS</t>
  </si>
  <si>
    <t>RONALD</t>
  </si>
  <si>
    <t>RILLERA</t>
  </si>
  <si>
    <t>SABILLONA</t>
  </si>
  <si>
    <t>ROSIE</t>
  </si>
  <si>
    <t>GLORIA</t>
  </si>
  <si>
    <t>BISMAR</t>
  </si>
  <si>
    <t>LEONIDA</t>
  </si>
  <si>
    <t>JAY LORD</t>
  </si>
  <si>
    <t>ANDONG</t>
  </si>
  <si>
    <t>JINKY</t>
  </si>
  <si>
    <t>LIZA</t>
  </si>
  <si>
    <t>ROXAN</t>
  </si>
  <si>
    <t>SHERWIN</t>
  </si>
  <si>
    <t>JENELYN</t>
  </si>
  <si>
    <t>JERICK</t>
  </si>
  <si>
    <t>JULIETO</t>
  </si>
  <si>
    <t>LORENA</t>
  </si>
  <si>
    <t>MARCELITO</t>
  </si>
  <si>
    <t>ARIARTE</t>
  </si>
  <si>
    <t>ROMEL</t>
  </si>
  <si>
    <t>AINA VINEFLOR</t>
  </si>
  <si>
    <t>GUIMARY</t>
  </si>
  <si>
    <t>BABYLITA</t>
  </si>
  <si>
    <t>BENJIE</t>
  </si>
  <si>
    <t>MAJAQUE</t>
  </si>
  <si>
    <t>JUNE</t>
  </si>
  <si>
    <t>MILO</t>
  </si>
  <si>
    <t>TILOCAN</t>
  </si>
  <si>
    <t>RUDOLFO</t>
  </si>
  <si>
    <t>ALMA</t>
  </si>
  <si>
    <t>ANALYN</t>
  </si>
  <si>
    <t>LILIA</t>
  </si>
  <si>
    <t>TUBAO</t>
  </si>
  <si>
    <t>BERNABE</t>
  </si>
  <si>
    <t>ODOD</t>
  </si>
  <si>
    <t>LORETA</t>
  </si>
  <si>
    <t>VICENTE</t>
  </si>
  <si>
    <t>TUNONG</t>
  </si>
  <si>
    <t>VIPINOZA</t>
  </si>
  <si>
    <t>ARIEL</t>
  </si>
  <si>
    <t>VISTO</t>
  </si>
  <si>
    <t>FORTUNATO</t>
  </si>
  <si>
    <t>MADRIA</t>
  </si>
  <si>
    <t>YBAÑEZ</t>
  </si>
  <si>
    <t>IMELDA</t>
  </si>
  <si>
    <t>JUNEREL</t>
  </si>
  <si>
    <t>ARETANO</t>
  </si>
  <si>
    <t>YU</t>
  </si>
  <si>
    <t>RUDENA</t>
  </si>
  <si>
    <t>VIOLITA</t>
  </si>
  <si>
    <t xml:space="preserve">ABUNDA, CYRIL MUNDIA </t>
  </si>
  <si>
    <t xml:space="preserve">ABUNDA, SUSAN MUNDIA </t>
  </si>
  <si>
    <t xml:space="preserve">AGAGDANG, HELEN TELLEROS </t>
  </si>
  <si>
    <t xml:space="preserve">ALVAREZ, ANN JEANETH PENZA </t>
  </si>
  <si>
    <t xml:space="preserve">ANGWAS, CARLA ANGELA GOMEZ </t>
  </si>
  <si>
    <t xml:space="preserve">ANGWAS, ELFA GOMEZ </t>
  </si>
  <si>
    <t xml:space="preserve">ANGWAS, RIZA SANGCO </t>
  </si>
  <si>
    <t xml:space="preserve">ANTONIO, ANA DIAHAN </t>
  </si>
  <si>
    <t xml:space="preserve">ANTONIO, DIVINA GUTANG </t>
  </si>
  <si>
    <t xml:space="preserve">ANTONIO, MARILOU TAMPUS </t>
  </si>
  <si>
    <t>ANTONIO, NARINO IRAOLA JR</t>
  </si>
  <si>
    <t xml:space="preserve">ANTONIO, REYMOND TAMPOS </t>
  </si>
  <si>
    <t xml:space="preserve">ANTONIO, ROSALY TAWIDE </t>
  </si>
  <si>
    <t>BANTILLO, ARTURO ALCANTARA JR</t>
  </si>
  <si>
    <t xml:space="preserve">BANTILLO, ARTURO III CADIENTE </t>
  </si>
  <si>
    <t xml:space="preserve">BANTUASAN, MARLON ORLANDEZ </t>
  </si>
  <si>
    <t xml:space="preserve">BANTUASAN, SATURNINO SANGGOD </t>
  </si>
  <si>
    <t xml:space="preserve">BERMIL, DIORY PAGAYON </t>
  </si>
  <si>
    <t xml:space="preserve">BUENAVISTA, MARY ANN LIGUYAN </t>
  </si>
  <si>
    <t xml:space="preserve">CAHAYAG, NILO ROYO </t>
  </si>
  <si>
    <t xml:space="preserve">CALLEZA, JONATHAN MANGUINIMBA </t>
  </si>
  <si>
    <t xml:space="preserve">CAÑETE, JANETH TELEN </t>
  </si>
  <si>
    <t xml:space="preserve">CASAL, BERCELEY SAGUIWAN </t>
  </si>
  <si>
    <t xml:space="preserve">CASAL, EDEN SUMONDA </t>
  </si>
  <si>
    <t xml:space="preserve">CASAL, GEMMA MANGUINIMBA </t>
  </si>
  <si>
    <t xml:space="preserve">CASAL, JANNA SAGUIWAN </t>
  </si>
  <si>
    <t xml:space="preserve">CASAL, JARRY BANTUASAN </t>
  </si>
  <si>
    <t xml:space="preserve">CASAL, JOVELYN BANTUASAN </t>
  </si>
  <si>
    <t xml:space="preserve">CASAL, LANIE BANTUASAN </t>
  </si>
  <si>
    <t xml:space="preserve">CASAL, MARGIE SANGGOD </t>
  </si>
  <si>
    <t xml:space="preserve">CASAL, NELSON GONZALES </t>
  </si>
  <si>
    <t xml:space="preserve">CASAL, REYNALDO ENDRIO </t>
  </si>
  <si>
    <t xml:space="preserve">CASAL, RICKY SANGGOD </t>
  </si>
  <si>
    <t xml:space="preserve">CASAL, ROGELIO ENDRIO </t>
  </si>
  <si>
    <t xml:space="preserve">CASAL, ROSELYN LACERDA </t>
  </si>
  <si>
    <t xml:space="preserve">CASAL, ROWENA BANTUASAN </t>
  </si>
  <si>
    <t xml:space="preserve">CORDOVA, ISAGANI GOLORAN </t>
  </si>
  <si>
    <t xml:space="preserve">CORDOVA, JONATHAN SUBLA </t>
  </si>
  <si>
    <t xml:space="preserve">CORDOVA, MARIO PADILLA </t>
  </si>
  <si>
    <t xml:space="preserve">CORDOVA, TRINITA TORRES </t>
  </si>
  <si>
    <t xml:space="preserve">DUGAY, EVANGELINE ARTIZA </t>
  </si>
  <si>
    <t xml:space="preserve">ECNAS, ESTILITA GONZALES </t>
  </si>
  <si>
    <t xml:space="preserve">ECNAS, JULITA CASAL </t>
  </si>
  <si>
    <t xml:space="preserve">ENCABO, JAIME ACERNA </t>
  </si>
  <si>
    <t>FERNANDEZ, ALIPIO PELONIO JR</t>
  </si>
  <si>
    <t xml:space="preserve">FRANCISCO, LUZVILLA VELOSO </t>
  </si>
  <si>
    <t xml:space="preserve">FRIAS, MARIVELLE  </t>
  </si>
  <si>
    <t xml:space="preserve">GIGANTONE, ELSA GONZALES </t>
  </si>
  <si>
    <t xml:space="preserve">GOMEZ, EUGINE ALEJANDRO </t>
  </si>
  <si>
    <t xml:space="preserve">GOMEZ, FELIPE MARAVILLA </t>
  </si>
  <si>
    <t xml:space="preserve">GOMEZ, JELYN ALVAREZ </t>
  </si>
  <si>
    <t xml:space="preserve">GOMEZ, JORIC BANGLID </t>
  </si>
  <si>
    <t xml:space="preserve">GOMEZ, QUIRINO MARAVILLA </t>
  </si>
  <si>
    <t>GOMEZ, RICARDO MARAVILLA SR</t>
  </si>
  <si>
    <t xml:space="preserve">GOMEZ, ROMEO MARAVILLA </t>
  </si>
  <si>
    <t xml:space="preserve">GOMEZ, SANNY BOY ALEJANDRO </t>
  </si>
  <si>
    <t xml:space="preserve">GONZALES, ALON BAT-AW </t>
  </si>
  <si>
    <t xml:space="preserve">GONZALES, CHRISMAL BENGGA </t>
  </si>
  <si>
    <t xml:space="preserve">GONZALES, DOMINICA AGAGDANG </t>
  </si>
  <si>
    <t xml:space="preserve">GONZALES, JOHNRICH SIMPROSO </t>
  </si>
  <si>
    <t xml:space="preserve">GONZALES, MARVIN NGOJO </t>
  </si>
  <si>
    <t xml:space="preserve">GONZALES, VIVIAN BENGGA </t>
  </si>
  <si>
    <t xml:space="preserve">HALLARDA, ARLY BANDIANON </t>
  </si>
  <si>
    <t xml:space="preserve">HAVANA, MICHELL CASAL </t>
  </si>
  <si>
    <t xml:space="preserve">HEGUITAN, MERLINDA SANGGOD </t>
  </si>
  <si>
    <t xml:space="preserve">HERBRUELA, RICHARD DORIMON </t>
  </si>
  <si>
    <t xml:space="preserve">INTONG, JENNY ALVAREZ </t>
  </si>
  <si>
    <t xml:space="preserve">JUADA, LEONIDO BUYANTE </t>
  </si>
  <si>
    <t>LAPNO, FELIX MANGUINIMBA JR</t>
  </si>
  <si>
    <t xml:space="preserve">LINDAHAY, ELIA CORDOVA </t>
  </si>
  <si>
    <t xml:space="preserve">LLENA, AZENITH PACLIBAR </t>
  </si>
  <si>
    <t xml:space="preserve">LONGOS, CARMELITA GONZALES </t>
  </si>
  <si>
    <t xml:space="preserve">LONGOS, CHRISTOPHER CALLEZA </t>
  </si>
  <si>
    <t xml:space="preserve">LONGOS, DANDY GONZALES </t>
  </si>
  <si>
    <t xml:space="preserve">LONGOS, JANIE GONZALES </t>
  </si>
  <si>
    <t xml:space="preserve">LONGOS, JEPY GONZALES </t>
  </si>
  <si>
    <t xml:space="preserve">LONGOS, JHUNTY CALLEZA </t>
  </si>
  <si>
    <t xml:space="preserve">LONGOS, JOLITA TAWIDE </t>
  </si>
  <si>
    <t xml:space="preserve">LONGOS, MEKI GONZALES </t>
  </si>
  <si>
    <t xml:space="preserve">LONGOS, MEME GONZALES </t>
  </si>
  <si>
    <t xml:space="preserve">LONGOS, SAMUEL GONZALES </t>
  </si>
  <si>
    <t xml:space="preserve">LONGOS, SANTOS GONZALES </t>
  </si>
  <si>
    <t xml:space="preserve">LOPE, REBECCA SUBLA </t>
  </si>
  <si>
    <t xml:space="preserve">LUIB, ANGELITA JAMERA </t>
  </si>
  <si>
    <t xml:space="preserve">MAN-ANDILONG, LAOS TAWIDE </t>
  </si>
  <si>
    <t xml:space="preserve">MAN-ANDILONG, YOLLY ACOSTA </t>
  </si>
  <si>
    <t xml:space="preserve">MANGUINIMBA, CORNELIO MAN-ANDILONG </t>
  </si>
  <si>
    <t xml:space="preserve">MANGUINIMBA, JENNIFER LUMONTAD </t>
  </si>
  <si>
    <t xml:space="preserve">MANGUINIMBA, JIMMY MAN-ANDILONG </t>
  </si>
  <si>
    <t xml:space="preserve">MONDEJAR, ALVIN MANGUINIMBA </t>
  </si>
  <si>
    <t xml:space="preserve">MONDEJAR, GABRIEL VERTUDAZO </t>
  </si>
  <si>
    <t xml:space="preserve">MONDEJAR, JOREX MANGUINIMBA </t>
  </si>
  <si>
    <t xml:space="preserve">MORGADEZ, DARNA SAGUIWAN </t>
  </si>
  <si>
    <t xml:space="preserve">MORRONDOZ, CECILE CASAL </t>
  </si>
  <si>
    <t xml:space="preserve">MOSQUITO, ARMIN TAGAPULOT </t>
  </si>
  <si>
    <t xml:space="preserve">MOSQUITO, JOHNNY TAGAPULOT </t>
  </si>
  <si>
    <t xml:space="preserve">NAPUCO, EDDIE BUYANTE </t>
  </si>
  <si>
    <t xml:space="preserve">NONO, MYRNA TELLEROS </t>
  </si>
  <si>
    <t xml:space="preserve">OBLIGAR, MARIANITA MIRALLES </t>
  </si>
  <si>
    <t xml:space="preserve">OLIVER, ARMANCIO CORDOVA </t>
  </si>
  <si>
    <t xml:space="preserve">OSTOS, ROLDAN GOMEZ </t>
  </si>
  <si>
    <t xml:space="preserve">PAGARAN, JERRY LAWATAN </t>
  </si>
  <si>
    <t xml:space="preserve">PALMA, CARLOU VERTOSO </t>
  </si>
  <si>
    <t xml:space="preserve">PANAL, NONILON ADARO </t>
  </si>
  <si>
    <t xml:space="preserve">PASTOR, JERRY MANGUINIMBA </t>
  </si>
  <si>
    <t xml:space="preserve">PASTOR, LEAH TELOCAN </t>
  </si>
  <si>
    <t xml:space="preserve">PASTOR, ROSALINDA MANGUINIMBA </t>
  </si>
  <si>
    <t xml:space="preserve">POTENCIANO, ESTELLA MONDEJAR </t>
  </si>
  <si>
    <t xml:space="preserve">REYES, RAMMIL CADABOS </t>
  </si>
  <si>
    <t xml:space="preserve">REYES, RONALD MONDEJAR </t>
  </si>
  <si>
    <t xml:space="preserve">RILLERA, EDWIN MONDEJAR </t>
  </si>
  <si>
    <t xml:space="preserve">SABILLONA, ROSIE TAWIDE </t>
  </si>
  <si>
    <t xml:space="preserve">SANGGOD, GLORIA LOPE </t>
  </si>
  <si>
    <t xml:space="preserve">SANGGOD, JOSEPH BISMAR </t>
  </si>
  <si>
    <t xml:space="preserve">SANGGOD, LEONIDA BISMAR </t>
  </si>
  <si>
    <t xml:space="preserve">SOTERO, JAY LORD FLORIDA </t>
  </si>
  <si>
    <t xml:space="preserve">TAWIDE, ANDONG BANGLID </t>
  </si>
  <si>
    <t xml:space="preserve">TAWIDE, JINKY GONZALES </t>
  </si>
  <si>
    <t xml:space="preserve">TAWIDE, LIZA PASTOR </t>
  </si>
  <si>
    <t xml:space="preserve">TAWIDE, ROXAN MORGADEZ </t>
  </si>
  <si>
    <t xml:space="preserve">TAWIDE, SHERWIN GONZALES </t>
  </si>
  <si>
    <t xml:space="preserve">TELLEROS, JENELYN HAVANA </t>
  </si>
  <si>
    <t xml:space="preserve">TELLEROS, JERICK HAVANA </t>
  </si>
  <si>
    <t xml:space="preserve">TELLEROS, JULIETO PENZA </t>
  </si>
  <si>
    <t xml:space="preserve">TELLEROS, LORENA MAGADAN </t>
  </si>
  <si>
    <t xml:space="preserve">TELLEROS, MARCELITO LINDAHAY </t>
  </si>
  <si>
    <t xml:space="preserve">TELLEROS, NOEL ARIARTE </t>
  </si>
  <si>
    <t xml:space="preserve">TELLEROS, ROMEL LINDAHAY </t>
  </si>
  <si>
    <t xml:space="preserve">TELOCAN, AINA VINEFLOR GUIMARY </t>
  </si>
  <si>
    <t xml:space="preserve">TELOCAN, BABYLITA CASAL </t>
  </si>
  <si>
    <t xml:space="preserve">TELOCAN, BENJIE MAJAQUE </t>
  </si>
  <si>
    <t xml:space="preserve">TELOCAN, JUNE CASAL </t>
  </si>
  <si>
    <t xml:space="preserve">TELOCAN, MILO MANGUINIMBA </t>
  </si>
  <si>
    <t xml:space="preserve">TILOCAN, RUDOLFO TADAY </t>
  </si>
  <si>
    <t xml:space="preserve">TORRES, ALMA LINDAHAY </t>
  </si>
  <si>
    <t xml:space="preserve">TORRES, ANALYN GONZALES </t>
  </si>
  <si>
    <t xml:space="preserve">TORRES, LILIA GONZALES </t>
  </si>
  <si>
    <t xml:space="preserve">TUBAO, BERNABE GONZALES </t>
  </si>
  <si>
    <t xml:space="preserve">TURA, MARILOU ODOD </t>
  </si>
  <si>
    <t xml:space="preserve">VELOSO, LORETA MANGUINIMBA </t>
  </si>
  <si>
    <t xml:space="preserve">VICENTE, JENELYN TUNONG </t>
  </si>
  <si>
    <t xml:space="preserve">VIPINOZA, ARIEL SANCHEZ </t>
  </si>
  <si>
    <t xml:space="preserve">VISTO, FORTUNATO MADRIA </t>
  </si>
  <si>
    <t xml:space="preserve">YBAÑEZ, IMELDA LONGOS </t>
  </si>
  <si>
    <t xml:space="preserve">YBAÑEZ, JUNEREL ARETANO </t>
  </si>
  <si>
    <t xml:space="preserve">YU, ROBERTO ENDRIO </t>
  </si>
  <si>
    <t xml:space="preserve">YU, RUDENA ENDRIO </t>
  </si>
  <si>
    <t xml:space="preserve">YU, VIOLITA ENDRIO </t>
  </si>
  <si>
    <t>CA re: Risk Resiliency Program thru Cash for Training and Work (RRP-CFTW) in the Municipality of Loreto, Agusan del Sur</t>
  </si>
  <si>
    <t>Ang</t>
  </si>
  <si>
    <t>Amelita</t>
  </si>
  <si>
    <t>Patual</t>
  </si>
  <si>
    <t>Cerona</t>
  </si>
  <si>
    <t>Jobert</t>
  </si>
  <si>
    <t>Manatad</t>
  </si>
  <si>
    <t>Kimpee</t>
  </si>
  <si>
    <t>Aboliso</t>
  </si>
  <si>
    <t>Rene</t>
  </si>
  <si>
    <t>Basilisa</t>
  </si>
  <si>
    <t>Kimbert</t>
  </si>
  <si>
    <t>Llano</t>
  </si>
  <si>
    <t>Jover</t>
  </si>
  <si>
    <t>Sebial</t>
  </si>
  <si>
    <t>Gregorio</t>
  </si>
  <si>
    <t>Espinili</t>
  </si>
  <si>
    <t>Greg</t>
  </si>
  <si>
    <t>Prunes</t>
  </si>
  <si>
    <t>Gil</t>
  </si>
  <si>
    <t>Lito</t>
  </si>
  <si>
    <t>Mahinay</t>
  </si>
  <si>
    <t>Leonardo</t>
  </si>
  <si>
    <t>Noguerra</t>
  </si>
  <si>
    <t>Ert</t>
  </si>
  <si>
    <t>Luzminda</t>
  </si>
  <si>
    <t>Gooc</t>
  </si>
  <si>
    <t>Jessie</t>
  </si>
  <si>
    <t>Elle</t>
  </si>
  <si>
    <t>Roma</t>
  </si>
  <si>
    <t>Jay</t>
  </si>
  <si>
    <t>Petilo</t>
  </si>
  <si>
    <t>Bonifacio</t>
  </si>
  <si>
    <t>Rafols</t>
  </si>
  <si>
    <t>Jonel</t>
  </si>
  <si>
    <t>Gabradilla</t>
  </si>
  <si>
    <t>Alejandro</t>
  </si>
  <si>
    <t>Saldivar</t>
  </si>
  <si>
    <t>Dubduban</t>
  </si>
  <si>
    <t>Manuel</t>
  </si>
  <si>
    <t>Espinoa</t>
  </si>
  <si>
    <t>Consigna</t>
  </si>
  <si>
    <t>Hernan</t>
  </si>
  <si>
    <t>Lobrio</t>
  </si>
  <si>
    <t>Custodio</t>
  </si>
  <si>
    <t>Danilo</t>
  </si>
  <si>
    <t>Linaga</t>
  </si>
  <si>
    <t>Darwin</t>
  </si>
  <si>
    <t>Cabañez</t>
  </si>
  <si>
    <t>Gatchalian</t>
  </si>
  <si>
    <t>Rolando</t>
  </si>
  <si>
    <t>Moriente</t>
  </si>
  <si>
    <t>Jr.</t>
  </si>
  <si>
    <t>Felix</t>
  </si>
  <si>
    <t>Welito</t>
  </si>
  <si>
    <t>Jayrom</t>
  </si>
  <si>
    <t>Tillo</t>
  </si>
  <si>
    <t>Pame</t>
  </si>
  <si>
    <t>Bernie</t>
  </si>
  <si>
    <t>Delos Reyes</t>
  </si>
  <si>
    <t>Picol</t>
  </si>
  <si>
    <t>Haijie</t>
  </si>
  <si>
    <t>Llanto</t>
  </si>
  <si>
    <t>Pia</t>
  </si>
  <si>
    <t>Jordan</t>
  </si>
  <si>
    <t>Espanto</t>
  </si>
  <si>
    <t>Sablay</t>
  </si>
  <si>
    <t>Marcelino</t>
  </si>
  <si>
    <t>Soyosa</t>
  </si>
  <si>
    <t>Baa</t>
  </si>
  <si>
    <t>Amado</t>
  </si>
  <si>
    <t>Jacosalem</t>
  </si>
  <si>
    <t>Rovina</t>
  </si>
  <si>
    <t>Respecia</t>
  </si>
  <si>
    <t>Fuentes</t>
  </si>
  <si>
    <t>Cresil</t>
  </si>
  <si>
    <t>Cano</t>
  </si>
  <si>
    <t>Carlito</t>
  </si>
  <si>
    <t>Suminday</t>
  </si>
  <si>
    <t>Agujar</t>
  </si>
  <si>
    <t>Joel</t>
  </si>
  <si>
    <t>Bulcase</t>
  </si>
  <si>
    <t>Viñaz</t>
  </si>
  <si>
    <t>Paz</t>
  </si>
  <si>
    <t>Janmar</t>
  </si>
  <si>
    <t>Café</t>
  </si>
  <si>
    <t>Eyana</t>
  </si>
  <si>
    <t>Roel</t>
  </si>
  <si>
    <t>Villalobos</t>
  </si>
  <si>
    <t>Dayot</t>
  </si>
  <si>
    <t>Ramark</t>
  </si>
  <si>
    <t>Mantilla</t>
  </si>
  <si>
    <t>Gelera</t>
  </si>
  <si>
    <t>Rizalino</t>
  </si>
  <si>
    <t>Campasas</t>
  </si>
  <si>
    <t>Mario Nolly</t>
  </si>
  <si>
    <t>Gregoria</t>
  </si>
  <si>
    <t>Gaslang</t>
  </si>
  <si>
    <t>Carillo</t>
  </si>
  <si>
    <t>Gaces</t>
  </si>
  <si>
    <t>Fedila</t>
  </si>
  <si>
    <t>Lumanog</t>
  </si>
  <si>
    <t>Rosel</t>
  </si>
  <si>
    <t xml:space="preserve">Escorial </t>
  </si>
  <si>
    <t>Mabitado</t>
  </si>
  <si>
    <t>Arsenio</t>
  </si>
  <si>
    <t>Mancion</t>
  </si>
  <si>
    <t>Rey</t>
  </si>
  <si>
    <t>Martinez</t>
  </si>
  <si>
    <t>Mallorca</t>
  </si>
  <si>
    <t>Grande</t>
  </si>
  <si>
    <t>Maturan</t>
  </si>
  <si>
    <t>Marvin</t>
  </si>
  <si>
    <t>Predog</t>
  </si>
  <si>
    <t>Longos</t>
  </si>
  <si>
    <t>Marlyn</t>
  </si>
  <si>
    <t>Rollo</t>
  </si>
  <si>
    <t>Lyne</t>
  </si>
  <si>
    <t>Adlawan</t>
  </si>
  <si>
    <t>Tarnate</t>
  </si>
  <si>
    <t>Nathaniel</t>
  </si>
  <si>
    <t>Bayang</t>
  </si>
  <si>
    <t>Lecciones</t>
  </si>
  <si>
    <t>Alfredo</t>
  </si>
  <si>
    <t>Gonzaga</t>
  </si>
  <si>
    <t>Monsales</t>
  </si>
  <si>
    <t>Melvin</t>
  </si>
  <si>
    <t>Lemuardo</t>
  </si>
  <si>
    <t>Torrejos</t>
  </si>
  <si>
    <t>Reymark</t>
  </si>
  <si>
    <t>Sibonga</t>
  </si>
  <si>
    <t>Calixtro</t>
  </si>
  <si>
    <t>Jerry</t>
  </si>
  <si>
    <t>Balbiro</t>
  </si>
  <si>
    <t>Ebale</t>
  </si>
  <si>
    <t>Jenelyn</t>
  </si>
  <si>
    <t>Paler</t>
  </si>
  <si>
    <t>Juman</t>
  </si>
  <si>
    <t>Edcelgie</t>
  </si>
  <si>
    <t>Amorin</t>
  </si>
  <si>
    <t>Usiphil</t>
  </si>
  <si>
    <t>Cabajes</t>
  </si>
  <si>
    <t>Amihan</t>
  </si>
  <si>
    <t>Alibangbang</t>
  </si>
  <si>
    <t>Creencia</t>
  </si>
  <si>
    <t>Rod Shanley</t>
  </si>
  <si>
    <t>Amigable</t>
  </si>
  <si>
    <t>Joewe</t>
  </si>
  <si>
    <t>Seda</t>
  </si>
  <si>
    <t>Malunas</t>
  </si>
  <si>
    <t>Michael</t>
  </si>
  <si>
    <t>Nicholas</t>
  </si>
  <si>
    <t>Daylinda</t>
  </si>
  <si>
    <t>Espinosa</t>
  </si>
  <si>
    <t>Hilaria</t>
  </si>
  <si>
    <t>Reynante</t>
  </si>
  <si>
    <t>Pasaylo</t>
  </si>
  <si>
    <t>Jemmar</t>
  </si>
  <si>
    <t>Hinulos</t>
  </si>
  <si>
    <t>Bryan</t>
  </si>
  <si>
    <t>Pegarro</t>
  </si>
  <si>
    <t>Alrem</t>
  </si>
  <si>
    <t>Cawali</t>
  </si>
  <si>
    <t>Arlyn</t>
  </si>
  <si>
    <t>Amadora</t>
  </si>
  <si>
    <t>Isidro</t>
  </si>
  <si>
    <t>Pecan</t>
  </si>
  <si>
    <t>Junel</t>
  </si>
  <si>
    <t>Equibal</t>
  </si>
  <si>
    <t>Eduardo</t>
  </si>
  <si>
    <t>Sereño</t>
  </si>
  <si>
    <t>Bartolome</t>
  </si>
  <si>
    <t>Delima</t>
  </si>
  <si>
    <t>Bukid</t>
  </si>
  <si>
    <t>Arnold</t>
  </si>
  <si>
    <t>Rodolfu</t>
  </si>
  <si>
    <t>Gimena</t>
  </si>
  <si>
    <t>Jovencio</t>
  </si>
  <si>
    <t>Canonigo</t>
  </si>
  <si>
    <t>Jovanie</t>
  </si>
  <si>
    <t>Junrey</t>
  </si>
  <si>
    <t>Plaza</t>
  </si>
  <si>
    <t>Ortiz</t>
  </si>
  <si>
    <t>Joy</t>
  </si>
  <si>
    <t>Jojo</t>
  </si>
  <si>
    <t>Presente</t>
  </si>
  <si>
    <t>Elma</t>
  </si>
  <si>
    <t xml:space="preserve">Simeon </t>
  </si>
  <si>
    <t>Romel</t>
  </si>
  <si>
    <t>Polinio</t>
  </si>
  <si>
    <t>Eder</t>
  </si>
  <si>
    <t>Limuel</t>
  </si>
  <si>
    <t xml:space="preserve">ANG, AMELITA PATUAL </t>
  </si>
  <si>
    <t xml:space="preserve">CERONA, JOBERT MANATAD </t>
  </si>
  <si>
    <t xml:space="preserve">CERONA, KIMPEE ABOLISO </t>
  </si>
  <si>
    <t xml:space="preserve">CERONA, RENE MANATAD </t>
  </si>
  <si>
    <t xml:space="preserve">CERONA, BASILISA MANATAD </t>
  </si>
  <si>
    <t xml:space="preserve">CERONA, KIMBERT ABOLISO </t>
  </si>
  <si>
    <t xml:space="preserve">LLANO, JOVER SEBIAL </t>
  </si>
  <si>
    <t xml:space="preserve">MANATAD, GREGORIO ESPINILI </t>
  </si>
  <si>
    <t xml:space="preserve">MANATAD, GREG PRUNES </t>
  </si>
  <si>
    <t xml:space="preserve">MANATAD, GIL PRUNES </t>
  </si>
  <si>
    <t xml:space="preserve">MANATAD, LITO MAHINAY </t>
  </si>
  <si>
    <t xml:space="preserve">MANATAD, LEONARDO ESPINILI </t>
  </si>
  <si>
    <t xml:space="preserve">NOGUERRA, ERT ABOLISO </t>
  </si>
  <si>
    <t xml:space="preserve">NOGUERRA, LUZMINDA ABOLISO </t>
  </si>
  <si>
    <t xml:space="preserve">GOOC, JESSIE ELLE </t>
  </si>
  <si>
    <t xml:space="preserve">ROMA, JAY PETILO </t>
  </si>
  <si>
    <t xml:space="preserve">ROMA, BONIFACIO NOGUERRA </t>
  </si>
  <si>
    <t xml:space="preserve">RAFOLS, JONEL MANATAD </t>
  </si>
  <si>
    <t xml:space="preserve">GABRADILLA, ALEJANDRO SALDIVAR </t>
  </si>
  <si>
    <t xml:space="preserve">DUBDUBAN, MANUEL ESPINOA </t>
  </si>
  <si>
    <t xml:space="preserve">CONSIGNA, HERNAN LOBRIO </t>
  </si>
  <si>
    <t xml:space="preserve">CUSTODIO, DANILO LINAGA </t>
  </si>
  <si>
    <t xml:space="preserve">CUSTODIO, DARWIN CABAÑEZ </t>
  </si>
  <si>
    <t>GATCHALIAN, ROLANDO MORIENTE JR.</t>
  </si>
  <si>
    <t xml:space="preserve">GABRADILLA, FELIX MANATAD </t>
  </si>
  <si>
    <t xml:space="preserve">GABRADILLA, WELITO SALDIVAR </t>
  </si>
  <si>
    <t xml:space="preserve">LINAGA, JAYROM TILLO </t>
  </si>
  <si>
    <t xml:space="preserve">PAME, BERNIE DELOS REYES </t>
  </si>
  <si>
    <t xml:space="preserve">PICOL, HAIJIE LLANTO </t>
  </si>
  <si>
    <t xml:space="preserve">PIA, JORDAN ESPANTO </t>
  </si>
  <si>
    <t xml:space="preserve">SABLAY, MARCELINO SOYOSA </t>
  </si>
  <si>
    <t xml:space="preserve">BAA, AMADO JACOSALEM </t>
  </si>
  <si>
    <t xml:space="preserve">BAA, ROVINA RESPECIA </t>
  </si>
  <si>
    <t xml:space="preserve">FUENTES, CRESIL CANO </t>
  </si>
  <si>
    <t xml:space="preserve">CANO, CARLITO SUMINDAY </t>
  </si>
  <si>
    <t xml:space="preserve">AGUJAR, JOEL BULCASE </t>
  </si>
  <si>
    <t xml:space="preserve">VIÑAZ, PAZ BULCASE </t>
  </si>
  <si>
    <t xml:space="preserve">BAA, JANMAR CAFÉ </t>
  </si>
  <si>
    <t xml:space="preserve">EYANA, ROEL VILLALOBOS </t>
  </si>
  <si>
    <t xml:space="preserve">DAYOT, RAMARK MANTILLA </t>
  </si>
  <si>
    <t xml:space="preserve">GELERA, RIZALINO CAMPASAS </t>
  </si>
  <si>
    <t xml:space="preserve">GELERA, MARIO NOLLY CAMPASAS </t>
  </si>
  <si>
    <t xml:space="preserve">GELERA, GREGORIA CAMPASAS </t>
  </si>
  <si>
    <t xml:space="preserve">GASLANG, DANILO CARILLO </t>
  </si>
  <si>
    <t xml:space="preserve">GACES, FEDILA PRUNES </t>
  </si>
  <si>
    <t xml:space="preserve">LUMANOG, ROSEL ESCORIAL  </t>
  </si>
  <si>
    <t xml:space="preserve">MABITADO, ARSENIO  </t>
  </si>
  <si>
    <t xml:space="preserve">MANCION, REY MARTINEZ </t>
  </si>
  <si>
    <t xml:space="preserve">MALLORCA, JOEL GRANDE </t>
  </si>
  <si>
    <t xml:space="preserve">MATURAN, MARVIN PREDOG </t>
  </si>
  <si>
    <t xml:space="preserve">LONGOS, MARLYN ROMA </t>
  </si>
  <si>
    <t xml:space="preserve">ROLLO, LYNE ADLAWAN </t>
  </si>
  <si>
    <t xml:space="preserve">TARNATE, NATHANIEL BAYANG </t>
  </si>
  <si>
    <t xml:space="preserve">LECCIONES, ALFREDO GONZAGA </t>
  </si>
  <si>
    <t xml:space="preserve">MONSALES, MELVIN LEMUARDO </t>
  </si>
  <si>
    <t xml:space="preserve">TORREJOS, REYMARK SIBONGA </t>
  </si>
  <si>
    <t xml:space="preserve">CALIXTRO, JERRY BALBIRO </t>
  </si>
  <si>
    <t xml:space="preserve">EBALE, JENELYN PALER </t>
  </si>
  <si>
    <t xml:space="preserve">EBALE, JUMAN PALER </t>
  </si>
  <si>
    <t xml:space="preserve">EBALE, EDCELGIE AMORIN </t>
  </si>
  <si>
    <t xml:space="preserve">EBALE, USIPHIL CABAJES </t>
  </si>
  <si>
    <t xml:space="preserve">AMIHAN, JERRY ALIBANGBANG </t>
  </si>
  <si>
    <t xml:space="preserve">CREENCIA, ROD SHANLEY EBALE </t>
  </si>
  <si>
    <t xml:space="preserve">AMIGABLE, JOEWE SEDA </t>
  </si>
  <si>
    <t xml:space="preserve">MALUNAS, MICHAEL TILLO </t>
  </si>
  <si>
    <t xml:space="preserve">MALUNAS, NICHOLAS PICOL </t>
  </si>
  <si>
    <t xml:space="preserve">GABRADILLA, DAYLINDA ESPINOSA </t>
  </si>
  <si>
    <t>HILARIA, REYNANTE PASAYLO JR.</t>
  </si>
  <si>
    <t xml:space="preserve">PETILO, JEMMAR HINULOS </t>
  </si>
  <si>
    <t>PICOL, BRYAN LLANTO JR.</t>
  </si>
  <si>
    <t xml:space="preserve">PEGARRO, ALREM CAWALI </t>
  </si>
  <si>
    <t xml:space="preserve">GABRADILLA, ARLYN AMADORA </t>
  </si>
  <si>
    <t xml:space="preserve">GABRADILLA, ISIDRO ESPINOSA </t>
  </si>
  <si>
    <t xml:space="preserve">PECAN, JUNEL EQUIBAL </t>
  </si>
  <si>
    <t xml:space="preserve">ROMA, EDUARDO NOGUERRA </t>
  </si>
  <si>
    <t xml:space="preserve">SEREÑO, BARTOLOME DELIMA </t>
  </si>
  <si>
    <t xml:space="preserve">BUKID, ARNOLD MANATAD </t>
  </si>
  <si>
    <t>CREENCIA, RODOLFU EBALE JR.</t>
  </si>
  <si>
    <t xml:space="preserve">GIMENA, JOVENCIO CANONIGO </t>
  </si>
  <si>
    <t xml:space="preserve">GIMENA, JOVANIE CANONIGO </t>
  </si>
  <si>
    <t xml:space="preserve">MALUNAS, JUNREY PLAZA </t>
  </si>
  <si>
    <t xml:space="preserve">ORTIZ, JOY BUKID </t>
  </si>
  <si>
    <t xml:space="preserve">ORTIZ, JOJO BUKID </t>
  </si>
  <si>
    <t xml:space="preserve">PRESENTE, ELMA BUKID </t>
  </si>
  <si>
    <t xml:space="preserve">SIMEON , ROMEL POLINIO </t>
  </si>
  <si>
    <t xml:space="preserve">EDER, LIMUEL GABRADILLA </t>
  </si>
  <si>
    <t>BOA</t>
  </si>
  <si>
    <t>WILMA</t>
  </si>
  <si>
    <t>VALMORIA</t>
  </si>
  <si>
    <t xml:space="preserve">PAGARAN, WILMA VALMORIA </t>
  </si>
  <si>
    <t>CABUNGA-AN</t>
  </si>
  <si>
    <t>SAN JOSE</t>
  </si>
  <si>
    <t>Emergency Cash Transfer (ECT) Re: Typhoon Tino</t>
  </si>
  <si>
    <t>SLIGHTLY</t>
  </si>
  <si>
    <t>SEVERELY</t>
  </si>
  <si>
    <t>MUNICIPALITY OF LIBJO, PROVINCE OF DINAGAT ISLANDS</t>
  </si>
  <si>
    <t xml:space="preserve">ABELLA, DENIA EBRA </t>
  </si>
  <si>
    <t xml:space="preserve">ALAAN, AL LLANTO </t>
  </si>
  <si>
    <t xml:space="preserve">ANGOB, MAGDALENA SOLIS </t>
  </si>
  <si>
    <t xml:space="preserve">ANONUEVO, MYLENE HERNANDEZ </t>
  </si>
  <si>
    <t xml:space="preserve">AROZADO, ROBERT GORIDING </t>
  </si>
  <si>
    <t xml:space="preserve">ASTILLO, RENATO MONGHIT </t>
  </si>
  <si>
    <t xml:space="preserve">BANGCALIE, RODIE BOQUILON </t>
  </si>
  <si>
    <t xml:space="preserve">BELEN, EMALYN GALING </t>
  </si>
  <si>
    <t xml:space="preserve">BERMUDEZ, CRISTINMIE MANITAS </t>
  </si>
  <si>
    <t xml:space="preserve">BLANZA, ELPEDIOSA LLORCA </t>
  </si>
  <si>
    <t xml:space="preserve">BOLO , TWINKLE MENIL </t>
  </si>
  <si>
    <t xml:space="preserve">BOQUILON, DORIE JANE GARING </t>
  </si>
  <si>
    <t xml:space="preserve">BOQUILON, PRYNICO FIDELES </t>
  </si>
  <si>
    <t xml:space="preserve">BOQUILON, SALIE CUTAYAN </t>
  </si>
  <si>
    <t xml:space="preserve">BUENAFLOR, RONNEL ESTRAJANO </t>
  </si>
  <si>
    <t xml:space="preserve">BUENAFLOR, ROSE MARIE ESTRAJANO </t>
  </si>
  <si>
    <t xml:space="preserve">BULCASE, MARIE ESTOCE </t>
  </si>
  <si>
    <t xml:space="preserve">CABACABA, ALEJANDRO COCAMAS </t>
  </si>
  <si>
    <t xml:space="preserve">CAMIRO, CHARLYN QUINOY </t>
  </si>
  <si>
    <t xml:space="preserve">CAMIRO, NENITA QUINOY </t>
  </si>
  <si>
    <t xml:space="preserve">COSTORIO, PRUDENCIO FORMINTO </t>
  </si>
  <si>
    <t>DACO, LEONARDO EMPLEO JR.</t>
  </si>
  <si>
    <t xml:space="preserve">DAPIDRAN, NERIZA FIDELES </t>
  </si>
  <si>
    <t>DELOSO, DANELO SERNA SR</t>
  </si>
  <si>
    <t xml:space="preserve">DELOSO, JASON  GORAIS </t>
  </si>
  <si>
    <t xml:space="preserve">DELOSO, NILO SERNA </t>
  </si>
  <si>
    <t xml:space="preserve">DERDER, ANALYN CARABIO </t>
  </si>
  <si>
    <t xml:space="preserve">EBRA, GLENN PLARISAN </t>
  </si>
  <si>
    <t xml:space="preserve">EBRA, MA. RITCHEL TEPAIT </t>
  </si>
  <si>
    <t xml:space="preserve">ECUBEN, ALMA TORILLO </t>
  </si>
  <si>
    <t xml:space="preserve">EGAMAO, GLADYS MAY SAMEJON </t>
  </si>
  <si>
    <t xml:space="preserve">ESTEBE, ERIC GUERRA </t>
  </si>
  <si>
    <t xml:space="preserve">ESTUBO, BARSILISA LOZANO </t>
  </si>
  <si>
    <t xml:space="preserve">FIDELES, YOLANDA LLORCA </t>
  </si>
  <si>
    <t xml:space="preserve">FLORES, PRINCESS ETHEL LISONDRA </t>
  </si>
  <si>
    <t xml:space="preserve">GALINZOGA, MARYNEL MADERA </t>
  </si>
  <si>
    <t xml:space="preserve">GALINZOGA, MYLENE FIDELES </t>
  </si>
  <si>
    <t xml:space="preserve">GALLENDEZ, SWEETCHEL ASTILLO </t>
  </si>
  <si>
    <t xml:space="preserve">GARRIDO, ROSELYN MAAMO </t>
  </si>
  <si>
    <t xml:space="preserve">GERANDOY, SARRY CABAJES </t>
  </si>
  <si>
    <t xml:space="preserve">GILBERO, BERLY MASIN </t>
  </si>
  <si>
    <t xml:space="preserve">GIMELGA, JUN REY HAYAO </t>
  </si>
  <si>
    <t xml:space="preserve">GONZAGA, ROMEL CAMAY </t>
  </si>
  <si>
    <t xml:space="preserve">GONZALUDO, MARILYN GORAIS </t>
  </si>
  <si>
    <t xml:space="preserve">GORAIS, ROSITO TRAJANO </t>
  </si>
  <si>
    <t xml:space="preserve">GUERRA, AL SAGAP </t>
  </si>
  <si>
    <t xml:space="preserve">JACQUEZ, EMMANUEL BAUTISTA </t>
  </si>
  <si>
    <t xml:space="preserve">JUARIO, EVELYN NUGAS </t>
  </si>
  <si>
    <t xml:space="preserve">JUARIO, MIGUEL BULDADORA </t>
  </si>
  <si>
    <t xml:space="preserve">LABOR, LEONARDA LLORCA </t>
  </si>
  <si>
    <t xml:space="preserve">LANUGON, ROSALIE CABAGUE </t>
  </si>
  <si>
    <t xml:space="preserve">LEQUIN, CHILA MAY LINAGA </t>
  </si>
  <si>
    <t xml:space="preserve">LINAGA, LARITO OMANDAM </t>
  </si>
  <si>
    <t xml:space="preserve">LLAMERA, CARL ROLAND CUBELO </t>
  </si>
  <si>
    <t xml:space="preserve">LLAMERA, CARLO EDRADAN </t>
  </si>
  <si>
    <t xml:space="preserve">LLAMERA, CHERYL SAMEJON </t>
  </si>
  <si>
    <t xml:space="preserve">LLAMERA, JEFFREL MARK AMPARADO </t>
  </si>
  <si>
    <t xml:space="preserve">LLANA, ANGIELYN ROCOLCOL </t>
  </si>
  <si>
    <t xml:space="preserve">LLORCA, FLORA CASTILLON </t>
  </si>
  <si>
    <t xml:space="preserve">LLORCA, GEMALYN LACUMBES </t>
  </si>
  <si>
    <t xml:space="preserve">LLORCA, MARIFE EDILLOR </t>
  </si>
  <si>
    <t xml:space="preserve">MANITAS, DIEL LLAMERA </t>
  </si>
  <si>
    <t xml:space="preserve">MASALIHIT, IRENE PATNONGON </t>
  </si>
  <si>
    <t xml:space="preserve">MAYORCA, CLAUDINE EGAMAO </t>
  </si>
  <si>
    <t xml:space="preserve">MAYORCA, JOSSA EGAMAO </t>
  </si>
  <si>
    <t xml:space="preserve">MONTERMOSO, RENALYN CASTAÑAS </t>
  </si>
  <si>
    <t xml:space="preserve">NAINGGUE, EDDIE AM-IS </t>
  </si>
  <si>
    <t xml:space="preserve">NALDA, LEONILA GRANADEROS </t>
  </si>
  <si>
    <t xml:space="preserve">NAPUTOL, RONALD GERONA </t>
  </si>
  <si>
    <t xml:space="preserve">NAZARITA, MERIAM ESCOBIA </t>
  </si>
  <si>
    <t xml:space="preserve">NOGAS, EULITA QUINOY </t>
  </si>
  <si>
    <t xml:space="preserve">NOGAS, JULIE QUINOY </t>
  </si>
  <si>
    <t xml:space="preserve">NUGAS, APPLE GRACE LLAMERA </t>
  </si>
  <si>
    <t xml:space="preserve">PABALATE, MARIVIC AROSADO </t>
  </si>
  <si>
    <t xml:space="preserve">PACHECO, LAMBERTO PACIOS </t>
  </si>
  <si>
    <t xml:space="preserve">PACO, MELODINA DOGMOC </t>
  </si>
  <si>
    <t xml:space="preserve">PERTACORTA, RESSIE MAAMO </t>
  </si>
  <si>
    <t xml:space="preserve">PETILO, ANITA EBALE </t>
  </si>
  <si>
    <t xml:space="preserve">ROSTE, BEBY JOY SANTILLO </t>
  </si>
  <si>
    <t xml:space="preserve">SAGAP, ROSETTE NAPUTOL </t>
  </si>
  <si>
    <t xml:space="preserve">SALCEDO, RODELYN PACILAN </t>
  </si>
  <si>
    <t xml:space="preserve">SALIDO, JEANIE GALLANO </t>
  </si>
  <si>
    <t xml:space="preserve">SALUDO, ERLINDA DAGALA </t>
  </si>
  <si>
    <t xml:space="preserve">SAMANTE, ROBERT DEMANAWA </t>
  </si>
  <si>
    <t xml:space="preserve">SAMEJON, JANICE AMERICA </t>
  </si>
  <si>
    <t xml:space="preserve">TABAT, JAYSON MENES </t>
  </si>
  <si>
    <t xml:space="preserve">TOLEDO, JIMMY LEONCIA </t>
  </si>
  <si>
    <t xml:space="preserve">TORILLO, PAZ GUMAOD </t>
  </si>
  <si>
    <t xml:space="preserve">UBA, FLORITA LLORCA </t>
  </si>
  <si>
    <t xml:space="preserve">ABAD, MARLY GEMAO </t>
  </si>
  <si>
    <t xml:space="preserve">ALVAREZ, BOBBY TOBIO </t>
  </si>
  <si>
    <t xml:space="preserve">ANG, LEONIL GARGAO </t>
  </si>
  <si>
    <t xml:space="preserve">ANITA, MALIGRO  </t>
  </si>
  <si>
    <t xml:space="preserve">ANONUEVO, ROSALINA ESPINOSA </t>
  </si>
  <si>
    <t xml:space="preserve">BUGAIS, ELENA GEMAO </t>
  </si>
  <si>
    <t xml:space="preserve">BUGAIS, WENEFREDO BUGAIS </t>
  </si>
  <si>
    <t xml:space="preserve">CABAJES, ARLINDA LANGIT </t>
  </si>
  <si>
    <t xml:space="preserve">CABAJES, ARNELITO LANGIT </t>
  </si>
  <si>
    <t xml:space="preserve">CABAJES, DANDINO SELADES </t>
  </si>
  <si>
    <t xml:space="preserve">CABAJES, FROILAN DAOHOG </t>
  </si>
  <si>
    <t xml:space="preserve">CABAJES, JHOAN BAGATA </t>
  </si>
  <si>
    <t xml:space="preserve">CABAJES, WARLITO LANGIT </t>
  </si>
  <si>
    <t xml:space="preserve">CABAJES, ZALDY CASTEN </t>
  </si>
  <si>
    <t xml:space="preserve">CAGANG, ERMILINDA LEMOSNERO </t>
  </si>
  <si>
    <t xml:space="preserve">CASABA, JENNA MATURAN </t>
  </si>
  <si>
    <t xml:space="preserve">CASTANAS, CORSINE UYANGUREN </t>
  </si>
  <si>
    <t xml:space="preserve">CORNITEZ, JONRIL ALVAREZ </t>
  </si>
  <si>
    <t xml:space="preserve">CRISOSTOMO, MARLYN BULLO </t>
  </si>
  <si>
    <t xml:space="preserve">DACLES, JUNDI BESITULO </t>
  </si>
  <si>
    <t xml:space="preserve">DAGALA, RICKY ABRIGO </t>
  </si>
  <si>
    <t xml:space="preserve">DIALDE,  EPIFANIO CABAJES </t>
  </si>
  <si>
    <t xml:space="preserve">ECLEO, JONATHAN ECLEO </t>
  </si>
  <si>
    <t xml:space="preserve">GEMAO, BELTIE ESCALERA </t>
  </si>
  <si>
    <t xml:space="preserve">GIER, VIRGELIO PALER </t>
  </si>
  <si>
    <t xml:space="preserve">GONZAGA,  GLORIA PURGAS </t>
  </si>
  <si>
    <t xml:space="preserve">JUNTILLA, AMELITA MALIGRO </t>
  </si>
  <si>
    <t xml:space="preserve">LAYSON, ROXAN SELADES </t>
  </si>
  <si>
    <t xml:space="preserve">LLAMERA, ANDRIE NUGAS </t>
  </si>
  <si>
    <t xml:space="preserve">MAGLAJOS, ARJIE MONTICALBO </t>
  </si>
  <si>
    <t xml:space="preserve">MAKINANO, GLECERIO AYO </t>
  </si>
  <si>
    <t xml:space="preserve">MANAGA, DOMINGO SAYSON </t>
  </si>
  <si>
    <t xml:space="preserve">MAQUINTO, VIVIAN CAGANG </t>
  </si>
  <si>
    <t xml:space="preserve">MATURAN, WARLITA CABAJES </t>
  </si>
  <si>
    <t xml:space="preserve">MEJOS, LORDAN SAYRE </t>
  </si>
  <si>
    <t xml:space="preserve">MESO, DOMINICO  </t>
  </si>
  <si>
    <t xml:space="preserve">MESO, DULCITO ESTUBO </t>
  </si>
  <si>
    <t xml:space="preserve">MESO, FLORIANA CAGADAS </t>
  </si>
  <si>
    <t xml:space="preserve">MIOLE, AILYN LIMPUASAN </t>
  </si>
  <si>
    <t xml:space="preserve">MIOLE, CHOLITA PENASO </t>
  </si>
  <si>
    <t xml:space="preserve">MIOLE, ERNIE CABAJES </t>
  </si>
  <si>
    <t xml:space="preserve">MIOLE, JILSON CABAJES </t>
  </si>
  <si>
    <t xml:space="preserve">MIOLE, RODULFO CABAJES </t>
  </si>
  <si>
    <t xml:space="preserve">ORLASAN, LIZA ANGHAG </t>
  </si>
  <si>
    <t xml:space="preserve">PETALLAR, JESCEL POBADORA </t>
  </si>
  <si>
    <t xml:space="preserve">POBADORA, EDGAR DE PAZ </t>
  </si>
  <si>
    <t xml:space="preserve">POBADORA, EDITHA DE PAZ </t>
  </si>
  <si>
    <t xml:space="preserve">REDOBLE, ROLANDO  </t>
  </si>
  <si>
    <t xml:space="preserve">SALUTAN   , AMALIA REDOBLE </t>
  </si>
  <si>
    <t xml:space="preserve">SALUTAN   , MANILYN REDOBLE </t>
  </si>
  <si>
    <t xml:space="preserve">SALUTAN   , MELANIE HORNALES </t>
  </si>
  <si>
    <t xml:space="preserve">SALUTAN   , RUSHEL CUARESMA </t>
  </si>
  <si>
    <t xml:space="preserve">SELADES, VEVENCIO TEMPO </t>
  </si>
  <si>
    <t xml:space="preserve">SURIGAO, CRESSA PURGAS </t>
  </si>
  <si>
    <t xml:space="preserve">SURIGAO, ELDALYN  </t>
  </si>
  <si>
    <t xml:space="preserve">SURIGAO, JESSON PURGAS </t>
  </si>
  <si>
    <t xml:space="preserve">SURIGAO, JUNRIEL PURGAS </t>
  </si>
  <si>
    <t xml:space="preserve">SURIGAO, PAQUITO TEMPO </t>
  </si>
  <si>
    <t xml:space="preserve">TORREMOCHA, ANECITA  </t>
  </si>
  <si>
    <t xml:space="preserve">VACARO, JONALYN MASAGCA </t>
  </si>
  <si>
    <t xml:space="preserve">ADVINCULA, CORNELIO BALBEROS </t>
  </si>
  <si>
    <t xml:space="preserve">ALABAT, JUDELYN SULANO </t>
  </si>
  <si>
    <t xml:space="preserve">ARMA, MERARIE ORCALES </t>
  </si>
  <si>
    <t xml:space="preserve">BACARA, GREGORIA GAPUR </t>
  </si>
  <si>
    <t xml:space="preserve">BACARA, RICHARD GAPOR </t>
  </si>
  <si>
    <t xml:space="preserve">BALLESPIN, RODGELYN EBALE </t>
  </si>
  <si>
    <t xml:space="preserve">BAUSING, TEODOLO LLORCA </t>
  </si>
  <si>
    <t xml:space="preserve">CABAREBAN, LORDAN DACUTANAN </t>
  </si>
  <si>
    <t xml:space="preserve">CASAS, ARCHIE MONGAYA </t>
  </si>
  <si>
    <t xml:space="preserve">CASAS, VALENTINA MONGAYA </t>
  </si>
  <si>
    <t xml:space="preserve">CREENCIA, CORAZON BACARRA </t>
  </si>
  <si>
    <t xml:space="preserve">CUMBA, LETA GAGBO </t>
  </si>
  <si>
    <t xml:space="preserve">DACUTANAN, LENITO GAGBO </t>
  </si>
  <si>
    <t xml:space="preserve">DAPAR, GASPAR CANDA </t>
  </si>
  <si>
    <t xml:space="preserve">DAYO, MESIL CABANGGONAY </t>
  </si>
  <si>
    <t xml:space="preserve">EBALE, ROWEL BACARA </t>
  </si>
  <si>
    <t xml:space="preserve">EGAMAO, ALDIN KUYNO </t>
  </si>
  <si>
    <t xml:space="preserve">ELANO, PREMROSE MALAN </t>
  </si>
  <si>
    <t xml:space="preserve">ESCARIO, ROBERTO ORBESO </t>
  </si>
  <si>
    <t xml:space="preserve">ESTUBO, RAMIL PACONDO </t>
  </si>
  <si>
    <t xml:space="preserve">ESTUBO, ROWEL PACONDO </t>
  </si>
  <si>
    <t xml:space="preserve">FIDELES, CONIE ANINO </t>
  </si>
  <si>
    <t xml:space="preserve">GUMA, DANTE BALMORIA </t>
  </si>
  <si>
    <t xml:space="preserve">GUMAOD, GENEY PABURADA </t>
  </si>
  <si>
    <t xml:space="preserve">GUMAOD, MYRNA ALINSUNOD </t>
  </si>
  <si>
    <t xml:space="preserve">HERNANDEZ, EMMA ESTEBE </t>
  </si>
  <si>
    <t xml:space="preserve">HIGAYON, JUNELO CABRESA </t>
  </si>
  <si>
    <t xml:space="preserve">LABONG, NILO DACLES </t>
  </si>
  <si>
    <t xml:space="preserve">LINO, JESIL PABURADA </t>
  </si>
  <si>
    <t xml:space="preserve">LOQUINARIO, ELIZA SALUMAG </t>
  </si>
  <si>
    <t xml:space="preserve">LUCMONG, CHARES MAE  MONG </t>
  </si>
  <si>
    <t xml:space="preserve">MABANAN, JELITA GAGBO </t>
  </si>
  <si>
    <t xml:space="preserve">OCMIN, GERALDINE CREENCIA </t>
  </si>
  <si>
    <t xml:space="preserve">SITON, MARK ANTHONY BOLIDO </t>
  </si>
  <si>
    <t xml:space="preserve">SUAR, PRINCE MARK BUT-AY </t>
  </si>
  <si>
    <t xml:space="preserve">TABEROS, BALTAZAR DADO </t>
  </si>
  <si>
    <t xml:space="preserve">TABEROS, LORNA DADO </t>
  </si>
  <si>
    <t xml:space="preserve">TILLO, RAMIL LAORIO </t>
  </si>
  <si>
    <t xml:space="preserve">AÑONUEVO, GRACELYN MARTINITO </t>
  </si>
  <si>
    <t xml:space="preserve">AÑONUEVO, MARILYN ROXAS </t>
  </si>
  <si>
    <t xml:space="preserve">BESITULO, ZENIA ROJAS </t>
  </si>
  <si>
    <t xml:space="preserve">BUGAS, ANITA TACDER </t>
  </si>
  <si>
    <t xml:space="preserve">DEJON, NORMA CABASIS </t>
  </si>
  <si>
    <t xml:space="preserve">DONATO, RAFFY NAVAS </t>
  </si>
  <si>
    <t xml:space="preserve">ECLEO, JERON BESITULO </t>
  </si>
  <si>
    <t xml:space="preserve">ECO, ELISA COSE </t>
  </si>
  <si>
    <t xml:space="preserve">ESTOR, BENITA CELIS </t>
  </si>
  <si>
    <t xml:space="preserve">ESTORBA, ALFONSO ALQUIZAR </t>
  </si>
  <si>
    <t xml:space="preserve">FRANCO, MYRNA MONTERMOSO </t>
  </si>
  <si>
    <t xml:space="preserve">GILBERO, ROLLY MASIN </t>
  </si>
  <si>
    <t xml:space="preserve">GLICO, APOLINARIO BUGAIS </t>
  </si>
  <si>
    <t xml:space="preserve">GLICO, JULIUS ESCOBIDO </t>
  </si>
  <si>
    <t xml:space="preserve">MABANAG, ARLYN SALUDO </t>
  </si>
  <si>
    <t xml:space="preserve">MASIN, LISA MONTERMOSO </t>
  </si>
  <si>
    <t xml:space="preserve">MASIN, LOWEY MONTERMOSO </t>
  </si>
  <si>
    <t xml:space="preserve">MENARDO, VICKY ESTRELLA </t>
  </si>
  <si>
    <t xml:space="preserve">MINARDO, BOBBY CABAJES </t>
  </si>
  <si>
    <t xml:space="preserve">MINARDO, JOSE SANDY CABAJES </t>
  </si>
  <si>
    <t xml:space="preserve">MINARDO, RUFINA CABAJES </t>
  </si>
  <si>
    <t xml:space="preserve">MONREAL, BONIFACIO BACSIBIO </t>
  </si>
  <si>
    <t xml:space="preserve">MONTERMOSO, BETLIHEM CABANLIT </t>
  </si>
  <si>
    <t xml:space="preserve">MONTERMOSO, EUDESA CABANLIT </t>
  </si>
  <si>
    <t xml:space="preserve">MONTERMOSO, HARIEZ CAJEGAS </t>
  </si>
  <si>
    <t xml:space="preserve">PADULLON, CHONA SAMBOANG </t>
  </si>
  <si>
    <t xml:space="preserve">POLANGCO, GLORIA MAHINAY </t>
  </si>
  <si>
    <t xml:space="preserve">SAMBONG, CIRELA BIONG </t>
  </si>
  <si>
    <t xml:space="preserve">SAQUITA, ARGIE BRENIO </t>
  </si>
  <si>
    <t xml:space="preserve">SECOBOS, JIMMY MONTERMOSO </t>
  </si>
  <si>
    <t>TABUGON, BERLINO CABAJES JR.</t>
  </si>
  <si>
    <t xml:space="preserve">TABUGON, MA. CATHERINE PIEDAD </t>
  </si>
  <si>
    <t xml:space="preserve">TOREMOCHA, LEONA ABADINGO </t>
  </si>
  <si>
    <t xml:space="preserve">TORREMOCHA, DALIA MOTERMOSO </t>
  </si>
  <si>
    <t xml:space="preserve">VILLASIS, JOSEPHINE MASIN </t>
  </si>
  <si>
    <t xml:space="preserve">ABIA, AGUSTIN MACAYA </t>
  </si>
  <si>
    <t xml:space="preserve">AGOCOY, FIDEL ALERIA </t>
  </si>
  <si>
    <t xml:space="preserve">AGOCOY, JOSELITO TABAT </t>
  </si>
  <si>
    <t xml:space="preserve">AUGUIS , MARTINA TURAN </t>
  </si>
  <si>
    <t xml:space="preserve">BALINGIT, ROLAND ORTIZ </t>
  </si>
  <si>
    <t xml:space="preserve">BANDAYAN, BEBIANA CABATLAO </t>
  </si>
  <si>
    <t>CABAJES, ROBERTO  GERANDOY SR</t>
  </si>
  <si>
    <t xml:space="preserve">GAIN, LITA CRIS LACAY </t>
  </si>
  <si>
    <t xml:space="preserve">GALING, VENTURADA TOLEDO </t>
  </si>
  <si>
    <t xml:space="preserve">LACAY, LETECIA LABONG </t>
  </si>
  <si>
    <t xml:space="preserve">LLAMERA, SERLITA SIBONGA </t>
  </si>
  <si>
    <t xml:space="preserve">MIRALLES, REA JANDOC </t>
  </si>
  <si>
    <t xml:space="preserve">PAYAO, MARIBEL LABINE </t>
  </si>
  <si>
    <t xml:space="preserve">PEDERE, EDNA SOTTO </t>
  </si>
  <si>
    <t xml:space="preserve">RODRIGUEZ, JOSEPHINE REBOLLOS </t>
  </si>
  <si>
    <t xml:space="preserve">SEGALA, MONALIZA TEǸEDO </t>
  </si>
  <si>
    <t xml:space="preserve">SOTTO, JOVELYN ABLING </t>
  </si>
  <si>
    <t xml:space="preserve">AGAD, PERFERIO SERENTAS </t>
  </si>
  <si>
    <t xml:space="preserve">ALCANSADO, ERNIE GECA </t>
  </si>
  <si>
    <t xml:space="preserve">ALISLA, MELY RUWADO </t>
  </si>
  <si>
    <t>ANDALES, MARIANO GUMADLAS SR</t>
  </si>
  <si>
    <t xml:space="preserve">ANGCAY, LUCY PAT </t>
  </si>
  <si>
    <t xml:space="preserve">ARCELLAS, JOCELYN AMPO </t>
  </si>
  <si>
    <t xml:space="preserve">ARCELLAS, SANTA LOPEZ </t>
  </si>
  <si>
    <t xml:space="preserve">ARCISO, AILYN ALBORO </t>
  </si>
  <si>
    <t xml:space="preserve">ARDIMER, GUIRELO LIMGANAY </t>
  </si>
  <si>
    <t xml:space="preserve">ARDIMER, JEM CAŇABANO </t>
  </si>
  <si>
    <t xml:space="preserve">ARDIMER, RODILLA ABING </t>
  </si>
  <si>
    <t xml:space="preserve">ARENA, ROLDAN PEBIONES </t>
  </si>
  <si>
    <t xml:space="preserve">ARENA, ROSALYN EBALE </t>
  </si>
  <si>
    <t xml:space="preserve">AREVALO, RONEL REBATADO </t>
  </si>
  <si>
    <t xml:space="preserve">BALAZO, DAISY BOLAMBAO </t>
  </si>
  <si>
    <t xml:space="preserve">BALUYA, LENDIE MARCO </t>
  </si>
  <si>
    <t xml:space="preserve">BARJA, JAYROME TOLENTINO </t>
  </si>
  <si>
    <t xml:space="preserve">BAYER, MARIEL PARCERO </t>
  </si>
  <si>
    <t xml:space="preserve">BIORE, PRINTAN D </t>
  </si>
  <si>
    <t xml:space="preserve">BOLAMBAO, DIOSDADO RALINGTING </t>
  </si>
  <si>
    <t xml:space="preserve">BOLANTE, ROLDAN PAROHINOG </t>
  </si>
  <si>
    <t>BORDOMEO, ALFREDO  BARIL JR</t>
  </si>
  <si>
    <t>BORDOMEO, ALFREDO  BARIL SR</t>
  </si>
  <si>
    <t xml:space="preserve">BORDOMEO, HELEN SIAREZ </t>
  </si>
  <si>
    <t xml:space="preserve">BORDOMEO, REY BARIL </t>
  </si>
  <si>
    <t xml:space="preserve">BOTER, ROLAN ARNEJO </t>
  </si>
  <si>
    <t xml:space="preserve">BOTER, VIOLETA ARNEJO </t>
  </si>
  <si>
    <t>BUENO, PAQUITO PEROS JR</t>
  </si>
  <si>
    <t xml:space="preserve">CAGADAS, NILO DIGAL </t>
  </si>
  <si>
    <t xml:space="preserve">CAIN, DANILO LUCENSIO </t>
  </si>
  <si>
    <t xml:space="preserve">CAITUM, HELENITA LUMENARIO </t>
  </si>
  <si>
    <t xml:space="preserve">CAITUM, JOELITO OBBUS </t>
  </si>
  <si>
    <t xml:space="preserve">CAITUM, JULIUS JAMERA </t>
  </si>
  <si>
    <t xml:space="preserve">CAITUM, ROSALIE ABAD </t>
  </si>
  <si>
    <t xml:space="preserve">CAJOLO, MARITA LUMBRA </t>
  </si>
  <si>
    <t xml:space="preserve">CANILLO, ANALIZA ARDIMER </t>
  </si>
  <si>
    <t xml:space="preserve">CANILLO, VANESSA ARDIMER </t>
  </si>
  <si>
    <t xml:space="preserve">CANOY, ELLIROSE MANGOGTONG </t>
  </si>
  <si>
    <t xml:space="preserve">CASAǸA, MA. GINA CANILLO </t>
  </si>
  <si>
    <t xml:space="preserve">CASIMSIMAN, ORLYN LLAMERA </t>
  </si>
  <si>
    <t xml:space="preserve">CERILO, ROWIE VENTURA </t>
  </si>
  <si>
    <t xml:space="preserve">CERNA, SERIO TAONES </t>
  </si>
  <si>
    <t xml:space="preserve">COLES, ELISA CABAJES </t>
  </si>
  <si>
    <t xml:space="preserve">COLES, ROSE ARNEJO </t>
  </si>
  <si>
    <t xml:space="preserve">CONALES, TEOFISTA COLES </t>
  </si>
  <si>
    <t xml:space="preserve">CONDAO, PALOMAR B </t>
  </si>
  <si>
    <t>CUIZON, DELFIN ROXAS JR</t>
  </si>
  <si>
    <t xml:space="preserve">CUIZON, JESON BENSAL </t>
  </si>
  <si>
    <t xml:space="preserve">CUIZON, PETER ROXAS </t>
  </si>
  <si>
    <t xml:space="preserve">DADOR, ALOYAN COLES </t>
  </si>
  <si>
    <t xml:space="preserve">DALOGDOG, JOSEL LLANO </t>
  </si>
  <si>
    <t xml:space="preserve">DAMI, LEONORA LLANO </t>
  </si>
  <si>
    <t xml:space="preserve">DIALDE, CONCORDIA LLANA </t>
  </si>
  <si>
    <t xml:space="preserve">DIALDE, JAMICA B </t>
  </si>
  <si>
    <t xml:space="preserve">DOGMOC, RIXLEE MARCO </t>
  </si>
  <si>
    <t xml:space="preserve">EBALE, ANALY MAHOMETANO </t>
  </si>
  <si>
    <t xml:space="preserve">EBALE, JOMAR QUALTEROS </t>
  </si>
  <si>
    <t xml:space="preserve">EBALE, JOSECA QUALTERO </t>
  </si>
  <si>
    <t xml:space="preserve">EBALE, RUBIEJEN MAHOMETANO </t>
  </si>
  <si>
    <t xml:space="preserve">EBALLENA, MELESSA PELAYO </t>
  </si>
  <si>
    <t xml:space="preserve">ESRAEL, GLECY ROSE DEGUERA </t>
  </si>
  <si>
    <t xml:space="preserve">ESRAEL, LUSELLIE ABELIDAS </t>
  </si>
  <si>
    <t xml:space="preserve">ESRAEL, ROCKEFILER BALUMAGAN </t>
  </si>
  <si>
    <t xml:space="preserve">ESTUBO, ROGELIO AYONGAO </t>
  </si>
  <si>
    <t xml:space="preserve">GANACIAL, ALMA VILLALON </t>
  </si>
  <si>
    <t xml:space="preserve">GELLA, CHARLENE PACUNLA </t>
  </si>
  <si>
    <t xml:space="preserve">GESOLGA, LUCIANA LUMENARIO </t>
  </si>
  <si>
    <t xml:space="preserve">GESOLGA, RIZA LUMENARIO </t>
  </si>
  <si>
    <t xml:space="preserve">GONATO, JOEL GARCIANO </t>
  </si>
  <si>
    <t xml:space="preserve">GORAIS, DAISM LLANO </t>
  </si>
  <si>
    <t xml:space="preserve">GORIDING, ANITA FIDELES </t>
  </si>
  <si>
    <t xml:space="preserve">GORIDING, GREGORIO MARCO </t>
  </si>
  <si>
    <t xml:space="preserve">JABAY, SOLIDAD ONEPA </t>
  </si>
  <si>
    <t xml:space="preserve">JURADO, ILLUMINADA TUDA </t>
  </si>
  <si>
    <t xml:space="preserve">LAXINA, MARISA EBALE </t>
  </si>
  <si>
    <t xml:space="preserve">LLAMERA, JENEROSE CASLIB </t>
  </si>
  <si>
    <t xml:space="preserve">LLAMERA, LARRY BONITE </t>
  </si>
  <si>
    <t xml:space="preserve">LLANO, DALIMA FIDELES </t>
  </si>
  <si>
    <t xml:space="preserve">LLANO, KEN JEFSON  FIDELES </t>
  </si>
  <si>
    <t xml:space="preserve">LLANO, PERFERIA GUITIGOLAO </t>
  </si>
  <si>
    <t xml:space="preserve">LLANTO, RICHNIEL PAREJA </t>
  </si>
  <si>
    <t xml:space="preserve">LOPEZ, JAJARA CAŇO </t>
  </si>
  <si>
    <t xml:space="preserve">LUBIANO, JENALYN CAŇO </t>
  </si>
  <si>
    <t xml:space="preserve">LUBIANO, ROMEO ARNIJO </t>
  </si>
  <si>
    <t xml:space="preserve">LUMBRA, ROMEO HANTICO </t>
  </si>
  <si>
    <t xml:space="preserve">MAGPULONG, SUFRINO NARIT </t>
  </si>
  <si>
    <t xml:space="preserve">MAHINAY, JUNALYN TOLENTINO </t>
  </si>
  <si>
    <t xml:space="preserve">MAICO, NEYZA  </t>
  </si>
  <si>
    <t xml:space="preserve">MALASIBAS, ROBERT LUMAMPAO </t>
  </si>
  <si>
    <t xml:space="preserve">MALASIBAS, TERESITA LUMAMPAO </t>
  </si>
  <si>
    <t xml:space="preserve">MALAY, EDGAR P </t>
  </si>
  <si>
    <t xml:space="preserve">MALUPING, ALONA BALBERINO </t>
  </si>
  <si>
    <t>MARCO, WILFREDO CATARININ SR</t>
  </si>
  <si>
    <t xml:space="preserve">MARQUIZO, CHAMVILYN BAYER </t>
  </si>
  <si>
    <t xml:space="preserve">MATURAN, LEAH FLORENDO </t>
  </si>
  <si>
    <t xml:space="preserve">MERCEDES, TOEDORA LLANO </t>
  </si>
  <si>
    <t xml:space="preserve">MOLATO, PAULINA BOLAMBAO </t>
  </si>
  <si>
    <t xml:space="preserve">PACUNLA, SANDRA CANOY </t>
  </si>
  <si>
    <t xml:space="preserve">PACUNLA, YONICE DENOLAN </t>
  </si>
  <si>
    <t xml:space="preserve">PATUAL, ADONES EVALE </t>
  </si>
  <si>
    <t xml:space="preserve">PELAYO, FRANCISCA JURADO </t>
  </si>
  <si>
    <t xml:space="preserve">PILLODAR, RENEBOY MARCO </t>
  </si>
  <si>
    <t xml:space="preserve">RAFAEL, RODILLO H </t>
  </si>
  <si>
    <t xml:space="preserve">RIǸOS, JOSELITO MAICO </t>
  </si>
  <si>
    <t xml:space="preserve">RIǸOS, MARIA T </t>
  </si>
  <si>
    <t xml:space="preserve">RIǸOZ, MARIA TIJAMO </t>
  </si>
  <si>
    <t xml:space="preserve">RODRIQUEZ, ARNEL DIGMAN </t>
  </si>
  <si>
    <t>ROME, TIGCUMAN SANCHEZ SR</t>
  </si>
  <si>
    <t xml:space="preserve">ROSALES, MARIA SERINIO </t>
  </si>
  <si>
    <t xml:space="preserve">ROSALES, MAXIMO GERSANO </t>
  </si>
  <si>
    <t xml:space="preserve">SABAL, AGUSTINA GORIDING </t>
  </si>
  <si>
    <t xml:space="preserve">SANCHEZ, MELVIN MARFE </t>
  </si>
  <si>
    <t xml:space="preserve">SANTOS, MARY-ANN A </t>
  </si>
  <si>
    <t xml:space="preserve">SELISANA, JENNIFER LLAMERA </t>
  </si>
  <si>
    <t xml:space="preserve">SELISANA, JONAS G </t>
  </si>
  <si>
    <t xml:space="preserve">SEPE, JORGE GORIDING </t>
  </si>
  <si>
    <t xml:space="preserve">SEVILLA, LUCITA SALIDO </t>
  </si>
  <si>
    <t xml:space="preserve">SEVILLEJO, LUCITA SALIDO </t>
  </si>
  <si>
    <t xml:space="preserve">SIAREZ, CERILIA RUSIANA </t>
  </si>
  <si>
    <t xml:space="preserve">SUGABO, CHERSTAL ORTIGA </t>
  </si>
  <si>
    <t xml:space="preserve">TAGBILARAN, MERALUNA DALODOG </t>
  </si>
  <si>
    <t xml:space="preserve">TALISIC, JOEL S </t>
  </si>
  <si>
    <t xml:space="preserve">TERADO, FELYCOR LUBIANO </t>
  </si>
  <si>
    <t xml:space="preserve">TOLDA, JOLITA SALIDO </t>
  </si>
  <si>
    <t xml:space="preserve">TOREMOCHA, MARIO DIALDE </t>
  </si>
  <si>
    <t xml:space="preserve">TULDA, MARCELINA JURADO </t>
  </si>
  <si>
    <t xml:space="preserve">VASQUEZ, AURELIO SERVO </t>
  </si>
  <si>
    <t xml:space="preserve">VILLANUEVA, REGGEN SEPE </t>
  </si>
  <si>
    <t xml:space="preserve">VILLAR, WINMAR ESCALA </t>
  </si>
  <si>
    <t xml:space="preserve">VILLARICO, CELIA JEMINA </t>
  </si>
  <si>
    <t xml:space="preserve">WABE, RICHARD DAGATIOSO </t>
  </si>
  <si>
    <t xml:space="preserve">YANONG, JR LUMBRA </t>
  </si>
  <si>
    <t xml:space="preserve">YEBAN, NORA ALINICADO </t>
  </si>
  <si>
    <t xml:space="preserve">ALMEDA, NIEL BANDOY </t>
  </si>
  <si>
    <t xml:space="preserve">BESINGA, ROMEO QUINALE </t>
  </si>
  <si>
    <t>BULLO, MARCELINO CAYUMO SR.</t>
  </si>
  <si>
    <t xml:space="preserve">CATULAY, ALDENITO PLAZA </t>
  </si>
  <si>
    <t>CAYUMO, ROLANDO LECONG JR.</t>
  </si>
  <si>
    <t xml:space="preserve">EGAMAO, REMEDIOS ESTUBO </t>
  </si>
  <si>
    <t>ESTUBO, ARNOLD MALUBAY SR.</t>
  </si>
  <si>
    <t xml:space="preserve">ESTUBO, CECELIA AYONGAO </t>
  </si>
  <si>
    <t xml:space="preserve">ESTUBO, JESSIE MALUBAY </t>
  </si>
  <si>
    <t xml:space="preserve">ESTUBO, JOSE JR. CAYUMO </t>
  </si>
  <si>
    <t xml:space="preserve">ESTUBO, RAMEL GALINZOGA </t>
  </si>
  <si>
    <t xml:space="preserve">ESTUBO, ROMEO AYONGAO </t>
  </si>
  <si>
    <t xml:space="preserve">ESTUBO, RONIE AYONGAO </t>
  </si>
  <si>
    <t xml:space="preserve">ESTUBO, RONIE GALINZOGA </t>
  </si>
  <si>
    <t xml:space="preserve">GEMAO, ANTONIO ESCALERA </t>
  </si>
  <si>
    <t xml:space="preserve">GEMAO, MARIO ESCALERA </t>
  </si>
  <si>
    <t xml:space="preserve">LECONG, CARMELITA MALUBAY </t>
  </si>
  <si>
    <t xml:space="preserve">LECONG, JUNREL MALUBAY </t>
  </si>
  <si>
    <t xml:space="preserve">LECONG, ROEL TRAJANO </t>
  </si>
  <si>
    <t xml:space="preserve">LICONG, LETECIA MENDOZA </t>
  </si>
  <si>
    <t xml:space="preserve">MADRONA, JOHNRY PURGAS </t>
  </si>
  <si>
    <t xml:space="preserve">MADRONA, MERA PURGAS </t>
  </si>
  <si>
    <t xml:space="preserve">MIOLE, RONEL MATURAN </t>
  </si>
  <si>
    <t xml:space="preserve">PURGAS, ARNEL SACRO </t>
  </si>
  <si>
    <t xml:space="preserve">PURGAS, JAY-ANN YANAG </t>
  </si>
  <si>
    <t xml:space="preserve">PURGAS, JOVANIE YANAG </t>
  </si>
  <si>
    <t xml:space="preserve">PURGAS, LOSENDO DOGMOC </t>
  </si>
  <si>
    <t xml:space="preserve">PURGAS, PRUDENCIO DOGMOC </t>
  </si>
  <si>
    <t xml:space="preserve">QUINALE, ANDY MADRONA </t>
  </si>
  <si>
    <t xml:space="preserve">QUINALE, MONILLO MADRONA </t>
  </si>
  <si>
    <t xml:space="preserve">RAMOS, CHERYL ESTUBO </t>
  </si>
  <si>
    <t xml:space="preserve">RAMOS, RAMONCITO PESTAÑO </t>
  </si>
  <si>
    <t xml:space="preserve">RAMOS, RICHARD ESTUBO </t>
  </si>
  <si>
    <t xml:space="preserve">RUBIO, ARTEMIO ESTUBO </t>
  </si>
  <si>
    <t xml:space="preserve">SOTTO, ISIDRO ORACION </t>
  </si>
  <si>
    <t xml:space="preserve">SURIGAO, LONIE MENDOZA </t>
  </si>
  <si>
    <t xml:space="preserve">YANAG, ROSEMARIE  </t>
  </si>
  <si>
    <t xml:space="preserve">YANAG, TREANNJIE ESTUBO </t>
  </si>
  <si>
    <t xml:space="preserve">ABESTRO, GLORIA GUTABA </t>
  </si>
  <si>
    <t xml:space="preserve">ALOM, ARCILY HALIPOT </t>
  </si>
  <si>
    <t xml:space="preserve">ARAÑEZ, ROSIEL LORA </t>
  </si>
  <si>
    <t xml:space="preserve">BACABAG, JUBIN TOMLOD </t>
  </si>
  <si>
    <t xml:space="preserve">BACSAN, CHARLYN SASABAN </t>
  </si>
  <si>
    <t xml:space="preserve">BALBEROS, DIONISIO SEGARA </t>
  </si>
  <si>
    <t xml:space="preserve">BALINGIT, HELINA ORTIZ </t>
  </si>
  <si>
    <t xml:space="preserve">BENZON, APRIL PAYAO </t>
  </si>
  <si>
    <t xml:space="preserve">BENZON, JOSEPHINE PAYAO </t>
  </si>
  <si>
    <t xml:space="preserve">BUCOG, LUZVIMINDA BENZON </t>
  </si>
  <si>
    <t xml:space="preserve">BULCASE, JEAN   GALLO </t>
  </si>
  <si>
    <t>BULCASE, PRIMITIVO DAYUCOS JR.</t>
  </si>
  <si>
    <t xml:space="preserve">BULCASE, SALVACION DACATIMBAN </t>
  </si>
  <si>
    <t xml:space="preserve">CABALAN, ANA- MARIE PALTIQUERA </t>
  </si>
  <si>
    <t xml:space="preserve">CALOT, MERLINA CALVO </t>
  </si>
  <si>
    <t xml:space="preserve">CAÑETE, ELVIRA LACRE </t>
  </si>
  <si>
    <t xml:space="preserve">CASOCOT, ALBERTO AURIT </t>
  </si>
  <si>
    <t xml:space="preserve">CASUCOT, BENEDICTA POLESTICO </t>
  </si>
  <si>
    <t xml:space="preserve">CASUCOT, RITCHEL CABAEL </t>
  </si>
  <si>
    <t xml:space="preserve">CREDO, DENIE DACLES </t>
  </si>
  <si>
    <t xml:space="preserve">CURIA, NORMA EUGENIO </t>
  </si>
  <si>
    <t xml:space="preserve">DACATIMBAN, FILOMENO FABRIGAR </t>
  </si>
  <si>
    <t xml:space="preserve">DACATIMBAN, RACKY MABANAN </t>
  </si>
  <si>
    <t xml:space="preserve">DACLES, CRISTINE CERBITO </t>
  </si>
  <si>
    <t xml:space="preserve">DACULLO, IRENE NOGAS </t>
  </si>
  <si>
    <t xml:space="preserve">DACULLO, ROMULO ASINAS </t>
  </si>
  <si>
    <t xml:space="preserve">DACUTANAN, MAILITO GAGBO </t>
  </si>
  <si>
    <t xml:space="preserve">DACUTANAN, MANILYN DACATEMBAN </t>
  </si>
  <si>
    <t xml:space="preserve">DACUTANAN, MARCELO ABAYOG </t>
  </si>
  <si>
    <t xml:space="preserve">DACUTANAN, MERLINA LLANOS </t>
  </si>
  <si>
    <t xml:space="preserve">DACUTANAN, RODRIGO ABAYOG </t>
  </si>
  <si>
    <t xml:space="preserve">DACUTANAN, ROGELIO GAGBO </t>
  </si>
  <si>
    <t xml:space="preserve">DULIM, JOSEPH   IMFANTE </t>
  </si>
  <si>
    <t xml:space="preserve">DULIM, MERRY JOICE DACUTANAN </t>
  </si>
  <si>
    <t xml:space="preserve">EGAMAO, BEATRIZ NOGAS </t>
  </si>
  <si>
    <t xml:space="preserve">EMPON, IMELDA MOLDES </t>
  </si>
  <si>
    <t xml:space="preserve">EMPON, NATIVIDAD TEJONES </t>
  </si>
  <si>
    <t xml:space="preserve">EMPON, RODEL   TEJONES </t>
  </si>
  <si>
    <t xml:space="preserve">EMPON, ROMNICK TEJONES </t>
  </si>
  <si>
    <t xml:space="preserve">FLORES, NECEL DACATIMBAN </t>
  </si>
  <si>
    <t xml:space="preserve">FLORES, VILMA ALIBO </t>
  </si>
  <si>
    <t xml:space="preserve">GAL, MELOU ELIZALDE </t>
  </si>
  <si>
    <t xml:space="preserve">GONZALES, BERNARDITA SOÑAR </t>
  </si>
  <si>
    <t xml:space="preserve">GUBOT, ROSENDO SALINAS </t>
  </si>
  <si>
    <t xml:space="preserve">HALIPOT, MARICHEL CADALSO </t>
  </si>
  <si>
    <t xml:space="preserve">IGDALINO, ANGEL JABEÑAR </t>
  </si>
  <si>
    <t xml:space="preserve">IGDALINO, JOJACK DACUTANAN </t>
  </si>
  <si>
    <t xml:space="preserve">JABIÑAR, REYNATO LABENI </t>
  </si>
  <si>
    <t xml:space="preserve">JAMERA, ERALYN MAHINAY </t>
  </si>
  <si>
    <t xml:space="preserve">LABISTO, GENLIN DELA PENA </t>
  </si>
  <si>
    <t xml:space="preserve">LASTIMOSO, VICTORIANO NAVARRO </t>
  </si>
  <si>
    <t xml:space="preserve">LIMBAGO, BEFE NUGAS </t>
  </si>
  <si>
    <t xml:space="preserve">LIMBAGO, LUZVIMINDA NUGAS </t>
  </si>
  <si>
    <t xml:space="preserve">LIMBAGO, VIRGILIO PEDRABUENA </t>
  </si>
  <si>
    <t xml:space="preserve">LLANOS, CORAZON PALOMAR </t>
  </si>
  <si>
    <t xml:space="preserve">MANGOROBAN, PORCESO ARQUIZAR </t>
  </si>
  <si>
    <t xml:space="preserve">MANOCAY, PIPETO PABUA </t>
  </si>
  <si>
    <t xml:space="preserve">MENDOZA, MORICIO GERANCE </t>
  </si>
  <si>
    <t xml:space="preserve">MONTUERTO, GAUDIOSO PILAPIL </t>
  </si>
  <si>
    <t xml:space="preserve">MORALES, LOURDES COSIDO </t>
  </si>
  <si>
    <t xml:space="preserve">NABASCA, EMMA   OCTABIO </t>
  </si>
  <si>
    <t xml:space="preserve">NUÑEZ, BELEN ALFARO </t>
  </si>
  <si>
    <t xml:space="preserve">NUÑEZ, ROBELYN BRINA </t>
  </si>
  <si>
    <t xml:space="preserve">PABUA, ALDWIN YTING </t>
  </si>
  <si>
    <t xml:space="preserve">PABUA, CHARLITO DACUTANAN </t>
  </si>
  <si>
    <t>PABUA, ENGRACIO DACUTANAN JR.</t>
  </si>
  <si>
    <t xml:space="preserve">PABUA, TERESITA MAGLINTE </t>
  </si>
  <si>
    <t xml:space="preserve">PALTIQUERA, NEMECIA CUTAB </t>
  </si>
  <si>
    <t xml:space="preserve">PASCULADO, JESSA CABANTOGAN </t>
  </si>
  <si>
    <t xml:space="preserve">PAYAO, MARICRIS MANGOROBAN </t>
  </si>
  <si>
    <t xml:space="preserve">PISNGOT, JULITA RUBENECIA </t>
  </si>
  <si>
    <t xml:space="preserve">PONCE, GERALDINE GASPAR </t>
  </si>
  <si>
    <t xml:space="preserve">QUIRITAN, CRIZALYN DACLES </t>
  </si>
  <si>
    <t xml:space="preserve">QUIRITAN, MAGDALINA TAGAPAN </t>
  </si>
  <si>
    <t xml:space="preserve">ROMO, IRENE HALIPOT </t>
  </si>
  <si>
    <t xml:space="preserve">ROMO, JONEZA CASUCOT </t>
  </si>
  <si>
    <t xml:space="preserve">ROMO, SHIRLEY FUERTES </t>
  </si>
  <si>
    <t xml:space="preserve">SAGING, JOSEPHER JAGUNAL </t>
  </si>
  <si>
    <t xml:space="preserve">SIALANA, ALMERA  </t>
  </si>
  <si>
    <t xml:space="preserve">SIALANA, ROSEMARIE  </t>
  </si>
  <si>
    <t xml:space="preserve">SILVA, GINA APILLAS </t>
  </si>
  <si>
    <t xml:space="preserve">SOLON, ROMIEPHINE ABULE </t>
  </si>
  <si>
    <t xml:space="preserve">TAGALACIA, ALECIA CASTILLO </t>
  </si>
  <si>
    <t xml:space="preserve">TAGAPAN, BEBIANA BUÑE </t>
  </si>
  <si>
    <t xml:space="preserve">TANGUIHAN, BERNALYN DALEON </t>
  </si>
  <si>
    <t xml:space="preserve">TELMO, HONNY SEMBRANO </t>
  </si>
  <si>
    <t xml:space="preserve">AÑONUEVO, AARON SAMEJON </t>
  </si>
  <si>
    <t xml:space="preserve">AÑONUEVO, ESTINO SAMEJON </t>
  </si>
  <si>
    <t xml:space="preserve">AÑONUEVO, GRESILDA BULAHAN </t>
  </si>
  <si>
    <t xml:space="preserve">AÑONUEVO, JONATHAN SAMEJON </t>
  </si>
  <si>
    <t xml:space="preserve">APAD, LERIO CELESTIAL </t>
  </si>
  <si>
    <t xml:space="preserve">BISNAR, ROEL MESO </t>
  </si>
  <si>
    <t xml:space="preserve">BOGAIS, BELINDA GALUPO </t>
  </si>
  <si>
    <t xml:space="preserve">BUTALON, ALEX MACALES </t>
  </si>
  <si>
    <t xml:space="preserve">CABAJES, JONABEL ECLEO </t>
  </si>
  <si>
    <t xml:space="preserve">CANEDO, MERCIDITA CANCELLER </t>
  </si>
  <si>
    <t xml:space="preserve">GLICO, CHAM MACALES </t>
  </si>
  <si>
    <t xml:space="preserve">GLICO, GEDION MACALES </t>
  </si>
  <si>
    <t xml:space="preserve">GLICO, GERLYN MACALES </t>
  </si>
  <si>
    <t xml:space="preserve">GLICO, JOTHAM MACALES </t>
  </si>
  <si>
    <t xml:space="preserve">GLICO, REWEL MACALES </t>
  </si>
  <si>
    <t xml:space="preserve">GORIDING, ALAN AÑONUEVO </t>
  </si>
  <si>
    <t xml:space="preserve">GORIDING, RUDY AÑONUEVO </t>
  </si>
  <si>
    <t xml:space="preserve">GORIDING, SUSANA ULTADO </t>
  </si>
  <si>
    <t>LOPEZ, EUSTIQUIO CABAJES JR.</t>
  </si>
  <si>
    <t xml:space="preserve">LUTA, CHEERYL MAY DACO </t>
  </si>
  <si>
    <t xml:space="preserve">LUTA, EDWIN PREDOG </t>
  </si>
  <si>
    <t xml:space="preserve">MACALES, EMILIO AÑONUEVO </t>
  </si>
  <si>
    <t xml:space="preserve">MIOLE, ELIO MATURAN </t>
  </si>
  <si>
    <t xml:space="preserve">MIOLE, JONALYN CABAJES </t>
  </si>
  <si>
    <t xml:space="preserve">PEDORES, LEONARDO MACALES </t>
  </si>
  <si>
    <t xml:space="preserve">REÑON, FERKIN PELARIOS </t>
  </si>
  <si>
    <t xml:space="preserve">SABIANO, EVELYN AÑONUEVO </t>
  </si>
  <si>
    <t xml:space="preserve">ALABA, MARILYN ODLIME </t>
  </si>
  <si>
    <t xml:space="preserve">ANAJAO, SALIE ESPEJON </t>
  </si>
  <si>
    <t xml:space="preserve">BLANCO, LOLITA LEE </t>
  </si>
  <si>
    <t xml:space="preserve">CODELLA, REY-AN BESITULO </t>
  </si>
  <si>
    <t xml:space="preserve">EBUÑA, EDNA CABAJES </t>
  </si>
  <si>
    <t xml:space="preserve">EDULAN, ANNABELLE LLAMERA </t>
  </si>
  <si>
    <t xml:space="preserve">EDULAN, MARY ROSE LLAMERA </t>
  </si>
  <si>
    <t xml:space="preserve">ESPEJON, JOSEPHINE APAT </t>
  </si>
  <si>
    <t xml:space="preserve">LANGIT, CLIMACO EBRAO </t>
  </si>
  <si>
    <t xml:space="preserve">MAGALLANES, VIOLETA FEDILES </t>
  </si>
  <si>
    <t xml:space="preserve">PASO, GLORIJEAN CORCIEGA </t>
  </si>
  <si>
    <t xml:space="preserve">PATENTES, GEMMA DUMANJOG </t>
  </si>
  <si>
    <t xml:space="preserve">PLARISAN, LETECIA CORCIEGA </t>
  </si>
  <si>
    <t xml:space="preserve">TUYOR, ROSELYN ESPEJON </t>
  </si>
  <si>
    <t xml:space="preserve">ABAD, CRISTINA RODRIGO </t>
  </si>
  <si>
    <t xml:space="preserve">ABARCA, ALBINA ARISGA </t>
  </si>
  <si>
    <t xml:space="preserve">ABARCA, ALLAN ARISGA </t>
  </si>
  <si>
    <t xml:space="preserve">ABENOJA, EMELITA LORSANO </t>
  </si>
  <si>
    <t xml:space="preserve">ACENAS, JOEL ZARATE </t>
  </si>
  <si>
    <t xml:space="preserve">AMPATIN, GERALDO GUIBON </t>
  </si>
  <si>
    <t xml:space="preserve">APAD, ELIAZAR CELESTIAL </t>
  </si>
  <si>
    <t xml:space="preserve">APAD, LIEZEL SALVE </t>
  </si>
  <si>
    <t xml:space="preserve">BAG-AO, LALYN  GALINZOGA </t>
  </si>
  <si>
    <t xml:space="preserve">BATTAD, FEDERICO PASCUAL </t>
  </si>
  <si>
    <t xml:space="preserve">BETONIO, JULIETA BONOTAN </t>
  </si>
  <si>
    <t xml:space="preserve">BETOS, ROLANDO GERSANO </t>
  </si>
  <si>
    <t xml:space="preserve">BIARE, ALFREDO SUPERALES </t>
  </si>
  <si>
    <t xml:space="preserve">BIARE, AMADO SUPERALES </t>
  </si>
  <si>
    <t xml:space="preserve">BISNAR, FLORO CABAJES </t>
  </si>
  <si>
    <t xml:space="preserve">CABAJES, MARLON GARCIA </t>
  </si>
  <si>
    <t xml:space="preserve">CABAJES, RANIL BAGACAY </t>
  </si>
  <si>
    <t xml:space="preserve">CABAJES, ROSITA BAGACAY </t>
  </si>
  <si>
    <t xml:space="preserve">CABAJES, ZALDY BAGACAY </t>
  </si>
  <si>
    <t xml:space="preserve">CABAJES, ZULITA JAVIDO </t>
  </si>
  <si>
    <t xml:space="preserve">CABAS, ALDRIN AMPORIAS </t>
  </si>
  <si>
    <t xml:space="preserve">CAIGOY, RONITA AMPORIAS </t>
  </si>
  <si>
    <t xml:space="preserve">CANETE, BENEDECTO SOCO </t>
  </si>
  <si>
    <t xml:space="preserve">CANETE, MARILYN ONGKIT </t>
  </si>
  <si>
    <t xml:space="preserve">CAPURAS, ARTURO DESAMPARADO </t>
  </si>
  <si>
    <t xml:space="preserve">CAPURAS, CRESTITO DESAMPARADO </t>
  </si>
  <si>
    <t xml:space="preserve">CARAMBACAN SR, SAMUEL VELASQUEZ </t>
  </si>
  <si>
    <t xml:space="preserve">CASTELLO, STEPHANIE ROJAS </t>
  </si>
  <si>
    <t xml:space="preserve">CASTOR, LOLITA OMAYON </t>
  </si>
  <si>
    <t xml:space="preserve">COMILLAS, CELESTE CHAVEZ </t>
  </si>
  <si>
    <t xml:space="preserve">COMPE, JESULITO NIOG </t>
  </si>
  <si>
    <t xml:space="preserve">COQUILLA, SNALEY GIO </t>
  </si>
  <si>
    <t xml:space="preserve">CORNITES, JOCELYN DAGALA </t>
  </si>
  <si>
    <t xml:space="preserve">CORTEZO, LEO DEQUIŇA </t>
  </si>
  <si>
    <t xml:space="preserve">DAGALA, AGOSTIN IGNACIO </t>
  </si>
  <si>
    <t xml:space="preserve">DAGALA, ALEJANDRO BAGACAY </t>
  </si>
  <si>
    <t xml:space="preserve">DAGALA, BONIFACIO  AMPORIAS </t>
  </si>
  <si>
    <t xml:space="preserve">DAGALA, CHRISTOPHER AGUILLOSO </t>
  </si>
  <si>
    <t xml:space="preserve">DAGALA, DINGKY VERNANTE </t>
  </si>
  <si>
    <t>DAGALA, ELPEDIO VERNANTE SR.</t>
  </si>
  <si>
    <t xml:space="preserve">DALAGA, SILVESTRE LIMPUASAN </t>
  </si>
  <si>
    <t xml:space="preserve">DEL ROSARIO, CHARLIE LOGRONIO </t>
  </si>
  <si>
    <t xml:space="preserve">DEL ROSARIO, NIDA BLASQUEZ </t>
  </si>
  <si>
    <t xml:space="preserve">DESCARTIN, RENANTE BATANDOLO </t>
  </si>
  <si>
    <t xml:space="preserve">DOMINGUEZ, EUZEL LOGRONIO </t>
  </si>
  <si>
    <t xml:space="preserve">DOMINGUEZ, MARITES ULTADO </t>
  </si>
  <si>
    <t xml:space="preserve">DUGONG, RYAN ARCESO </t>
  </si>
  <si>
    <t xml:space="preserve">EDULAN, MARK RUGAS </t>
  </si>
  <si>
    <t xml:space="preserve">ESTUBO, ROMELITO RUBIO </t>
  </si>
  <si>
    <t xml:space="preserve">FERNANDEZ, RITA SAMOLING </t>
  </si>
  <si>
    <t xml:space="preserve">FLOR, ROGELIO G </t>
  </si>
  <si>
    <t xml:space="preserve">FORMENTO, ALFIE EBOL </t>
  </si>
  <si>
    <t xml:space="preserve">GARCIA, JOYVYLINE CABAJES </t>
  </si>
  <si>
    <t xml:space="preserve">JORILLO, NEMECIA GAQUIT </t>
  </si>
  <si>
    <t xml:space="preserve">LABANG, PRECIOUS JANE AREJA </t>
  </si>
  <si>
    <t xml:space="preserve">LABARETTE, MARIJUN COMPE </t>
  </si>
  <si>
    <t xml:space="preserve">LABARETTE, SAMUEL AÑUEVO </t>
  </si>
  <si>
    <t xml:space="preserve">LAMBOHON, NORIE CHAVEZ </t>
  </si>
  <si>
    <t xml:space="preserve">LAPINIG, CLEMENTE OFIANGA </t>
  </si>
  <si>
    <t xml:space="preserve">LEOPOLDO, RONNIE ORASYON </t>
  </si>
  <si>
    <t xml:space="preserve">LIMBARO, ROGELIO APAD </t>
  </si>
  <si>
    <t xml:space="preserve">LOGRONIO, ELVIRA APAD </t>
  </si>
  <si>
    <t xml:space="preserve">LOGRONIO, ELVISA ROJAS </t>
  </si>
  <si>
    <t xml:space="preserve">LOGRONIO, MARITA APAD </t>
  </si>
  <si>
    <t xml:space="preserve">LOGRONIO, MELISA GEANAG </t>
  </si>
  <si>
    <t xml:space="preserve">LOGRONIO, MISAEL DALANGPAN </t>
  </si>
  <si>
    <t xml:space="preserve">LUBIGAN, MATEO BESITOLO </t>
  </si>
  <si>
    <t xml:space="preserve">MACARINE, JERRY LOUIE ARCESO </t>
  </si>
  <si>
    <t>MACION, DARIO  AMPER SR.</t>
  </si>
  <si>
    <t xml:space="preserve">MADELO, CRESTINE VILLARIN </t>
  </si>
  <si>
    <t xml:space="preserve">MADELO, EDGAR AMPORIAS </t>
  </si>
  <si>
    <t xml:space="preserve">MAGLAJOS, FEGIE-ANN ANGGOT </t>
  </si>
  <si>
    <t xml:space="preserve">MAGLAJOS, MARCIAL AGOCOY </t>
  </si>
  <si>
    <t xml:space="preserve">MAGLANTAY, RICO ADIMOS </t>
  </si>
  <si>
    <t xml:space="preserve">MALINAO, ROMEO D </t>
  </si>
  <si>
    <t xml:space="preserve">MANGUMPIT, RUBEN PANGASIAN </t>
  </si>
  <si>
    <t xml:space="preserve">MASUMBOL, ELUETERIO  CALEJAR </t>
  </si>
  <si>
    <t xml:space="preserve">MATA, JOSELITO ALOB </t>
  </si>
  <si>
    <t xml:space="preserve">MATURAN, ALISA ROJAS </t>
  </si>
  <si>
    <t xml:space="preserve">MATURAN, MARJUN AMPORIAS </t>
  </si>
  <si>
    <t xml:space="preserve">MATURAN, MEDARDO MALUBAY </t>
  </si>
  <si>
    <t xml:space="preserve">MATURAN, ROSANA SANO </t>
  </si>
  <si>
    <t xml:space="preserve">NAVASA, RODRIGO TORO TORO </t>
  </si>
  <si>
    <t xml:space="preserve">ONGKIT, NOEL MEPANA </t>
  </si>
  <si>
    <t xml:space="preserve">PAHURIRAY, LEOPOLDO ANSIT </t>
  </si>
  <si>
    <t xml:space="preserve">PEÑAFLOR, FORTUNATO YAGONG </t>
  </si>
  <si>
    <t xml:space="preserve">PENASO, GUILLERMO BAG-AO </t>
  </si>
  <si>
    <t xml:space="preserve">PENASO, SANDY TUYOR </t>
  </si>
  <si>
    <t xml:space="preserve">PIA, RONIE DIAMOLA </t>
  </si>
  <si>
    <t xml:space="preserve">PLARIZAN, EDWIN TABUGON </t>
  </si>
  <si>
    <t xml:space="preserve">POGOY, JOVITO LASCUNA </t>
  </si>
  <si>
    <t xml:space="preserve">PUNAY, ANGIE DEL ROSARIO </t>
  </si>
  <si>
    <t>QUIASAN, HERMAN AUDAN SR.</t>
  </si>
  <si>
    <t xml:space="preserve">RAGAY, ERNESTO CAGAIS </t>
  </si>
  <si>
    <t xml:space="preserve">RAMOS, DANILO ESTRELLA </t>
  </si>
  <si>
    <t xml:space="preserve">REBAMONTE, ALEX ARAWAN </t>
  </si>
  <si>
    <t xml:space="preserve">REBAMONTE, RONICO OFIANGGA </t>
  </si>
  <si>
    <t xml:space="preserve">ROJAS, ALBERT BAG-AO </t>
  </si>
  <si>
    <t xml:space="preserve">ROJAS, ANTONIO GORTEFACION </t>
  </si>
  <si>
    <t xml:space="preserve">ROJAS, CHARLISTINO GORTEFACION </t>
  </si>
  <si>
    <t xml:space="preserve">ROJAS, ROBERTO REBOYUN </t>
  </si>
  <si>
    <t xml:space="preserve">ROJAS, RODRIGO BAG-AO </t>
  </si>
  <si>
    <t xml:space="preserve">ROXAS, GENITO LOGRONIO </t>
  </si>
  <si>
    <t xml:space="preserve">ROXAS, LORNA SERNADA </t>
  </si>
  <si>
    <t xml:space="preserve">SANO, ERNESTO DONGUE </t>
  </si>
  <si>
    <t xml:space="preserve">SANSON, REYNALDO  </t>
  </si>
  <si>
    <t xml:space="preserve">SARRA, DARLITA MACION </t>
  </si>
  <si>
    <t xml:space="preserve">SUMAOY, LINNETH DEIPARINE </t>
  </si>
  <si>
    <t xml:space="preserve">SUPOT, VICENTE DALOGDOG </t>
  </si>
  <si>
    <t xml:space="preserve">TABUGON, GRACELINE CORNITES </t>
  </si>
  <si>
    <t xml:space="preserve">TABUGON, HERBEN RAVELO </t>
  </si>
  <si>
    <t xml:space="preserve">TABUGON, WILFREDO CABAJES </t>
  </si>
  <si>
    <t xml:space="preserve">TEJAMO, JAVIER MIGUEL </t>
  </si>
  <si>
    <t xml:space="preserve">TESADO, CHRISTINE MIRA </t>
  </si>
  <si>
    <t xml:space="preserve">TUYOR, BEGIE ANTONIO </t>
  </si>
  <si>
    <t xml:space="preserve">UBA, GERLIE ROJAS </t>
  </si>
  <si>
    <t xml:space="preserve">ULTADO, FELOMINA LOGRONIO </t>
  </si>
  <si>
    <t>VERADIO , LEBIE ULTADO JR</t>
  </si>
  <si>
    <t xml:space="preserve">VERNANTE, MARISSA  BONITE </t>
  </si>
  <si>
    <t xml:space="preserve">VILLAREZ, LINDA GONZAGA </t>
  </si>
  <si>
    <t xml:space="preserve">VILLAROSA, MARIO GILBUENA </t>
  </si>
  <si>
    <t xml:space="preserve">VILLAROSA, PABLO ARRIESGADO </t>
  </si>
  <si>
    <t xml:space="preserve">YBAŇEZ, NEOLITA CASINILLO </t>
  </si>
  <si>
    <t xml:space="preserve">ABONG, AIZA DUMANACAL </t>
  </si>
  <si>
    <t xml:space="preserve">BAUTISTA, FLORENY EMPLEO </t>
  </si>
  <si>
    <t xml:space="preserve">COLES, DESIRY TALO </t>
  </si>
  <si>
    <t xml:space="preserve">DUMANACAL, BERNADETTE  SIBONGA </t>
  </si>
  <si>
    <t xml:space="preserve">DUMANACAL, LENIE LLAMERA </t>
  </si>
  <si>
    <t xml:space="preserve">ESPERA, LIEDA JAGUIMIT </t>
  </si>
  <si>
    <t xml:space="preserve">HATEA, JESAME LOVELY TOROTORO </t>
  </si>
  <si>
    <t xml:space="preserve">TOROTORO, LORNITA TEMARIO </t>
  </si>
  <si>
    <t xml:space="preserve">AGUILAR, MARIAR CADOTDOT </t>
  </si>
  <si>
    <t xml:space="preserve">AMADEO, TERESITA ENCABO </t>
  </si>
  <si>
    <t xml:space="preserve">ANOBIA, CHARLIE MACAYA </t>
  </si>
  <si>
    <t xml:space="preserve">APELLIAS, JINKY BUHAWE </t>
  </si>
  <si>
    <t xml:space="preserve">BAKIAO, ARNOLD DEVENOSA </t>
  </si>
  <si>
    <t xml:space="preserve">CALAPEZ, JEAN BADOL </t>
  </si>
  <si>
    <t xml:space="preserve">CARANGUE, REGAN GARAYAN </t>
  </si>
  <si>
    <t xml:space="preserve">CARINO, ELSIE LAMBOT </t>
  </si>
  <si>
    <t xml:space="preserve">CENAS, FELMAR MORANDANTE </t>
  </si>
  <si>
    <t xml:space="preserve">COLANO, BENJAMIN GINANG </t>
  </si>
  <si>
    <t>DIANO, JULIAN MONCADA JR</t>
  </si>
  <si>
    <t xml:space="preserve">DIANO, QUEEN IVY MAY LLAMERA </t>
  </si>
  <si>
    <t xml:space="preserve">DOMAEL, JUANITA GALINDO </t>
  </si>
  <si>
    <t xml:space="preserve">ESTAREJA, FREDELYN LELIS </t>
  </si>
  <si>
    <t xml:space="preserve">ESTAREJA, HELEN ANDIANO </t>
  </si>
  <si>
    <t xml:space="preserve">FERNANDEZ, BRYAN GITGITEN </t>
  </si>
  <si>
    <t xml:space="preserve">GETGETIN, GENEZEL PASCULADO </t>
  </si>
  <si>
    <t xml:space="preserve">GETGETIN, REYNALDO PRADO </t>
  </si>
  <si>
    <t xml:space="preserve">LELIS, GENEROSA ANDIANO </t>
  </si>
  <si>
    <t xml:space="preserve">LILES, VIRGELIA PANONCIAL </t>
  </si>
  <si>
    <t xml:space="preserve">MANLAPAO, ARMANDO DOMIGUEZ </t>
  </si>
  <si>
    <t xml:space="preserve">MENDOZA, JOLITO GORON </t>
  </si>
  <si>
    <t xml:space="preserve">MENES, ANACIA BACLIYA-AN </t>
  </si>
  <si>
    <t xml:space="preserve">MONTECASTRO, CESAR LISAS </t>
  </si>
  <si>
    <t xml:space="preserve">MONTECASTRO, HELEN VELOSO </t>
  </si>
  <si>
    <t xml:space="preserve">PALULA, RODOLFO FLORENDO </t>
  </si>
  <si>
    <t xml:space="preserve">REBENITO, RANDY PENTIOR </t>
  </si>
  <si>
    <t xml:space="preserve">SAGING, GENIA OQUIÑO </t>
  </si>
  <si>
    <t>SALIDO, MANUEL SEPE JR</t>
  </si>
  <si>
    <t xml:space="preserve">SATO, CELERINO ALECABA </t>
  </si>
  <si>
    <t xml:space="preserve">ABARQUEZ,  CHERYL MANGMANG </t>
  </si>
  <si>
    <t xml:space="preserve">ADOLFO, DANIZA ANDIT </t>
  </si>
  <si>
    <t xml:space="preserve">ALMARIO, EVA LLAMERA </t>
  </si>
  <si>
    <t xml:space="preserve">ALMARIO, SHERLY MAGLASANG </t>
  </si>
  <si>
    <t xml:space="preserve">ALMEDA, MELANIE ANDIT </t>
  </si>
  <si>
    <t xml:space="preserve">AMEN,  LEONIDA MOLINO </t>
  </si>
  <si>
    <t xml:space="preserve">ANDIT,  ALBERT LABANDRIA </t>
  </si>
  <si>
    <t xml:space="preserve">ANDIT,  JOEL  EBALE </t>
  </si>
  <si>
    <t xml:space="preserve">ANDIT,  LAMBERTO EBALE </t>
  </si>
  <si>
    <t xml:space="preserve">ANDIT,  MELCHOR IBALE </t>
  </si>
  <si>
    <t xml:space="preserve">ANDIT,  SANNY  YANAG </t>
  </si>
  <si>
    <t xml:space="preserve">ANDIT, ANJU  </t>
  </si>
  <si>
    <t xml:space="preserve">ANDIT, ARJUN PAGTALUNAN </t>
  </si>
  <si>
    <t xml:space="preserve">ANDIT, RONNALYN PAGTALUNAN </t>
  </si>
  <si>
    <t xml:space="preserve">ANDIT, SUSANA PAGTALUNAN </t>
  </si>
  <si>
    <t>ANGGOT,  JERRY VERALLO SR.</t>
  </si>
  <si>
    <t xml:space="preserve">AÑONUEVO,  CAROLINE  </t>
  </si>
  <si>
    <t xml:space="preserve">AÑORA,  ENJIL  BANDULON </t>
  </si>
  <si>
    <t xml:space="preserve">ANTIGA, ARCELYN CUER </t>
  </si>
  <si>
    <t xml:space="preserve">ARENA, JOCELYN  PILLODAR </t>
  </si>
  <si>
    <t xml:space="preserve">ARGANA, NENA. CAGAT </t>
  </si>
  <si>
    <t xml:space="preserve">ARRIESGADO, RONNIE CARO </t>
  </si>
  <si>
    <t xml:space="preserve">ARSENAL, LEOVIC TANDOC </t>
  </si>
  <si>
    <t xml:space="preserve">ATENDIDO,  JHODY DE GUZMAN </t>
  </si>
  <si>
    <t xml:space="preserve">ATENDIDO,  LILIA  LAO-ANG </t>
  </si>
  <si>
    <t xml:space="preserve">AUXTERO, MAR  POLISTICO </t>
  </si>
  <si>
    <t xml:space="preserve">AVILA, SABILITA PEÑAS </t>
  </si>
  <si>
    <t xml:space="preserve">BACSAL, WARRIN LAPURE </t>
  </si>
  <si>
    <t xml:space="preserve">BEJEMINO, ALMARIO AŇORA </t>
  </si>
  <si>
    <t xml:space="preserve">BEJEMINO, JOMARY AŇORA </t>
  </si>
  <si>
    <t xml:space="preserve">BEJEMINO, VICTORIA  AŇORA </t>
  </si>
  <si>
    <t xml:space="preserve">BENIAL,  BABY GAY  CABAGUE </t>
  </si>
  <si>
    <t xml:space="preserve">BENIAL, BABY JANE CABAGUE </t>
  </si>
  <si>
    <t xml:space="preserve">BENIAL, ROSALIE. CABAGUE </t>
  </si>
  <si>
    <t xml:space="preserve">BERDIDA, MATIAS DE-GUZMAN </t>
  </si>
  <si>
    <t xml:space="preserve">BERDIDA, RANMARS DE-GUZMAN </t>
  </si>
  <si>
    <t xml:space="preserve">BORDOMEO, CONDRADO MUÑOZ </t>
  </si>
  <si>
    <t xml:space="preserve">BUENAFLOR, SALLIE LLAMERA </t>
  </si>
  <si>
    <t xml:space="preserve">BUHAT, JEFFRY CARTAO </t>
  </si>
  <si>
    <t xml:space="preserve">BUT-AY, RENBOY  </t>
  </si>
  <si>
    <t xml:space="preserve">CAADLAWON , JAMESLOUIE TRAJANO </t>
  </si>
  <si>
    <t xml:space="preserve">CAADLAWON , RITCHEL  SINA-ID </t>
  </si>
  <si>
    <t xml:space="preserve">CAADLAWON , RUTCHIE TRAJANO </t>
  </si>
  <si>
    <t xml:space="preserve">CAADLAWON, BEVERLYN PAGUBO </t>
  </si>
  <si>
    <t xml:space="preserve">CABAGUE,  ALVINA  </t>
  </si>
  <si>
    <t xml:space="preserve">CABAGUE,  ANITA NATISON </t>
  </si>
  <si>
    <t xml:space="preserve">CABAGUE,  ROSELIE NATISON </t>
  </si>
  <si>
    <t xml:space="preserve">CABAGUE, ANGELYN ESMERALDA </t>
  </si>
  <si>
    <t xml:space="preserve">CABAGUE, ARCHIL ALBA </t>
  </si>
  <si>
    <t xml:space="preserve">CABAGUE, ERLITO ATENDIDO </t>
  </si>
  <si>
    <t xml:space="preserve">CABAGUE, ROSALYN NATISON </t>
  </si>
  <si>
    <t xml:space="preserve">CABAJES, NEDFER ANGOB </t>
  </si>
  <si>
    <t xml:space="preserve">CABALQUINTO, JUDITH JACOSALEM </t>
  </si>
  <si>
    <t xml:space="preserve">CAFE, ANILYN  SANTARIN </t>
  </si>
  <si>
    <t>CAGASAN,  GERRY  LLAMERA SR.</t>
  </si>
  <si>
    <t xml:space="preserve">CAGASAN, GERRY LOU LLAMERA </t>
  </si>
  <si>
    <t xml:space="preserve">CALAMDAG,  JEMAEL ASOTES </t>
  </si>
  <si>
    <t xml:space="preserve">CALAMDAG,  JENELYN ASOTES </t>
  </si>
  <si>
    <t xml:space="preserve">CALAMDAG,  ROSELLIA ASOTES </t>
  </si>
  <si>
    <t xml:space="preserve">CAPOQUIAN,  GERALD  IYAO </t>
  </si>
  <si>
    <t xml:space="preserve">CARESOSA,  RELEATH  TALLEDO </t>
  </si>
  <si>
    <t xml:space="preserve">CARESOSA, SFIE LLAMERA </t>
  </si>
  <si>
    <t xml:space="preserve">CASANOVA, ALFIN CAG-ONG </t>
  </si>
  <si>
    <t xml:space="preserve">CASTILLO , CLIFFORD  BUTCON </t>
  </si>
  <si>
    <t xml:space="preserve">CASTILLO , JULLIZA  BUTCON </t>
  </si>
  <si>
    <t xml:space="preserve">CASTILLO, JAMESTEPHEN BUTCON </t>
  </si>
  <si>
    <t xml:space="preserve">CASTILLO, JOILET BUTCON </t>
  </si>
  <si>
    <t xml:space="preserve">CLAVE,  ARJAY PRADO </t>
  </si>
  <si>
    <t>CLAVE,  HARRY  LLAMERA SR</t>
  </si>
  <si>
    <t xml:space="preserve">CLAVE,  JEAN  CURAY </t>
  </si>
  <si>
    <t xml:space="preserve">CLAVE,  RAFFY DUMANACAL </t>
  </si>
  <si>
    <t xml:space="preserve">CLAVE,  REYNIELD DUMANACAL </t>
  </si>
  <si>
    <t xml:space="preserve">CLAVE, DAYIN YANONG </t>
  </si>
  <si>
    <t xml:space="preserve">COLINDONG,  ANDONNY  IGSOLO </t>
  </si>
  <si>
    <t xml:space="preserve">CRUZA,  JOVELYN ALAAN </t>
  </si>
  <si>
    <t xml:space="preserve">CRUZA,  MARY ANN ALA-AN </t>
  </si>
  <si>
    <t xml:space="preserve">CRUZA, JUDY ALAAN </t>
  </si>
  <si>
    <t xml:space="preserve">CURADO, CRIS JANE EMPLEO </t>
  </si>
  <si>
    <t xml:space="preserve">CUTAB, JACKILYN ARMA </t>
  </si>
  <si>
    <t>DALIGDIG,  FELIX  PELICANO JR.</t>
  </si>
  <si>
    <t xml:space="preserve">DAVID, UNECY MENES </t>
  </si>
  <si>
    <t xml:space="preserve">DELEGENCIA , GERALDINE  HUMAWID  </t>
  </si>
  <si>
    <t xml:space="preserve">DELIMAN,  JOVEMAR  ANGOB </t>
  </si>
  <si>
    <t xml:space="preserve">DIALDE,  JESSEN  EMPLEO </t>
  </si>
  <si>
    <t xml:space="preserve">DIALDE,  JOEY  EMPLEO </t>
  </si>
  <si>
    <t xml:space="preserve">DIALDE,  JOMAR  CRUZA </t>
  </si>
  <si>
    <t>DIALDE,  JOWEL  CRUZA  SR.</t>
  </si>
  <si>
    <t xml:space="preserve">DIALDE,  JUNALD CRUZA </t>
  </si>
  <si>
    <t xml:space="preserve">DIALDE,  NALLY  MANTO </t>
  </si>
  <si>
    <t xml:space="preserve">DIALDE,  REYNALD  CRUZA </t>
  </si>
  <si>
    <t>DIALDE,  REYNALDO  JARDINEL  SR.</t>
  </si>
  <si>
    <t xml:space="preserve">DIALDE,  TESSIE EMPLEO </t>
  </si>
  <si>
    <t xml:space="preserve">DIALDE, ANACURETA SIBUNGA </t>
  </si>
  <si>
    <t xml:space="preserve">DIALDE, GIL LLORCA </t>
  </si>
  <si>
    <t xml:space="preserve">DIALDE, MICHAEL ANGELOU DIALDE  </t>
  </si>
  <si>
    <t xml:space="preserve">DIGMAN, NERIE MANTO </t>
  </si>
  <si>
    <t xml:space="preserve">DOLLANTES, MARY JANE MATUTIS </t>
  </si>
  <si>
    <t xml:space="preserve">DUMANACAL,  JHON  ANDIT </t>
  </si>
  <si>
    <t xml:space="preserve">DUMANACAL,  JOVITA EBALE </t>
  </si>
  <si>
    <t xml:space="preserve">DUMANACAL,  REGGIE  ANDIT </t>
  </si>
  <si>
    <t xml:space="preserve">DUPALCO,  QUINDE EBALE </t>
  </si>
  <si>
    <t xml:space="preserve">EBALE , LORENA  YANAG </t>
  </si>
  <si>
    <t xml:space="preserve">EBALE,  CHARLITA OMPAD </t>
  </si>
  <si>
    <t xml:space="preserve">EBALE,  DELIA  CANICO </t>
  </si>
  <si>
    <t xml:space="preserve">EBALE,  JAREL  CLAVE </t>
  </si>
  <si>
    <t xml:space="preserve">EBALE, DULCE PISCADOR </t>
  </si>
  <si>
    <t xml:space="preserve">EBALE, INIE CANICO </t>
  </si>
  <si>
    <t xml:space="preserve">EBALE, MA. RONA YANAG </t>
  </si>
  <si>
    <t xml:space="preserve">EBALE, PABLITO A </t>
  </si>
  <si>
    <t xml:space="preserve">EBALE, WENEFREDO SALVADOR </t>
  </si>
  <si>
    <t xml:space="preserve">EBE, EDILIZA SISCON </t>
  </si>
  <si>
    <t xml:space="preserve">ECLE, SUSAN CABALQUINTO </t>
  </si>
  <si>
    <t>ENOC,  CESARIO  DIGMAN JR.</t>
  </si>
  <si>
    <t xml:space="preserve">ESCOTOTO,  PILAR  IYAO </t>
  </si>
  <si>
    <t xml:space="preserve">EYAO,  ROBERTO  COLIBAR </t>
  </si>
  <si>
    <t xml:space="preserve">FAT, BERNALIZA NAVARRO </t>
  </si>
  <si>
    <t xml:space="preserve">FERDANDEZ,  ROMYLIN COMPARATIVO </t>
  </si>
  <si>
    <t xml:space="preserve">FERRER,  ERWIN  PIEDAD </t>
  </si>
  <si>
    <t>FIDELES,  NESTOR ANONUEVO SR.</t>
  </si>
  <si>
    <t xml:space="preserve">GABRINAO,  EVALYN  ROSALES </t>
  </si>
  <si>
    <t xml:space="preserve">GALING,  JELLY VILLAMEL </t>
  </si>
  <si>
    <t xml:space="preserve">GEMAO,  EDWIN CRUZA </t>
  </si>
  <si>
    <t xml:space="preserve">GEMAO,  GINA DIALDE  </t>
  </si>
  <si>
    <t xml:space="preserve">GEMAO,  ROLLY CRUZA </t>
  </si>
  <si>
    <t xml:space="preserve">GEMAO, JAY PRENSIONA </t>
  </si>
  <si>
    <t xml:space="preserve">GEMAO, JERECHO PRENSIONA </t>
  </si>
  <si>
    <t xml:space="preserve">GORIDING, ANALOU OROLFO </t>
  </si>
  <si>
    <t xml:space="preserve">GORIDING, ANTONIO SEPE </t>
  </si>
  <si>
    <t xml:space="preserve">GORIDING, FORTUNE BORJA </t>
  </si>
  <si>
    <t xml:space="preserve">GORIDING, MARITES SEPE </t>
  </si>
  <si>
    <t>GOTIM,  JUNRICK CAYUMO  SR.</t>
  </si>
  <si>
    <t xml:space="preserve">GUANDE,  ANDY SOPLETO </t>
  </si>
  <si>
    <t xml:space="preserve">GUANDE,  EVALYN PURGAS </t>
  </si>
  <si>
    <t xml:space="preserve">GULFO, CYRI DUIPIO </t>
  </si>
  <si>
    <t xml:space="preserve">HIGAYON,  ANALIZA PILLODAR </t>
  </si>
  <si>
    <t xml:space="preserve">HOLLON,  EDITO  SALONDAGUIT </t>
  </si>
  <si>
    <t xml:space="preserve">HOLLON,  EVANGELINE  ALONSO </t>
  </si>
  <si>
    <t xml:space="preserve">IBIT, ESTRELLA CANDELASA </t>
  </si>
  <si>
    <t xml:space="preserve">INOT, MECHELLE GABRINAO </t>
  </si>
  <si>
    <t xml:space="preserve">IYAO,  GRACE  CULIBAR </t>
  </si>
  <si>
    <t xml:space="preserve">JACOSALEM, JOSEFINA CABALQUINTO </t>
  </si>
  <si>
    <t xml:space="preserve">JARDIN, DANNY EBALE </t>
  </si>
  <si>
    <t xml:space="preserve">JONGOY,  EFREN LEBASTE </t>
  </si>
  <si>
    <t xml:space="preserve">JOROLAN,  DANNICA  SACAYAN </t>
  </si>
  <si>
    <t xml:space="preserve">JOROLAN, MARLYN SACAYAN </t>
  </si>
  <si>
    <t xml:space="preserve">KILAT, JOVENA SUAN </t>
  </si>
  <si>
    <t xml:space="preserve">LABADOR, ANTHONY CASANOVA </t>
  </si>
  <si>
    <t xml:space="preserve">LEBASTE, MARVIN YARZO </t>
  </si>
  <si>
    <t xml:space="preserve">LISONDRA,  CHIV KRISTINE BURLAUS </t>
  </si>
  <si>
    <t xml:space="preserve">LISONDRA,  MYRNA  BURLAUS </t>
  </si>
  <si>
    <t xml:space="preserve">LITO,  JACKILYN  PONTRIBIDA </t>
  </si>
  <si>
    <t xml:space="preserve">LITO,  WELFREDO SARANZA </t>
  </si>
  <si>
    <t xml:space="preserve">LITO, MA. FLOR BONIOR </t>
  </si>
  <si>
    <t xml:space="preserve">LITO, MARIA ESTELA  CASTILLO  </t>
  </si>
  <si>
    <t xml:space="preserve">LLAMERA,  ALJELOU DIALDE  </t>
  </si>
  <si>
    <t xml:space="preserve">LLAMERA,  ANABEL  TILLO </t>
  </si>
  <si>
    <t xml:space="preserve">LLAMERA,  EVELYN  SAJULGA </t>
  </si>
  <si>
    <t xml:space="preserve">LLAMERA, D-SHEILA  </t>
  </si>
  <si>
    <t xml:space="preserve">LLAMERA, GLENDA GUTIERREZ </t>
  </si>
  <si>
    <t xml:space="preserve">LLAMERA, JACKILYN BEJEMINO </t>
  </si>
  <si>
    <t xml:space="preserve">LLAMERA, MARIAN JANE RESPECIA </t>
  </si>
  <si>
    <t xml:space="preserve">LLAMERA, MARLON SANCHEZ </t>
  </si>
  <si>
    <t xml:space="preserve">LLAMERA, NENA PALEN </t>
  </si>
  <si>
    <t xml:space="preserve">LLAMERA, ROSALY RESPECIA </t>
  </si>
  <si>
    <t xml:space="preserve">LLAMERA, RUFINA PALEN </t>
  </si>
  <si>
    <t xml:space="preserve">LLAMERA, VAL PALEN </t>
  </si>
  <si>
    <t xml:space="preserve">LOGRONIO, REMELYN SAMSON </t>
  </si>
  <si>
    <t xml:space="preserve">LOMARDA,  NILDA  EMPLEO </t>
  </si>
  <si>
    <t xml:space="preserve">MANITAS, LORETA BESITULO </t>
  </si>
  <si>
    <t xml:space="preserve">MAPALO, RONEL P. </t>
  </si>
  <si>
    <t xml:space="preserve">MATOTIS, MONTANO BACIRA </t>
  </si>
  <si>
    <t xml:space="preserve">MATUTES, MARJONE YAMSON </t>
  </si>
  <si>
    <t xml:space="preserve">MATUTIS, JERVOY YAMSON </t>
  </si>
  <si>
    <t xml:space="preserve">MENDEZ, SUMMY MACION </t>
  </si>
  <si>
    <t xml:space="preserve">MENDOZA, MARIVIC  PESTAÑO </t>
  </si>
  <si>
    <t xml:space="preserve">MIRAFUENTES, JOSE CORTES </t>
  </si>
  <si>
    <t xml:space="preserve">MIRAS, GENITA ANDIT </t>
  </si>
  <si>
    <t xml:space="preserve">MONATO,  JAY SUMALINDAP </t>
  </si>
  <si>
    <t xml:space="preserve">MONATO, GRACELYN SUMALINDAP </t>
  </si>
  <si>
    <t xml:space="preserve">MONATO, JHESSEL SUMALINDAP </t>
  </si>
  <si>
    <t xml:space="preserve">MONCADA, RONIE BAWAAN </t>
  </si>
  <si>
    <t xml:space="preserve">MOSTER, JENELITO PILLODAR </t>
  </si>
  <si>
    <t xml:space="preserve">NACARIO,  ALDREN PADUA </t>
  </si>
  <si>
    <t xml:space="preserve">NAVARRO, GINA ABING </t>
  </si>
  <si>
    <t xml:space="preserve">NAVARRO, MARILOU SIBUNGA </t>
  </si>
  <si>
    <t xml:space="preserve">NOY, KIMBERLY DOGMOC </t>
  </si>
  <si>
    <t xml:space="preserve">NUÑEZ,  LEDGE  ROXAS </t>
  </si>
  <si>
    <t xml:space="preserve">ORCALES,  NIMFA  REPOLLO </t>
  </si>
  <si>
    <t xml:space="preserve">PAJANTOY, MARIVIC SEPE </t>
  </si>
  <si>
    <t xml:space="preserve">PARI-AN, SUSANA PILLODAR </t>
  </si>
  <si>
    <t xml:space="preserve">PASCO,  JENALYN  DIALDE  </t>
  </si>
  <si>
    <t xml:space="preserve">PEÑAS,  BENJIE ROSALES </t>
  </si>
  <si>
    <t xml:space="preserve">PEÑAS,  MARLON BANDULON </t>
  </si>
  <si>
    <t xml:space="preserve">PEÑAS,  RACHELLE  ROSALES </t>
  </si>
  <si>
    <t xml:space="preserve">PEÑAS,  ROLANDO JAYME </t>
  </si>
  <si>
    <t xml:space="preserve">PEŇAS, EVELYN BANDULON </t>
  </si>
  <si>
    <t xml:space="preserve">PEŇAS, JULLUS ROSALES </t>
  </si>
  <si>
    <t xml:space="preserve">PEROS, REMEDIOS ORCALES </t>
  </si>
  <si>
    <t xml:space="preserve">PIALAGO, EVANGELINE ESPADILLA </t>
  </si>
  <si>
    <t xml:space="preserve">PILLODAR, JONAMEA MIASCO </t>
  </si>
  <si>
    <t xml:space="preserve">PILLODAR, MARICEL MIASCO </t>
  </si>
  <si>
    <t xml:space="preserve">PILONES,  JUNREY OMPAD </t>
  </si>
  <si>
    <t xml:space="preserve">PILONES,  MARIVIC OMPAD </t>
  </si>
  <si>
    <t>PISCADOR,  JASON  PACATAN  JR.</t>
  </si>
  <si>
    <t xml:space="preserve">PISCADOR, AILEEN LOPEZ </t>
  </si>
  <si>
    <t xml:space="preserve">PISCADOR, JUNRY PACATAN </t>
  </si>
  <si>
    <t xml:space="preserve">PISCADOR, TEODORO PEPITO </t>
  </si>
  <si>
    <t xml:space="preserve">PONIO,  MARLINDA  SEPE </t>
  </si>
  <si>
    <t xml:space="preserve">PONTRIBIDA,  JEMAR SIBUNGA </t>
  </si>
  <si>
    <t xml:space="preserve">PONTRIBIDA,  JERLYN  SIBUNGA </t>
  </si>
  <si>
    <t xml:space="preserve">PONTRIBIDA,  MELCADIC  SIBUNGA </t>
  </si>
  <si>
    <t xml:space="preserve">PONTRIBIDA, JAICA ALAŇA </t>
  </si>
  <si>
    <t>PONTRIBIDA, JERRY  BOLANTE SR.</t>
  </si>
  <si>
    <t xml:space="preserve">PONTRIBIDA, NERLITA BOLANTE </t>
  </si>
  <si>
    <t xml:space="preserve">PONTRIBIDA, PEDROLITA BOLANTE </t>
  </si>
  <si>
    <t xml:space="preserve">PUNAY,  CRISTOPHER SAMONTE </t>
  </si>
  <si>
    <t xml:space="preserve">PUNTOS, JOVELYN EBALE </t>
  </si>
  <si>
    <t xml:space="preserve">QUIMBO, ROMEO ALIMA </t>
  </si>
  <si>
    <t xml:space="preserve">REVIDAD,  MERY  PONTRIBIDA </t>
  </si>
  <si>
    <t xml:space="preserve">REVIDAD,  MICHAEL PONTRIBIDA </t>
  </si>
  <si>
    <t xml:space="preserve">SABULAO,  EUGENE  GABUCAN </t>
  </si>
  <si>
    <t xml:space="preserve">SALOMON,  MARK FRANCIS SUMBILON </t>
  </si>
  <si>
    <t xml:space="preserve">SALOMON,  MENCHUBETH SUMBILON </t>
  </si>
  <si>
    <t xml:space="preserve">SANOH, ANGELO ECHAVEZ </t>
  </si>
  <si>
    <t xml:space="preserve">SANTARIN,  WENCITA  TORMENTO </t>
  </si>
  <si>
    <t xml:space="preserve">SANTARIN, APRIL JESSA DIALDE  </t>
  </si>
  <si>
    <t xml:space="preserve">SANTILLANA, GEYROSBETH TECSON </t>
  </si>
  <si>
    <t xml:space="preserve">SARABOSING, MARK ISRAEL ORCALES </t>
  </si>
  <si>
    <t xml:space="preserve">SELISANA, ALEJO GUMAOD </t>
  </si>
  <si>
    <t xml:space="preserve">SELISANA, DINDO GUMAOD </t>
  </si>
  <si>
    <t xml:space="preserve">SEPE,  NENEFE  LLAMERA </t>
  </si>
  <si>
    <t xml:space="preserve">SEPE, DANIEL RONDINA </t>
  </si>
  <si>
    <t xml:space="preserve">SEPE, NELIA GINTO </t>
  </si>
  <si>
    <t xml:space="preserve">SEPE, ROSALIE CAJUTAY </t>
  </si>
  <si>
    <t xml:space="preserve">SERDAN,  ROBELLTA  AŇORA </t>
  </si>
  <si>
    <t xml:space="preserve">SEVILLA, JUDITH  PISCADOR </t>
  </si>
  <si>
    <t xml:space="preserve">SIBONGA, CHARITO OSCO </t>
  </si>
  <si>
    <t xml:space="preserve">SIBONGA, JOLITO JARDINEL  </t>
  </si>
  <si>
    <t xml:space="preserve">SIBUNGA,  JJBOY  TEMARIO </t>
  </si>
  <si>
    <t xml:space="preserve">SIBUNGA,  JOMARI TEMARIO </t>
  </si>
  <si>
    <t>SIBUNGA,  JUNREY  TEMARIO SR.</t>
  </si>
  <si>
    <t xml:space="preserve">SIBUNGA,  MERNALYN TEMARIO </t>
  </si>
  <si>
    <t xml:space="preserve">SIEGA,  ROGER  TORILLO </t>
  </si>
  <si>
    <t xml:space="preserve">SIEGA, ALMA OLAGUIR </t>
  </si>
  <si>
    <t xml:space="preserve">SIEGA, WILMA ESTEBE </t>
  </si>
  <si>
    <t xml:space="preserve">SILOT, FE EBALE </t>
  </si>
  <si>
    <t xml:space="preserve">SILOT, RYAN EBALE </t>
  </si>
  <si>
    <t>SISCON,  EDDIE  DABUCOL SR.</t>
  </si>
  <si>
    <t xml:space="preserve">SOPLITO,  LOIDA GEMAO </t>
  </si>
  <si>
    <t xml:space="preserve">SUAR,  WERLITO  MALBACIAS </t>
  </si>
  <si>
    <t>SUMAYANG,  JOE  ABUNDO JR.</t>
  </si>
  <si>
    <t xml:space="preserve">SUMAYANG,  REVODEN  BORAGAY </t>
  </si>
  <si>
    <t xml:space="preserve">SUMAYANG, JANEROSE SUAR </t>
  </si>
  <si>
    <t xml:space="preserve">SUMAYANG, MELISA LLAMERA </t>
  </si>
  <si>
    <t xml:space="preserve">SUMAYANG, ROSELINE RAMOS </t>
  </si>
  <si>
    <t xml:space="preserve">TABON, ANGELIE BERDIDA </t>
  </si>
  <si>
    <t xml:space="preserve">TABON, JOSEFA DE-GUZMAN </t>
  </si>
  <si>
    <t xml:space="preserve">TAUTHO, TEMOTEO TALESIC </t>
  </si>
  <si>
    <t xml:space="preserve">TAYROS, JEAN BEJEMINO </t>
  </si>
  <si>
    <t xml:space="preserve">TEMON, HONIELYN SEPE </t>
  </si>
  <si>
    <t xml:space="preserve">TILLO,  ROBERT LLORCA </t>
  </si>
  <si>
    <t xml:space="preserve">TOREMOCHA,  CHARICE GRACE PACARAT </t>
  </si>
  <si>
    <t xml:space="preserve">TRAYA,  MERA GABRINAO </t>
  </si>
  <si>
    <t xml:space="preserve">VELOSO, LARRY TEROL </t>
  </si>
  <si>
    <t xml:space="preserve">VELOSO, MARITES. PEROS </t>
  </si>
  <si>
    <t xml:space="preserve">VERGARA, JOMAR  SALADAGA </t>
  </si>
  <si>
    <t xml:space="preserve">VILLANUEVA,  CHONA  MALINAO </t>
  </si>
  <si>
    <t xml:space="preserve">VILLANUEVA, FLORENCIO PONTRIBIDA </t>
  </si>
  <si>
    <t xml:space="preserve">WAYCO,  RENATO  SINENENG </t>
  </si>
  <si>
    <t xml:space="preserve">YANAG, GENIVIVE DURAN </t>
  </si>
  <si>
    <t xml:space="preserve">YANAG, ROSALINDO PILLODAR </t>
  </si>
  <si>
    <t xml:space="preserve">YANAG, ROSEMER DURAN </t>
  </si>
  <si>
    <t xml:space="preserve">YANAG, ROWENA MAPUTOL </t>
  </si>
  <si>
    <t xml:space="preserve">YANONG, CARMELINA LUMBRA </t>
  </si>
  <si>
    <t xml:space="preserve">YARANON, DAVID RITA </t>
  </si>
  <si>
    <t xml:space="preserve">ACRUZ, VICTORINO GINO </t>
  </si>
  <si>
    <t xml:space="preserve">ACUÑA, GEMMA MALBACIAS </t>
  </si>
  <si>
    <t>ALINSUNOD, PANFILO PENIONES JR.</t>
  </si>
  <si>
    <t xml:space="preserve">ALINTON, ALFREDA DAQUIO </t>
  </si>
  <si>
    <t xml:space="preserve">ALMIA, PURISH ANN DAQUIO </t>
  </si>
  <si>
    <t xml:space="preserve">AMARGO, GELA PELEGRINO </t>
  </si>
  <si>
    <t xml:space="preserve">AMARGO, MARY ANN HINGOYON </t>
  </si>
  <si>
    <t xml:space="preserve">AMORIN, CECELIA BUCIO </t>
  </si>
  <si>
    <t xml:space="preserve">AMORIN, CLARK IAN LLAMERA </t>
  </si>
  <si>
    <t xml:space="preserve">ATOG, ALLAN CARPIO </t>
  </si>
  <si>
    <t xml:space="preserve">BERNALDO, RUBEN OMPOY </t>
  </si>
  <si>
    <t xml:space="preserve">BOLALA, MARIFE PABIA </t>
  </si>
  <si>
    <t xml:space="preserve">BUCIO, GLENDIE FIDELES </t>
  </si>
  <si>
    <t xml:space="preserve">BUKID, ALE BUCIO </t>
  </si>
  <si>
    <t xml:space="preserve">CABAJES, REYNA GERANDOY </t>
  </si>
  <si>
    <t xml:space="preserve">CABAJES, REYNALDO GERANDOY </t>
  </si>
  <si>
    <t xml:space="preserve">CADUTDUT, JELYN BUKID </t>
  </si>
  <si>
    <t xml:space="preserve">CAGATIN, IRENE CARDUZA </t>
  </si>
  <si>
    <t xml:space="preserve">CAGATIN, NORA OCAMPO </t>
  </si>
  <si>
    <t xml:space="preserve">CALAGUAN, RANIE GALLEPOSO </t>
  </si>
  <si>
    <t xml:space="preserve">CAÑETE, JUNALYN FIDELES </t>
  </si>
  <si>
    <t xml:space="preserve">CREENCIA, RITCHEL OSLOB </t>
  </si>
  <si>
    <t xml:space="preserve">CREENCIA, SIONA DACULLO </t>
  </si>
  <si>
    <t xml:space="preserve">CURAY, ROMINDA MALBACIAS </t>
  </si>
  <si>
    <t xml:space="preserve">CUTAB, CHERREY SOTILLO </t>
  </si>
  <si>
    <t xml:space="preserve">DAVIN, ALFIE PREDOG </t>
  </si>
  <si>
    <t xml:space="preserve">DENOY, ROMMEL DULIM </t>
  </si>
  <si>
    <t xml:space="preserve">DENOY, ROXANNE PALTIQUERA </t>
  </si>
  <si>
    <t>DESTRISA, EMELITO ESTRAJANO JR.</t>
  </si>
  <si>
    <t xml:space="preserve">EBALE, BREHELENDO ANDIT </t>
  </si>
  <si>
    <t xml:space="preserve">EBALE, CHARLITO MALBACIAS </t>
  </si>
  <si>
    <t xml:space="preserve">EBALE, REGIE AMORIN </t>
  </si>
  <si>
    <t xml:space="preserve">EDAÑO, RUBY LLAMERA </t>
  </si>
  <si>
    <t xml:space="preserve">ETCHITAN, MARIANITA GARRIDO </t>
  </si>
  <si>
    <t xml:space="preserve">EVANGELISTA, AGNES MANTO </t>
  </si>
  <si>
    <t xml:space="preserve">FIDELES, CARMEN BENTOSO </t>
  </si>
  <si>
    <t xml:space="preserve">FIDELES, CHERRYLYN OSIANG </t>
  </si>
  <si>
    <t xml:space="preserve">FIDELES, HELEN GITEZO </t>
  </si>
  <si>
    <t xml:space="preserve">FIDELES, IVY BUKID </t>
  </si>
  <si>
    <t xml:space="preserve">FIDELES, JOVIRTH SIBONGA </t>
  </si>
  <si>
    <t xml:space="preserve">FIDELES, MAGDALINA MARCO </t>
  </si>
  <si>
    <t xml:space="preserve">GALIDO, LUCY MAKILANG </t>
  </si>
  <si>
    <t xml:space="preserve">GASES, NELYSE CREENCIA </t>
  </si>
  <si>
    <t xml:space="preserve">GOMEZ, RICHARD LECCIONES </t>
  </si>
  <si>
    <t xml:space="preserve">GONZAGA, CLARITA ANGGOT </t>
  </si>
  <si>
    <t xml:space="preserve">GRANADEROS, ENGRACIO LLAMERA </t>
  </si>
  <si>
    <t xml:space="preserve">GRANADEROS, GLEN ANAJAO </t>
  </si>
  <si>
    <t xml:space="preserve">GRAPE, TRINIDAD MEORUM </t>
  </si>
  <si>
    <t xml:space="preserve">GUMAOD, JEMALYN BIOC </t>
  </si>
  <si>
    <t xml:space="preserve">LAGLAG, LEIZEL MAURICIO </t>
  </si>
  <si>
    <t xml:space="preserve">LAVADOR, JOIES DULIM </t>
  </si>
  <si>
    <t xml:space="preserve">LIQUIT, CHARRY BUKID </t>
  </si>
  <si>
    <t xml:space="preserve">LLAMERA, ROMEO BUCAY </t>
  </si>
  <si>
    <t xml:space="preserve">LONTAYAO, DOMENIC JABONILLA </t>
  </si>
  <si>
    <t xml:space="preserve">MACALES, JONATHAN MESO </t>
  </si>
  <si>
    <t xml:space="preserve">MALBACIAS, REINERIA ASOMBRADO </t>
  </si>
  <si>
    <t xml:space="preserve">MAURICIO, GODAFRIDA GABALLO </t>
  </si>
  <si>
    <t xml:space="preserve">MAURICIO, LOIDA FIDELES </t>
  </si>
  <si>
    <t xml:space="preserve">MAYOL, EMELYN TULO </t>
  </si>
  <si>
    <t xml:space="preserve">MERCADO, JOSE JORGE BORLADO </t>
  </si>
  <si>
    <t xml:space="preserve">MERCADO, SILFA ESTRABELA </t>
  </si>
  <si>
    <t xml:space="preserve">ORABA, ELSA MALBACIAS </t>
  </si>
  <si>
    <t xml:space="preserve">ORAN, JONA BEQUILLA </t>
  </si>
  <si>
    <t xml:space="preserve">PARDO, NENITA LUSTERIO </t>
  </si>
  <si>
    <t xml:space="preserve">PECURE, REYMOND SOLIS </t>
  </si>
  <si>
    <t>PECURE, SIMPLICIO APOLONIO JR.</t>
  </si>
  <si>
    <t xml:space="preserve">PELEGRINO, JOANN PARDO </t>
  </si>
  <si>
    <t xml:space="preserve">PETILO, MAYWARD CREENCIA </t>
  </si>
  <si>
    <t xml:space="preserve">PONTRIBIDA, JEANY ANN DALIDA </t>
  </si>
  <si>
    <t xml:space="preserve">PREDOG, JIMMY BUKID </t>
  </si>
  <si>
    <t xml:space="preserve">PRUNES, SOLEDAD GABRADILLA </t>
  </si>
  <si>
    <t xml:space="preserve">REMORCA, PELAGIA ARTEZUELA </t>
  </si>
  <si>
    <t xml:space="preserve">RIVERA, LAYDA PELEGRINO </t>
  </si>
  <si>
    <t xml:space="preserve">SUAR, BRENDA LAMBERTE </t>
  </si>
  <si>
    <t xml:space="preserve">SUAR, ROBERTO ALINSUNOD </t>
  </si>
  <si>
    <t xml:space="preserve">TEVES, GREGORIA PELEGRINO </t>
  </si>
  <si>
    <t xml:space="preserve">TIGLE, AROLITA QUIBONG </t>
  </si>
  <si>
    <t xml:space="preserve">TINAMBACAN, GLENBE DANDAN </t>
  </si>
  <si>
    <t xml:space="preserve">TIU, JANETH SUAR </t>
  </si>
  <si>
    <t xml:space="preserve">YBAÑEZ, RODULFA ROBLES </t>
  </si>
  <si>
    <t xml:space="preserve">ABAD, RUFINA PERTACORTA </t>
  </si>
  <si>
    <t xml:space="preserve">AGOCOY, GUILLERMO QUIDANG </t>
  </si>
  <si>
    <t xml:space="preserve">AGOCOY, IRISH  COQUILLA </t>
  </si>
  <si>
    <t xml:space="preserve">AGUILLON, LEVIE PELOS </t>
  </si>
  <si>
    <t xml:space="preserve">BALATERO, JULIETO HERNANDO </t>
  </si>
  <si>
    <t xml:space="preserve">BALAUAN, CECILE BAUTISTA </t>
  </si>
  <si>
    <t xml:space="preserve">BANOG, EDILBERTO BAJE </t>
  </si>
  <si>
    <t xml:space="preserve">BATOY, ARLYN PAGATPAT </t>
  </si>
  <si>
    <t xml:space="preserve">BUCIO, EMILYN BITOR </t>
  </si>
  <si>
    <t xml:space="preserve">BUCIO, LAURITA VITOR </t>
  </si>
  <si>
    <t xml:space="preserve">BULETIC, JANA SABELINO </t>
  </si>
  <si>
    <t xml:space="preserve">CABAJES, FERNANDA MIOLE </t>
  </si>
  <si>
    <t xml:space="preserve">CABAJES, MARLOU TINAMBACAN </t>
  </si>
  <si>
    <t xml:space="preserve">CABALAN, AILEN PERTACORTA </t>
  </si>
  <si>
    <t xml:space="preserve">CABALAN, MARITES PERTACORTA </t>
  </si>
  <si>
    <t xml:space="preserve">CAMINADE, PERLITA BINTAD </t>
  </si>
  <si>
    <t xml:space="preserve">CAYADO, EDWIN ANG </t>
  </si>
  <si>
    <t xml:space="preserve">CLAVE, LUZVIMINDA NARAISO </t>
  </si>
  <si>
    <t xml:space="preserve">CORONEL, PREMATIBA ENOT </t>
  </si>
  <si>
    <t xml:space="preserve">DIALDE, ROSELYN BORROMEO </t>
  </si>
  <si>
    <t xml:space="preserve">EBUÑA, GINA FURAGGANAN </t>
  </si>
  <si>
    <t xml:space="preserve">ENOT, CHARITY GALAGAR </t>
  </si>
  <si>
    <t xml:space="preserve">ENOT, EULALIO EBE </t>
  </si>
  <si>
    <t xml:space="preserve">FERNANDEZ, ARCELY LABRADOR </t>
  </si>
  <si>
    <t xml:space="preserve">FIDELES, GENELENE MERCADO </t>
  </si>
  <si>
    <t xml:space="preserve">GALLANO, BEBERLY LOPEZ </t>
  </si>
  <si>
    <t>GARAY, MELECIO BONGO JR.</t>
  </si>
  <si>
    <t>GARAY, MELECIO REMERATA SR.</t>
  </si>
  <si>
    <t xml:space="preserve">IGNALIG, JOESEL TUMBAGA </t>
  </si>
  <si>
    <t xml:space="preserve">JAMERA, CHRIS IAN CABALUNA </t>
  </si>
  <si>
    <t xml:space="preserve">LAMELA, EDITHA UNDANGAN </t>
  </si>
  <si>
    <t xml:space="preserve">MACOSTA, HANELYN LLAMERA </t>
  </si>
  <si>
    <t xml:space="preserve">MAHINAY, JENEVIEVE QUIRES </t>
  </si>
  <si>
    <t xml:space="preserve">MAHINAY, NILO MOLINO </t>
  </si>
  <si>
    <t xml:space="preserve">MAHINAY, ROLAN GOLES </t>
  </si>
  <si>
    <t xml:space="preserve">MIOLE, BONIFACIA PERTOS </t>
  </si>
  <si>
    <t xml:space="preserve">ORIAT, ROSEMARIE NOGALO </t>
  </si>
  <si>
    <t xml:space="preserve">PACHECO, CHARY CABUGWAS </t>
  </si>
  <si>
    <t xml:space="preserve">PACOG, PRENIE GALLANO </t>
  </si>
  <si>
    <t>PAGATPAT, ARTILIANO HIMONGALA SR.</t>
  </si>
  <si>
    <t>PARACULLOS, PEDRO CABAJES JR.</t>
  </si>
  <si>
    <t xml:space="preserve">PASO, CHARLITA MIOLE </t>
  </si>
  <si>
    <t xml:space="preserve">PASO, SAMDRO PARACULLOS </t>
  </si>
  <si>
    <t xml:space="preserve">PAULINES, EMELIA MIOLE </t>
  </si>
  <si>
    <t xml:space="preserve">PELOS, ANGEL  OLAYAN </t>
  </si>
  <si>
    <t xml:space="preserve">PELOS, QUIRINO LLAMERA </t>
  </si>
  <si>
    <t xml:space="preserve">PELOS, RUEL  ABELLANO </t>
  </si>
  <si>
    <t xml:space="preserve">PELOS, SHELA OLAYAN </t>
  </si>
  <si>
    <t xml:space="preserve">PERTOS, CASTRENCE CABAJES </t>
  </si>
  <si>
    <t xml:space="preserve">PERTOS, JEFFREY CABILI </t>
  </si>
  <si>
    <t xml:space="preserve">PERTOS, WENDELL CABERIO </t>
  </si>
  <si>
    <t xml:space="preserve">QUIREZ, EDUARDO COQUILLA </t>
  </si>
  <si>
    <t xml:space="preserve">REMERATA, ANITA VITOR </t>
  </si>
  <si>
    <t xml:space="preserve">REMERATA, NORMA CAHIPRE </t>
  </si>
  <si>
    <t xml:space="preserve">REUSORA, CELSO LANUTAN </t>
  </si>
  <si>
    <t xml:space="preserve">REUSORA, MICHAEL MALINAO </t>
  </si>
  <si>
    <t xml:space="preserve">ROJAS, ROSALINDA ORIAT </t>
  </si>
  <si>
    <t xml:space="preserve">SALINANA, ALLAN AGOCOY </t>
  </si>
  <si>
    <t xml:space="preserve">SALINANA, VILMA MANAY </t>
  </si>
  <si>
    <t xml:space="preserve">TELIN, LUZVISMINDA ACMAD </t>
  </si>
  <si>
    <t xml:space="preserve">TORRES, ELIZA NARAISO </t>
  </si>
  <si>
    <t xml:space="preserve">VILLARMENTE, RONIE TOTO </t>
  </si>
  <si>
    <t xml:space="preserve">VITOR, FLORENCIO GALINZOGA </t>
  </si>
  <si>
    <t xml:space="preserve">VITOR, GEROBE GALINZOGA </t>
  </si>
  <si>
    <t>ALBOR</t>
  </si>
  <si>
    <t>ARELLANO</t>
  </si>
  <si>
    <t>BAYANIHAN</t>
  </si>
  <si>
    <t>GARCIA</t>
  </si>
  <si>
    <t>GEN. AGUINALDO</t>
  </si>
  <si>
    <t>KANIHAAN</t>
  </si>
  <si>
    <t>LLAMERA</t>
  </si>
  <si>
    <t>MAGSAYSAY</t>
  </si>
  <si>
    <t>OSMEÑA</t>
  </si>
  <si>
    <t>PLARIDEL</t>
  </si>
  <si>
    <t>ROSITA</t>
  </si>
  <si>
    <t>SAN ANTONIO</t>
  </si>
  <si>
    <t>STO. NIÑO</t>
  </si>
  <si>
    <t>LIBJO</t>
  </si>
  <si>
    <t xml:space="preserve">ALIVIADO, MARY GRACE CAITUM </t>
  </si>
  <si>
    <t xml:space="preserve">CAGANG, JUVY LEMOSNERO </t>
  </si>
  <si>
    <t xml:space="preserve">DE ASIS, LOURIZA SELISANA </t>
  </si>
  <si>
    <t xml:space="preserve">CABERIO, CARMELITA GUMAOD </t>
  </si>
  <si>
    <t xml:space="preserve">DACUTANAN, JENELOU IGDALINO </t>
  </si>
  <si>
    <t xml:space="preserve">CADOTDOT, EFREN DIANO </t>
  </si>
  <si>
    <t xml:space="preserve">ESCABAL, ARA MAY TORINO </t>
  </si>
  <si>
    <t xml:space="preserve">ESPANO, JUN-RYL PANCHO </t>
  </si>
  <si>
    <t xml:space="preserve">REPALDA, ROSIE  CANUBAS </t>
  </si>
  <si>
    <t xml:space="preserve">SOLON, ROLANDO DEGAMAN </t>
  </si>
  <si>
    <t xml:space="preserve">TEMARIO, LUTHEL IGSOLO </t>
  </si>
  <si>
    <t>DOÑA HELENE</t>
  </si>
  <si>
    <t>GENEREAL AGUINALDO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</si>
</sst>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mm/dd/yy;@"/>
    <numFmt numFmtId="166" formatCode="&quot;Php&quot;#,##0.00"/>
    <numFmt numFmtId="167" formatCode="&quot;Php&quot;\ #,##0.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sz val="11"/>
      <name val="Tahoma"/>
      <family val="2"/>
    </font>
    <font>
      <sz val="10"/>
      <name val="Tahoma"/>
      <family val="2"/>
    </font>
    <font>
      <b/>
      <sz val="12"/>
      <color theme="1"/>
      <name val="Tahoma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entury Gothic"/>
      <family val="2"/>
    </font>
    <font>
      <b/>
      <sz val="14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4"/>
      <color rgb="FF000000"/>
      <name val="Calibri"/>
      <family val="2"/>
      <scheme val="minor"/>
    </font>
    <font>
      <b/>
      <sz val="14"/>
      <name val="Century Gothic"/>
      <family val="2"/>
    </font>
    <font>
      <b/>
      <sz val="14"/>
      <color rgb="FF000000"/>
      <name val="Century Gothic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Times New Roman"/>
      <family val="1"/>
    </font>
    <font>
      <i/>
      <sz val="14"/>
      <name val="Times New Roman"/>
      <family val="1"/>
    </font>
    <font>
      <b/>
      <sz val="10"/>
      <name val="Times New Roman"/>
      <family val="1"/>
    </font>
    <font>
      <sz val="11"/>
      <name val="Times New Roman"/>
      <family val="1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2"/>
      <name val="Arial"/>
      <family val="2"/>
    </font>
    <font>
      <sz val="12"/>
      <name val="Arial"/>
      <family val="2"/>
    </font>
    <font>
      <b/>
      <u/>
      <sz val="10"/>
      <name val="Times New Roman"/>
      <family val="1"/>
    </font>
    <font>
      <sz val="11"/>
      <color indexed="8"/>
      <name val="Calibri"/>
      <family val="2"/>
    </font>
    <font>
      <b/>
      <sz val="11"/>
      <name val="Times New Roman"/>
      <family val="1"/>
    </font>
    <font>
      <sz val="11"/>
      <color indexed="8"/>
      <name val="Times New Roman"/>
      <family val="1"/>
    </font>
    <font>
      <i/>
      <sz val="16"/>
      <name val="Times New Roman"/>
      <family val="1"/>
    </font>
    <font>
      <sz val="11"/>
      <color theme="1"/>
      <name val="Times New Roman"/>
      <family val="1"/>
    </font>
    <font>
      <u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1"/>
      </bottom>
      <diagonal/>
    </border>
    <border>
      <left/>
      <right/>
      <top style="thin">
        <color indexed="64"/>
      </top>
      <bottom style="medium">
        <color theme="1"/>
      </bottom>
      <diagonal/>
    </border>
    <border>
      <left/>
      <right style="medium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0" fillId="0" borderId="0"/>
    <xf numFmtId="43" fontId="32" fillId="0" borderId="0" applyFont="0" applyFill="0" applyBorder="0" applyAlignment="0" applyProtection="0"/>
    <xf numFmtId="0" fontId="1" fillId="0" borderId="0"/>
    <xf numFmtId="0" fontId="39" fillId="0" borderId="0"/>
  </cellStyleXfs>
  <cellXfs count="550">
    <xf numFmtId="0" fontId="0" fillId="0" borderId="0" xfId="0"/>
    <xf numFmtId="0" fontId="2" fillId="0" borderId="3" xfId="0" quotePrefix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0" xfId="0" applyFont="1"/>
    <xf numFmtId="0" fontId="2" fillId="0" borderId="2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/>
    <xf numFmtId="0" fontId="2" fillId="0" borderId="4" xfId="0" quotePrefix="1" applyFont="1" applyBorder="1" applyAlignment="1">
      <alignment horizontal="center" vertical="center"/>
    </xf>
    <xf numFmtId="0" fontId="3" fillId="0" borderId="2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0" xfId="0" quotePrefix="1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quotePrefix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0" fontId="2" fillId="0" borderId="6" xfId="0" quotePrefix="1" applyFont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left" vertical="center" wrapText="1"/>
    </xf>
    <xf numFmtId="0" fontId="2" fillId="0" borderId="7" xfId="0" quotePrefix="1" applyFont="1" applyBorder="1" applyAlignment="1">
      <alignment horizontal="center" vertical="center"/>
    </xf>
    <xf numFmtId="0" fontId="3" fillId="0" borderId="7" xfId="0" applyFont="1" applyBorder="1" applyAlignment="1">
      <alignment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3" borderId="7" xfId="0" applyFont="1" applyFill="1" applyBorder="1" applyAlignment="1">
      <alignment horizontal="left" vertical="center" wrapText="1"/>
    </xf>
    <xf numFmtId="0" fontId="2" fillId="0" borderId="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 vertical="center" wrapText="1"/>
    </xf>
    <xf numFmtId="4" fontId="14" fillId="0" borderId="1" xfId="0" applyNumberFormat="1" applyFont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2" fillId="0" borderId="1" xfId="0" applyFont="1" applyBorder="1" applyAlignment="1">
      <alignment vertical="center" wrapText="1"/>
    </xf>
    <xf numFmtId="4" fontId="12" fillId="0" borderId="1" xfId="0" applyNumberFormat="1" applyFont="1" applyBorder="1" applyAlignment="1">
      <alignment vertical="center" wrapText="1"/>
    </xf>
    <xf numFmtId="0" fontId="12" fillId="0" borderId="1" xfId="0" applyFont="1" applyBorder="1" applyAlignment="1">
      <alignment vertical="center"/>
    </xf>
    <xf numFmtId="0" fontId="11" fillId="0" borderId="1" xfId="0" applyFont="1" applyBorder="1" applyAlignment="1">
      <alignment vertical="center"/>
    </xf>
    <xf numFmtId="0" fontId="12" fillId="2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 wrapText="1"/>
    </xf>
    <xf numFmtId="0" fontId="13" fillId="4" borderId="1" xfId="0" applyFont="1" applyFill="1" applyBorder="1" applyAlignment="1">
      <alignment vertical="center" wrapText="1"/>
    </xf>
    <xf numFmtId="0" fontId="14" fillId="0" borderId="1" xfId="0" applyFont="1" applyBorder="1" applyAlignment="1">
      <alignment vertical="center"/>
    </xf>
    <xf numFmtId="164" fontId="13" fillId="0" borderId="1" xfId="2" applyFont="1" applyFill="1" applyBorder="1" applyAlignment="1">
      <alignment vertical="center"/>
    </xf>
    <xf numFmtId="0" fontId="14" fillId="5" borderId="1" xfId="0" applyFont="1" applyFill="1" applyBorder="1" applyAlignment="1">
      <alignment vertical="center"/>
    </xf>
    <xf numFmtId="164" fontId="14" fillId="5" borderId="1" xfId="2" applyFont="1" applyFill="1" applyBorder="1" applyAlignment="1">
      <alignment vertical="center"/>
    </xf>
    <xf numFmtId="164" fontId="15" fillId="0" borderId="0" xfId="2" applyFont="1" applyAlignment="1">
      <alignment vertical="center"/>
    </xf>
    <xf numFmtId="4" fontId="14" fillId="0" borderId="1" xfId="0" applyNumberFormat="1" applyFont="1" applyBorder="1" applyAlignment="1">
      <alignment vertical="center"/>
    </xf>
    <xf numFmtId="0" fontId="15" fillId="0" borderId="0" xfId="0" quotePrefix="1" applyFont="1" applyAlignment="1">
      <alignment vertical="center"/>
    </xf>
    <xf numFmtId="0" fontId="15" fillId="0" borderId="0" xfId="0" applyFont="1" applyAlignment="1">
      <alignment vertical="center"/>
    </xf>
    <xf numFmtId="0" fontId="14" fillId="0" borderId="7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13" xfId="0" applyBorder="1"/>
    <xf numFmtId="0" fontId="19" fillId="0" borderId="14" xfId="0" applyFont="1" applyBorder="1"/>
    <xf numFmtId="0" fontId="0" fillId="0" borderId="14" xfId="0" applyBorder="1"/>
    <xf numFmtId="0" fontId="20" fillId="0" borderId="0" xfId="0" applyFont="1"/>
    <xf numFmtId="0" fontId="0" fillId="0" borderId="18" xfId="0" applyBorder="1"/>
    <xf numFmtId="0" fontId="21" fillId="0" borderId="0" xfId="0" applyFont="1"/>
    <xf numFmtId="0" fontId="19" fillId="0" borderId="0" xfId="0" applyFont="1"/>
    <xf numFmtId="0" fontId="0" fillId="0" borderId="12" xfId="0" applyBorder="1" applyAlignment="1">
      <alignment horizontal="left" wrapText="1"/>
    </xf>
    <xf numFmtId="0" fontId="0" fillId="0" borderId="0" xfId="0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2" xfId="0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2" fillId="0" borderId="0" xfId="0" applyFont="1"/>
    <xf numFmtId="0" fontId="22" fillId="0" borderId="0" xfId="0" applyFont="1" applyAlignment="1">
      <alignment vertical="center"/>
    </xf>
    <xf numFmtId="0" fontId="22" fillId="0" borderId="10" xfId="0" applyFont="1" applyBorder="1" applyAlignment="1">
      <alignment horizontal="center" wrapText="1"/>
    </xf>
    <xf numFmtId="0" fontId="22" fillId="0" borderId="26" xfId="0" applyFont="1" applyBorder="1" applyAlignment="1">
      <alignment wrapText="1"/>
    </xf>
    <xf numFmtId="0" fontId="22" fillId="0" borderId="0" xfId="0" applyFont="1" applyAlignment="1">
      <alignment wrapText="1"/>
    </xf>
    <xf numFmtId="0" fontId="22" fillId="0" borderId="1" xfId="0" applyFont="1" applyBorder="1"/>
    <xf numFmtId="0" fontId="25" fillId="0" borderId="0" xfId="0" applyFont="1"/>
    <xf numFmtId="0" fontId="22" fillId="0" borderId="13" xfId="0" applyFont="1" applyBorder="1" applyAlignment="1">
      <alignment wrapText="1"/>
    </xf>
    <xf numFmtId="0" fontId="22" fillId="0" borderId="21" xfId="0" applyFont="1" applyBorder="1"/>
    <xf numFmtId="0" fontId="22" fillId="0" borderId="28" xfId="0" applyFont="1" applyBorder="1" applyAlignment="1">
      <alignment wrapText="1"/>
    </xf>
    <xf numFmtId="0" fontId="22" fillId="0" borderId="21" xfId="0" applyFont="1" applyBorder="1" applyAlignment="1">
      <alignment wrapText="1"/>
    </xf>
    <xf numFmtId="0" fontId="22" fillId="0" borderId="21" xfId="0" applyFont="1" applyBorder="1" applyAlignment="1">
      <alignment vertical="top"/>
    </xf>
    <xf numFmtId="0" fontId="22" fillId="0" borderId="22" xfId="0" applyFont="1" applyBorder="1" applyAlignment="1">
      <alignment wrapText="1"/>
    </xf>
    <xf numFmtId="0" fontId="22" fillId="0" borderId="10" xfId="0" applyFont="1" applyBorder="1"/>
    <xf numFmtId="0" fontId="22" fillId="0" borderId="4" xfId="0" applyFont="1" applyBorder="1"/>
    <xf numFmtId="0" fontId="0" fillId="0" borderId="29" xfId="0" applyBorder="1"/>
    <xf numFmtId="0" fontId="0" fillId="0" borderId="26" xfId="0" applyBorder="1"/>
    <xf numFmtId="0" fontId="0" fillId="0" borderId="25" xfId="0" applyBorder="1"/>
    <xf numFmtId="0" fontId="30" fillId="0" borderId="28" xfId="0" applyFont="1" applyBorder="1"/>
    <xf numFmtId="0" fontId="30" fillId="0" borderId="21" xfId="0" applyFont="1" applyBorder="1"/>
    <xf numFmtId="0" fontId="30" fillId="0" borderId="27" xfId="0" applyFont="1" applyBorder="1"/>
    <xf numFmtId="0" fontId="24" fillId="0" borderId="38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22" fillId="0" borderId="12" xfId="0" applyFont="1" applyBorder="1" applyAlignment="1">
      <alignment horizont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164" fontId="24" fillId="0" borderId="0" xfId="0" applyNumberFormat="1" applyFont="1" applyAlignment="1">
      <alignment horizontal="center" wrapText="1"/>
    </xf>
    <xf numFmtId="0" fontId="24" fillId="0" borderId="0" xfId="0" applyFont="1" applyAlignment="1">
      <alignment horizontal="center" wrapText="1"/>
    </xf>
    <xf numFmtId="0" fontId="24" fillId="0" borderId="13" xfId="0" applyFont="1" applyBorder="1" applyAlignment="1">
      <alignment horizontal="center" wrapText="1"/>
    </xf>
    <xf numFmtId="0" fontId="24" fillId="0" borderId="43" xfId="0" applyFont="1" applyBorder="1" applyAlignment="1">
      <alignment vertical="center"/>
    </xf>
    <xf numFmtId="0" fontId="22" fillId="0" borderId="32" xfId="0" applyFont="1" applyBorder="1" applyAlignment="1">
      <alignment vertical="center"/>
    </xf>
    <xf numFmtId="0" fontId="24" fillId="0" borderId="32" xfId="0" applyFont="1" applyBorder="1" applyAlignment="1">
      <alignment vertical="center"/>
    </xf>
    <xf numFmtId="0" fontId="24" fillId="0" borderId="44" xfId="0" applyFont="1" applyBorder="1" applyAlignment="1">
      <alignment vertical="center"/>
    </xf>
    <xf numFmtId="0" fontId="22" fillId="0" borderId="12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29" xfId="0" applyFont="1" applyBorder="1" applyAlignment="1">
      <alignment wrapText="1"/>
    </xf>
    <xf numFmtId="0" fontId="22" fillId="0" borderId="29" xfId="0" applyFont="1" applyBorder="1" applyAlignment="1">
      <alignment vertical="center" wrapText="1"/>
    </xf>
    <xf numFmtId="0" fontId="22" fillId="0" borderId="25" xfId="0" applyFont="1" applyBorder="1" applyAlignment="1">
      <alignment wrapText="1"/>
    </xf>
    <xf numFmtId="0" fontId="22" fillId="0" borderId="25" xfId="0" applyFont="1" applyBorder="1" applyAlignment="1">
      <alignment vertical="center" wrapText="1"/>
    </xf>
    <xf numFmtId="0" fontId="22" fillId="0" borderId="20" xfId="0" applyFont="1" applyBorder="1" applyAlignment="1">
      <alignment vertical="center" wrapText="1"/>
    </xf>
    <xf numFmtId="0" fontId="22" fillId="0" borderId="21" xfId="0" applyFont="1" applyBorder="1" applyAlignment="1">
      <alignment vertical="center" wrapText="1"/>
    </xf>
    <xf numFmtId="0" fontId="22" fillId="0" borderId="27" xfId="0" applyFont="1" applyBorder="1" applyAlignment="1">
      <alignment wrapText="1"/>
    </xf>
    <xf numFmtId="0" fontId="22" fillId="0" borderId="27" xfId="0" applyFont="1" applyBorder="1" applyAlignment="1">
      <alignment vertical="center" wrapText="1"/>
    </xf>
    <xf numFmtId="0" fontId="24" fillId="0" borderId="43" xfId="0" applyFont="1" applyBorder="1"/>
    <xf numFmtId="0" fontId="24" fillId="0" borderId="32" xfId="0" applyFont="1" applyBorder="1"/>
    <xf numFmtId="0" fontId="22" fillId="0" borderId="32" xfId="0" applyFont="1" applyBorder="1"/>
    <xf numFmtId="0" fontId="22" fillId="0" borderId="44" xfId="0" applyFont="1" applyBorder="1"/>
    <xf numFmtId="0" fontId="22" fillId="0" borderId="32" xfId="0" applyFont="1" applyBorder="1" applyAlignment="1">
      <alignment vertical="justify"/>
    </xf>
    <xf numFmtId="0" fontId="22" fillId="0" borderId="44" xfId="0" applyFont="1" applyBorder="1" applyAlignment="1">
      <alignment vertical="justify"/>
    </xf>
    <xf numFmtId="0" fontId="22" fillId="0" borderId="12" xfId="0" applyFont="1" applyBorder="1"/>
    <xf numFmtId="0" fontId="22" fillId="0" borderId="5" xfId="0" applyFont="1" applyBorder="1"/>
    <xf numFmtId="0" fontId="22" fillId="0" borderId="13" xfId="0" applyFont="1" applyBorder="1"/>
    <xf numFmtId="0" fontId="22" fillId="0" borderId="0" xfId="0" applyFont="1" applyAlignment="1">
      <alignment horizontal="left" indent="1"/>
    </xf>
    <xf numFmtId="0" fontId="22" fillId="0" borderId="19" xfId="0" applyFont="1" applyBorder="1"/>
    <xf numFmtId="0" fontId="22" fillId="0" borderId="14" xfId="0" applyFont="1" applyBorder="1"/>
    <xf numFmtId="0" fontId="22" fillId="0" borderId="15" xfId="0" applyFont="1" applyBorder="1"/>
    <xf numFmtId="0" fontId="24" fillId="0" borderId="33" xfId="0" applyFont="1" applyBorder="1"/>
    <xf numFmtId="0" fontId="22" fillId="0" borderId="14" xfId="0" applyFont="1" applyBorder="1" applyAlignment="1">
      <alignment wrapText="1"/>
    </xf>
    <xf numFmtId="0" fontId="22" fillId="0" borderId="15" xfId="0" applyFont="1" applyBorder="1" applyAlignment="1">
      <alignment wrapText="1"/>
    </xf>
    <xf numFmtId="0" fontId="22" fillId="0" borderId="7" xfId="0" applyFont="1" applyBorder="1"/>
    <xf numFmtId="0" fontId="25" fillId="0" borderId="21" xfId="0" applyFont="1" applyBorder="1" applyAlignment="1">
      <alignment wrapText="1"/>
    </xf>
    <xf numFmtId="0" fontId="25" fillId="0" borderId="27" xfId="0" applyFont="1" applyBorder="1" applyAlignment="1">
      <alignment wrapText="1"/>
    </xf>
    <xf numFmtId="0" fontId="33" fillId="0" borderId="0" xfId="0" applyFont="1" applyAlignment="1">
      <alignment horizontal="left" vertical="center" wrapText="1"/>
    </xf>
    <xf numFmtId="0" fontId="33" fillId="0" borderId="0" xfId="0" applyFont="1"/>
    <xf numFmtId="0" fontId="33" fillId="0" borderId="12" xfId="0" applyFont="1" applyBorder="1"/>
    <xf numFmtId="0" fontId="36" fillId="0" borderId="0" xfId="0" applyFont="1" applyAlignment="1">
      <alignment vertical="center" wrapText="1"/>
    </xf>
    <xf numFmtId="0" fontId="25" fillId="0" borderId="22" xfId="0" applyFont="1" applyBorder="1" applyAlignment="1">
      <alignment wrapText="1"/>
    </xf>
    <xf numFmtId="0" fontId="25" fillId="0" borderId="52" xfId="0" applyFont="1" applyBorder="1"/>
    <xf numFmtId="0" fontId="25" fillId="0" borderId="12" xfId="0" applyFont="1" applyBorder="1"/>
    <xf numFmtId="0" fontId="25" fillId="0" borderId="0" xfId="0" applyFont="1" applyAlignment="1">
      <alignment vertical="center" wrapText="1"/>
    </xf>
    <xf numFmtId="0" fontId="25" fillId="0" borderId="52" xfId="0" applyFont="1" applyBorder="1" applyAlignment="1">
      <alignment horizontal="center"/>
    </xf>
    <xf numFmtId="0" fontId="25" fillId="0" borderId="13" xfId="0" applyFont="1" applyBorder="1"/>
    <xf numFmtId="0" fontId="25" fillId="0" borderId="0" xfId="0" applyFont="1" applyAlignment="1">
      <alignment horizontal="left"/>
    </xf>
    <xf numFmtId="0" fontId="25" fillId="0" borderId="12" xfId="0" applyFont="1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0" fontId="33" fillId="0" borderId="0" xfId="0" applyFont="1" applyAlignment="1">
      <alignment vertical="center" wrapText="1"/>
    </xf>
    <xf numFmtId="0" fontId="25" fillId="0" borderId="20" xfId="0" applyFont="1" applyBorder="1" applyAlignment="1">
      <alignment vertical="center" wrapText="1"/>
    </xf>
    <xf numFmtId="0" fontId="25" fillId="0" borderId="21" xfId="0" applyFont="1" applyBorder="1" applyAlignment="1">
      <alignment vertical="center" wrapText="1"/>
    </xf>
    <xf numFmtId="0" fontId="25" fillId="0" borderId="22" xfId="0" applyFont="1" applyBorder="1" applyAlignment="1">
      <alignment vertical="center" wrapText="1"/>
    </xf>
    <xf numFmtId="0" fontId="25" fillId="0" borderId="53" xfId="0" applyFont="1" applyBorder="1"/>
    <xf numFmtId="0" fontId="25" fillId="0" borderId="24" xfId="0" applyFont="1" applyBorder="1"/>
    <xf numFmtId="0" fontId="25" fillId="0" borderId="10" xfId="0" applyFont="1" applyBorder="1"/>
    <xf numFmtId="0" fontId="25" fillId="0" borderId="11" xfId="0" applyFont="1" applyBorder="1"/>
    <xf numFmtId="0" fontId="25" fillId="0" borderId="55" xfId="0" applyFont="1" applyBorder="1" applyAlignment="1">
      <alignment horizontal="center" vertical="center" wrapText="1"/>
    </xf>
    <xf numFmtId="0" fontId="25" fillId="0" borderId="52" xfId="0" applyFont="1" applyBorder="1" applyAlignment="1">
      <alignment horizontal="center" vertical="center"/>
    </xf>
    <xf numFmtId="0" fontId="25" fillId="0" borderId="5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58" xfId="0" applyFont="1" applyBorder="1"/>
    <xf numFmtId="0" fontId="25" fillId="0" borderId="59" xfId="0" applyFont="1" applyBorder="1" applyAlignment="1">
      <alignment horizontal="center" vertical="center"/>
    </xf>
    <xf numFmtId="0" fontId="25" fillId="0" borderId="59" xfId="0" applyFont="1" applyBorder="1" applyAlignment="1">
      <alignment horizontal="center"/>
    </xf>
    <xf numFmtId="0" fontId="25" fillId="0" borderId="60" xfId="0" applyFont="1" applyBorder="1" applyAlignment="1">
      <alignment horizontal="center" wrapText="1"/>
    </xf>
    <xf numFmtId="0" fontId="25" fillId="0" borderId="13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5" fillId="0" borderId="53" xfId="0" applyFont="1" applyBorder="1" applyAlignment="1">
      <alignment horizontal="center" vertical="center"/>
    </xf>
    <xf numFmtId="165" fontId="25" fillId="0" borderId="51" xfId="0" quotePrefix="1" applyNumberFormat="1" applyFont="1" applyBorder="1"/>
    <xf numFmtId="41" fontId="25" fillId="0" borderId="51" xfId="4" applyNumberFormat="1" applyFont="1" applyBorder="1"/>
    <xf numFmtId="0" fontId="25" fillId="0" borderId="51" xfId="0" applyFont="1" applyBorder="1"/>
    <xf numFmtId="0" fontId="33" fillId="0" borderId="0" xfId="0" applyFont="1" applyAlignment="1">
      <alignment horizontal="left"/>
    </xf>
    <xf numFmtId="0" fontId="37" fillId="0" borderId="14" xfId="0" applyFont="1" applyBorder="1" applyAlignment="1">
      <alignment vertical="center"/>
    </xf>
    <xf numFmtId="0" fontId="11" fillId="0" borderId="0" xfId="0" applyFont="1" applyAlignment="1">
      <alignment horizontal="right"/>
    </xf>
    <xf numFmtId="0" fontId="9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vertical="center" wrapText="1"/>
    </xf>
    <xf numFmtId="0" fontId="12" fillId="2" borderId="1" xfId="0" applyFont="1" applyFill="1" applyBorder="1" applyAlignment="1">
      <alignment horizontal="center" vertical="center" wrapText="1"/>
    </xf>
    <xf numFmtId="4" fontId="12" fillId="2" borderId="1" xfId="0" applyNumberFormat="1" applyFont="1" applyFill="1" applyBorder="1" applyAlignment="1">
      <alignment vertical="center" wrapText="1"/>
    </xf>
    <xf numFmtId="0" fontId="8" fillId="2" borderId="1" xfId="0" applyFont="1" applyFill="1" applyBorder="1" applyAlignment="1">
      <alignment vertical="center" wrapText="1"/>
    </xf>
    <xf numFmtId="0" fontId="8" fillId="2" borderId="1" xfId="0" applyFont="1" applyFill="1" applyBorder="1" applyAlignment="1">
      <alignment vertical="center"/>
    </xf>
    <xf numFmtId="43" fontId="12" fillId="2" borderId="1" xfId="1" applyFont="1" applyFill="1" applyBorder="1" applyAlignment="1">
      <alignment vertical="center"/>
    </xf>
    <xf numFmtId="0" fontId="9" fillId="0" borderId="0" xfId="0" applyFont="1" applyAlignment="1">
      <alignment horizontal="center"/>
    </xf>
    <xf numFmtId="0" fontId="12" fillId="0" borderId="14" xfId="0" applyFont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67" fontId="21" fillId="0" borderId="0" xfId="0" applyNumberFormat="1" applyFont="1" applyAlignment="1">
      <alignment horizontal="left"/>
    </xf>
    <xf numFmtId="0" fontId="0" fillId="0" borderId="0" xfId="0"/>
    <xf numFmtId="0" fontId="11" fillId="0" borderId="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9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0" fontId="0" fillId="0" borderId="15" xfId="0" applyBorder="1" applyAlignment="1">
      <alignment horizontal="left" wrapText="1"/>
    </xf>
    <xf numFmtId="0" fontId="19" fillId="0" borderId="16" xfId="0" applyFont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17" xfId="0" applyFont="1" applyBorder="1" applyAlignment="1">
      <alignment horizontal="center"/>
    </xf>
    <xf numFmtId="0" fontId="38" fillId="0" borderId="12" xfId="0" applyFont="1" applyBorder="1" applyAlignment="1">
      <alignment horizontal="center"/>
    </xf>
    <xf numFmtId="0" fontId="38" fillId="0" borderId="0" xfId="0" applyFont="1" applyAlignment="1">
      <alignment horizontal="center"/>
    </xf>
    <xf numFmtId="0" fontId="38" fillId="0" borderId="13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3" xfId="0" applyBorder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19" fillId="0" borderId="13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3" xfId="0" applyFont="1" applyBorder="1" applyAlignment="1">
      <alignment horizontal="center"/>
    </xf>
    <xf numFmtId="0" fontId="0" fillId="0" borderId="12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3" xfId="0" applyBorder="1" applyAlignment="1">
      <alignment horizontal="left"/>
    </xf>
    <xf numFmtId="15" fontId="0" fillId="0" borderId="14" xfId="0" applyNumberFormat="1" applyBorder="1" applyAlignment="1">
      <alignment horizontal="center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wrapText="1"/>
    </xf>
    <xf numFmtId="0" fontId="26" fillId="0" borderId="12" xfId="0" applyFont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3" fillId="0" borderId="25" xfId="0" applyFont="1" applyBorder="1" applyAlignment="1">
      <alignment vertical="center"/>
    </xf>
    <xf numFmtId="0" fontId="13" fillId="0" borderId="20" xfId="0" applyFont="1" applyBorder="1" applyAlignment="1">
      <alignment vertical="center"/>
    </xf>
    <xf numFmtId="0" fontId="13" fillId="0" borderId="21" xfId="0" applyFont="1" applyBorder="1" applyAlignment="1">
      <alignment vertical="center"/>
    </xf>
    <xf numFmtId="0" fontId="13" fillId="0" borderId="27" xfId="0" applyFont="1" applyBorder="1" applyAlignment="1">
      <alignment vertical="center"/>
    </xf>
    <xf numFmtId="0" fontId="24" fillId="0" borderId="26" xfId="0" applyFont="1" applyBorder="1" applyAlignment="1">
      <alignment wrapText="1"/>
    </xf>
    <xf numFmtId="0" fontId="24" fillId="0" borderId="0" xfId="0" applyFont="1" applyAlignment="1">
      <alignment wrapText="1"/>
    </xf>
    <xf numFmtId="0" fontId="24" fillId="0" borderId="13" xfId="0" applyFont="1" applyBorder="1" applyAlignment="1">
      <alignment wrapText="1"/>
    </xf>
    <xf numFmtId="0" fontId="24" fillId="0" borderId="26" xfId="0" applyFont="1" applyBorder="1" applyAlignment="1">
      <alignment horizontal="left" wrapText="1"/>
    </xf>
    <xf numFmtId="0" fontId="24" fillId="0" borderId="0" xfId="0" applyFont="1" applyAlignment="1">
      <alignment horizontal="left" wrapText="1"/>
    </xf>
    <xf numFmtId="0" fontId="24" fillId="0" borderId="13" xfId="0" applyFont="1" applyBorder="1" applyAlignment="1">
      <alignment horizontal="left" wrapText="1"/>
    </xf>
    <xf numFmtId="0" fontId="24" fillId="0" borderId="21" xfId="0" applyFont="1" applyBorder="1" applyAlignment="1">
      <alignment horizontal="left" vertical="justify" wrapText="1"/>
    </xf>
    <xf numFmtId="0" fontId="24" fillId="0" borderId="22" xfId="0" applyFont="1" applyBorder="1" applyAlignment="1">
      <alignment horizontal="left" vertical="justify" wrapText="1"/>
    </xf>
    <xf numFmtId="0" fontId="23" fillId="0" borderId="0" xfId="0" applyFont="1" applyAlignment="1">
      <alignment horizontal="right" vertical="center" wrapText="1"/>
    </xf>
    <xf numFmtId="0" fontId="22" fillId="0" borderId="9" xfId="0" applyFont="1" applyBorder="1" applyAlignment="1">
      <alignment horizontal="center" wrapText="1"/>
    </xf>
    <xf numFmtId="0" fontId="22" fillId="0" borderId="10" xfId="0" applyFont="1" applyBorder="1" applyAlignment="1">
      <alignment horizontal="center" wrapText="1"/>
    </xf>
    <xf numFmtId="0" fontId="22" fillId="0" borderId="23" xfId="0" applyFont="1" applyBorder="1" applyAlignment="1">
      <alignment horizontal="center" wrapText="1"/>
    </xf>
    <xf numFmtId="0" fontId="24" fillId="0" borderId="24" xfId="0" applyFont="1" applyBorder="1" applyAlignment="1">
      <alignment horizontal="left" vertical="center" wrapText="1"/>
    </xf>
    <xf numFmtId="0" fontId="24" fillId="0" borderId="10" xfId="0" applyFont="1" applyBorder="1" applyAlignment="1">
      <alignment horizontal="left" vertical="center" wrapText="1"/>
    </xf>
    <xf numFmtId="0" fontId="24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25" xfId="0" applyFont="1" applyBorder="1" applyAlignment="1">
      <alignment horizontal="center" wrapText="1"/>
    </xf>
    <xf numFmtId="0" fontId="22" fillId="0" borderId="6" xfId="0" applyFont="1" applyBorder="1" applyAlignment="1">
      <alignment horizontal="center" wrapText="1"/>
    </xf>
    <xf numFmtId="0" fontId="22" fillId="0" borderId="14" xfId="0" applyFont="1" applyBorder="1" applyAlignment="1">
      <alignment horizontal="center" wrapText="1"/>
    </xf>
    <xf numFmtId="0" fontId="22" fillId="0" borderId="15" xfId="0" applyFont="1" applyBorder="1" applyAlignment="1">
      <alignment horizontal="center" wrapText="1"/>
    </xf>
    <xf numFmtId="0" fontId="24" fillId="0" borderId="9" xfId="0" applyFont="1" applyBorder="1" applyAlignment="1">
      <alignment vertical="center" wrapText="1"/>
    </xf>
    <xf numFmtId="0" fontId="24" fillId="0" borderId="10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25" xfId="0" applyFont="1" applyBorder="1" applyAlignment="1">
      <alignment vertical="center" wrapText="1"/>
    </xf>
    <xf numFmtId="0" fontId="24" fillId="0" borderId="20" xfId="0" applyFont="1" applyBorder="1" applyAlignment="1">
      <alignment vertical="center" wrapText="1"/>
    </xf>
    <xf numFmtId="0" fontId="24" fillId="0" borderId="21" xfId="0" applyFont="1" applyBorder="1" applyAlignment="1">
      <alignment vertical="center" wrapText="1"/>
    </xf>
    <xf numFmtId="0" fontId="24" fillId="0" borderId="27" xfId="0" applyFont="1" applyBorder="1" applyAlignment="1">
      <alignment vertical="center" wrapText="1"/>
    </xf>
    <xf numFmtId="0" fontId="22" fillId="0" borderId="24" xfId="0" applyFont="1" applyBorder="1" applyAlignment="1">
      <alignment horizontal="center" wrapText="1"/>
    </xf>
    <xf numFmtId="0" fontId="22" fillId="0" borderId="10" xfId="0" applyFont="1" applyBorder="1" applyAlignment="1">
      <alignment wrapText="1"/>
    </xf>
    <xf numFmtId="0" fontId="22" fillId="0" borderId="11" xfId="0" applyFont="1" applyBorder="1" applyAlignment="1">
      <alignment wrapText="1"/>
    </xf>
    <xf numFmtId="0" fontId="22" fillId="0" borderId="21" xfId="0" applyFont="1" applyBorder="1" applyAlignment="1">
      <alignment wrapText="1"/>
    </xf>
    <xf numFmtId="0" fontId="24" fillId="0" borderId="24" xfId="0" applyFont="1" applyBorder="1" applyAlignment="1">
      <alignment vertical="center" wrapText="1"/>
    </xf>
    <xf numFmtId="0" fontId="24" fillId="0" borderId="26" xfId="0" applyFont="1" applyBorder="1" applyAlignment="1">
      <alignment vertical="center" wrapText="1"/>
    </xf>
    <xf numFmtId="0" fontId="22" fillId="0" borderId="24" xfId="0" applyFont="1" applyBorder="1" applyAlignment="1">
      <alignment wrapText="1"/>
    </xf>
    <xf numFmtId="0" fontId="22" fillId="0" borderId="23" xfId="0" applyFont="1" applyBorder="1" applyAlignment="1">
      <alignment wrapText="1"/>
    </xf>
    <xf numFmtId="0" fontId="22" fillId="0" borderId="24" xfId="0" applyFont="1" applyBorder="1" applyAlignment="1">
      <alignment horizontal="left"/>
    </xf>
    <xf numFmtId="0" fontId="22" fillId="0" borderId="10" xfId="0" applyFont="1" applyBorder="1" applyAlignment="1">
      <alignment horizontal="left"/>
    </xf>
    <xf numFmtId="0" fontId="22" fillId="0" borderId="11" xfId="0" applyFont="1" applyBorder="1" applyAlignment="1">
      <alignment horizontal="left"/>
    </xf>
    <xf numFmtId="49" fontId="24" fillId="0" borderId="26" xfId="0" applyNumberFormat="1" applyFont="1" applyBorder="1" applyAlignment="1">
      <alignment horizontal="center" vertical="center" wrapText="1"/>
    </xf>
    <xf numFmtId="49" fontId="24" fillId="0" borderId="0" xfId="0" applyNumberFormat="1" applyFont="1" applyAlignment="1">
      <alignment horizontal="center" vertical="center" wrapText="1"/>
    </xf>
    <xf numFmtId="49" fontId="24" fillId="0" borderId="25" xfId="0" applyNumberFormat="1" applyFont="1" applyBorder="1" applyAlignment="1">
      <alignment horizontal="center" vertical="center" wrapText="1"/>
    </xf>
    <xf numFmtId="0" fontId="22" fillId="0" borderId="26" xfId="0" applyFont="1" applyBorder="1" applyAlignment="1">
      <alignment wrapText="1"/>
    </xf>
    <xf numFmtId="0" fontId="22" fillId="0" borderId="0" xfId="0" applyFont="1" applyAlignment="1">
      <alignment wrapText="1"/>
    </xf>
    <xf numFmtId="0" fontId="22" fillId="0" borderId="13" xfId="0" applyFont="1" applyBorder="1" applyAlignment="1">
      <alignment wrapText="1"/>
    </xf>
    <xf numFmtId="0" fontId="31" fillId="0" borderId="0" xfId="0" applyFont="1" applyAlignment="1">
      <alignment horizontal="center" vertical="top" wrapText="1"/>
    </xf>
    <xf numFmtId="0" fontId="24" fillId="0" borderId="16" xfId="0" applyFont="1" applyBorder="1" applyAlignment="1">
      <alignment horizontal="left" vertical="center" wrapText="1"/>
    </xf>
    <xf numFmtId="0" fontId="24" fillId="0" borderId="7" xfId="0" applyFont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20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4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2" fillId="0" borderId="3" xfId="0" applyFont="1" applyBorder="1" applyAlignment="1">
      <alignment horizontal="left" wrapText="1"/>
    </xf>
    <xf numFmtId="0" fontId="22" fillId="0" borderId="18" xfId="0" applyFont="1" applyBorder="1" applyAlignment="1">
      <alignment horizontal="left" wrapText="1"/>
    </xf>
    <xf numFmtId="0" fontId="22" fillId="0" borderId="30" xfId="0" applyFont="1" applyBorder="1" applyAlignment="1">
      <alignment horizontal="left" wrapText="1"/>
    </xf>
    <xf numFmtId="0" fontId="24" fillId="0" borderId="28" xfId="0" applyFont="1" applyBorder="1" applyAlignment="1">
      <alignment horizontal="center" wrapText="1"/>
    </xf>
    <xf numFmtId="0" fontId="24" fillId="0" borderId="21" xfId="0" applyFont="1" applyBorder="1" applyAlignment="1">
      <alignment horizontal="center" wrapText="1"/>
    </xf>
    <xf numFmtId="49" fontId="22" fillId="0" borderId="31" xfId="0" applyNumberFormat="1" applyFont="1" applyBorder="1" applyAlignment="1">
      <alignment horizontal="center" vertical="center" wrapText="1"/>
    </xf>
    <xf numFmtId="49" fontId="22" fillId="0" borderId="32" xfId="0" applyNumberFormat="1" applyFont="1" applyBorder="1" applyAlignment="1">
      <alignment horizontal="center" vertical="center" wrapText="1"/>
    </xf>
    <xf numFmtId="49" fontId="22" fillId="0" borderId="33" xfId="0" applyNumberFormat="1" applyFont="1" applyBorder="1" applyAlignment="1">
      <alignment horizontal="center" vertical="center" wrapText="1"/>
    </xf>
    <xf numFmtId="49" fontId="22" fillId="0" borderId="34" xfId="0" applyNumberFormat="1" applyFont="1" applyBorder="1" applyAlignment="1">
      <alignment horizontal="center" vertical="center" wrapText="1"/>
    </xf>
    <xf numFmtId="49" fontId="22" fillId="0" borderId="32" xfId="0" applyNumberFormat="1" applyFont="1" applyBorder="1" applyAlignment="1">
      <alignment horizontal="center"/>
    </xf>
    <xf numFmtId="49" fontId="22" fillId="0" borderId="33" xfId="0" applyNumberFormat="1" applyFont="1" applyBorder="1" applyAlignment="1">
      <alignment horizontal="center"/>
    </xf>
    <xf numFmtId="49" fontId="22" fillId="0" borderId="6" xfId="0" applyNumberFormat="1" applyFont="1" applyBorder="1" applyAlignment="1">
      <alignment horizontal="center" vertical="center" wrapText="1"/>
    </xf>
    <xf numFmtId="49" fontId="22" fillId="0" borderId="14" xfId="0" applyNumberFormat="1" applyFont="1" applyBorder="1" applyAlignment="1">
      <alignment horizontal="center" vertical="center" wrapText="1"/>
    </xf>
    <xf numFmtId="49" fontId="22" fillId="0" borderId="8" xfId="0" applyNumberFormat="1" applyFont="1" applyBorder="1" applyAlignment="1">
      <alignment horizontal="center" vertical="center" wrapText="1"/>
    </xf>
    <xf numFmtId="49" fontId="22" fillId="0" borderId="15" xfId="0" applyNumberFormat="1" applyFont="1" applyBorder="1" applyAlignment="1">
      <alignment horizontal="center" vertical="center" wrapText="1"/>
    </xf>
    <xf numFmtId="0" fontId="22" fillId="0" borderId="16" xfId="0" applyFont="1" applyBorder="1" applyAlignment="1">
      <alignment horizontal="left" vertical="center" wrapText="1"/>
    </xf>
    <xf numFmtId="0" fontId="22" fillId="0" borderId="7" xfId="0" applyFont="1" applyBorder="1" applyAlignment="1">
      <alignment horizontal="left" vertical="center" wrapText="1"/>
    </xf>
    <xf numFmtId="0" fontId="22" fillId="0" borderId="29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22" fillId="0" borderId="25" xfId="0" applyFont="1" applyBorder="1" applyAlignment="1">
      <alignment horizontal="left" vertical="center" wrapText="1"/>
    </xf>
    <xf numFmtId="43" fontId="27" fillId="0" borderId="4" xfId="1" applyFont="1" applyBorder="1" applyAlignment="1">
      <alignment horizontal="center" vertical="center" wrapText="1"/>
    </xf>
    <xf numFmtId="43" fontId="27" fillId="0" borderId="7" xfId="1" applyFont="1" applyBorder="1" applyAlignment="1">
      <alignment horizontal="center" vertical="center" wrapText="1"/>
    </xf>
    <xf numFmtId="43" fontId="27" fillId="0" borderId="17" xfId="1" applyFont="1" applyBorder="1" applyAlignment="1">
      <alignment horizontal="center" vertical="center" wrapText="1"/>
    </xf>
    <xf numFmtId="43" fontId="27" fillId="0" borderId="26" xfId="1" applyFont="1" applyBorder="1" applyAlignment="1">
      <alignment horizontal="center" vertical="center" wrapText="1"/>
    </xf>
    <xf numFmtId="43" fontId="27" fillId="0" borderId="0" xfId="1" applyFont="1" applyBorder="1" applyAlignment="1">
      <alignment horizontal="center" vertical="center" wrapText="1"/>
    </xf>
    <xf numFmtId="43" fontId="27" fillId="0" borderId="13" xfId="1" applyFont="1" applyBorder="1" applyAlignment="1">
      <alignment horizontal="center" vertical="center" wrapText="1"/>
    </xf>
    <xf numFmtId="43" fontId="27" fillId="0" borderId="6" xfId="1" applyFont="1" applyBorder="1" applyAlignment="1">
      <alignment horizontal="center" vertical="center" wrapText="1"/>
    </xf>
    <xf numFmtId="43" fontId="27" fillId="0" borderId="14" xfId="1" applyFont="1" applyBorder="1" applyAlignment="1">
      <alignment horizontal="center" vertical="center" wrapText="1"/>
    </xf>
    <xf numFmtId="43" fontId="27" fillId="0" borderId="15" xfId="1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wrapText="1"/>
    </xf>
    <xf numFmtId="0" fontId="29" fillId="0" borderId="0" xfId="0" applyFont="1" applyAlignment="1">
      <alignment horizontal="center"/>
    </xf>
    <xf numFmtId="0" fontId="29" fillId="0" borderId="25" xfId="0" applyFont="1" applyBorder="1" applyAlignment="1">
      <alignment horizontal="center"/>
    </xf>
    <xf numFmtId="164" fontId="26" fillId="0" borderId="35" xfId="0" applyNumberFormat="1" applyFont="1" applyBorder="1" applyAlignment="1">
      <alignment horizontal="center" wrapText="1"/>
    </xf>
    <xf numFmtId="164" fontId="26" fillId="0" borderId="36" xfId="0" applyNumberFormat="1" applyFont="1" applyBorder="1" applyAlignment="1">
      <alignment horizontal="center" wrapText="1"/>
    </xf>
    <xf numFmtId="164" fontId="26" fillId="0" borderId="37" xfId="0" applyNumberFormat="1" applyFont="1" applyBorder="1" applyAlignment="1">
      <alignment horizontal="center" wrapText="1"/>
    </xf>
    <xf numFmtId="0" fontId="22" fillId="0" borderId="39" xfId="0" applyFont="1" applyBorder="1" applyAlignment="1">
      <alignment horizontal="left" vertical="center"/>
    </xf>
    <xf numFmtId="0" fontId="22" fillId="0" borderId="40" xfId="0" applyFont="1" applyBorder="1" applyAlignment="1">
      <alignment horizontal="left" vertical="center"/>
    </xf>
    <xf numFmtId="0" fontId="22" fillId="0" borderId="41" xfId="0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0" xfId="0" applyFont="1" applyAlignment="1">
      <alignment horizontal="center"/>
    </xf>
    <xf numFmtId="0" fontId="22" fillId="0" borderId="45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46" xfId="0" applyFont="1" applyBorder="1" applyAlignment="1">
      <alignment horizontal="center"/>
    </xf>
    <xf numFmtId="0" fontId="24" fillId="0" borderId="32" xfId="0" applyFont="1" applyBorder="1" applyAlignment="1">
      <alignment vertical="justify" wrapText="1"/>
    </xf>
    <xf numFmtId="0" fontId="22" fillId="0" borderId="16" xfId="0" applyFont="1" applyBorder="1" applyAlignment="1">
      <alignment horizontal="center" vertical="justify"/>
    </xf>
    <xf numFmtId="0" fontId="22" fillId="0" borderId="7" xfId="0" applyFont="1" applyBorder="1" applyAlignment="1">
      <alignment horizontal="center" vertical="justify"/>
    </xf>
    <xf numFmtId="0" fontId="22" fillId="0" borderId="17" xfId="0" applyFont="1" applyBorder="1" applyAlignment="1">
      <alignment horizontal="center" vertical="justify"/>
    </xf>
    <xf numFmtId="0" fontId="22" fillId="0" borderId="12" xfId="0" applyFont="1" applyBorder="1" applyAlignment="1">
      <alignment horizontal="center" vertical="justify"/>
    </xf>
    <xf numFmtId="0" fontId="22" fillId="0" borderId="0" xfId="0" applyFont="1" applyAlignment="1">
      <alignment horizontal="center" vertical="justify"/>
    </xf>
    <xf numFmtId="0" fontId="22" fillId="0" borderId="13" xfId="0" applyFont="1" applyBorder="1" applyAlignment="1">
      <alignment horizontal="center" vertical="justify"/>
    </xf>
    <xf numFmtId="0" fontId="22" fillId="0" borderId="19" xfId="0" applyFont="1" applyBorder="1" applyAlignment="1">
      <alignment horizontal="center" vertical="justify"/>
    </xf>
    <xf numFmtId="0" fontId="22" fillId="0" borderId="14" xfId="0" applyFont="1" applyBorder="1" applyAlignment="1">
      <alignment horizontal="center" vertical="justify"/>
    </xf>
    <xf numFmtId="0" fontId="22" fillId="0" borderId="15" xfId="0" applyFont="1" applyBorder="1" applyAlignment="1">
      <alignment horizontal="center" vertical="justify"/>
    </xf>
    <xf numFmtId="0" fontId="22" fillId="0" borderId="12" xfId="0" applyFont="1" applyBorder="1" applyAlignment="1">
      <alignment wrapText="1"/>
    </xf>
    <xf numFmtId="0" fontId="22" fillId="0" borderId="12" xfId="0" applyFont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19" xfId="0" applyFont="1" applyBorder="1" applyAlignment="1">
      <alignment vertical="center" wrapText="1"/>
    </xf>
    <xf numFmtId="0" fontId="22" fillId="0" borderId="14" xfId="0" applyFont="1" applyBorder="1" applyAlignment="1">
      <alignment vertical="center" wrapText="1"/>
    </xf>
    <xf numFmtId="0" fontId="22" fillId="0" borderId="6" xfId="0" applyFont="1" applyBorder="1" applyAlignment="1">
      <alignment wrapText="1"/>
    </xf>
    <xf numFmtId="0" fontId="22" fillId="0" borderId="14" xfId="0" applyFont="1" applyBorder="1" applyAlignment="1">
      <alignment wrapText="1"/>
    </xf>
    <xf numFmtId="0" fontId="22" fillId="0" borderId="15" xfId="0" applyFont="1" applyBorder="1" applyAlignment="1">
      <alignment wrapText="1"/>
    </xf>
    <xf numFmtId="0" fontId="22" fillId="0" borderId="0" xfId="0" applyFont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7" xfId="0" applyFont="1" applyBorder="1" applyAlignment="1">
      <alignment vertical="center" wrapText="1"/>
    </xf>
    <xf numFmtId="0" fontId="22" fillId="0" borderId="29" xfId="0" applyFont="1" applyBorder="1" applyAlignment="1">
      <alignment vertical="center" wrapText="1"/>
    </xf>
    <xf numFmtId="0" fontId="22" fillId="0" borderId="8" xfId="0" applyFont="1" applyBorder="1" applyAlignment="1">
      <alignment vertical="center" wrapText="1"/>
    </xf>
    <xf numFmtId="0" fontId="24" fillId="0" borderId="4" xfId="0" applyFont="1" applyBorder="1" applyAlignment="1">
      <alignment horizontal="center" wrapText="1"/>
    </xf>
    <xf numFmtId="0" fontId="24" fillId="0" borderId="7" xfId="0" applyFont="1" applyBorder="1" applyAlignment="1">
      <alignment horizontal="center" wrapText="1"/>
    </xf>
    <xf numFmtId="0" fontId="24" fillId="0" borderId="17" xfId="0" applyFont="1" applyBorder="1" applyAlignment="1">
      <alignment horizontal="center" wrapText="1"/>
    </xf>
    <xf numFmtId="0" fontId="24" fillId="0" borderId="6" xfId="0" applyFont="1" applyBorder="1" applyAlignment="1">
      <alignment horizontal="center" wrapText="1"/>
    </xf>
    <xf numFmtId="0" fontId="24" fillId="0" borderId="14" xfId="0" applyFont="1" applyBorder="1" applyAlignment="1">
      <alignment horizontal="center" wrapText="1"/>
    </xf>
    <xf numFmtId="0" fontId="24" fillId="0" borderId="15" xfId="0" applyFont="1" applyBorder="1" applyAlignment="1">
      <alignment horizontal="center" wrapText="1"/>
    </xf>
    <xf numFmtId="0" fontId="22" fillId="0" borderId="29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/>
    </xf>
    <xf numFmtId="0" fontId="24" fillId="0" borderId="7" xfId="0" applyFont="1" applyBorder="1" applyAlignment="1">
      <alignment horizontal="center"/>
    </xf>
    <xf numFmtId="0" fontId="24" fillId="0" borderId="17" xfId="0" applyFont="1" applyBorder="1" applyAlignment="1">
      <alignment horizontal="center"/>
    </xf>
    <xf numFmtId="0" fontId="24" fillId="0" borderId="6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24" fillId="0" borderId="15" xfId="0" applyFont="1" applyBorder="1" applyAlignment="1">
      <alignment horizontal="center"/>
    </xf>
    <xf numFmtId="0" fontId="24" fillId="0" borderId="3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0" fontId="24" fillId="0" borderId="47" xfId="0" applyFont="1" applyBorder="1" applyAlignment="1">
      <alignment horizontal="center" wrapText="1"/>
    </xf>
    <xf numFmtId="0" fontId="24" fillId="0" borderId="3" xfId="0" applyFont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0" borderId="47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0" fontId="22" fillId="0" borderId="47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47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22" fillId="0" borderId="28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7" xfId="0" applyFont="1" applyBorder="1" applyAlignment="1">
      <alignment wrapText="1"/>
    </xf>
    <xf numFmtId="0" fontId="22" fillId="0" borderId="29" xfId="0" applyFont="1" applyBorder="1" applyAlignment="1">
      <alignment wrapText="1"/>
    </xf>
    <xf numFmtId="0" fontId="22" fillId="0" borderId="19" xfId="0" applyFont="1" applyBorder="1" applyAlignment="1">
      <alignment wrapText="1"/>
    </xf>
    <xf numFmtId="0" fontId="22" fillId="0" borderId="8" xfId="0" applyFont="1" applyBorder="1" applyAlignment="1">
      <alignment wrapText="1"/>
    </xf>
    <xf numFmtId="0" fontId="22" fillId="0" borderId="4" xfId="0" applyFont="1" applyBorder="1" applyAlignment="1">
      <alignment wrapText="1"/>
    </xf>
    <xf numFmtId="0" fontId="22" fillId="0" borderId="4" xfId="0" applyFont="1" applyBorder="1" applyAlignment="1">
      <alignment vertical="justify" wrapText="1"/>
    </xf>
    <xf numFmtId="0" fontId="22" fillId="0" borderId="7" xfId="0" applyFont="1" applyBorder="1" applyAlignment="1">
      <alignment vertical="justify" wrapText="1"/>
    </xf>
    <xf numFmtId="0" fontId="22" fillId="0" borderId="29" xfId="0" applyFont="1" applyBorder="1" applyAlignment="1">
      <alignment vertical="justify" wrapText="1"/>
    </xf>
    <xf numFmtId="0" fontId="22" fillId="0" borderId="6" xfId="0" applyFont="1" applyBorder="1" applyAlignment="1">
      <alignment vertical="justify" wrapText="1"/>
    </xf>
    <xf numFmtId="0" fontId="22" fillId="0" borderId="14" xfId="0" applyFont="1" applyBorder="1" applyAlignment="1">
      <alignment vertical="justify" wrapText="1"/>
    </xf>
    <xf numFmtId="0" fontId="22" fillId="0" borderId="8" xfId="0" applyFont="1" applyBorder="1" applyAlignment="1">
      <alignment vertical="justify" wrapText="1"/>
    </xf>
    <xf numFmtId="0" fontId="22" fillId="0" borderId="17" xfId="0" applyFont="1" applyBorder="1" applyAlignment="1">
      <alignment wrapText="1"/>
    </xf>
    <xf numFmtId="0" fontId="22" fillId="0" borderId="22" xfId="0" applyFont="1" applyBorder="1" applyAlignment="1">
      <alignment wrapText="1"/>
    </xf>
    <xf numFmtId="0" fontId="22" fillId="0" borderId="48" xfId="0" applyFont="1" applyBorder="1" applyAlignment="1">
      <alignment vertical="justify" wrapText="1"/>
    </xf>
    <xf numFmtId="0" fontId="22" fillId="0" borderId="49" xfId="0" applyFont="1" applyBorder="1" applyAlignment="1">
      <alignment vertical="justify" wrapText="1"/>
    </xf>
    <xf numFmtId="0" fontId="22" fillId="0" borderId="50" xfId="0" applyFont="1" applyBorder="1" applyAlignment="1">
      <alignment vertical="justify" wrapText="1"/>
    </xf>
    <xf numFmtId="0" fontId="22" fillId="0" borderId="25" xfId="0" applyFont="1" applyBorder="1" applyAlignment="1">
      <alignment wrapText="1"/>
    </xf>
    <xf numFmtId="0" fontId="22" fillId="0" borderId="26" xfId="0" applyFont="1" applyBorder="1" applyAlignment="1">
      <alignment vertical="justify" wrapText="1"/>
    </xf>
    <xf numFmtId="0" fontId="22" fillId="0" borderId="0" xfId="0" applyFont="1" applyAlignment="1">
      <alignment vertical="justify" wrapText="1"/>
    </xf>
    <xf numFmtId="0" fontId="22" fillId="0" borderId="25" xfId="0" applyFont="1" applyBorder="1" applyAlignment="1">
      <alignment vertical="justify" wrapText="1"/>
    </xf>
    <xf numFmtId="0" fontId="22" fillId="0" borderId="26" xfId="0" applyFont="1" applyBorder="1" applyAlignment="1">
      <alignment horizontal="left" vertical="justify" wrapText="1"/>
    </xf>
    <xf numFmtId="0" fontId="22" fillId="0" borderId="20" xfId="0" applyFont="1" applyBorder="1" applyAlignment="1">
      <alignment vertical="center" wrapText="1"/>
    </xf>
    <xf numFmtId="0" fontId="22" fillId="0" borderId="21" xfId="0" applyFont="1" applyBorder="1" applyAlignment="1">
      <alignment vertical="center" wrapText="1"/>
    </xf>
    <xf numFmtId="0" fontId="22" fillId="0" borderId="27" xfId="0" applyFont="1" applyBorder="1" applyAlignment="1">
      <alignment vertical="center" wrapText="1"/>
    </xf>
    <xf numFmtId="0" fontId="22" fillId="0" borderId="28" xfId="0" applyFont="1" applyBorder="1" applyAlignment="1">
      <alignment wrapText="1"/>
    </xf>
    <xf numFmtId="0" fontId="25" fillId="0" borderId="51" xfId="0" applyFont="1" applyBorder="1" applyAlignment="1">
      <alignment horizontal="center"/>
    </xf>
    <xf numFmtId="0" fontId="25" fillId="0" borderId="24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25" fillId="0" borderId="0" xfId="0" applyFont="1" applyAlignment="1">
      <alignment horizontal="left"/>
    </xf>
    <xf numFmtId="0" fontId="25" fillId="0" borderId="13" xfId="0" applyFont="1" applyBorder="1" applyAlignment="1">
      <alignment horizontal="left"/>
    </xf>
    <xf numFmtId="0" fontId="33" fillId="0" borderId="61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33" fillId="0" borderId="63" xfId="0" applyFont="1" applyBorder="1" applyAlignment="1">
      <alignment horizontal="center"/>
    </xf>
    <xf numFmtId="0" fontId="25" fillId="0" borderId="0" xfId="0" applyFont="1" applyAlignment="1">
      <alignment horizontal="left" wrapText="1"/>
    </xf>
    <xf numFmtId="0" fontId="25" fillId="0" borderId="13" xfId="0" applyFont="1" applyBorder="1" applyAlignment="1">
      <alignment horizontal="left" wrapText="1"/>
    </xf>
    <xf numFmtId="0" fontId="25" fillId="0" borderId="12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6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52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165" fontId="25" fillId="0" borderId="26" xfId="0" applyNumberFormat="1" applyFont="1" applyBorder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0" fontId="25" fillId="0" borderId="56" xfId="0" applyFont="1" applyBorder="1" applyAlignment="1">
      <alignment horizontal="center" vertical="center"/>
    </xf>
    <xf numFmtId="0" fontId="33" fillId="0" borderId="64" xfId="0" applyFont="1" applyBorder="1" applyAlignment="1">
      <alignment horizontal="center"/>
    </xf>
    <xf numFmtId="0" fontId="25" fillId="0" borderId="12" xfId="0" applyFont="1" applyBorder="1" applyAlignment="1">
      <alignment wrapText="1"/>
    </xf>
    <xf numFmtId="0" fontId="25" fillId="0" borderId="12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wrapText="1"/>
    </xf>
    <xf numFmtId="0" fontId="33" fillId="0" borderId="0" xfId="0" applyFont="1" applyAlignment="1">
      <alignment horizontal="center" wrapText="1"/>
    </xf>
    <xf numFmtId="0" fontId="33" fillId="0" borderId="13" xfId="0" applyFont="1" applyBorder="1" applyAlignment="1">
      <alignment horizontal="center" wrapText="1"/>
    </xf>
    <xf numFmtId="0" fontId="36" fillId="0" borderId="0" xfId="0" applyFont="1" applyAlignment="1">
      <alignment horizontal="left" vertical="top" wrapText="1"/>
    </xf>
    <xf numFmtId="0" fontId="36" fillId="0" borderId="13" xfId="0" applyFont="1" applyBorder="1" applyAlignment="1">
      <alignment horizontal="left" vertical="top" wrapText="1"/>
    </xf>
    <xf numFmtId="165" fontId="25" fillId="0" borderId="51" xfId="0" quotePrefix="1" applyNumberFormat="1" applyFont="1" applyBorder="1" applyAlignment="1">
      <alignment horizontal="center"/>
    </xf>
    <xf numFmtId="0" fontId="25" fillId="0" borderId="51" xfId="0" quotePrefix="1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9" xfId="0" applyFont="1" applyBorder="1" applyAlignment="1">
      <alignment horizontal="left" vertical="center" wrapText="1"/>
    </xf>
    <xf numFmtId="0" fontId="33" fillId="0" borderId="12" xfId="0" applyFont="1" applyBorder="1" applyAlignment="1">
      <alignment horizontal="left" vertical="center" wrapText="1"/>
    </xf>
    <xf numFmtId="0" fontId="25" fillId="0" borderId="10" xfId="0" applyFont="1" applyBorder="1" applyAlignment="1">
      <alignment horizontal="left" wrapText="1"/>
    </xf>
    <xf numFmtId="0" fontId="25" fillId="0" borderId="11" xfId="0" applyFont="1" applyBorder="1" applyAlignment="1">
      <alignment horizontal="left" wrapText="1"/>
    </xf>
    <xf numFmtId="0" fontId="33" fillId="0" borderId="53" xfId="0" applyFont="1" applyBorder="1" applyAlignment="1">
      <alignment vertical="center" wrapText="1"/>
    </xf>
    <xf numFmtId="0" fontId="33" fillId="0" borderId="45" xfId="0" applyFont="1" applyBorder="1" applyAlignment="1">
      <alignment vertical="center" wrapText="1"/>
    </xf>
    <xf numFmtId="0" fontId="25" fillId="0" borderId="28" xfId="0" quotePrefix="1" applyFont="1" applyBorder="1" applyAlignment="1">
      <alignment horizontal="center"/>
    </xf>
    <xf numFmtId="0" fontId="25" fillId="0" borderId="27" xfId="0" quotePrefix="1" applyFont="1" applyBorder="1" applyAlignment="1">
      <alignment horizontal="center"/>
    </xf>
    <xf numFmtId="0" fontId="25" fillId="0" borderId="28" xfId="0" applyFont="1" applyBorder="1" applyAlignment="1">
      <alignment horizontal="right" wrapText="1"/>
    </xf>
    <xf numFmtId="0" fontId="25" fillId="0" borderId="21" xfId="0" applyFont="1" applyBorder="1" applyAlignment="1">
      <alignment horizontal="right" wrapText="1"/>
    </xf>
    <xf numFmtId="0" fontId="25" fillId="0" borderId="27" xfId="0" applyFont="1" applyBorder="1" applyAlignment="1">
      <alignment horizontal="right" wrapText="1"/>
    </xf>
    <xf numFmtId="0" fontId="25" fillId="0" borderId="20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7" xfId="0" applyFont="1" applyBorder="1" applyAlignment="1">
      <alignment horizontal="center"/>
    </xf>
    <xf numFmtId="0" fontId="35" fillId="0" borderId="0" xfId="0" applyFont="1" applyAlignment="1">
      <alignment horizontal="right" vertical="center"/>
    </xf>
    <xf numFmtId="0" fontId="33" fillId="0" borderId="21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25" fillId="0" borderId="25" xfId="0" applyFont="1" applyBorder="1" applyAlignment="1">
      <alignment horizontal="center"/>
    </xf>
    <xf numFmtId="0" fontId="25" fillId="0" borderId="26" xfId="0" quotePrefix="1" applyFont="1" applyBorder="1" applyAlignment="1">
      <alignment horizontal="center"/>
    </xf>
    <xf numFmtId="0" fontId="25" fillId="0" borderId="25" xfId="0" quotePrefix="1" applyFont="1" applyBorder="1" applyAlignment="1">
      <alignment horizontal="center"/>
    </xf>
    <xf numFmtId="166" fontId="25" fillId="0" borderId="28" xfId="4" applyNumberFormat="1" applyFont="1" applyBorder="1" applyAlignment="1">
      <alignment horizontal="center"/>
    </xf>
    <xf numFmtId="166" fontId="25" fillId="0" borderId="22" xfId="4" applyNumberFormat="1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166" fontId="25" fillId="0" borderId="24" xfId="0" applyNumberFormat="1" applyFont="1" applyBorder="1" applyAlignment="1">
      <alignment horizontal="center" vertical="center"/>
    </xf>
    <xf numFmtId="166" fontId="25" fillId="0" borderId="11" xfId="0" applyNumberFormat="1" applyFont="1" applyBorder="1" applyAlignment="1">
      <alignment horizontal="center" vertical="center"/>
    </xf>
    <xf numFmtId="166" fontId="25" fillId="0" borderId="26" xfId="0" applyNumberFormat="1" applyFont="1" applyBorder="1" applyAlignment="1">
      <alignment horizontal="center" vertical="center"/>
    </xf>
    <xf numFmtId="166" fontId="25" fillId="0" borderId="13" xfId="0" applyNumberFormat="1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 wrapText="1"/>
    </xf>
    <xf numFmtId="0" fontId="25" fillId="0" borderId="22" xfId="0" applyFont="1" applyBorder="1" applyAlignment="1">
      <alignment horizontal="center" vertical="center" wrapText="1"/>
    </xf>
    <xf numFmtId="0" fontId="34" fillId="0" borderId="65" xfId="0" applyFont="1" applyBorder="1" applyAlignment="1">
      <alignment horizontal="center" vertical="center" wrapText="1"/>
    </xf>
    <xf numFmtId="0" fontId="34" fillId="0" borderId="57" xfId="0" applyFont="1" applyBorder="1" applyAlignment="1">
      <alignment horizontal="center" vertical="center" wrapText="1"/>
    </xf>
    <xf numFmtId="0" fontId="34" fillId="0" borderId="24" xfId="0" applyFont="1" applyBorder="1" applyAlignment="1">
      <alignment horizontal="center" vertical="center" wrapText="1"/>
    </xf>
    <xf numFmtId="0" fontId="34" fillId="0" borderId="23" xfId="0" applyFont="1" applyBorder="1" applyAlignment="1">
      <alignment horizontal="center" vertical="center" wrapText="1"/>
    </xf>
    <xf numFmtId="0" fontId="34" fillId="0" borderId="28" xfId="0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23" xfId="0" applyFont="1" applyBorder="1" applyAlignment="1">
      <alignment horizontal="center" vertical="center" wrapText="1"/>
    </xf>
    <xf numFmtId="0" fontId="25" fillId="0" borderId="21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9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4" xfId="0" applyFont="1" applyBorder="1" applyAlignment="1">
      <alignment wrapText="1"/>
    </xf>
    <xf numFmtId="0" fontId="25" fillId="0" borderId="7" xfId="0" applyFont="1" applyBorder="1" applyAlignment="1">
      <alignment wrapText="1"/>
    </xf>
    <xf numFmtId="0" fontId="25" fillId="0" borderId="17" xfId="0" applyFont="1" applyBorder="1" applyAlignment="1">
      <alignment wrapText="1"/>
    </xf>
    <xf numFmtId="0" fontId="25" fillId="0" borderId="28" xfId="0" applyFont="1" applyBorder="1" applyAlignment="1">
      <alignment wrapText="1"/>
    </xf>
    <xf numFmtId="0" fontId="25" fillId="0" borderId="21" xfId="0" applyFont="1" applyBorder="1" applyAlignment="1">
      <alignment wrapText="1"/>
    </xf>
    <xf numFmtId="0" fontId="25" fillId="0" borderId="22" xfId="0" applyFont="1" applyBorder="1" applyAlignment="1">
      <alignment wrapText="1"/>
    </xf>
    <xf numFmtId="0" fontId="25" fillId="0" borderId="16" xfId="0" applyFont="1" applyBorder="1" applyAlignment="1">
      <alignment horizontal="center" vertical="center" wrapText="1"/>
    </xf>
    <xf numFmtId="0" fontId="25" fillId="0" borderId="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left" vertical="center" wrapText="1"/>
    </xf>
    <xf numFmtId="0" fontId="25" fillId="0" borderId="10" xfId="0" applyFont="1" applyBorder="1" applyAlignment="1">
      <alignment horizontal="left" vertical="center" wrapText="1"/>
    </xf>
    <xf numFmtId="0" fontId="25" fillId="0" borderId="23" xfId="0" applyFont="1" applyBorder="1" applyAlignment="1">
      <alignment horizontal="left" vertical="center" wrapText="1"/>
    </xf>
    <xf numFmtId="0" fontId="25" fillId="0" borderId="26" xfId="0" applyFont="1" applyBorder="1" applyAlignment="1">
      <alignment horizontal="left" vertical="center" wrapText="1"/>
    </xf>
    <xf numFmtId="0" fontId="25" fillId="0" borderId="25" xfId="0" applyFont="1" applyBorder="1" applyAlignment="1">
      <alignment horizontal="left" vertical="center" wrapText="1"/>
    </xf>
    <xf numFmtId="0" fontId="25" fillId="0" borderId="13" xfId="0" applyFont="1" applyBorder="1" applyAlignment="1">
      <alignment horizontal="left" vertical="center" wrapText="1"/>
    </xf>
    <xf numFmtId="0" fontId="25" fillId="0" borderId="9" xfId="0" applyFont="1" applyBorder="1" applyAlignment="1">
      <alignment horizontal="left" wrapText="1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5" fillId="0" borderId="6" xfId="0" applyFont="1" applyBorder="1" applyAlignment="1">
      <alignment wrapText="1"/>
    </xf>
    <xf numFmtId="0" fontId="25" fillId="0" borderId="14" xfId="0" applyFont="1" applyBorder="1" applyAlignment="1">
      <alignment wrapText="1"/>
    </xf>
    <xf numFmtId="0" fontId="25" fillId="0" borderId="15" xfId="0" applyFont="1" applyBorder="1" applyAlignment="1">
      <alignment wrapText="1"/>
    </xf>
    <xf numFmtId="0" fontId="25" fillId="0" borderId="19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8" xfId="0" applyFont="1" applyBorder="1" applyAlignment="1">
      <alignment horizontal="center" vertical="center" wrapText="1"/>
    </xf>
    <xf numFmtId="0" fontId="33" fillId="0" borderId="24" xfId="0" applyFont="1" applyBorder="1" applyAlignment="1">
      <alignment wrapText="1"/>
    </xf>
    <xf numFmtId="0" fontId="33" fillId="0" borderId="10" xfId="0" applyFont="1" applyBorder="1" applyAlignment="1">
      <alignment wrapText="1"/>
    </xf>
    <xf numFmtId="0" fontId="33" fillId="0" borderId="11" xfId="0" applyFont="1" applyBorder="1" applyAlignment="1">
      <alignment wrapText="1"/>
    </xf>
    <xf numFmtId="0" fontId="33" fillId="0" borderId="6" xfId="0" applyFont="1" applyBorder="1" applyAlignment="1">
      <alignment wrapText="1"/>
    </xf>
    <xf numFmtId="0" fontId="33" fillId="0" borderId="14" xfId="0" applyFont="1" applyBorder="1" applyAlignment="1">
      <alignment wrapText="1"/>
    </xf>
    <xf numFmtId="0" fontId="33" fillId="0" borderId="15" xfId="0" applyFont="1" applyBorder="1" applyAlignment="1">
      <alignment wrapText="1"/>
    </xf>
    <xf numFmtId="0" fontId="25" fillId="0" borderId="20" xfId="0" applyFont="1" applyBorder="1" applyAlignment="1">
      <alignment horizontal="left" vertical="top" wrapText="1"/>
    </xf>
    <xf numFmtId="0" fontId="25" fillId="0" borderId="21" xfId="0" applyFont="1" applyBorder="1" applyAlignment="1">
      <alignment horizontal="left" vertical="top" wrapText="1"/>
    </xf>
    <xf numFmtId="0" fontId="25" fillId="0" borderId="22" xfId="0" applyFont="1" applyBorder="1" applyAlignment="1">
      <alignment horizontal="left" vertical="top" wrapText="1"/>
    </xf>
    <xf numFmtId="0" fontId="33" fillId="0" borderId="20" xfId="0" applyFont="1" applyBorder="1" applyAlignment="1">
      <alignment horizontal="center" vertical="top" wrapText="1"/>
    </xf>
    <xf numFmtId="0" fontId="33" fillId="0" borderId="21" xfId="0" applyFont="1" applyBorder="1" applyAlignment="1">
      <alignment horizontal="center" vertical="top" wrapText="1"/>
    </xf>
    <xf numFmtId="0" fontId="33" fillId="0" borderId="22" xfId="0" applyFont="1" applyBorder="1" applyAlignment="1">
      <alignment horizontal="center" vertical="top" wrapText="1"/>
    </xf>
    <xf numFmtId="0" fontId="25" fillId="0" borderId="64" xfId="0" applyFont="1" applyBorder="1" applyAlignment="1">
      <alignment horizontal="center"/>
    </xf>
    <xf numFmtId="0" fontId="25" fillId="0" borderId="63" xfId="0" applyFont="1" applyBorder="1" applyAlignment="1">
      <alignment horizontal="center"/>
    </xf>
  </cellXfs>
  <cellStyles count="7">
    <cellStyle name="Comma" xfId="1" builtinId="3"/>
    <cellStyle name="Comma 2" xfId="2" xr:uid="{00000000-0005-0000-0000-000001000000}"/>
    <cellStyle name="Comma 3" xfId="4" xr:uid="{00000000-0005-0000-0000-000002000000}"/>
    <cellStyle name="Normal" xfId="0" builtinId="0"/>
    <cellStyle name="Normal 2" xfId="3" xr:uid="{00000000-0005-0000-0000-000004000000}"/>
    <cellStyle name="Normal 2 2" xfId="6" xr:uid="{2583BFA3-8A49-422C-A33F-F0E1C496C531}"/>
    <cellStyle name="Normal 3" xfId="5" xr:uid="{229858E2-7992-4B50-BD30-AAE3A865B90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639537</xdr:colOff>
      <xdr:row>1554</xdr:row>
      <xdr:rowOff>231322</xdr:rowOff>
    </xdr:from>
    <xdr:ext cx="674588" cy="244928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E2C5C51-805B-46D3-B50A-F1C6C4245C2E}"/>
            </a:ext>
          </a:extLst>
        </xdr:cNvPr>
        <xdr:cNvSpPr txBox="1"/>
      </xdr:nvSpPr>
      <xdr:spPr>
        <a:xfrm>
          <a:off x="20165787" y="926755286"/>
          <a:ext cx="674588" cy="2449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SG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38979</xdr:colOff>
      <xdr:row>0</xdr:row>
      <xdr:rowOff>38100</xdr:rowOff>
    </xdr:from>
    <xdr:to>
      <xdr:col>2</xdr:col>
      <xdr:colOff>73660</xdr:colOff>
      <xdr:row>3</xdr:row>
      <xdr:rowOff>5715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54D85F-C867-4C74-B075-315C2FB72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79" y="38100"/>
          <a:ext cx="1253881" cy="5391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BAC\ORS%20and%20DV\Appendix%2011%20-%20O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S"/>
      <sheetName val="Sheet1"/>
    </sheetNames>
    <sheetDataSet>
      <sheetData sheetId="0" refreshError="1">
        <row r="4">
          <cell r="A4" t="str">
            <v>Department of Social Welfare and Development</v>
          </cell>
        </row>
        <row r="5">
          <cell r="A5" t="str">
            <v>Capitol Site, Butuan City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589"/>
  <sheetViews>
    <sheetView tabSelected="1" topLeftCell="A1545" zoomScale="70" zoomScaleNormal="70" zoomScaleSheetLayoutView="70" zoomScalePageLayoutView="90" workbookViewId="0">
      <selection activeCell="N1575" sqref="N1575"/>
    </sheetView>
  </sheetViews>
  <sheetFormatPr defaultColWidth="17.140625" defaultRowHeight="18.75" x14ac:dyDescent="0.25"/>
  <cols>
    <col min="1" max="1" width="7" style="46" customWidth="1"/>
    <col min="2" max="3" width="0" style="47" hidden="1" customWidth="1"/>
    <col min="4" max="4" width="21.7109375" style="47" hidden="1" customWidth="1"/>
    <col min="5" max="5" width="57.7109375" style="46" customWidth="1"/>
    <col min="6" max="6" width="23.140625" style="35" customWidth="1"/>
    <col min="7" max="7" width="27.140625" style="39" customWidth="1"/>
    <col min="8" max="8" width="18.5703125" style="46" customWidth="1"/>
    <col min="9" max="9" width="40.85546875" style="46" customWidth="1"/>
    <col min="10" max="10" width="40.5703125" style="46" customWidth="1"/>
    <col min="11" max="11" width="26.5703125" style="46" customWidth="1"/>
    <col min="12" max="16384" width="17.140625" style="46"/>
  </cols>
  <sheetData>
    <row r="1" spans="1:11" ht="15.75" customHeight="1" x14ac:dyDescent="0.25"/>
    <row r="2" spans="1:11" x14ac:dyDescent="0.25">
      <c r="A2" s="204" t="s">
        <v>2229</v>
      </c>
      <c r="B2" s="204"/>
      <c r="C2" s="204"/>
      <c r="D2" s="204"/>
      <c r="E2" s="204"/>
      <c r="F2" s="204"/>
      <c r="G2" s="204"/>
      <c r="H2" s="204"/>
      <c r="I2" s="204"/>
      <c r="J2" s="204"/>
      <c r="K2" s="204"/>
    </row>
    <row r="3" spans="1:11" ht="15" customHeight="1" x14ac:dyDescent="0.25">
      <c r="A3" s="204"/>
      <c r="B3" s="204"/>
      <c r="C3" s="204"/>
      <c r="D3" s="204"/>
      <c r="E3" s="204"/>
      <c r="F3" s="204"/>
      <c r="G3" s="204"/>
      <c r="H3" s="204"/>
      <c r="I3" s="204"/>
      <c r="J3" s="204"/>
      <c r="K3" s="204"/>
    </row>
    <row r="4" spans="1:11" ht="3" customHeight="1" x14ac:dyDescent="0.25">
      <c r="A4" s="47"/>
      <c r="E4" s="47"/>
      <c r="G4" s="35"/>
      <c r="H4" s="47"/>
      <c r="I4" s="47"/>
      <c r="J4" s="47"/>
      <c r="K4" s="47"/>
    </row>
    <row r="5" spans="1:11" ht="15" customHeight="1" x14ac:dyDescent="0.25">
      <c r="A5" s="204" t="s">
        <v>2232</v>
      </c>
      <c r="B5" s="204"/>
      <c r="C5" s="204"/>
      <c r="D5" s="204"/>
      <c r="E5" s="204"/>
      <c r="F5" s="204"/>
      <c r="G5" s="204"/>
      <c r="H5" s="204"/>
      <c r="I5" s="204"/>
      <c r="J5" s="204"/>
      <c r="K5" s="204"/>
    </row>
    <row r="6" spans="1:11" ht="15" customHeight="1" x14ac:dyDescent="0.25">
      <c r="A6" s="48"/>
      <c r="B6" s="48"/>
      <c r="C6" s="48"/>
      <c r="D6" s="48"/>
      <c r="E6" s="48"/>
      <c r="F6" s="34"/>
      <c r="G6" s="34"/>
      <c r="H6" s="48"/>
      <c r="I6" s="48"/>
      <c r="J6" s="48"/>
      <c r="K6" s="48"/>
    </row>
    <row r="7" spans="1:11" ht="21.75" customHeight="1" x14ac:dyDescent="0.25">
      <c r="A7" s="204" t="s">
        <v>0</v>
      </c>
      <c r="B7" s="204"/>
      <c r="C7" s="204"/>
      <c r="D7" s="204"/>
      <c r="E7" s="204"/>
      <c r="F7" s="204"/>
      <c r="G7" s="204"/>
      <c r="H7" s="204"/>
      <c r="I7" s="204"/>
      <c r="J7" s="204"/>
      <c r="K7" s="204"/>
    </row>
    <row r="8" spans="1:11" ht="39.75" customHeight="1" x14ac:dyDescent="0.25">
      <c r="A8" s="48"/>
      <c r="B8" s="48"/>
      <c r="C8" s="48"/>
      <c r="D8" s="48"/>
      <c r="E8" s="48"/>
      <c r="F8" s="34"/>
      <c r="G8" s="34"/>
      <c r="H8" s="48"/>
      <c r="I8" s="48"/>
      <c r="J8" s="48"/>
      <c r="K8" s="48"/>
    </row>
    <row r="9" spans="1:11" s="39" customFormat="1" ht="65.099999999999994" customHeight="1" x14ac:dyDescent="0.25">
      <c r="A9" s="45" t="s">
        <v>1</v>
      </c>
      <c r="B9" s="45" t="s">
        <v>1380</v>
      </c>
      <c r="C9" s="45" t="s">
        <v>1381</v>
      </c>
      <c r="D9" s="45" t="s">
        <v>1382</v>
      </c>
      <c r="E9" s="189" t="s">
        <v>2</v>
      </c>
      <c r="F9" s="45" t="s">
        <v>3</v>
      </c>
      <c r="G9" s="190" t="s">
        <v>1384</v>
      </c>
      <c r="H9" s="190" t="s">
        <v>1512</v>
      </c>
      <c r="I9" s="190" t="s">
        <v>4</v>
      </c>
      <c r="J9" s="45" t="s">
        <v>5</v>
      </c>
      <c r="K9" s="45" t="s">
        <v>1360</v>
      </c>
    </row>
    <row r="10" spans="1:11" ht="65.099999999999994" customHeight="1" x14ac:dyDescent="0.25">
      <c r="A10" s="191">
        <v>1</v>
      </c>
      <c r="B10" s="192"/>
      <c r="C10" s="192"/>
      <c r="D10" s="192"/>
      <c r="E10" s="53" t="s">
        <v>2233</v>
      </c>
      <c r="F10" s="193" t="s">
        <v>3350</v>
      </c>
      <c r="G10" s="193" t="s">
        <v>3363</v>
      </c>
      <c r="H10" s="194">
        <v>5232</v>
      </c>
      <c r="I10" s="195"/>
      <c r="J10" s="195"/>
      <c r="K10" s="196"/>
    </row>
    <row r="11" spans="1:11" ht="65.099999999999994" customHeight="1" x14ac:dyDescent="0.25">
      <c r="A11" s="191">
        <v>2</v>
      </c>
      <c r="B11" s="192"/>
      <c r="C11" s="192"/>
      <c r="D11" s="192"/>
      <c r="E11" s="53" t="s">
        <v>2234</v>
      </c>
      <c r="F11" s="193" t="s">
        <v>3350</v>
      </c>
      <c r="G11" s="193" t="s">
        <v>3363</v>
      </c>
      <c r="H11" s="194">
        <v>5232</v>
      </c>
      <c r="I11" s="195"/>
      <c r="J11" s="197"/>
      <c r="K11" s="53"/>
    </row>
    <row r="12" spans="1:11" ht="65.099999999999994" customHeight="1" x14ac:dyDescent="0.25">
      <c r="A12" s="191">
        <v>3</v>
      </c>
      <c r="B12" s="192"/>
      <c r="C12" s="192"/>
      <c r="D12" s="192"/>
      <c r="E12" s="53" t="s">
        <v>2235</v>
      </c>
      <c r="F12" s="193" t="s">
        <v>3350</v>
      </c>
      <c r="G12" s="193" t="s">
        <v>3363</v>
      </c>
      <c r="H12" s="194">
        <v>5232</v>
      </c>
      <c r="I12" s="195"/>
      <c r="J12" s="197"/>
      <c r="K12" s="53"/>
    </row>
    <row r="13" spans="1:11" ht="65.099999999999994" customHeight="1" x14ac:dyDescent="0.25">
      <c r="A13" s="191">
        <v>4</v>
      </c>
      <c r="B13" s="192"/>
      <c r="C13" s="192"/>
      <c r="D13" s="192"/>
      <c r="E13" s="53" t="s">
        <v>2236</v>
      </c>
      <c r="F13" s="193" t="s">
        <v>3350</v>
      </c>
      <c r="G13" s="193" t="s">
        <v>3363</v>
      </c>
      <c r="H13" s="194">
        <v>5232</v>
      </c>
      <c r="I13" s="195"/>
      <c r="J13" s="197"/>
      <c r="K13" s="53"/>
    </row>
    <row r="14" spans="1:11" ht="65.099999999999994" customHeight="1" x14ac:dyDescent="0.25">
      <c r="A14" s="191">
        <v>5</v>
      </c>
      <c r="B14" s="192"/>
      <c r="C14" s="192"/>
      <c r="D14" s="192"/>
      <c r="E14" s="53" t="s">
        <v>2237</v>
      </c>
      <c r="F14" s="193" t="s">
        <v>3350</v>
      </c>
      <c r="G14" s="193" t="s">
        <v>3363</v>
      </c>
      <c r="H14" s="194">
        <v>5232</v>
      </c>
      <c r="I14" s="195"/>
      <c r="J14" s="197"/>
      <c r="K14" s="53"/>
    </row>
    <row r="15" spans="1:11" ht="65.099999999999994" customHeight="1" x14ac:dyDescent="0.25">
      <c r="A15" s="191">
        <v>6</v>
      </c>
      <c r="B15" s="192"/>
      <c r="C15" s="192"/>
      <c r="D15" s="192"/>
      <c r="E15" s="53" t="s">
        <v>2238</v>
      </c>
      <c r="F15" s="193" t="s">
        <v>3350</v>
      </c>
      <c r="G15" s="193" t="s">
        <v>3363</v>
      </c>
      <c r="H15" s="194">
        <v>5232</v>
      </c>
      <c r="I15" s="195"/>
      <c r="J15" s="197"/>
      <c r="K15" s="53"/>
    </row>
    <row r="16" spans="1:11" ht="65.099999999999994" customHeight="1" x14ac:dyDescent="0.25">
      <c r="A16" s="191">
        <v>7</v>
      </c>
      <c r="B16" s="192"/>
      <c r="C16" s="192"/>
      <c r="D16" s="192"/>
      <c r="E16" s="53" t="s">
        <v>2239</v>
      </c>
      <c r="F16" s="193" t="s">
        <v>3350</v>
      </c>
      <c r="G16" s="193" t="s">
        <v>3363</v>
      </c>
      <c r="H16" s="194">
        <v>5232</v>
      </c>
      <c r="I16" s="195"/>
      <c r="J16" s="197"/>
      <c r="K16" s="53"/>
    </row>
    <row r="17" spans="1:11" ht="65.099999999999994" customHeight="1" x14ac:dyDescent="0.25">
      <c r="A17" s="191">
        <v>8</v>
      </c>
      <c r="B17" s="192"/>
      <c r="C17" s="192"/>
      <c r="D17" s="192"/>
      <c r="E17" s="53" t="s">
        <v>2240</v>
      </c>
      <c r="F17" s="193" t="s">
        <v>3350</v>
      </c>
      <c r="G17" s="193" t="s">
        <v>3363</v>
      </c>
      <c r="H17" s="194">
        <v>5232</v>
      </c>
      <c r="I17" s="195"/>
      <c r="J17" s="197"/>
      <c r="K17" s="53"/>
    </row>
    <row r="18" spans="1:11" ht="65.099999999999994" customHeight="1" x14ac:dyDescent="0.25">
      <c r="A18" s="191">
        <v>9</v>
      </c>
      <c r="B18" s="192"/>
      <c r="C18" s="192"/>
      <c r="D18" s="192"/>
      <c r="E18" s="53" t="s">
        <v>2241</v>
      </c>
      <c r="F18" s="193" t="s">
        <v>3350</v>
      </c>
      <c r="G18" s="193" t="s">
        <v>3363</v>
      </c>
      <c r="H18" s="194">
        <v>5232</v>
      </c>
      <c r="I18" s="195"/>
      <c r="J18" s="197"/>
      <c r="K18" s="53"/>
    </row>
    <row r="19" spans="1:11" ht="65.099999999999994" customHeight="1" x14ac:dyDescent="0.25">
      <c r="A19" s="191">
        <v>10</v>
      </c>
      <c r="B19" s="192"/>
      <c r="C19" s="192"/>
      <c r="D19" s="192"/>
      <c r="E19" s="53" t="s">
        <v>2242</v>
      </c>
      <c r="F19" s="193" t="s">
        <v>3350</v>
      </c>
      <c r="G19" s="193" t="s">
        <v>3363</v>
      </c>
      <c r="H19" s="194">
        <v>5232</v>
      </c>
      <c r="I19" s="195"/>
      <c r="J19" s="197"/>
      <c r="K19" s="53"/>
    </row>
    <row r="20" spans="1:11" ht="65.099999999999994" customHeight="1" x14ac:dyDescent="0.25">
      <c r="A20" s="191">
        <v>11</v>
      </c>
      <c r="B20" s="192"/>
      <c r="C20" s="192"/>
      <c r="D20" s="192"/>
      <c r="E20" s="53" t="s">
        <v>2243</v>
      </c>
      <c r="F20" s="193" t="s">
        <v>3350</v>
      </c>
      <c r="G20" s="193" t="s">
        <v>3363</v>
      </c>
      <c r="H20" s="194">
        <v>5232</v>
      </c>
      <c r="I20" s="195"/>
      <c r="J20" s="197"/>
      <c r="K20" s="53"/>
    </row>
    <row r="21" spans="1:11" ht="65.099999999999994" customHeight="1" x14ac:dyDescent="0.25">
      <c r="A21" s="191">
        <v>12</v>
      </c>
      <c r="B21" s="192"/>
      <c r="C21" s="192"/>
      <c r="D21" s="192"/>
      <c r="E21" s="53" t="s">
        <v>2244</v>
      </c>
      <c r="F21" s="193" t="s">
        <v>3350</v>
      </c>
      <c r="G21" s="193" t="s">
        <v>3363</v>
      </c>
      <c r="H21" s="194">
        <v>5232</v>
      </c>
      <c r="I21" s="195"/>
      <c r="J21" s="197"/>
      <c r="K21" s="53"/>
    </row>
    <row r="22" spans="1:11" ht="65.099999999999994" customHeight="1" x14ac:dyDescent="0.25">
      <c r="A22" s="191">
        <v>13</v>
      </c>
      <c r="B22" s="192"/>
      <c r="C22" s="192"/>
      <c r="D22" s="192"/>
      <c r="E22" s="53" t="s">
        <v>2245</v>
      </c>
      <c r="F22" s="193" t="s">
        <v>3350</v>
      </c>
      <c r="G22" s="193" t="s">
        <v>3363</v>
      </c>
      <c r="H22" s="194">
        <v>5232</v>
      </c>
      <c r="I22" s="195"/>
      <c r="J22" s="197"/>
      <c r="K22" s="53"/>
    </row>
    <row r="23" spans="1:11" ht="65.099999999999994" customHeight="1" x14ac:dyDescent="0.25">
      <c r="A23" s="191">
        <v>14</v>
      </c>
      <c r="B23" s="192"/>
      <c r="C23" s="192"/>
      <c r="D23" s="192"/>
      <c r="E23" s="53" t="s">
        <v>2246</v>
      </c>
      <c r="F23" s="193" t="s">
        <v>3350</v>
      </c>
      <c r="G23" s="193" t="s">
        <v>3363</v>
      </c>
      <c r="H23" s="194">
        <v>5232</v>
      </c>
      <c r="I23" s="195"/>
      <c r="J23" s="197"/>
      <c r="K23" s="53"/>
    </row>
    <row r="24" spans="1:11" ht="65.099999999999994" customHeight="1" x14ac:dyDescent="0.25">
      <c r="A24" s="191">
        <v>15</v>
      </c>
      <c r="B24" s="192"/>
      <c r="C24" s="192"/>
      <c r="D24" s="192"/>
      <c r="E24" s="53" t="s">
        <v>2247</v>
      </c>
      <c r="F24" s="193" t="s">
        <v>3350</v>
      </c>
      <c r="G24" s="193" t="s">
        <v>3363</v>
      </c>
      <c r="H24" s="194">
        <v>5232</v>
      </c>
      <c r="I24" s="195"/>
      <c r="J24" s="197"/>
      <c r="K24" s="53"/>
    </row>
    <row r="25" spans="1:11" ht="65.099999999999994" customHeight="1" x14ac:dyDescent="0.25">
      <c r="A25" s="191">
        <v>16</v>
      </c>
      <c r="B25" s="192"/>
      <c r="C25" s="192"/>
      <c r="D25" s="192"/>
      <c r="E25" s="53" t="s">
        <v>2248</v>
      </c>
      <c r="F25" s="193" t="s">
        <v>3350</v>
      </c>
      <c r="G25" s="193" t="s">
        <v>3363</v>
      </c>
      <c r="H25" s="194">
        <v>5232</v>
      </c>
      <c r="I25" s="195"/>
      <c r="J25" s="197"/>
      <c r="K25" s="53"/>
    </row>
    <row r="26" spans="1:11" ht="65.099999999999994" customHeight="1" x14ac:dyDescent="0.25">
      <c r="A26" s="191">
        <v>17</v>
      </c>
      <c r="B26" s="192"/>
      <c r="C26" s="192"/>
      <c r="D26" s="192"/>
      <c r="E26" s="53" t="s">
        <v>2249</v>
      </c>
      <c r="F26" s="193" t="s">
        <v>3350</v>
      </c>
      <c r="G26" s="193" t="s">
        <v>3363</v>
      </c>
      <c r="H26" s="194">
        <v>5232</v>
      </c>
      <c r="I26" s="195"/>
      <c r="J26" s="197"/>
      <c r="K26" s="53"/>
    </row>
    <row r="27" spans="1:11" ht="65.099999999999994" customHeight="1" x14ac:dyDescent="0.25">
      <c r="A27" s="191">
        <v>18</v>
      </c>
      <c r="B27" s="192"/>
      <c r="C27" s="192"/>
      <c r="D27" s="192"/>
      <c r="E27" s="53" t="s">
        <v>2250</v>
      </c>
      <c r="F27" s="193" t="s">
        <v>3350</v>
      </c>
      <c r="G27" s="193" t="s">
        <v>3363</v>
      </c>
      <c r="H27" s="194">
        <v>5232</v>
      </c>
      <c r="I27" s="195"/>
      <c r="J27" s="197"/>
      <c r="K27" s="53"/>
    </row>
    <row r="28" spans="1:11" ht="65.099999999999994" customHeight="1" x14ac:dyDescent="0.25">
      <c r="A28" s="191">
        <v>19</v>
      </c>
      <c r="B28" s="192"/>
      <c r="C28" s="192"/>
      <c r="D28" s="192"/>
      <c r="E28" s="53" t="s">
        <v>2251</v>
      </c>
      <c r="F28" s="193" t="s">
        <v>3350</v>
      </c>
      <c r="G28" s="193" t="s">
        <v>3363</v>
      </c>
      <c r="H28" s="194">
        <v>5232</v>
      </c>
      <c r="I28" s="195"/>
      <c r="J28" s="197"/>
      <c r="K28" s="53"/>
    </row>
    <row r="29" spans="1:11" ht="65.099999999999994" customHeight="1" x14ac:dyDescent="0.25">
      <c r="A29" s="191">
        <v>20</v>
      </c>
      <c r="B29" s="192"/>
      <c r="C29" s="192"/>
      <c r="D29" s="192"/>
      <c r="E29" s="53" t="s">
        <v>2252</v>
      </c>
      <c r="F29" s="193" t="s">
        <v>3350</v>
      </c>
      <c r="G29" s="193" t="s">
        <v>3363</v>
      </c>
      <c r="H29" s="194">
        <v>5232</v>
      </c>
      <c r="I29" s="195"/>
      <c r="J29" s="197"/>
      <c r="K29" s="53"/>
    </row>
    <row r="30" spans="1:11" ht="65.099999999999994" customHeight="1" x14ac:dyDescent="0.25">
      <c r="A30" s="191">
        <v>21</v>
      </c>
      <c r="B30" s="192"/>
      <c r="C30" s="192"/>
      <c r="D30" s="192"/>
      <c r="E30" s="53" t="s">
        <v>2253</v>
      </c>
      <c r="F30" s="193" t="s">
        <v>3350</v>
      </c>
      <c r="G30" s="193" t="s">
        <v>3363</v>
      </c>
      <c r="H30" s="194">
        <v>5232</v>
      </c>
      <c r="I30" s="195"/>
      <c r="J30" s="197"/>
      <c r="K30" s="53"/>
    </row>
    <row r="31" spans="1:11" ht="65.099999999999994" customHeight="1" x14ac:dyDescent="0.25">
      <c r="A31" s="191">
        <v>22</v>
      </c>
      <c r="B31" s="192"/>
      <c r="C31" s="192"/>
      <c r="D31" s="192"/>
      <c r="E31" s="53" t="s">
        <v>2254</v>
      </c>
      <c r="F31" s="193" t="s">
        <v>3350</v>
      </c>
      <c r="G31" s="193" t="s">
        <v>3363</v>
      </c>
      <c r="H31" s="194">
        <v>5232</v>
      </c>
      <c r="I31" s="195"/>
      <c r="J31" s="197"/>
      <c r="K31" s="53"/>
    </row>
    <row r="32" spans="1:11" ht="65.099999999999994" customHeight="1" x14ac:dyDescent="0.25">
      <c r="A32" s="191">
        <v>23</v>
      </c>
      <c r="B32" s="192"/>
      <c r="C32" s="192"/>
      <c r="D32" s="192"/>
      <c r="E32" s="53" t="s">
        <v>2255</v>
      </c>
      <c r="F32" s="193" t="s">
        <v>3350</v>
      </c>
      <c r="G32" s="193" t="s">
        <v>3363</v>
      </c>
      <c r="H32" s="194">
        <v>5232</v>
      </c>
      <c r="I32" s="195"/>
      <c r="J32" s="197"/>
      <c r="K32" s="53"/>
    </row>
    <row r="33" spans="1:11" ht="65.099999999999994" customHeight="1" x14ac:dyDescent="0.25">
      <c r="A33" s="191">
        <v>24</v>
      </c>
      <c r="B33" s="192"/>
      <c r="C33" s="192"/>
      <c r="D33" s="192"/>
      <c r="E33" s="53" t="s">
        <v>2256</v>
      </c>
      <c r="F33" s="193" t="s">
        <v>3350</v>
      </c>
      <c r="G33" s="193" t="s">
        <v>3363</v>
      </c>
      <c r="H33" s="194">
        <v>5232</v>
      </c>
      <c r="I33" s="195"/>
      <c r="J33" s="197"/>
      <c r="K33" s="53"/>
    </row>
    <row r="34" spans="1:11" ht="65.099999999999994" customHeight="1" x14ac:dyDescent="0.25">
      <c r="A34" s="191">
        <v>25</v>
      </c>
      <c r="B34" s="192"/>
      <c r="C34" s="192"/>
      <c r="D34" s="192"/>
      <c r="E34" s="53" t="s">
        <v>2257</v>
      </c>
      <c r="F34" s="193" t="s">
        <v>3350</v>
      </c>
      <c r="G34" s="193" t="s">
        <v>3363</v>
      </c>
      <c r="H34" s="194">
        <v>5232</v>
      </c>
      <c r="I34" s="195"/>
      <c r="J34" s="197"/>
      <c r="K34" s="53"/>
    </row>
    <row r="35" spans="1:11" ht="65.099999999999994" customHeight="1" x14ac:dyDescent="0.25">
      <c r="A35" s="191">
        <v>26</v>
      </c>
      <c r="B35" s="192"/>
      <c r="C35" s="192"/>
      <c r="D35" s="192"/>
      <c r="E35" s="53" t="s">
        <v>2258</v>
      </c>
      <c r="F35" s="193" t="s">
        <v>3350</v>
      </c>
      <c r="G35" s="193" t="s">
        <v>3363</v>
      </c>
      <c r="H35" s="194">
        <v>5232</v>
      </c>
      <c r="I35" s="195"/>
      <c r="J35" s="197"/>
      <c r="K35" s="53"/>
    </row>
    <row r="36" spans="1:11" ht="65.099999999999994" customHeight="1" x14ac:dyDescent="0.25">
      <c r="A36" s="191">
        <v>27</v>
      </c>
      <c r="B36" s="192"/>
      <c r="C36" s="192"/>
      <c r="D36" s="192"/>
      <c r="E36" s="53" t="s">
        <v>2259</v>
      </c>
      <c r="F36" s="193" t="s">
        <v>3350</v>
      </c>
      <c r="G36" s="193" t="s">
        <v>3363</v>
      </c>
      <c r="H36" s="194">
        <v>5232</v>
      </c>
      <c r="I36" s="195"/>
      <c r="J36" s="197"/>
      <c r="K36" s="53"/>
    </row>
    <row r="37" spans="1:11" ht="65.099999999999994" customHeight="1" x14ac:dyDescent="0.25">
      <c r="A37" s="191">
        <v>28</v>
      </c>
      <c r="B37" s="192"/>
      <c r="C37" s="192"/>
      <c r="D37" s="192"/>
      <c r="E37" s="53" t="s">
        <v>2260</v>
      </c>
      <c r="F37" s="193" t="s">
        <v>3350</v>
      </c>
      <c r="G37" s="193" t="s">
        <v>3363</v>
      </c>
      <c r="H37" s="194">
        <v>5232</v>
      </c>
      <c r="I37" s="195"/>
      <c r="J37" s="197"/>
      <c r="K37" s="53"/>
    </row>
    <row r="38" spans="1:11" ht="65.099999999999994" customHeight="1" x14ac:dyDescent="0.25">
      <c r="A38" s="191">
        <v>29</v>
      </c>
      <c r="B38" s="192"/>
      <c r="C38" s="192"/>
      <c r="D38" s="192"/>
      <c r="E38" s="53" t="s">
        <v>2261</v>
      </c>
      <c r="F38" s="193" t="s">
        <v>3350</v>
      </c>
      <c r="G38" s="193" t="s">
        <v>3363</v>
      </c>
      <c r="H38" s="194">
        <v>5232</v>
      </c>
      <c r="I38" s="195"/>
      <c r="J38" s="197"/>
      <c r="K38" s="53"/>
    </row>
    <row r="39" spans="1:11" ht="65.099999999999994" customHeight="1" x14ac:dyDescent="0.25">
      <c r="A39" s="191">
        <v>30</v>
      </c>
      <c r="B39" s="192"/>
      <c r="C39" s="192"/>
      <c r="D39" s="192"/>
      <c r="E39" s="53" t="s">
        <v>2262</v>
      </c>
      <c r="F39" s="193" t="s">
        <v>3350</v>
      </c>
      <c r="G39" s="193" t="s">
        <v>3363</v>
      </c>
      <c r="H39" s="194">
        <v>5232</v>
      </c>
      <c r="I39" s="195"/>
      <c r="J39" s="197"/>
      <c r="K39" s="53"/>
    </row>
    <row r="40" spans="1:11" ht="65.099999999999994" customHeight="1" x14ac:dyDescent="0.25">
      <c r="A40" s="191">
        <v>31</v>
      </c>
      <c r="B40" s="192"/>
      <c r="C40" s="192"/>
      <c r="D40" s="192"/>
      <c r="E40" s="53" t="s">
        <v>2263</v>
      </c>
      <c r="F40" s="193" t="s">
        <v>3350</v>
      </c>
      <c r="G40" s="193" t="s">
        <v>3363</v>
      </c>
      <c r="H40" s="194">
        <v>5232</v>
      </c>
      <c r="I40" s="195"/>
      <c r="J40" s="197"/>
      <c r="K40" s="53"/>
    </row>
    <row r="41" spans="1:11" ht="65.099999999999994" customHeight="1" x14ac:dyDescent="0.25">
      <c r="A41" s="191">
        <v>32</v>
      </c>
      <c r="B41" s="192"/>
      <c r="C41" s="192"/>
      <c r="D41" s="192"/>
      <c r="E41" s="53" t="s">
        <v>2264</v>
      </c>
      <c r="F41" s="193" t="s">
        <v>3350</v>
      </c>
      <c r="G41" s="193" t="s">
        <v>3363</v>
      </c>
      <c r="H41" s="194">
        <v>5232</v>
      </c>
      <c r="I41" s="195"/>
      <c r="J41" s="197"/>
      <c r="K41" s="53"/>
    </row>
    <row r="42" spans="1:11" ht="65.099999999999994" customHeight="1" x14ac:dyDescent="0.25">
      <c r="A42" s="191">
        <v>33</v>
      </c>
      <c r="B42" s="192"/>
      <c r="C42" s="192"/>
      <c r="D42" s="192"/>
      <c r="E42" s="53" t="s">
        <v>2265</v>
      </c>
      <c r="F42" s="193" t="s">
        <v>3350</v>
      </c>
      <c r="G42" s="193" t="s">
        <v>3363</v>
      </c>
      <c r="H42" s="194">
        <v>5232</v>
      </c>
      <c r="I42" s="195"/>
      <c r="J42" s="197"/>
      <c r="K42" s="53"/>
    </row>
    <row r="43" spans="1:11" ht="65.099999999999994" customHeight="1" x14ac:dyDescent="0.25">
      <c r="A43" s="191">
        <v>34</v>
      </c>
      <c r="B43" s="192"/>
      <c r="C43" s="192"/>
      <c r="D43" s="192"/>
      <c r="E43" s="53" t="s">
        <v>2266</v>
      </c>
      <c r="F43" s="193" t="s">
        <v>3350</v>
      </c>
      <c r="G43" s="193" t="s">
        <v>3363</v>
      </c>
      <c r="H43" s="194">
        <v>5232</v>
      </c>
      <c r="I43" s="195"/>
      <c r="J43" s="197"/>
      <c r="K43" s="53"/>
    </row>
    <row r="44" spans="1:11" ht="65.099999999999994" customHeight="1" x14ac:dyDescent="0.25">
      <c r="A44" s="191">
        <v>35</v>
      </c>
      <c r="B44" s="192"/>
      <c r="C44" s="192"/>
      <c r="D44" s="192"/>
      <c r="E44" s="53" t="s">
        <v>2267</v>
      </c>
      <c r="F44" s="193" t="s">
        <v>3350</v>
      </c>
      <c r="G44" s="193" t="s">
        <v>3363</v>
      </c>
      <c r="H44" s="194">
        <v>5232</v>
      </c>
      <c r="I44" s="195"/>
      <c r="J44" s="197"/>
      <c r="K44" s="53"/>
    </row>
    <row r="45" spans="1:11" ht="65.099999999999994" customHeight="1" x14ac:dyDescent="0.25">
      <c r="A45" s="191">
        <v>36</v>
      </c>
      <c r="B45" s="192"/>
      <c r="C45" s="192"/>
      <c r="D45" s="192"/>
      <c r="E45" s="53" t="s">
        <v>2268</v>
      </c>
      <c r="F45" s="193" t="s">
        <v>3350</v>
      </c>
      <c r="G45" s="193" t="s">
        <v>3363</v>
      </c>
      <c r="H45" s="194">
        <v>5232</v>
      </c>
      <c r="I45" s="195"/>
      <c r="J45" s="197"/>
      <c r="K45" s="53"/>
    </row>
    <row r="46" spans="1:11" ht="65.099999999999994" customHeight="1" x14ac:dyDescent="0.25">
      <c r="A46" s="191">
        <v>37</v>
      </c>
      <c r="B46" s="192"/>
      <c r="C46" s="192"/>
      <c r="D46" s="192"/>
      <c r="E46" s="53" t="s">
        <v>2269</v>
      </c>
      <c r="F46" s="193" t="s">
        <v>3350</v>
      </c>
      <c r="G46" s="193" t="s">
        <v>3363</v>
      </c>
      <c r="H46" s="194">
        <v>5232</v>
      </c>
      <c r="I46" s="195"/>
      <c r="J46" s="197"/>
      <c r="K46" s="53"/>
    </row>
    <row r="47" spans="1:11" ht="65.099999999999994" customHeight="1" x14ac:dyDescent="0.25">
      <c r="A47" s="191">
        <v>38</v>
      </c>
      <c r="B47" s="192"/>
      <c r="C47" s="192"/>
      <c r="D47" s="192"/>
      <c r="E47" s="53" t="s">
        <v>2270</v>
      </c>
      <c r="F47" s="193" t="s">
        <v>3350</v>
      </c>
      <c r="G47" s="193" t="s">
        <v>3363</v>
      </c>
      <c r="H47" s="194">
        <v>5232</v>
      </c>
      <c r="I47" s="195"/>
      <c r="J47" s="197"/>
      <c r="K47" s="53"/>
    </row>
    <row r="48" spans="1:11" ht="65.099999999999994" customHeight="1" x14ac:dyDescent="0.25">
      <c r="A48" s="191">
        <v>39</v>
      </c>
      <c r="B48" s="192"/>
      <c r="C48" s="192"/>
      <c r="D48" s="192"/>
      <c r="E48" s="53" t="s">
        <v>2271</v>
      </c>
      <c r="F48" s="193" t="s">
        <v>3350</v>
      </c>
      <c r="G48" s="193" t="s">
        <v>3363</v>
      </c>
      <c r="H48" s="194">
        <v>5232</v>
      </c>
      <c r="I48" s="195"/>
      <c r="J48" s="197"/>
      <c r="K48" s="53"/>
    </row>
    <row r="49" spans="1:11" ht="65.099999999999994" customHeight="1" x14ac:dyDescent="0.25">
      <c r="A49" s="191">
        <v>40</v>
      </c>
      <c r="B49" s="192"/>
      <c r="C49" s="192"/>
      <c r="D49" s="192"/>
      <c r="E49" s="53" t="s">
        <v>2272</v>
      </c>
      <c r="F49" s="193" t="s">
        <v>3350</v>
      </c>
      <c r="G49" s="193" t="s">
        <v>3363</v>
      </c>
      <c r="H49" s="194">
        <v>5232</v>
      </c>
      <c r="I49" s="195"/>
      <c r="J49" s="197"/>
      <c r="K49" s="53"/>
    </row>
    <row r="50" spans="1:11" ht="65.099999999999994" customHeight="1" x14ac:dyDescent="0.25">
      <c r="A50" s="191">
        <v>41</v>
      </c>
      <c r="B50" s="192"/>
      <c r="C50" s="192"/>
      <c r="D50" s="192"/>
      <c r="E50" s="53" t="s">
        <v>2273</v>
      </c>
      <c r="F50" s="193" t="s">
        <v>3350</v>
      </c>
      <c r="G50" s="193" t="s">
        <v>3363</v>
      </c>
      <c r="H50" s="194">
        <v>5232</v>
      </c>
      <c r="I50" s="195"/>
      <c r="J50" s="197"/>
      <c r="K50" s="53"/>
    </row>
    <row r="51" spans="1:11" ht="65.099999999999994" customHeight="1" x14ac:dyDescent="0.25">
      <c r="A51" s="191">
        <v>42</v>
      </c>
      <c r="B51" s="192"/>
      <c r="C51" s="192"/>
      <c r="D51" s="192"/>
      <c r="E51" s="53" t="s">
        <v>2274</v>
      </c>
      <c r="F51" s="193" t="s">
        <v>3350</v>
      </c>
      <c r="G51" s="193" t="s">
        <v>3363</v>
      </c>
      <c r="H51" s="194">
        <v>5232</v>
      </c>
      <c r="I51" s="195"/>
      <c r="J51" s="197"/>
      <c r="K51" s="53"/>
    </row>
    <row r="52" spans="1:11" ht="65.099999999999994" customHeight="1" x14ac:dyDescent="0.25">
      <c r="A52" s="191">
        <v>43</v>
      </c>
      <c r="B52" s="192"/>
      <c r="C52" s="192"/>
      <c r="D52" s="192"/>
      <c r="E52" s="53" t="s">
        <v>2275</v>
      </c>
      <c r="F52" s="193" t="s">
        <v>3350</v>
      </c>
      <c r="G52" s="193" t="s">
        <v>3363</v>
      </c>
      <c r="H52" s="194">
        <v>5232</v>
      </c>
      <c r="I52" s="195"/>
      <c r="J52" s="197"/>
      <c r="K52" s="53"/>
    </row>
    <row r="53" spans="1:11" ht="65.099999999999994" customHeight="1" x14ac:dyDescent="0.25">
      <c r="A53" s="191">
        <v>44</v>
      </c>
      <c r="B53" s="192"/>
      <c r="C53" s="192"/>
      <c r="D53" s="192"/>
      <c r="E53" s="53" t="s">
        <v>2276</v>
      </c>
      <c r="F53" s="193" t="s">
        <v>3350</v>
      </c>
      <c r="G53" s="193" t="s">
        <v>3363</v>
      </c>
      <c r="H53" s="194">
        <v>5232</v>
      </c>
      <c r="I53" s="195"/>
      <c r="J53" s="197"/>
      <c r="K53" s="53"/>
    </row>
    <row r="54" spans="1:11" ht="65.099999999999994" customHeight="1" x14ac:dyDescent="0.25">
      <c r="A54" s="191">
        <v>45</v>
      </c>
      <c r="B54" s="192"/>
      <c r="C54" s="192"/>
      <c r="D54" s="192"/>
      <c r="E54" s="53" t="s">
        <v>2277</v>
      </c>
      <c r="F54" s="193" t="s">
        <v>3350</v>
      </c>
      <c r="G54" s="193" t="s">
        <v>3363</v>
      </c>
      <c r="H54" s="194">
        <v>5232</v>
      </c>
      <c r="I54" s="195"/>
      <c r="J54" s="197"/>
      <c r="K54" s="53"/>
    </row>
    <row r="55" spans="1:11" ht="65.099999999999994" customHeight="1" x14ac:dyDescent="0.25">
      <c r="A55" s="191">
        <v>46</v>
      </c>
      <c r="B55" s="192"/>
      <c r="C55" s="192"/>
      <c r="D55" s="192"/>
      <c r="E55" s="53" t="s">
        <v>2278</v>
      </c>
      <c r="F55" s="193" t="s">
        <v>3350</v>
      </c>
      <c r="G55" s="193" t="s">
        <v>3363</v>
      </c>
      <c r="H55" s="194">
        <v>5232</v>
      </c>
      <c r="I55" s="195"/>
      <c r="J55" s="197"/>
      <c r="K55" s="53"/>
    </row>
    <row r="56" spans="1:11" ht="65.099999999999994" customHeight="1" x14ac:dyDescent="0.25">
      <c r="A56" s="191">
        <v>47</v>
      </c>
      <c r="B56" s="192"/>
      <c r="C56" s="192"/>
      <c r="D56" s="192"/>
      <c r="E56" s="53" t="s">
        <v>2279</v>
      </c>
      <c r="F56" s="193" t="s">
        <v>3350</v>
      </c>
      <c r="G56" s="193" t="s">
        <v>3363</v>
      </c>
      <c r="H56" s="194">
        <v>5232</v>
      </c>
      <c r="I56" s="195"/>
      <c r="J56" s="197"/>
      <c r="K56" s="53"/>
    </row>
    <row r="57" spans="1:11" ht="65.099999999999994" customHeight="1" x14ac:dyDescent="0.25">
      <c r="A57" s="191">
        <v>48</v>
      </c>
      <c r="B57" s="192"/>
      <c r="C57" s="192"/>
      <c r="D57" s="192"/>
      <c r="E57" s="53" t="s">
        <v>2280</v>
      </c>
      <c r="F57" s="193" t="s">
        <v>3350</v>
      </c>
      <c r="G57" s="193" t="s">
        <v>3363</v>
      </c>
      <c r="H57" s="194">
        <v>5232</v>
      </c>
      <c r="I57" s="195"/>
      <c r="J57" s="197"/>
      <c r="K57" s="53"/>
    </row>
    <row r="58" spans="1:11" ht="65.099999999999994" customHeight="1" x14ac:dyDescent="0.25">
      <c r="A58" s="191">
        <v>49</v>
      </c>
      <c r="B58" s="192"/>
      <c r="C58" s="192"/>
      <c r="D58" s="192"/>
      <c r="E58" s="53" t="s">
        <v>2281</v>
      </c>
      <c r="F58" s="193" t="s">
        <v>3350</v>
      </c>
      <c r="G58" s="193" t="s">
        <v>3363</v>
      </c>
      <c r="H58" s="194">
        <v>5232</v>
      </c>
      <c r="I58" s="195"/>
      <c r="J58" s="197"/>
      <c r="K58" s="53"/>
    </row>
    <row r="59" spans="1:11" ht="65.099999999999994" customHeight="1" x14ac:dyDescent="0.25">
      <c r="A59" s="191">
        <v>50</v>
      </c>
      <c r="B59" s="192"/>
      <c r="C59" s="192"/>
      <c r="D59" s="192"/>
      <c r="E59" s="53" t="s">
        <v>2282</v>
      </c>
      <c r="F59" s="193" t="s">
        <v>3350</v>
      </c>
      <c r="G59" s="193" t="s">
        <v>3363</v>
      </c>
      <c r="H59" s="194">
        <v>5232</v>
      </c>
      <c r="I59" s="195"/>
      <c r="J59" s="197"/>
      <c r="K59" s="53"/>
    </row>
    <row r="60" spans="1:11" ht="65.099999999999994" customHeight="1" x14ac:dyDescent="0.25">
      <c r="A60" s="191">
        <v>51</v>
      </c>
      <c r="B60" s="192"/>
      <c r="C60" s="192"/>
      <c r="D60" s="192"/>
      <c r="E60" s="53" t="s">
        <v>2283</v>
      </c>
      <c r="F60" s="193" t="s">
        <v>3350</v>
      </c>
      <c r="G60" s="193" t="s">
        <v>3363</v>
      </c>
      <c r="H60" s="194">
        <v>5232</v>
      </c>
      <c r="I60" s="195"/>
      <c r="J60" s="197"/>
      <c r="K60" s="53"/>
    </row>
    <row r="61" spans="1:11" ht="65.099999999999994" customHeight="1" x14ac:dyDescent="0.25">
      <c r="A61" s="191">
        <v>52</v>
      </c>
      <c r="B61" s="192"/>
      <c r="C61" s="192"/>
      <c r="D61" s="192"/>
      <c r="E61" s="53" t="s">
        <v>2284</v>
      </c>
      <c r="F61" s="193" t="s">
        <v>3350</v>
      </c>
      <c r="G61" s="193" t="s">
        <v>3363</v>
      </c>
      <c r="H61" s="194">
        <v>5232</v>
      </c>
      <c r="I61" s="195"/>
      <c r="J61" s="197"/>
      <c r="K61" s="53"/>
    </row>
    <row r="62" spans="1:11" ht="65.099999999999994" customHeight="1" x14ac:dyDescent="0.25">
      <c r="A62" s="191">
        <v>53</v>
      </c>
      <c r="B62" s="192"/>
      <c r="C62" s="192"/>
      <c r="D62" s="192"/>
      <c r="E62" s="53" t="s">
        <v>2285</v>
      </c>
      <c r="F62" s="193" t="s">
        <v>3350</v>
      </c>
      <c r="G62" s="193" t="s">
        <v>3363</v>
      </c>
      <c r="H62" s="194">
        <v>5232</v>
      </c>
      <c r="I62" s="195"/>
      <c r="J62" s="197"/>
      <c r="K62" s="53"/>
    </row>
    <row r="63" spans="1:11" ht="65.099999999999994" customHeight="1" x14ac:dyDescent="0.25">
      <c r="A63" s="191">
        <v>54</v>
      </c>
      <c r="B63" s="192"/>
      <c r="C63" s="192"/>
      <c r="D63" s="192"/>
      <c r="E63" s="53" t="s">
        <v>2286</v>
      </c>
      <c r="F63" s="193" t="s">
        <v>3350</v>
      </c>
      <c r="G63" s="193" t="s">
        <v>3363</v>
      </c>
      <c r="H63" s="194">
        <v>5232</v>
      </c>
      <c r="I63" s="195"/>
      <c r="J63" s="197"/>
      <c r="K63" s="53"/>
    </row>
    <row r="64" spans="1:11" ht="65.099999999999994" customHeight="1" x14ac:dyDescent="0.25">
      <c r="A64" s="191">
        <v>55</v>
      </c>
      <c r="B64" s="192"/>
      <c r="C64" s="192"/>
      <c r="D64" s="192"/>
      <c r="E64" s="53" t="s">
        <v>2287</v>
      </c>
      <c r="F64" s="193" t="s">
        <v>3350</v>
      </c>
      <c r="G64" s="193" t="s">
        <v>3363</v>
      </c>
      <c r="H64" s="194">
        <v>5232</v>
      </c>
      <c r="I64" s="195"/>
      <c r="J64" s="197"/>
      <c r="K64" s="53"/>
    </row>
    <row r="65" spans="1:11" ht="65.099999999999994" customHeight="1" x14ac:dyDescent="0.25">
      <c r="A65" s="191">
        <v>56</v>
      </c>
      <c r="B65" s="192"/>
      <c r="C65" s="192"/>
      <c r="D65" s="192"/>
      <c r="E65" s="53" t="s">
        <v>2288</v>
      </c>
      <c r="F65" s="193" t="s">
        <v>3350</v>
      </c>
      <c r="G65" s="193" t="s">
        <v>3363</v>
      </c>
      <c r="H65" s="194">
        <v>5232</v>
      </c>
      <c r="I65" s="195"/>
      <c r="J65" s="197"/>
      <c r="K65" s="53"/>
    </row>
    <row r="66" spans="1:11" ht="65.099999999999994" customHeight="1" x14ac:dyDescent="0.25">
      <c r="A66" s="191">
        <v>57</v>
      </c>
      <c r="B66" s="192"/>
      <c r="C66" s="192"/>
      <c r="D66" s="192"/>
      <c r="E66" s="53" t="s">
        <v>2289</v>
      </c>
      <c r="F66" s="193" t="s">
        <v>3350</v>
      </c>
      <c r="G66" s="193" t="s">
        <v>3363</v>
      </c>
      <c r="H66" s="194">
        <v>5232</v>
      </c>
      <c r="I66" s="195"/>
      <c r="J66" s="197"/>
      <c r="K66" s="53"/>
    </row>
    <row r="67" spans="1:11" ht="65.099999999999994" customHeight="1" x14ac:dyDescent="0.25">
      <c r="A67" s="191">
        <v>58</v>
      </c>
      <c r="B67" s="192"/>
      <c r="C67" s="192"/>
      <c r="D67" s="192"/>
      <c r="E67" s="53" t="s">
        <v>2290</v>
      </c>
      <c r="F67" s="193" t="s">
        <v>3350</v>
      </c>
      <c r="G67" s="193" t="s">
        <v>3363</v>
      </c>
      <c r="H67" s="194">
        <v>5232</v>
      </c>
      <c r="I67" s="195"/>
      <c r="J67" s="197"/>
      <c r="K67" s="53"/>
    </row>
    <row r="68" spans="1:11" ht="65.099999999999994" customHeight="1" x14ac:dyDescent="0.25">
      <c r="A68" s="191">
        <v>59</v>
      </c>
      <c r="B68" s="192"/>
      <c r="C68" s="192"/>
      <c r="D68" s="192"/>
      <c r="E68" s="53" t="s">
        <v>2291</v>
      </c>
      <c r="F68" s="193" t="s">
        <v>3350</v>
      </c>
      <c r="G68" s="193" t="s">
        <v>3363</v>
      </c>
      <c r="H68" s="194">
        <v>5232</v>
      </c>
      <c r="I68" s="195"/>
      <c r="J68" s="197"/>
      <c r="K68" s="53"/>
    </row>
    <row r="69" spans="1:11" ht="65.099999999999994" customHeight="1" x14ac:dyDescent="0.25">
      <c r="A69" s="191">
        <v>60</v>
      </c>
      <c r="B69" s="192"/>
      <c r="C69" s="192"/>
      <c r="D69" s="192"/>
      <c r="E69" s="53" t="s">
        <v>2292</v>
      </c>
      <c r="F69" s="193" t="s">
        <v>3350</v>
      </c>
      <c r="G69" s="193" t="s">
        <v>3363</v>
      </c>
      <c r="H69" s="194">
        <v>5232</v>
      </c>
      <c r="I69" s="195"/>
      <c r="J69" s="197"/>
      <c r="K69" s="53"/>
    </row>
    <row r="70" spans="1:11" ht="65.099999999999994" customHeight="1" x14ac:dyDescent="0.25">
      <c r="A70" s="191">
        <v>61</v>
      </c>
      <c r="B70" s="192"/>
      <c r="C70" s="192"/>
      <c r="D70" s="192"/>
      <c r="E70" s="53" t="s">
        <v>2293</v>
      </c>
      <c r="F70" s="193" t="s">
        <v>3350</v>
      </c>
      <c r="G70" s="193" t="s">
        <v>3363</v>
      </c>
      <c r="H70" s="194">
        <v>5232</v>
      </c>
      <c r="I70" s="195"/>
      <c r="J70" s="197"/>
      <c r="K70" s="53"/>
    </row>
    <row r="71" spans="1:11" ht="65.099999999999994" customHeight="1" x14ac:dyDescent="0.25">
      <c r="A71" s="191">
        <v>62</v>
      </c>
      <c r="B71" s="192"/>
      <c r="C71" s="192"/>
      <c r="D71" s="192"/>
      <c r="E71" s="53" t="s">
        <v>2294</v>
      </c>
      <c r="F71" s="193" t="s">
        <v>3350</v>
      </c>
      <c r="G71" s="193" t="s">
        <v>3363</v>
      </c>
      <c r="H71" s="194">
        <v>5232</v>
      </c>
      <c r="I71" s="195"/>
      <c r="J71" s="197"/>
      <c r="K71" s="53"/>
    </row>
    <row r="72" spans="1:11" ht="65.099999999999994" customHeight="1" x14ac:dyDescent="0.25">
      <c r="A72" s="191">
        <v>63</v>
      </c>
      <c r="B72" s="192"/>
      <c r="C72" s="192"/>
      <c r="D72" s="192"/>
      <c r="E72" s="53" t="s">
        <v>2295</v>
      </c>
      <c r="F72" s="193" t="s">
        <v>3350</v>
      </c>
      <c r="G72" s="193" t="s">
        <v>3363</v>
      </c>
      <c r="H72" s="194">
        <v>5232</v>
      </c>
      <c r="I72" s="195"/>
      <c r="J72" s="197"/>
      <c r="K72" s="53"/>
    </row>
    <row r="73" spans="1:11" ht="65.099999999999994" customHeight="1" x14ac:dyDescent="0.25">
      <c r="A73" s="191">
        <v>64</v>
      </c>
      <c r="B73" s="192"/>
      <c r="C73" s="192"/>
      <c r="D73" s="192"/>
      <c r="E73" s="53" t="s">
        <v>2296</v>
      </c>
      <c r="F73" s="193" t="s">
        <v>3350</v>
      </c>
      <c r="G73" s="193" t="s">
        <v>3363</v>
      </c>
      <c r="H73" s="194">
        <v>5232</v>
      </c>
      <c r="I73" s="195"/>
      <c r="J73" s="197"/>
      <c r="K73" s="53"/>
    </row>
    <row r="74" spans="1:11" ht="65.099999999999994" customHeight="1" x14ac:dyDescent="0.25">
      <c r="A74" s="191">
        <v>65</v>
      </c>
      <c r="B74" s="192"/>
      <c r="C74" s="192"/>
      <c r="D74" s="192"/>
      <c r="E74" s="53" t="s">
        <v>2297</v>
      </c>
      <c r="F74" s="193" t="s">
        <v>3350</v>
      </c>
      <c r="G74" s="193" t="s">
        <v>3363</v>
      </c>
      <c r="H74" s="194">
        <v>5232</v>
      </c>
      <c r="I74" s="195"/>
      <c r="J74" s="197"/>
      <c r="K74" s="53"/>
    </row>
    <row r="75" spans="1:11" ht="65.099999999999994" customHeight="1" x14ac:dyDescent="0.25">
      <c r="A75" s="191">
        <v>66</v>
      </c>
      <c r="B75" s="192"/>
      <c r="C75" s="192"/>
      <c r="D75" s="192"/>
      <c r="E75" s="53" t="s">
        <v>2298</v>
      </c>
      <c r="F75" s="193" t="s">
        <v>3350</v>
      </c>
      <c r="G75" s="193" t="s">
        <v>3363</v>
      </c>
      <c r="H75" s="194">
        <v>5232</v>
      </c>
      <c r="I75" s="195"/>
      <c r="J75" s="197"/>
      <c r="K75" s="53"/>
    </row>
    <row r="76" spans="1:11" ht="65.099999999999994" customHeight="1" x14ac:dyDescent="0.25">
      <c r="A76" s="191">
        <v>67</v>
      </c>
      <c r="B76" s="192"/>
      <c r="C76" s="192"/>
      <c r="D76" s="192"/>
      <c r="E76" s="53" t="s">
        <v>2299</v>
      </c>
      <c r="F76" s="193" t="s">
        <v>3350</v>
      </c>
      <c r="G76" s="193" t="s">
        <v>3363</v>
      </c>
      <c r="H76" s="194">
        <v>5232</v>
      </c>
      <c r="I76" s="195"/>
      <c r="J76" s="197"/>
      <c r="K76" s="53"/>
    </row>
    <row r="77" spans="1:11" ht="65.099999999999994" customHeight="1" x14ac:dyDescent="0.25">
      <c r="A77" s="191">
        <v>68</v>
      </c>
      <c r="B77" s="192"/>
      <c r="C77" s="192"/>
      <c r="D77" s="192"/>
      <c r="E77" s="53" t="s">
        <v>2300</v>
      </c>
      <c r="F77" s="193" t="s">
        <v>3350</v>
      </c>
      <c r="G77" s="193" t="s">
        <v>3363</v>
      </c>
      <c r="H77" s="194">
        <v>5232</v>
      </c>
      <c r="I77" s="195"/>
      <c r="J77" s="197"/>
      <c r="K77" s="53"/>
    </row>
    <row r="78" spans="1:11" ht="65.099999999999994" customHeight="1" x14ac:dyDescent="0.25">
      <c r="A78" s="191">
        <v>69</v>
      </c>
      <c r="B78" s="192"/>
      <c r="C78" s="192"/>
      <c r="D78" s="192"/>
      <c r="E78" s="53" t="s">
        <v>2301</v>
      </c>
      <c r="F78" s="193" t="s">
        <v>3350</v>
      </c>
      <c r="G78" s="193" t="s">
        <v>3363</v>
      </c>
      <c r="H78" s="194">
        <v>5232</v>
      </c>
      <c r="I78" s="195"/>
      <c r="J78" s="197"/>
      <c r="K78" s="53"/>
    </row>
    <row r="79" spans="1:11" ht="65.099999999999994" customHeight="1" x14ac:dyDescent="0.25">
      <c r="A79" s="191">
        <v>70</v>
      </c>
      <c r="B79" s="192"/>
      <c r="C79" s="192"/>
      <c r="D79" s="192"/>
      <c r="E79" s="53" t="s">
        <v>2302</v>
      </c>
      <c r="F79" s="193" t="s">
        <v>3350</v>
      </c>
      <c r="G79" s="193" t="s">
        <v>3363</v>
      </c>
      <c r="H79" s="194">
        <v>5232</v>
      </c>
      <c r="I79" s="195"/>
      <c r="J79" s="197"/>
      <c r="K79" s="53"/>
    </row>
    <row r="80" spans="1:11" ht="65.099999999999994" customHeight="1" x14ac:dyDescent="0.25">
      <c r="A80" s="191">
        <v>71</v>
      </c>
      <c r="B80" s="192"/>
      <c r="C80" s="192"/>
      <c r="D80" s="192"/>
      <c r="E80" s="53" t="s">
        <v>2303</v>
      </c>
      <c r="F80" s="193" t="s">
        <v>3350</v>
      </c>
      <c r="G80" s="193" t="s">
        <v>3363</v>
      </c>
      <c r="H80" s="194">
        <v>5232</v>
      </c>
      <c r="I80" s="195"/>
      <c r="J80" s="197"/>
      <c r="K80" s="53"/>
    </row>
    <row r="81" spans="1:11" ht="65.099999999999994" customHeight="1" x14ac:dyDescent="0.25">
      <c r="A81" s="191">
        <v>72</v>
      </c>
      <c r="B81" s="192"/>
      <c r="C81" s="192"/>
      <c r="D81" s="192"/>
      <c r="E81" s="53" t="s">
        <v>2304</v>
      </c>
      <c r="F81" s="193" t="s">
        <v>3350</v>
      </c>
      <c r="G81" s="193" t="s">
        <v>3363</v>
      </c>
      <c r="H81" s="194">
        <v>5232</v>
      </c>
      <c r="I81" s="195"/>
      <c r="J81" s="197"/>
      <c r="K81" s="53"/>
    </row>
    <row r="82" spans="1:11" ht="65.099999999999994" customHeight="1" x14ac:dyDescent="0.25">
      <c r="A82" s="191">
        <v>73</v>
      </c>
      <c r="B82" s="192"/>
      <c r="C82" s="192"/>
      <c r="D82" s="192"/>
      <c r="E82" s="53" t="s">
        <v>2305</v>
      </c>
      <c r="F82" s="193" t="s">
        <v>3350</v>
      </c>
      <c r="G82" s="193" t="s">
        <v>3363</v>
      </c>
      <c r="H82" s="194">
        <v>5232</v>
      </c>
      <c r="I82" s="195"/>
      <c r="J82" s="197"/>
      <c r="K82" s="53"/>
    </row>
    <row r="83" spans="1:11" ht="65.099999999999994" customHeight="1" x14ac:dyDescent="0.25">
      <c r="A83" s="191">
        <v>74</v>
      </c>
      <c r="B83" s="192"/>
      <c r="C83" s="192"/>
      <c r="D83" s="192"/>
      <c r="E83" s="53" t="s">
        <v>2306</v>
      </c>
      <c r="F83" s="193" t="s">
        <v>3350</v>
      </c>
      <c r="G83" s="193" t="s">
        <v>3363</v>
      </c>
      <c r="H83" s="194">
        <v>5232</v>
      </c>
      <c r="I83" s="195"/>
      <c r="J83" s="197"/>
      <c r="K83" s="53"/>
    </row>
    <row r="84" spans="1:11" ht="65.099999999999994" customHeight="1" x14ac:dyDescent="0.25">
      <c r="A84" s="191">
        <v>75</v>
      </c>
      <c r="B84" s="192"/>
      <c r="C84" s="192"/>
      <c r="D84" s="192"/>
      <c r="E84" s="53" t="s">
        <v>2307</v>
      </c>
      <c r="F84" s="193" t="s">
        <v>3350</v>
      </c>
      <c r="G84" s="193" t="s">
        <v>3363</v>
      </c>
      <c r="H84" s="194">
        <v>5232</v>
      </c>
      <c r="I84" s="195"/>
      <c r="J84" s="197"/>
      <c r="K84" s="53"/>
    </row>
    <row r="85" spans="1:11" ht="65.099999999999994" customHeight="1" x14ac:dyDescent="0.25">
      <c r="A85" s="191">
        <v>76</v>
      </c>
      <c r="B85" s="192"/>
      <c r="C85" s="192"/>
      <c r="D85" s="192"/>
      <c r="E85" s="53" t="s">
        <v>2308</v>
      </c>
      <c r="F85" s="193" t="s">
        <v>3350</v>
      </c>
      <c r="G85" s="193" t="s">
        <v>3363</v>
      </c>
      <c r="H85" s="194">
        <v>5232</v>
      </c>
      <c r="I85" s="195"/>
      <c r="J85" s="197"/>
      <c r="K85" s="53"/>
    </row>
    <row r="86" spans="1:11" ht="65.099999999999994" customHeight="1" x14ac:dyDescent="0.25">
      <c r="A86" s="191">
        <v>77</v>
      </c>
      <c r="B86" s="192"/>
      <c r="C86" s="192"/>
      <c r="D86" s="192"/>
      <c r="E86" s="53" t="s">
        <v>2309</v>
      </c>
      <c r="F86" s="193" t="s">
        <v>3350</v>
      </c>
      <c r="G86" s="193" t="s">
        <v>3363</v>
      </c>
      <c r="H86" s="194">
        <v>5232</v>
      </c>
      <c r="I86" s="195"/>
      <c r="J86" s="197"/>
      <c r="K86" s="53"/>
    </row>
    <row r="87" spans="1:11" ht="65.099999999999994" customHeight="1" x14ac:dyDescent="0.25">
      <c r="A87" s="191">
        <v>78</v>
      </c>
      <c r="B87" s="192"/>
      <c r="C87" s="192"/>
      <c r="D87" s="192"/>
      <c r="E87" s="53" t="s">
        <v>2310</v>
      </c>
      <c r="F87" s="193" t="s">
        <v>3350</v>
      </c>
      <c r="G87" s="193" t="s">
        <v>3363</v>
      </c>
      <c r="H87" s="194">
        <v>5232</v>
      </c>
      <c r="I87" s="195"/>
      <c r="J87" s="197"/>
      <c r="K87" s="53"/>
    </row>
    <row r="88" spans="1:11" ht="65.099999999999994" customHeight="1" x14ac:dyDescent="0.25">
      <c r="A88" s="191">
        <v>79</v>
      </c>
      <c r="B88" s="192"/>
      <c r="C88" s="192"/>
      <c r="D88" s="192"/>
      <c r="E88" s="53" t="s">
        <v>2311</v>
      </c>
      <c r="F88" s="193" t="s">
        <v>3350</v>
      </c>
      <c r="G88" s="193" t="s">
        <v>3363</v>
      </c>
      <c r="H88" s="194">
        <v>5232</v>
      </c>
      <c r="I88" s="195"/>
      <c r="J88" s="197"/>
      <c r="K88" s="53"/>
    </row>
    <row r="89" spans="1:11" ht="65.099999999999994" customHeight="1" x14ac:dyDescent="0.25">
      <c r="A89" s="191">
        <v>80</v>
      </c>
      <c r="B89" s="192"/>
      <c r="C89" s="192"/>
      <c r="D89" s="192"/>
      <c r="E89" s="53" t="s">
        <v>2312</v>
      </c>
      <c r="F89" s="193" t="s">
        <v>3350</v>
      </c>
      <c r="G89" s="193" t="s">
        <v>3363</v>
      </c>
      <c r="H89" s="194">
        <v>5232</v>
      </c>
      <c r="I89" s="195"/>
      <c r="J89" s="197"/>
      <c r="K89" s="53"/>
    </row>
    <row r="90" spans="1:11" ht="65.099999999999994" customHeight="1" x14ac:dyDescent="0.25">
      <c r="A90" s="191">
        <v>81</v>
      </c>
      <c r="B90" s="192"/>
      <c r="C90" s="192"/>
      <c r="D90" s="192"/>
      <c r="E90" s="53" t="s">
        <v>2313</v>
      </c>
      <c r="F90" s="193" t="s">
        <v>3350</v>
      </c>
      <c r="G90" s="193" t="s">
        <v>3363</v>
      </c>
      <c r="H90" s="194">
        <v>5232</v>
      </c>
      <c r="I90" s="195"/>
      <c r="J90" s="197"/>
      <c r="K90" s="53"/>
    </row>
    <row r="91" spans="1:11" ht="65.099999999999994" customHeight="1" x14ac:dyDescent="0.25">
      <c r="A91" s="191">
        <v>82</v>
      </c>
      <c r="B91" s="192"/>
      <c r="C91" s="192"/>
      <c r="D91" s="192"/>
      <c r="E91" s="53" t="s">
        <v>2314</v>
      </c>
      <c r="F91" s="193" t="s">
        <v>3350</v>
      </c>
      <c r="G91" s="193" t="s">
        <v>3363</v>
      </c>
      <c r="H91" s="194">
        <v>5232</v>
      </c>
      <c r="I91" s="195"/>
      <c r="J91" s="197"/>
      <c r="K91" s="53"/>
    </row>
    <row r="92" spans="1:11" ht="65.099999999999994" customHeight="1" x14ac:dyDescent="0.25">
      <c r="A92" s="191">
        <v>83</v>
      </c>
      <c r="B92" s="192"/>
      <c r="C92" s="192"/>
      <c r="D92" s="192"/>
      <c r="E92" s="53" t="s">
        <v>2315</v>
      </c>
      <c r="F92" s="193" t="s">
        <v>3350</v>
      </c>
      <c r="G92" s="193" t="s">
        <v>3363</v>
      </c>
      <c r="H92" s="194">
        <v>5232</v>
      </c>
      <c r="I92" s="195"/>
      <c r="J92" s="197"/>
      <c r="K92" s="53"/>
    </row>
    <row r="93" spans="1:11" ht="65.099999999999994" customHeight="1" x14ac:dyDescent="0.25">
      <c r="A93" s="191">
        <v>84</v>
      </c>
      <c r="B93" s="192"/>
      <c r="C93" s="192"/>
      <c r="D93" s="192"/>
      <c r="E93" s="53" t="s">
        <v>2316</v>
      </c>
      <c r="F93" s="193" t="s">
        <v>3350</v>
      </c>
      <c r="G93" s="193" t="s">
        <v>3363</v>
      </c>
      <c r="H93" s="194">
        <v>5232</v>
      </c>
      <c r="I93" s="195"/>
      <c r="J93" s="197"/>
      <c r="K93" s="53"/>
    </row>
    <row r="94" spans="1:11" ht="65.099999999999994" customHeight="1" x14ac:dyDescent="0.25">
      <c r="A94" s="191">
        <v>85</v>
      </c>
      <c r="B94" s="192"/>
      <c r="C94" s="192"/>
      <c r="D94" s="192"/>
      <c r="E94" s="53" t="s">
        <v>2317</v>
      </c>
      <c r="F94" s="193" t="s">
        <v>3350</v>
      </c>
      <c r="G94" s="193" t="s">
        <v>3363</v>
      </c>
      <c r="H94" s="194">
        <v>5232</v>
      </c>
      <c r="I94" s="195"/>
      <c r="J94" s="197"/>
      <c r="K94" s="53"/>
    </row>
    <row r="95" spans="1:11" ht="65.099999999999994" customHeight="1" x14ac:dyDescent="0.25">
      <c r="A95" s="191">
        <v>86</v>
      </c>
      <c r="B95" s="192"/>
      <c r="C95" s="192"/>
      <c r="D95" s="192"/>
      <c r="E95" s="53" t="s">
        <v>2318</v>
      </c>
      <c r="F95" s="193" t="s">
        <v>3350</v>
      </c>
      <c r="G95" s="193" t="s">
        <v>3363</v>
      </c>
      <c r="H95" s="194">
        <v>5232</v>
      </c>
      <c r="I95" s="195"/>
      <c r="J95" s="197"/>
      <c r="K95" s="53"/>
    </row>
    <row r="96" spans="1:11" ht="65.099999999999994" customHeight="1" x14ac:dyDescent="0.25">
      <c r="A96" s="191">
        <v>87</v>
      </c>
      <c r="B96" s="192"/>
      <c r="C96" s="192"/>
      <c r="D96" s="192"/>
      <c r="E96" s="53" t="s">
        <v>2319</v>
      </c>
      <c r="F96" s="193" t="s">
        <v>3350</v>
      </c>
      <c r="G96" s="193" t="s">
        <v>3363</v>
      </c>
      <c r="H96" s="194">
        <v>5232</v>
      </c>
      <c r="I96" s="195"/>
      <c r="J96" s="197"/>
      <c r="K96" s="53"/>
    </row>
    <row r="97" spans="1:11" ht="65.099999999999994" customHeight="1" x14ac:dyDescent="0.25">
      <c r="A97" s="191">
        <v>88</v>
      </c>
      <c r="B97" s="192"/>
      <c r="C97" s="192"/>
      <c r="D97" s="192"/>
      <c r="E97" s="53" t="s">
        <v>2320</v>
      </c>
      <c r="F97" s="193" t="s">
        <v>3350</v>
      </c>
      <c r="G97" s="193" t="s">
        <v>3363</v>
      </c>
      <c r="H97" s="194">
        <v>5232</v>
      </c>
      <c r="I97" s="195"/>
      <c r="J97" s="197"/>
      <c r="K97" s="53"/>
    </row>
    <row r="98" spans="1:11" ht="65.099999999999994" customHeight="1" x14ac:dyDescent="0.25">
      <c r="A98" s="191">
        <v>89</v>
      </c>
      <c r="B98" s="192"/>
      <c r="C98" s="192"/>
      <c r="D98" s="192"/>
      <c r="E98" s="53" t="s">
        <v>2321</v>
      </c>
      <c r="F98" s="193" t="s">
        <v>3350</v>
      </c>
      <c r="G98" s="193" t="s">
        <v>3363</v>
      </c>
      <c r="H98" s="194">
        <v>5232</v>
      </c>
      <c r="I98" s="195"/>
      <c r="J98" s="197"/>
      <c r="K98" s="53"/>
    </row>
    <row r="99" spans="1:11" ht="65.099999999999994" customHeight="1" x14ac:dyDescent="0.25">
      <c r="A99" s="191">
        <v>90</v>
      </c>
      <c r="B99" s="192"/>
      <c r="C99" s="192"/>
      <c r="D99" s="192"/>
      <c r="E99" s="53" t="s">
        <v>2322</v>
      </c>
      <c r="F99" s="193" t="s">
        <v>3351</v>
      </c>
      <c r="G99" s="193" t="s">
        <v>3363</v>
      </c>
      <c r="H99" s="194">
        <v>5232</v>
      </c>
      <c r="I99" s="195"/>
      <c r="J99" s="197"/>
      <c r="K99" s="53"/>
    </row>
    <row r="100" spans="1:11" ht="65.099999999999994" customHeight="1" x14ac:dyDescent="0.25">
      <c r="A100" s="191">
        <v>91</v>
      </c>
      <c r="B100" s="192"/>
      <c r="C100" s="192"/>
      <c r="D100" s="192"/>
      <c r="E100" s="53" t="s">
        <v>2323</v>
      </c>
      <c r="F100" s="193" t="s">
        <v>3351</v>
      </c>
      <c r="G100" s="193" t="s">
        <v>3363</v>
      </c>
      <c r="H100" s="194">
        <v>5232</v>
      </c>
      <c r="I100" s="195"/>
      <c r="J100" s="197"/>
      <c r="K100" s="53"/>
    </row>
    <row r="101" spans="1:11" ht="65.099999999999994" customHeight="1" x14ac:dyDescent="0.25">
      <c r="A101" s="191">
        <v>92</v>
      </c>
      <c r="B101" s="192"/>
      <c r="C101" s="192"/>
      <c r="D101" s="192"/>
      <c r="E101" s="53" t="s">
        <v>2324</v>
      </c>
      <c r="F101" s="193" t="s">
        <v>3351</v>
      </c>
      <c r="G101" s="193" t="s">
        <v>3363</v>
      </c>
      <c r="H101" s="194">
        <v>5232</v>
      </c>
      <c r="I101" s="195"/>
      <c r="J101" s="197"/>
      <c r="K101" s="53"/>
    </row>
    <row r="102" spans="1:11" ht="65.099999999999994" customHeight="1" x14ac:dyDescent="0.25">
      <c r="A102" s="191">
        <v>93</v>
      </c>
      <c r="B102" s="192"/>
      <c r="C102" s="192"/>
      <c r="D102" s="192"/>
      <c r="E102" s="53" t="s">
        <v>2325</v>
      </c>
      <c r="F102" s="193" t="s">
        <v>3351</v>
      </c>
      <c r="G102" s="193" t="s">
        <v>3363</v>
      </c>
      <c r="H102" s="194">
        <v>5232</v>
      </c>
      <c r="I102" s="195"/>
      <c r="J102" s="197"/>
      <c r="K102" s="53"/>
    </row>
    <row r="103" spans="1:11" ht="65.099999999999994" customHeight="1" x14ac:dyDescent="0.25">
      <c r="A103" s="191">
        <v>94</v>
      </c>
      <c r="B103" s="192"/>
      <c r="C103" s="192"/>
      <c r="D103" s="192"/>
      <c r="E103" s="53" t="s">
        <v>2326</v>
      </c>
      <c r="F103" s="193" t="s">
        <v>3351</v>
      </c>
      <c r="G103" s="193" t="s">
        <v>3363</v>
      </c>
      <c r="H103" s="194">
        <v>5232</v>
      </c>
      <c r="I103" s="195"/>
      <c r="J103" s="197"/>
      <c r="K103" s="53"/>
    </row>
    <row r="104" spans="1:11" ht="65.099999999999994" customHeight="1" x14ac:dyDescent="0.25">
      <c r="A104" s="191">
        <v>95</v>
      </c>
      <c r="B104" s="192"/>
      <c r="C104" s="192"/>
      <c r="D104" s="192"/>
      <c r="E104" s="53" t="s">
        <v>2327</v>
      </c>
      <c r="F104" s="193" t="s">
        <v>3351</v>
      </c>
      <c r="G104" s="193" t="s">
        <v>3363</v>
      </c>
      <c r="H104" s="194">
        <v>5232</v>
      </c>
      <c r="I104" s="195"/>
      <c r="J104" s="197"/>
      <c r="K104" s="53"/>
    </row>
    <row r="105" spans="1:11" ht="65.099999999999994" customHeight="1" x14ac:dyDescent="0.25">
      <c r="A105" s="191">
        <v>96</v>
      </c>
      <c r="B105" s="192"/>
      <c r="C105" s="192"/>
      <c r="D105" s="192"/>
      <c r="E105" s="53" t="s">
        <v>2328</v>
      </c>
      <c r="F105" s="193" t="s">
        <v>3351</v>
      </c>
      <c r="G105" s="193" t="s">
        <v>3363</v>
      </c>
      <c r="H105" s="194">
        <v>5232</v>
      </c>
      <c r="I105" s="195"/>
      <c r="J105" s="197"/>
      <c r="K105" s="53"/>
    </row>
    <row r="106" spans="1:11" ht="65.099999999999994" customHeight="1" x14ac:dyDescent="0.25">
      <c r="A106" s="191">
        <v>97</v>
      </c>
      <c r="B106" s="192"/>
      <c r="C106" s="192"/>
      <c r="D106" s="192"/>
      <c r="E106" s="53" t="s">
        <v>2329</v>
      </c>
      <c r="F106" s="193" t="s">
        <v>3351</v>
      </c>
      <c r="G106" s="193" t="s">
        <v>3363</v>
      </c>
      <c r="H106" s="194">
        <v>5232</v>
      </c>
      <c r="I106" s="195"/>
      <c r="J106" s="197"/>
      <c r="K106" s="53"/>
    </row>
    <row r="107" spans="1:11" ht="65.099999999999994" customHeight="1" x14ac:dyDescent="0.25">
      <c r="A107" s="191">
        <v>98</v>
      </c>
      <c r="B107" s="192"/>
      <c r="C107" s="192"/>
      <c r="D107" s="192"/>
      <c r="E107" s="53" t="s">
        <v>2330</v>
      </c>
      <c r="F107" s="193" t="s">
        <v>3351</v>
      </c>
      <c r="G107" s="193" t="s">
        <v>3363</v>
      </c>
      <c r="H107" s="194">
        <v>5232</v>
      </c>
      <c r="I107" s="195"/>
      <c r="J107" s="197"/>
      <c r="K107" s="53"/>
    </row>
    <row r="108" spans="1:11" ht="65.099999999999994" customHeight="1" x14ac:dyDescent="0.25">
      <c r="A108" s="191">
        <v>99</v>
      </c>
      <c r="B108" s="192"/>
      <c r="C108" s="192"/>
      <c r="D108" s="192"/>
      <c r="E108" s="53" t="s">
        <v>2331</v>
      </c>
      <c r="F108" s="193" t="s">
        <v>3351</v>
      </c>
      <c r="G108" s="193" t="s">
        <v>3363</v>
      </c>
      <c r="H108" s="194">
        <v>5232</v>
      </c>
      <c r="I108" s="195"/>
      <c r="J108" s="197"/>
      <c r="K108" s="53"/>
    </row>
    <row r="109" spans="1:11" ht="65.099999999999994" customHeight="1" x14ac:dyDescent="0.25">
      <c r="A109" s="191">
        <v>100</v>
      </c>
      <c r="B109" s="192"/>
      <c r="C109" s="192"/>
      <c r="D109" s="192"/>
      <c r="E109" s="53" t="s">
        <v>2332</v>
      </c>
      <c r="F109" s="193" t="s">
        <v>3351</v>
      </c>
      <c r="G109" s="193" t="s">
        <v>3363</v>
      </c>
      <c r="H109" s="194">
        <v>5232</v>
      </c>
      <c r="I109" s="195"/>
      <c r="J109" s="197"/>
      <c r="K109" s="53"/>
    </row>
    <row r="110" spans="1:11" ht="65.099999999999994" customHeight="1" x14ac:dyDescent="0.25">
      <c r="A110" s="191">
        <v>101</v>
      </c>
      <c r="B110" s="192"/>
      <c r="C110" s="192"/>
      <c r="D110" s="192"/>
      <c r="E110" s="53" t="s">
        <v>2333</v>
      </c>
      <c r="F110" s="193" t="s">
        <v>3351</v>
      </c>
      <c r="G110" s="193" t="s">
        <v>3363</v>
      </c>
      <c r="H110" s="194">
        <v>5232</v>
      </c>
      <c r="I110" s="195"/>
      <c r="J110" s="197"/>
      <c r="K110" s="53"/>
    </row>
    <row r="111" spans="1:11" ht="65.099999999999994" customHeight="1" x14ac:dyDescent="0.25">
      <c r="A111" s="191">
        <v>102</v>
      </c>
      <c r="B111" s="192"/>
      <c r="C111" s="192"/>
      <c r="D111" s="192"/>
      <c r="E111" s="53" t="s">
        <v>2334</v>
      </c>
      <c r="F111" s="193" t="s">
        <v>3351</v>
      </c>
      <c r="G111" s="193" t="s">
        <v>3363</v>
      </c>
      <c r="H111" s="194">
        <v>5232</v>
      </c>
      <c r="I111" s="195"/>
      <c r="J111" s="197"/>
      <c r="K111" s="53"/>
    </row>
    <row r="112" spans="1:11" ht="65.099999999999994" customHeight="1" x14ac:dyDescent="0.25">
      <c r="A112" s="191">
        <v>103</v>
      </c>
      <c r="B112" s="192"/>
      <c r="C112" s="192"/>
      <c r="D112" s="192"/>
      <c r="E112" s="53" t="s">
        <v>2335</v>
      </c>
      <c r="F112" s="193" t="s">
        <v>3351</v>
      </c>
      <c r="G112" s="193" t="s">
        <v>3363</v>
      </c>
      <c r="H112" s="194">
        <v>5232</v>
      </c>
      <c r="I112" s="195"/>
      <c r="J112" s="197"/>
      <c r="K112" s="53"/>
    </row>
    <row r="113" spans="1:11" ht="65.099999999999994" customHeight="1" x14ac:dyDescent="0.25">
      <c r="A113" s="191">
        <v>104</v>
      </c>
      <c r="B113" s="192"/>
      <c r="C113" s="192"/>
      <c r="D113" s="192"/>
      <c r="E113" s="53" t="s">
        <v>2336</v>
      </c>
      <c r="F113" s="193" t="s">
        <v>3351</v>
      </c>
      <c r="G113" s="193" t="s">
        <v>3363</v>
      </c>
      <c r="H113" s="194">
        <v>5232</v>
      </c>
      <c r="I113" s="195"/>
      <c r="J113" s="197"/>
      <c r="K113" s="53"/>
    </row>
    <row r="114" spans="1:11" ht="65.099999999999994" customHeight="1" x14ac:dyDescent="0.25">
      <c r="A114" s="191">
        <v>105</v>
      </c>
      <c r="B114" s="192"/>
      <c r="C114" s="192"/>
      <c r="D114" s="192"/>
      <c r="E114" s="53" t="s">
        <v>2337</v>
      </c>
      <c r="F114" s="193" t="s">
        <v>3351</v>
      </c>
      <c r="G114" s="193" t="s">
        <v>3363</v>
      </c>
      <c r="H114" s="194">
        <v>5232</v>
      </c>
      <c r="I114" s="195"/>
      <c r="J114" s="197"/>
      <c r="K114" s="53"/>
    </row>
    <row r="115" spans="1:11" ht="65.099999999999994" customHeight="1" x14ac:dyDescent="0.25">
      <c r="A115" s="191">
        <v>106</v>
      </c>
      <c r="B115" s="192"/>
      <c r="C115" s="192"/>
      <c r="D115" s="192"/>
      <c r="E115" s="53" t="s">
        <v>2338</v>
      </c>
      <c r="F115" s="193" t="s">
        <v>3351</v>
      </c>
      <c r="G115" s="193" t="s">
        <v>3363</v>
      </c>
      <c r="H115" s="194">
        <v>5232</v>
      </c>
      <c r="I115" s="195"/>
      <c r="J115" s="197"/>
      <c r="K115" s="53"/>
    </row>
    <row r="116" spans="1:11" ht="65.099999999999994" customHeight="1" x14ac:dyDescent="0.25">
      <c r="A116" s="191">
        <v>107</v>
      </c>
      <c r="B116" s="192"/>
      <c r="C116" s="192"/>
      <c r="D116" s="192"/>
      <c r="E116" s="53" t="s">
        <v>2339</v>
      </c>
      <c r="F116" s="193" t="s">
        <v>3351</v>
      </c>
      <c r="G116" s="193" t="s">
        <v>3363</v>
      </c>
      <c r="H116" s="194">
        <v>5232</v>
      </c>
      <c r="I116" s="195"/>
      <c r="J116" s="197"/>
      <c r="K116" s="53"/>
    </row>
    <row r="117" spans="1:11" ht="65.099999999999994" customHeight="1" x14ac:dyDescent="0.25">
      <c r="A117" s="191">
        <v>108</v>
      </c>
      <c r="B117" s="192"/>
      <c r="C117" s="192"/>
      <c r="D117" s="192"/>
      <c r="E117" s="53" t="s">
        <v>2340</v>
      </c>
      <c r="F117" s="193" t="s">
        <v>3351</v>
      </c>
      <c r="G117" s="193" t="s">
        <v>3363</v>
      </c>
      <c r="H117" s="194">
        <v>5232</v>
      </c>
      <c r="I117" s="195"/>
      <c r="J117" s="197"/>
      <c r="K117" s="53"/>
    </row>
    <row r="118" spans="1:11" ht="65.099999999999994" customHeight="1" x14ac:dyDescent="0.25">
      <c r="A118" s="191">
        <v>109</v>
      </c>
      <c r="B118" s="192"/>
      <c r="C118" s="192"/>
      <c r="D118" s="192"/>
      <c r="E118" s="53" t="s">
        <v>2341</v>
      </c>
      <c r="F118" s="193" t="s">
        <v>3351</v>
      </c>
      <c r="G118" s="193" t="s">
        <v>3363</v>
      </c>
      <c r="H118" s="194">
        <v>5232</v>
      </c>
      <c r="I118" s="195"/>
      <c r="J118" s="197"/>
      <c r="K118" s="53"/>
    </row>
    <row r="119" spans="1:11" ht="65.099999999999994" customHeight="1" x14ac:dyDescent="0.25">
      <c r="A119" s="191">
        <v>110</v>
      </c>
      <c r="B119" s="192"/>
      <c r="C119" s="192"/>
      <c r="D119" s="192"/>
      <c r="E119" s="53" t="s">
        <v>2342</v>
      </c>
      <c r="F119" s="193" t="s">
        <v>3351</v>
      </c>
      <c r="G119" s="193" t="s">
        <v>3363</v>
      </c>
      <c r="H119" s="194">
        <v>5232</v>
      </c>
      <c r="I119" s="195"/>
      <c r="J119" s="197"/>
      <c r="K119" s="53"/>
    </row>
    <row r="120" spans="1:11" ht="65.099999999999994" customHeight="1" x14ac:dyDescent="0.25">
      <c r="A120" s="191">
        <v>111</v>
      </c>
      <c r="B120" s="192"/>
      <c r="C120" s="192"/>
      <c r="D120" s="192"/>
      <c r="E120" s="53" t="s">
        <v>2343</v>
      </c>
      <c r="F120" s="193" t="s">
        <v>3351</v>
      </c>
      <c r="G120" s="193" t="s">
        <v>3363</v>
      </c>
      <c r="H120" s="194">
        <v>5232</v>
      </c>
      <c r="I120" s="195"/>
      <c r="J120" s="197"/>
      <c r="K120" s="53"/>
    </row>
    <row r="121" spans="1:11" ht="65.099999999999994" customHeight="1" x14ac:dyDescent="0.25">
      <c r="A121" s="191">
        <v>112</v>
      </c>
      <c r="B121" s="192"/>
      <c r="C121" s="192"/>
      <c r="D121" s="192"/>
      <c r="E121" s="53" t="s">
        <v>2344</v>
      </c>
      <c r="F121" s="193" t="s">
        <v>3351</v>
      </c>
      <c r="G121" s="193" t="s">
        <v>3363</v>
      </c>
      <c r="H121" s="194">
        <v>5232</v>
      </c>
      <c r="I121" s="195"/>
      <c r="J121" s="197"/>
      <c r="K121" s="53"/>
    </row>
    <row r="122" spans="1:11" ht="65.099999999999994" customHeight="1" x14ac:dyDescent="0.25">
      <c r="A122" s="191">
        <v>113</v>
      </c>
      <c r="B122" s="192"/>
      <c r="C122" s="192"/>
      <c r="D122" s="192"/>
      <c r="E122" s="53" t="s">
        <v>2345</v>
      </c>
      <c r="F122" s="193" t="s">
        <v>3351</v>
      </c>
      <c r="G122" s="193" t="s">
        <v>3363</v>
      </c>
      <c r="H122" s="194">
        <v>5232</v>
      </c>
      <c r="I122" s="195"/>
      <c r="J122" s="197"/>
      <c r="K122" s="53"/>
    </row>
    <row r="123" spans="1:11" ht="65.099999999999994" customHeight="1" x14ac:dyDescent="0.25">
      <c r="A123" s="191">
        <v>114</v>
      </c>
      <c r="B123" s="192"/>
      <c r="C123" s="192"/>
      <c r="D123" s="192"/>
      <c r="E123" s="53" t="s">
        <v>2346</v>
      </c>
      <c r="F123" s="193" t="s">
        <v>3351</v>
      </c>
      <c r="G123" s="193" t="s">
        <v>3363</v>
      </c>
      <c r="H123" s="194">
        <v>5232</v>
      </c>
      <c r="I123" s="195"/>
      <c r="J123" s="197"/>
      <c r="K123" s="53"/>
    </row>
    <row r="124" spans="1:11" ht="65.099999999999994" customHeight="1" x14ac:dyDescent="0.25">
      <c r="A124" s="191">
        <v>115</v>
      </c>
      <c r="B124" s="192"/>
      <c r="C124" s="192"/>
      <c r="D124" s="192"/>
      <c r="E124" s="53" t="s">
        <v>2347</v>
      </c>
      <c r="F124" s="193" t="s">
        <v>3351</v>
      </c>
      <c r="G124" s="193" t="s">
        <v>3363</v>
      </c>
      <c r="H124" s="194">
        <v>5232</v>
      </c>
      <c r="I124" s="195"/>
      <c r="J124" s="197"/>
      <c r="K124" s="53"/>
    </row>
    <row r="125" spans="1:11" ht="65.099999999999994" customHeight="1" x14ac:dyDescent="0.25">
      <c r="A125" s="191">
        <v>116</v>
      </c>
      <c r="B125" s="192"/>
      <c r="C125" s="192"/>
      <c r="D125" s="192"/>
      <c r="E125" s="53" t="s">
        <v>2348</v>
      </c>
      <c r="F125" s="193" t="s">
        <v>3351</v>
      </c>
      <c r="G125" s="193" t="s">
        <v>3363</v>
      </c>
      <c r="H125" s="194">
        <v>5232</v>
      </c>
      <c r="I125" s="195"/>
      <c r="J125" s="197"/>
      <c r="K125" s="53"/>
    </row>
    <row r="126" spans="1:11" ht="65.099999999999994" customHeight="1" x14ac:dyDescent="0.25">
      <c r="A126" s="191">
        <v>117</v>
      </c>
      <c r="B126" s="192"/>
      <c r="C126" s="192"/>
      <c r="D126" s="192"/>
      <c r="E126" s="53" t="s">
        <v>2349</v>
      </c>
      <c r="F126" s="193" t="s">
        <v>3351</v>
      </c>
      <c r="G126" s="193" t="s">
        <v>3363</v>
      </c>
      <c r="H126" s="194">
        <v>5232</v>
      </c>
      <c r="I126" s="195"/>
      <c r="J126" s="197"/>
      <c r="K126" s="53"/>
    </row>
    <row r="127" spans="1:11" ht="65.099999999999994" customHeight="1" x14ac:dyDescent="0.25">
      <c r="A127" s="191">
        <v>118</v>
      </c>
      <c r="B127" s="192"/>
      <c r="C127" s="192"/>
      <c r="D127" s="192"/>
      <c r="E127" s="53" t="s">
        <v>2350</v>
      </c>
      <c r="F127" s="193" t="s">
        <v>3351</v>
      </c>
      <c r="G127" s="193" t="s">
        <v>3363</v>
      </c>
      <c r="H127" s="194">
        <v>5232</v>
      </c>
      <c r="I127" s="195"/>
      <c r="J127" s="197"/>
      <c r="K127" s="53"/>
    </row>
    <row r="128" spans="1:11" ht="65.099999999999994" customHeight="1" x14ac:dyDescent="0.25">
      <c r="A128" s="191">
        <v>119</v>
      </c>
      <c r="B128" s="192"/>
      <c r="C128" s="192"/>
      <c r="D128" s="192"/>
      <c r="E128" s="53" t="s">
        <v>2351</v>
      </c>
      <c r="F128" s="193" t="s">
        <v>3351</v>
      </c>
      <c r="G128" s="193" t="s">
        <v>3363</v>
      </c>
      <c r="H128" s="194">
        <v>5232</v>
      </c>
      <c r="I128" s="195"/>
      <c r="J128" s="197"/>
      <c r="K128" s="53"/>
    </row>
    <row r="129" spans="1:11" ht="65.099999999999994" customHeight="1" x14ac:dyDescent="0.25">
      <c r="A129" s="191">
        <v>120</v>
      </c>
      <c r="B129" s="192"/>
      <c r="C129" s="192"/>
      <c r="D129" s="192"/>
      <c r="E129" s="53" t="s">
        <v>2352</v>
      </c>
      <c r="F129" s="193" t="s">
        <v>3351</v>
      </c>
      <c r="G129" s="193" t="s">
        <v>3363</v>
      </c>
      <c r="H129" s="194">
        <v>5232</v>
      </c>
      <c r="I129" s="195"/>
      <c r="J129" s="197"/>
      <c r="K129" s="53"/>
    </row>
    <row r="130" spans="1:11" ht="65.099999999999994" customHeight="1" x14ac:dyDescent="0.25">
      <c r="A130" s="191">
        <v>121</v>
      </c>
      <c r="B130" s="192"/>
      <c r="C130" s="192"/>
      <c r="D130" s="192"/>
      <c r="E130" s="53" t="s">
        <v>2353</v>
      </c>
      <c r="F130" s="193" t="s">
        <v>3351</v>
      </c>
      <c r="G130" s="193" t="s">
        <v>3363</v>
      </c>
      <c r="H130" s="194">
        <v>5232</v>
      </c>
      <c r="I130" s="195"/>
      <c r="J130" s="197"/>
      <c r="K130" s="53"/>
    </row>
    <row r="131" spans="1:11" ht="65.099999999999994" customHeight="1" x14ac:dyDescent="0.25">
      <c r="A131" s="191">
        <v>122</v>
      </c>
      <c r="B131" s="192"/>
      <c r="C131" s="192"/>
      <c r="D131" s="192"/>
      <c r="E131" s="53" t="s">
        <v>2354</v>
      </c>
      <c r="F131" s="193" t="s">
        <v>3351</v>
      </c>
      <c r="G131" s="193" t="s">
        <v>3363</v>
      </c>
      <c r="H131" s="194">
        <v>5232</v>
      </c>
      <c r="I131" s="195"/>
      <c r="J131" s="197"/>
      <c r="K131" s="53"/>
    </row>
    <row r="132" spans="1:11" ht="65.099999999999994" customHeight="1" x14ac:dyDescent="0.25">
      <c r="A132" s="191">
        <v>123</v>
      </c>
      <c r="B132" s="192"/>
      <c r="C132" s="192"/>
      <c r="D132" s="192"/>
      <c r="E132" s="53" t="s">
        <v>2355</v>
      </c>
      <c r="F132" s="193" t="s">
        <v>3351</v>
      </c>
      <c r="G132" s="193" t="s">
        <v>3363</v>
      </c>
      <c r="H132" s="194">
        <v>5232</v>
      </c>
      <c r="I132" s="195"/>
      <c r="J132" s="197"/>
      <c r="K132" s="53"/>
    </row>
    <row r="133" spans="1:11" ht="65.099999999999994" customHeight="1" x14ac:dyDescent="0.25">
      <c r="A133" s="191">
        <v>124</v>
      </c>
      <c r="B133" s="192"/>
      <c r="C133" s="192"/>
      <c r="D133" s="192"/>
      <c r="E133" s="53" t="s">
        <v>2356</v>
      </c>
      <c r="F133" s="193" t="s">
        <v>3351</v>
      </c>
      <c r="G133" s="193" t="s">
        <v>3363</v>
      </c>
      <c r="H133" s="194">
        <v>5232</v>
      </c>
      <c r="I133" s="195"/>
      <c r="J133" s="197"/>
      <c r="K133" s="53"/>
    </row>
    <row r="134" spans="1:11" ht="65.099999999999994" customHeight="1" x14ac:dyDescent="0.25">
      <c r="A134" s="191">
        <v>125</v>
      </c>
      <c r="B134" s="192"/>
      <c r="C134" s="192"/>
      <c r="D134" s="192"/>
      <c r="E134" s="53" t="s">
        <v>2357</v>
      </c>
      <c r="F134" s="193" t="s">
        <v>3351</v>
      </c>
      <c r="G134" s="193" t="s">
        <v>3363</v>
      </c>
      <c r="H134" s="194">
        <v>5232</v>
      </c>
      <c r="I134" s="195"/>
      <c r="J134" s="197"/>
      <c r="K134" s="53"/>
    </row>
    <row r="135" spans="1:11" ht="65.099999999999994" customHeight="1" x14ac:dyDescent="0.25">
      <c r="A135" s="191">
        <v>126</v>
      </c>
      <c r="B135" s="192"/>
      <c r="C135" s="192"/>
      <c r="D135" s="192"/>
      <c r="E135" s="53" t="s">
        <v>2358</v>
      </c>
      <c r="F135" s="193" t="s">
        <v>3351</v>
      </c>
      <c r="G135" s="193" t="s">
        <v>3363</v>
      </c>
      <c r="H135" s="194">
        <v>5232</v>
      </c>
      <c r="I135" s="195"/>
      <c r="J135" s="197"/>
      <c r="K135" s="53"/>
    </row>
    <row r="136" spans="1:11" ht="65.099999999999994" customHeight="1" x14ac:dyDescent="0.25">
      <c r="A136" s="191">
        <v>127</v>
      </c>
      <c r="B136" s="192"/>
      <c r="C136" s="192"/>
      <c r="D136" s="192"/>
      <c r="E136" s="53" t="s">
        <v>2359</v>
      </c>
      <c r="F136" s="193" t="s">
        <v>3351</v>
      </c>
      <c r="G136" s="193" t="s">
        <v>3363</v>
      </c>
      <c r="H136" s="194">
        <v>5232</v>
      </c>
      <c r="I136" s="195"/>
      <c r="J136" s="197"/>
      <c r="K136" s="53"/>
    </row>
    <row r="137" spans="1:11" ht="65.099999999999994" customHeight="1" x14ac:dyDescent="0.25">
      <c r="A137" s="191">
        <v>128</v>
      </c>
      <c r="B137" s="192"/>
      <c r="C137" s="192"/>
      <c r="D137" s="192"/>
      <c r="E137" s="53" t="s">
        <v>2360</v>
      </c>
      <c r="F137" s="193" t="s">
        <v>3351</v>
      </c>
      <c r="G137" s="193" t="s">
        <v>3363</v>
      </c>
      <c r="H137" s="194">
        <v>5232</v>
      </c>
      <c r="I137" s="195"/>
      <c r="J137" s="197"/>
      <c r="K137" s="53"/>
    </row>
    <row r="138" spans="1:11" ht="65.099999999999994" customHeight="1" x14ac:dyDescent="0.25">
      <c r="A138" s="191">
        <v>129</v>
      </c>
      <c r="B138" s="192"/>
      <c r="C138" s="192"/>
      <c r="D138" s="192"/>
      <c r="E138" s="53" t="s">
        <v>2361</v>
      </c>
      <c r="F138" s="193" t="s">
        <v>3351</v>
      </c>
      <c r="G138" s="193" t="s">
        <v>3363</v>
      </c>
      <c r="H138" s="194">
        <v>5232</v>
      </c>
      <c r="I138" s="195"/>
      <c r="J138" s="197"/>
      <c r="K138" s="53"/>
    </row>
    <row r="139" spans="1:11" ht="65.099999999999994" customHeight="1" x14ac:dyDescent="0.25">
      <c r="A139" s="191">
        <v>130</v>
      </c>
      <c r="B139" s="192"/>
      <c r="C139" s="192"/>
      <c r="D139" s="192"/>
      <c r="E139" s="53" t="s">
        <v>2362</v>
      </c>
      <c r="F139" s="193" t="s">
        <v>3351</v>
      </c>
      <c r="G139" s="193" t="s">
        <v>3363</v>
      </c>
      <c r="H139" s="194">
        <v>5232</v>
      </c>
      <c r="I139" s="195"/>
      <c r="J139" s="197"/>
      <c r="K139" s="53"/>
    </row>
    <row r="140" spans="1:11" ht="65.099999999999994" customHeight="1" x14ac:dyDescent="0.25">
      <c r="A140" s="191">
        <v>131</v>
      </c>
      <c r="B140" s="192"/>
      <c r="C140" s="192"/>
      <c r="D140" s="192"/>
      <c r="E140" s="53" t="s">
        <v>2363</v>
      </c>
      <c r="F140" s="193" t="s">
        <v>3351</v>
      </c>
      <c r="G140" s="193" t="s">
        <v>3363</v>
      </c>
      <c r="H140" s="194">
        <v>5232</v>
      </c>
      <c r="I140" s="195"/>
      <c r="J140" s="197"/>
      <c r="K140" s="53"/>
    </row>
    <row r="141" spans="1:11" ht="65.099999999999994" customHeight="1" x14ac:dyDescent="0.25">
      <c r="A141" s="191">
        <v>132</v>
      </c>
      <c r="B141" s="192"/>
      <c r="C141" s="192"/>
      <c r="D141" s="192"/>
      <c r="E141" s="53" t="s">
        <v>2364</v>
      </c>
      <c r="F141" s="193" t="s">
        <v>3351</v>
      </c>
      <c r="G141" s="193" t="s">
        <v>3363</v>
      </c>
      <c r="H141" s="194">
        <v>5232</v>
      </c>
      <c r="I141" s="195"/>
      <c r="J141" s="197"/>
      <c r="K141" s="53"/>
    </row>
    <row r="142" spans="1:11" ht="65.099999999999994" customHeight="1" x14ac:dyDescent="0.25">
      <c r="A142" s="191">
        <v>133</v>
      </c>
      <c r="B142" s="192"/>
      <c r="C142" s="192"/>
      <c r="D142" s="192"/>
      <c r="E142" s="53" t="s">
        <v>2365</v>
      </c>
      <c r="F142" s="193" t="s">
        <v>3351</v>
      </c>
      <c r="G142" s="193" t="s">
        <v>3363</v>
      </c>
      <c r="H142" s="194">
        <v>5232</v>
      </c>
      <c r="I142" s="195"/>
      <c r="J142" s="197"/>
      <c r="K142" s="53"/>
    </row>
    <row r="143" spans="1:11" ht="65.099999999999994" customHeight="1" x14ac:dyDescent="0.25">
      <c r="A143" s="191">
        <v>134</v>
      </c>
      <c r="B143" s="192"/>
      <c r="C143" s="192"/>
      <c r="D143" s="192"/>
      <c r="E143" s="53" t="s">
        <v>2366</v>
      </c>
      <c r="F143" s="193" t="s">
        <v>3351</v>
      </c>
      <c r="G143" s="193" t="s">
        <v>3363</v>
      </c>
      <c r="H143" s="194">
        <v>5232</v>
      </c>
      <c r="I143" s="195"/>
      <c r="J143" s="197"/>
      <c r="K143" s="53"/>
    </row>
    <row r="144" spans="1:11" ht="65.099999999999994" customHeight="1" x14ac:dyDescent="0.25">
      <c r="A144" s="191">
        <v>135</v>
      </c>
      <c r="B144" s="192"/>
      <c r="C144" s="192"/>
      <c r="D144" s="192"/>
      <c r="E144" s="53" t="s">
        <v>2367</v>
      </c>
      <c r="F144" s="193" t="s">
        <v>3351</v>
      </c>
      <c r="G144" s="193" t="s">
        <v>3363</v>
      </c>
      <c r="H144" s="194">
        <v>5232</v>
      </c>
      <c r="I144" s="195"/>
      <c r="J144" s="197"/>
      <c r="K144" s="53"/>
    </row>
    <row r="145" spans="1:11" ht="65.099999999999994" customHeight="1" x14ac:dyDescent="0.25">
      <c r="A145" s="191">
        <v>136</v>
      </c>
      <c r="B145" s="192"/>
      <c r="C145" s="192"/>
      <c r="D145" s="192"/>
      <c r="E145" s="53" t="s">
        <v>2368</v>
      </c>
      <c r="F145" s="193" t="s">
        <v>3351</v>
      </c>
      <c r="G145" s="193" t="s">
        <v>3363</v>
      </c>
      <c r="H145" s="194">
        <v>5232</v>
      </c>
      <c r="I145" s="195"/>
      <c r="J145" s="197"/>
      <c r="K145" s="53"/>
    </row>
    <row r="146" spans="1:11" ht="65.099999999999994" customHeight="1" x14ac:dyDescent="0.25">
      <c r="A146" s="191">
        <v>137</v>
      </c>
      <c r="B146" s="192"/>
      <c r="C146" s="192"/>
      <c r="D146" s="192"/>
      <c r="E146" s="53" t="s">
        <v>2369</v>
      </c>
      <c r="F146" s="193" t="s">
        <v>3351</v>
      </c>
      <c r="G146" s="193" t="s">
        <v>3363</v>
      </c>
      <c r="H146" s="194">
        <v>5232</v>
      </c>
      <c r="I146" s="195"/>
      <c r="J146" s="197"/>
      <c r="K146" s="53"/>
    </row>
    <row r="147" spans="1:11" ht="65.099999999999994" customHeight="1" x14ac:dyDescent="0.25">
      <c r="A147" s="191">
        <v>138</v>
      </c>
      <c r="B147" s="192"/>
      <c r="C147" s="192"/>
      <c r="D147" s="192"/>
      <c r="E147" s="53" t="s">
        <v>2370</v>
      </c>
      <c r="F147" s="193" t="s">
        <v>3351</v>
      </c>
      <c r="G147" s="193" t="s">
        <v>3363</v>
      </c>
      <c r="H147" s="194">
        <v>5232</v>
      </c>
      <c r="I147" s="195"/>
      <c r="J147" s="197"/>
      <c r="K147" s="53"/>
    </row>
    <row r="148" spans="1:11" ht="65.099999999999994" customHeight="1" x14ac:dyDescent="0.25">
      <c r="A148" s="191">
        <v>139</v>
      </c>
      <c r="B148" s="192"/>
      <c r="C148" s="192"/>
      <c r="D148" s="192"/>
      <c r="E148" s="53" t="s">
        <v>2371</v>
      </c>
      <c r="F148" s="193" t="s">
        <v>3351</v>
      </c>
      <c r="G148" s="193" t="s">
        <v>3363</v>
      </c>
      <c r="H148" s="194">
        <v>5232</v>
      </c>
      <c r="I148" s="195"/>
      <c r="J148" s="197"/>
      <c r="K148" s="53"/>
    </row>
    <row r="149" spans="1:11" ht="65.099999999999994" customHeight="1" x14ac:dyDescent="0.25">
      <c r="A149" s="191">
        <v>140</v>
      </c>
      <c r="B149" s="192"/>
      <c r="C149" s="192"/>
      <c r="D149" s="192"/>
      <c r="E149" s="53" t="s">
        <v>2372</v>
      </c>
      <c r="F149" s="193" t="s">
        <v>3351</v>
      </c>
      <c r="G149" s="193" t="s">
        <v>3363</v>
      </c>
      <c r="H149" s="194">
        <v>5232</v>
      </c>
      <c r="I149" s="195"/>
      <c r="J149" s="197"/>
      <c r="K149" s="53"/>
    </row>
    <row r="150" spans="1:11" ht="65.099999999999994" customHeight="1" x14ac:dyDescent="0.25">
      <c r="A150" s="191">
        <v>141</v>
      </c>
      <c r="B150" s="192"/>
      <c r="C150" s="192"/>
      <c r="D150" s="192"/>
      <c r="E150" s="53" t="s">
        <v>2373</v>
      </c>
      <c r="F150" s="193" t="s">
        <v>3351</v>
      </c>
      <c r="G150" s="193" t="s">
        <v>3363</v>
      </c>
      <c r="H150" s="194">
        <v>5232</v>
      </c>
      <c r="I150" s="195"/>
      <c r="J150" s="197"/>
      <c r="K150" s="53"/>
    </row>
    <row r="151" spans="1:11" ht="65.099999999999994" customHeight="1" x14ac:dyDescent="0.25">
      <c r="A151" s="191">
        <v>142</v>
      </c>
      <c r="B151" s="192"/>
      <c r="C151" s="192"/>
      <c r="D151" s="192"/>
      <c r="E151" s="53" t="s">
        <v>2374</v>
      </c>
      <c r="F151" s="193" t="s">
        <v>3351</v>
      </c>
      <c r="G151" s="193" t="s">
        <v>3363</v>
      </c>
      <c r="H151" s="194">
        <v>5232</v>
      </c>
      <c r="I151" s="195"/>
      <c r="J151" s="197"/>
      <c r="K151" s="53"/>
    </row>
    <row r="152" spans="1:11" ht="65.099999999999994" customHeight="1" x14ac:dyDescent="0.25">
      <c r="A152" s="191">
        <v>143</v>
      </c>
      <c r="B152" s="192"/>
      <c r="C152" s="192"/>
      <c r="D152" s="192"/>
      <c r="E152" s="53" t="s">
        <v>2375</v>
      </c>
      <c r="F152" s="193" t="s">
        <v>3351</v>
      </c>
      <c r="G152" s="193" t="s">
        <v>3363</v>
      </c>
      <c r="H152" s="194">
        <v>5232</v>
      </c>
      <c r="I152" s="195"/>
      <c r="J152" s="197"/>
      <c r="K152" s="53"/>
    </row>
    <row r="153" spans="1:11" ht="65.099999999999994" customHeight="1" x14ac:dyDescent="0.25">
      <c r="A153" s="191">
        <v>144</v>
      </c>
      <c r="B153" s="192"/>
      <c r="C153" s="192"/>
      <c r="D153" s="192"/>
      <c r="E153" s="53" t="s">
        <v>2376</v>
      </c>
      <c r="F153" s="193" t="s">
        <v>3351</v>
      </c>
      <c r="G153" s="193" t="s">
        <v>3363</v>
      </c>
      <c r="H153" s="194">
        <v>5232</v>
      </c>
      <c r="I153" s="195"/>
      <c r="J153" s="197"/>
      <c r="K153" s="53"/>
    </row>
    <row r="154" spans="1:11" ht="65.099999999999994" customHeight="1" x14ac:dyDescent="0.25">
      <c r="A154" s="191">
        <v>145</v>
      </c>
      <c r="B154" s="192"/>
      <c r="C154" s="192"/>
      <c r="D154" s="192"/>
      <c r="E154" s="53" t="s">
        <v>2377</v>
      </c>
      <c r="F154" s="193" t="s">
        <v>3351</v>
      </c>
      <c r="G154" s="193" t="s">
        <v>3363</v>
      </c>
      <c r="H154" s="194">
        <v>5232</v>
      </c>
      <c r="I154" s="195"/>
      <c r="J154" s="197"/>
      <c r="K154" s="53"/>
    </row>
    <row r="155" spans="1:11" ht="65.099999999999994" customHeight="1" x14ac:dyDescent="0.25">
      <c r="A155" s="191">
        <v>146</v>
      </c>
      <c r="B155" s="192"/>
      <c r="C155" s="192"/>
      <c r="D155" s="192"/>
      <c r="E155" s="53" t="s">
        <v>2378</v>
      </c>
      <c r="F155" s="193" t="s">
        <v>3351</v>
      </c>
      <c r="G155" s="193" t="s">
        <v>3363</v>
      </c>
      <c r="H155" s="194">
        <v>5232</v>
      </c>
      <c r="I155" s="195"/>
      <c r="J155" s="197"/>
      <c r="K155" s="53"/>
    </row>
    <row r="156" spans="1:11" ht="65.099999999999994" customHeight="1" x14ac:dyDescent="0.25">
      <c r="A156" s="191">
        <v>147</v>
      </c>
      <c r="B156" s="192"/>
      <c r="C156" s="192"/>
      <c r="D156" s="192"/>
      <c r="E156" s="53" t="s">
        <v>2379</v>
      </c>
      <c r="F156" s="193" t="s">
        <v>3351</v>
      </c>
      <c r="G156" s="193" t="s">
        <v>3363</v>
      </c>
      <c r="H156" s="194">
        <v>5232</v>
      </c>
      <c r="I156" s="195"/>
      <c r="J156" s="197"/>
      <c r="K156" s="53"/>
    </row>
    <row r="157" spans="1:11" ht="65.099999999999994" customHeight="1" x14ac:dyDescent="0.25">
      <c r="A157" s="191">
        <v>148</v>
      </c>
      <c r="B157" s="192"/>
      <c r="C157" s="192"/>
      <c r="D157" s="192"/>
      <c r="E157" s="53" t="s">
        <v>2380</v>
      </c>
      <c r="F157" s="193" t="s">
        <v>3351</v>
      </c>
      <c r="G157" s="193" t="s">
        <v>3363</v>
      </c>
      <c r="H157" s="194">
        <v>5232</v>
      </c>
      <c r="I157" s="195"/>
      <c r="J157" s="197"/>
      <c r="K157" s="53"/>
    </row>
    <row r="158" spans="1:11" ht="65.099999999999994" customHeight="1" x14ac:dyDescent="0.25">
      <c r="A158" s="191">
        <v>149</v>
      </c>
      <c r="B158" s="192"/>
      <c r="C158" s="192"/>
      <c r="D158" s="192"/>
      <c r="E158" s="53" t="s">
        <v>2381</v>
      </c>
      <c r="F158" s="193" t="s">
        <v>3351</v>
      </c>
      <c r="G158" s="193" t="s">
        <v>3363</v>
      </c>
      <c r="H158" s="194">
        <v>5232</v>
      </c>
      <c r="I158" s="195"/>
      <c r="J158" s="197"/>
      <c r="K158" s="53"/>
    </row>
    <row r="159" spans="1:11" ht="65.099999999999994" customHeight="1" x14ac:dyDescent="0.25">
      <c r="A159" s="191">
        <v>150</v>
      </c>
      <c r="B159" s="192"/>
      <c r="C159" s="192"/>
      <c r="D159" s="192"/>
      <c r="E159" s="53" t="s">
        <v>2382</v>
      </c>
      <c r="F159" s="193" t="s">
        <v>3352</v>
      </c>
      <c r="G159" s="193" t="s">
        <v>3363</v>
      </c>
      <c r="H159" s="194">
        <v>5232</v>
      </c>
      <c r="I159" s="195"/>
      <c r="J159" s="197"/>
      <c r="K159" s="53"/>
    </row>
    <row r="160" spans="1:11" ht="65.099999999999994" customHeight="1" x14ac:dyDescent="0.25">
      <c r="A160" s="191">
        <v>151</v>
      </c>
      <c r="B160" s="192"/>
      <c r="C160" s="192"/>
      <c r="D160" s="192"/>
      <c r="E160" s="53" t="s">
        <v>2383</v>
      </c>
      <c r="F160" s="193" t="s">
        <v>3352</v>
      </c>
      <c r="G160" s="193" t="s">
        <v>3363</v>
      </c>
      <c r="H160" s="194">
        <v>5232</v>
      </c>
      <c r="I160" s="195"/>
      <c r="J160" s="197"/>
      <c r="K160" s="53"/>
    </row>
    <row r="161" spans="1:11" ht="65.099999999999994" customHeight="1" x14ac:dyDescent="0.25">
      <c r="A161" s="191">
        <v>152</v>
      </c>
      <c r="B161" s="192"/>
      <c r="C161" s="192"/>
      <c r="D161" s="192"/>
      <c r="E161" s="53" t="s">
        <v>2384</v>
      </c>
      <c r="F161" s="193" t="s">
        <v>3352</v>
      </c>
      <c r="G161" s="193" t="s">
        <v>3363</v>
      </c>
      <c r="H161" s="194">
        <v>5232</v>
      </c>
      <c r="I161" s="195"/>
      <c r="J161" s="197"/>
      <c r="K161" s="53"/>
    </row>
    <row r="162" spans="1:11" ht="65.099999999999994" customHeight="1" x14ac:dyDescent="0.25">
      <c r="A162" s="191">
        <v>153</v>
      </c>
      <c r="B162" s="192"/>
      <c r="C162" s="192"/>
      <c r="D162" s="192"/>
      <c r="E162" s="53" t="s">
        <v>2385</v>
      </c>
      <c r="F162" s="193" t="s">
        <v>3352</v>
      </c>
      <c r="G162" s="193" t="s">
        <v>3363</v>
      </c>
      <c r="H162" s="194">
        <v>5232</v>
      </c>
      <c r="I162" s="195"/>
      <c r="J162" s="197"/>
      <c r="K162" s="53"/>
    </row>
    <row r="163" spans="1:11" ht="65.099999999999994" customHeight="1" x14ac:dyDescent="0.25">
      <c r="A163" s="191">
        <v>154</v>
      </c>
      <c r="B163" s="192"/>
      <c r="C163" s="192"/>
      <c r="D163" s="192"/>
      <c r="E163" s="53" t="s">
        <v>2386</v>
      </c>
      <c r="F163" s="193" t="s">
        <v>3352</v>
      </c>
      <c r="G163" s="193" t="s">
        <v>3363</v>
      </c>
      <c r="H163" s="194">
        <v>5232</v>
      </c>
      <c r="I163" s="195"/>
      <c r="J163" s="197"/>
      <c r="K163" s="53"/>
    </row>
    <row r="164" spans="1:11" ht="65.099999999999994" customHeight="1" x14ac:dyDescent="0.25">
      <c r="A164" s="191">
        <v>155</v>
      </c>
      <c r="B164" s="192"/>
      <c r="C164" s="192"/>
      <c r="D164" s="192"/>
      <c r="E164" s="53" t="s">
        <v>2387</v>
      </c>
      <c r="F164" s="193" t="s">
        <v>3352</v>
      </c>
      <c r="G164" s="193" t="s">
        <v>3363</v>
      </c>
      <c r="H164" s="194">
        <v>5232</v>
      </c>
      <c r="I164" s="195"/>
      <c r="J164" s="197"/>
      <c r="K164" s="53"/>
    </row>
    <row r="165" spans="1:11" ht="65.099999999999994" customHeight="1" x14ac:dyDescent="0.25">
      <c r="A165" s="191">
        <v>156</v>
      </c>
      <c r="B165" s="192"/>
      <c r="C165" s="192"/>
      <c r="D165" s="192"/>
      <c r="E165" s="53" t="s">
        <v>2388</v>
      </c>
      <c r="F165" s="193" t="s">
        <v>3352</v>
      </c>
      <c r="G165" s="193" t="s">
        <v>3363</v>
      </c>
      <c r="H165" s="194">
        <v>5232</v>
      </c>
      <c r="I165" s="195"/>
      <c r="J165" s="197"/>
      <c r="K165" s="53"/>
    </row>
    <row r="166" spans="1:11" ht="65.099999999999994" customHeight="1" x14ac:dyDescent="0.25">
      <c r="A166" s="191">
        <v>157</v>
      </c>
      <c r="B166" s="192"/>
      <c r="C166" s="192"/>
      <c r="D166" s="192"/>
      <c r="E166" s="53" t="s">
        <v>2389</v>
      </c>
      <c r="F166" s="193" t="s">
        <v>3352</v>
      </c>
      <c r="G166" s="193" t="s">
        <v>3363</v>
      </c>
      <c r="H166" s="194">
        <v>5232</v>
      </c>
      <c r="I166" s="195"/>
      <c r="J166" s="197"/>
      <c r="K166" s="53"/>
    </row>
    <row r="167" spans="1:11" ht="65.099999999999994" customHeight="1" x14ac:dyDescent="0.25">
      <c r="A167" s="191">
        <v>158</v>
      </c>
      <c r="B167" s="192"/>
      <c r="C167" s="192"/>
      <c r="D167" s="192"/>
      <c r="E167" s="53" t="s">
        <v>2390</v>
      </c>
      <c r="F167" s="193" t="s">
        <v>3352</v>
      </c>
      <c r="G167" s="193" t="s">
        <v>3363</v>
      </c>
      <c r="H167" s="194">
        <v>5232</v>
      </c>
      <c r="I167" s="195"/>
      <c r="J167" s="197"/>
      <c r="K167" s="53"/>
    </row>
    <row r="168" spans="1:11" ht="65.099999999999994" customHeight="1" x14ac:dyDescent="0.25">
      <c r="A168" s="191">
        <v>159</v>
      </c>
      <c r="B168" s="192"/>
      <c r="C168" s="192"/>
      <c r="D168" s="192"/>
      <c r="E168" s="53" t="s">
        <v>2391</v>
      </c>
      <c r="F168" s="193" t="s">
        <v>3352</v>
      </c>
      <c r="G168" s="193" t="s">
        <v>3363</v>
      </c>
      <c r="H168" s="194">
        <v>5232</v>
      </c>
      <c r="I168" s="195"/>
      <c r="J168" s="197"/>
      <c r="K168" s="53"/>
    </row>
    <row r="169" spans="1:11" ht="65.099999999999994" customHeight="1" x14ac:dyDescent="0.25">
      <c r="A169" s="191">
        <v>160</v>
      </c>
      <c r="B169" s="192"/>
      <c r="C169" s="192"/>
      <c r="D169" s="192"/>
      <c r="E169" s="53" t="s">
        <v>2392</v>
      </c>
      <c r="F169" s="193" t="s">
        <v>3352</v>
      </c>
      <c r="G169" s="193" t="s">
        <v>3363</v>
      </c>
      <c r="H169" s="194">
        <v>5232</v>
      </c>
      <c r="I169" s="195"/>
      <c r="J169" s="197"/>
      <c r="K169" s="53"/>
    </row>
    <row r="170" spans="1:11" ht="65.099999999999994" customHeight="1" x14ac:dyDescent="0.25">
      <c r="A170" s="191">
        <v>161</v>
      </c>
      <c r="B170" s="192"/>
      <c r="C170" s="192"/>
      <c r="D170" s="192"/>
      <c r="E170" s="53" t="s">
        <v>2393</v>
      </c>
      <c r="F170" s="193" t="s">
        <v>3352</v>
      </c>
      <c r="G170" s="193" t="s">
        <v>3363</v>
      </c>
      <c r="H170" s="194">
        <v>5232</v>
      </c>
      <c r="I170" s="195"/>
      <c r="J170" s="197"/>
      <c r="K170" s="53"/>
    </row>
    <row r="171" spans="1:11" ht="65.099999999999994" customHeight="1" x14ac:dyDescent="0.25">
      <c r="A171" s="191">
        <v>162</v>
      </c>
      <c r="B171" s="192"/>
      <c r="C171" s="192"/>
      <c r="D171" s="192"/>
      <c r="E171" s="53" t="s">
        <v>2394</v>
      </c>
      <c r="F171" s="193" t="s">
        <v>3352</v>
      </c>
      <c r="G171" s="193" t="s">
        <v>3363</v>
      </c>
      <c r="H171" s="194">
        <v>5232</v>
      </c>
      <c r="I171" s="195"/>
      <c r="J171" s="197"/>
      <c r="K171" s="53"/>
    </row>
    <row r="172" spans="1:11" ht="65.099999999999994" customHeight="1" x14ac:dyDescent="0.25">
      <c r="A172" s="191">
        <v>163</v>
      </c>
      <c r="B172" s="192"/>
      <c r="C172" s="192"/>
      <c r="D172" s="192"/>
      <c r="E172" s="53" t="s">
        <v>2395</v>
      </c>
      <c r="F172" s="193" t="s">
        <v>3352</v>
      </c>
      <c r="G172" s="193" t="s">
        <v>3363</v>
      </c>
      <c r="H172" s="194">
        <v>5232</v>
      </c>
      <c r="I172" s="195"/>
      <c r="J172" s="197"/>
      <c r="K172" s="53"/>
    </row>
    <row r="173" spans="1:11" ht="65.099999999999994" customHeight="1" x14ac:dyDescent="0.25">
      <c r="A173" s="191">
        <v>164</v>
      </c>
      <c r="B173" s="192"/>
      <c r="C173" s="192"/>
      <c r="D173" s="192"/>
      <c r="E173" s="53" t="s">
        <v>2396</v>
      </c>
      <c r="F173" s="193" t="s">
        <v>3352</v>
      </c>
      <c r="G173" s="193" t="s">
        <v>3363</v>
      </c>
      <c r="H173" s="194">
        <v>5232</v>
      </c>
      <c r="I173" s="195"/>
      <c r="J173" s="197"/>
      <c r="K173" s="53"/>
    </row>
    <row r="174" spans="1:11" ht="65.099999999999994" customHeight="1" x14ac:dyDescent="0.25">
      <c r="A174" s="191">
        <v>165</v>
      </c>
      <c r="B174" s="192"/>
      <c r="C174" s="192"/>
      <c r="D174" s="192"/>
      <c r="E174" s="53" t="s">
        <v>2397</v>
      </c>
      <c r="F174" s="193" t="s">
        <v>3352</v>
      </c>
      <c r="G174" s="193" t="s">
        <v>3363</v>
      </c>
      <c r="H174" s="194">
        <v>5232</v>
      </c>
      <c r="I174" s="195"/>
      <c r="J174" s="197"/>
      <c r="K174" s="53"/>
    </row>
    <row r="175" spans="1:11" ht="65.099999999999994" customHeight="1" x14ac:dyDescent="0.25">
      <c r="A175" s="191">
        <v>166</v>
      </c>
      <c r="B175" s="192"/>
      <c r="C175" s="192"/>
      <c r="D175" s="192"/>
      <c r="E175" s="53" t="s">
        <v>2398</v>
      </c>
      <c r="F175" s="193" t="s">
        <v>3352</v>
      </c>
      <c r="G175" s="193" t="s">
        <v>3363</v>
      </c>
      <c r="H175" s="194">
        <v>5232</v>
      </c>
      <c r="I175" s="195"/>
      <c r="J175" s="197"/>
      <c r="K175" s="53"/>
    </row>
    <row r="176" spans="1:11" ht="65.099999999999994" customHeight="1" x14ac:dyDescent="0.25">
      <c r="A176" s="191">
        <v>167</v>
      </c>
      <c r="B176" s="192"/>
      <c r="C176" s="192"/>
      <c r="D176" s="192"/>
      <c r="E176" s="53" t="s">
        <v>2399</v>
      </c>
      <c r="F176" s="193" t="s">
        <v>3352</v>
      </c>
      <c r="G176" s="193" t="s">
        <v>3363</v>
      </c>
      <c r="H176" s="194">
        <v>5232</v>
      </c>
      <c r="I176" s="195"/>
      <c r="J176" s="197"/>
      <c r="K176" s="53"/>
    </row>
    <row r="177" spans="1:11" ht="65.099999999999994" customHeight="1" x14ac:dyDescent="0.25">
      <c r="A177" s="191">
        <v>168</v>
      </c>
      <c r="B177" s="192"/>
      <c r="C177" s="192"/>
      <c r="D177" s="192"/>
      <c r="E177" s="53" t="s">
        <v>2400</v>
      </c>
      <c r="F177" s="193" t="s">
        <v>3352</v>
      </c>
      <c r="G177" s="193" t="s">
        <v>3363</v>
      </c>
      <c r="H177" s="194">
        <v>5232</v>
      </c>
      <c r="I177" s="195"/>
      <c r="J177" s="197"/>
      <c r="K177" s="53"/>
    </row>
    <row r="178" spans="1:11" ht="65.099999999999994" customHeight="1" x14ac:dyDescent="0.25">
      <c r="A178" s="191">
        <v>169</v>
      </c>
      <c r="B178" s="192"/>
      <c r="C178" s="192"/>
      <c r="D178" s="192"/>
      <c r="E178" s="53" t="s">
        <v>2401</v>
      </c>
      <c r="F178" s="193" t="s">
        <v>3352</v>
      </c>
      <c r="G178" s="193" t="s">
        <v>3363</v>
      </c>
      <c r="H178" s="194">
        <v>5232</v>
      </c>
      <c r="I178" s="195"/>
      <c r="J178" s="197"/>
      <c r="K178" s="53"/>
    </row>
    <row r="179" spans="1:11" ht="65.099999999999994" customHeight="1" x14ac:dyDescent="0.25">
      <c r="A179" s="191">
        <v>170</v>
      </c>
      <c r="B179" s="192"/>
      <c r="C179" s="192"/>
      <c r="D179" s="192"/>
      <c r="E179" s="53" t="s">
        <v>2402</v>
      </c>
      <c r="F179" s="193" t="s">
        <v>3352</v>
      </c>
      <c r="G179" s="193" t="s">
        <v>3363</v>
      </c>
      <c r="H179" s="194">
        <v>5232</v>
      </c>
      <c r="I179" s="195"/>
      <c r="J179" s="197"/>
      <c r="K179" s="53"/>
    </row>
    <row r="180" spans="1:11" ht="65.099999999999994" customHeight="1" x14ac:dyDescent="0.25">
      <c r="A180" s="191">
        <v>171</v>
      </c>
      <c r="B180" s="192"/>
      <c r="C180" s="192"/>
      <c r="D180" s="192"/>
      <c r="E180" s="53" t="s">
        <v>2403</v>
      </c>
      <c r="F180" s="193" t="s">
        <v>3352</v>
      </c>
      <c r="G180" s="193" t="s">
        <v>3363</v>
      </c>
      <c r="H180" s="194">
        <v>5232</v>
      </c>
      <c r="I180" s="195"/>
      <c r="J180" s="197"/>
      <c r="K180" s="53"/>
    </row>
    <row r="181" spans="1:11" ht="65.099999999999994" customHeight="1" x14ac:dyDescent="0.25">
      <c r="A181" s="191">
        <v>172</v>
      </c>
      <c r="B181" s="192"/>
      <c r="C181" s="192"/>
      <c r="D181" s="192"/>
      <c r="E181" s="53" t="s">
        <v>2404</v>
      </c>
      <c r="F181" s="193" t="s">
        <v>3352</v>
      </c>
      <c r="G181" s="193" t="s">
        <v>3363</v>
      </c>
      <c r="H181" s="194">
        <v>5232</v>
      </c>
      <c r="I181" s="195"/>
      <c r="J181" s="197"/>
      <c r="K181" s="53"/>
    </row>
    <row r="182" spans="1:11" ht="65.099999999999994" customHeight="1" x14ac:dyDescent="0.25">
      <c r="A182" s="191">
        <v>173</v>
      </c>
      <c r="B182" s="192"/>
      <c r="C182" s="192"/>
      <c r="D182" s="192"/>
      <c r="E182" s="53" t="s">
        <v>2405</v>
      </c>
      <c r="F182" s="193" t="s">
        <v>3352</v>
      </c>
      <c r="G182" s="193" t="s">
        <v>3363</v>
      </c>
      <c r="H182" s="194">
        <v>5232</v>
      </c>
      <c r="I182" s="195"/>
      <c r="J182" s="197"/>
      <c r="K182" s="53"/>
    </row>
    <row r="183" spans="1:11" ht="65.099999999999994" customHeight="1" x14ac:dyDescent="0.25">
      <c r="A183" s="191">
        <v>174</v>
      </c>
      <c r="B183" s="192"/>
      <c r="C183" s="192"/>
      <c r="D183" s="192"/>
      <c r="E183" s="53" t="s">
        <v>2406</v>
      </c>
      <c r="F183" s="193" t="s">
        <v>3352</v>
      </c>
      <c r="G183" s="193" t="s">
        <v>3363</v>
      </c>
      <c r="H183" s="194">
        <v>5232</v>
      </c>
      <c r="I183" s="195"/>
      <c r="J183" s="197"/>
      <c r="K183" s="53"/>
    </row>
    <row r="184" spans="1:11" ht="65.099999999999994" customHeight="1" x14ac:dyDescent="0.25">
      <c r="A184" s="191">
        <v>175</v>
      </c>
      <c r="B184" s="192"/>
      <c r="C184" s="192"/>
      <c r="D184" s="192"/>
      <c r="E184" s="53" t="s">
        <v>2407</v>
      </c>
      <c r="F184" s="193" t="s">
        <v>3352</v>
      </c>
      <c r="G184" s="193" t="s">
        <v>3363</v>
      </c>
      <c r="H184" s="194">
        <v>5232</v>
      </c>
      <c r="I184" s="195"/>
      <c r="J184" s="197"/>
      <c r="K184" s="53"/>
    </row>
    <row r="185" spans="1:11" ht="65.099999999999994" customHeight="1" x14ac:dyDescent="0.25">
      <c r="A185" s="191">
        <v>176</v>
      </c>
      <c r="B185" s="192"/>
      <c r="C185" s="192"/>
      <c r="D185" s="192"/>
      <c r="E185" s="53" t="s">
        <v>2408</v>
      </c>
      <c r="F185" s="193" t="s">
        <v>3352</v>
      </c>
      <c r="G185" s="193" t="s">
        <v>3363</v>
      </c>
      <c r="H185" s="194">
        <v>5232</v>
      </c>
      <c r="I185" s="195"/>
      <c r="J185" s="197"/>
      <c r="K185" s="53"/>
    </row>
    <row r="186" spans="1:11" ht="65.099999999999994" customHeight="1" x14ac:dyDescent="0.25">
      <c r="A186" s="191">
        <v>177</v>
      </c>
      <c r="B186" s="192"/>
      <c r="C186" s="192"/>
      <c r="D186" s="192"/>
      <c r="E186" s="53" t="s">
        <v>2409</v>
      </c>
      <c r="F186" s="193" t="s">
        <v>3352</v>
      </c>
      <c r="G186" s="193" t="s">
        <v>3363</v>
      </c>
      <c r="H186" s="194">
        <v>5232</v>
      </c>
      <c r="I186" s="195"/>
      <c r="J186" s="197"/>
      <c r="K186" s="53"/>
    </row>
    <row r="187" spans="1:11" ht="65.099999999999994" customHeight="1" x14ac:dyDescent="0.25">
      <c r="A187" s="191">
        <v>178</v>
      </c>
      <c r="B187" s="192"/>
      <c r="C187" s="192"/>
      <c r="D187" s="192"/>
      <c r="E187" s="53" t="s">
        <v>2410</v>
      </c>
      <c r="F187" s="193" t="s">
        <v>3352</v>
      </c>
      <c r="G187" s="193" t="s">
        <v>3363</v>
      </c>
      <c r="H187" s="194">
        <v>5232</v>
      </c>
      <c r="I187" s="195"/>
      <c r="J187" s="197"/>
      <c r="K187" s="53"/>
    </row>
    <row r="188" spans="1:11" ht="65.099999999999994" customHeight="1" x14ac:dyDescent="0.25">
      <c r="A188" s="191">
        <v>179</v>
      </c>
      <c r="B188" s="192"/>
      <c r="C188" s="192"/>
      <c r="D188" s="192"/>
      <c r="E188" s="53" t="s">
        <v>2411</v>
      </c>
      <c r="F188" s="193" t="s">
        <v>3352</v>
      </c>
      <c r="G188" s="193" t="s">
        <v>3363</v>
      </c>
      <c r="H188" s="194">
        <v>5232</v>
      </c>
      <c r="I188" s="195"/>
      <c r="J188" s="197"/>
      <c r="K188" s="53"/>
    </row>
    <row r="189" spans="1:11" ht="65.099999999999994" customHeight="1" x14ac:dyDescent="0.25">
      <c r="A189" s="191">
        <v>180</v>
      </c>
      <c r="B189" s="192"/>
      <c r="C189" s="192"/>
      <c r="D189" s="192"/>
      <c r="E189" s="53" t="s">
        <v>2412</v>
      </c>
      <c r="F189" s="193" t="s">
        <v>3352</v>
      </c>
      <c r="G189" s="193" t="s">
        <v>3363</v>
      </c>
      <c r="H189" s="194">
        <v>5232</v>
      </c>
      <c r="I189" s="195"/>
      <c r="J189" s="197"/>
      <c r="K189" s="53"/>
    </row>
    <row r="190" spans="1:11" ht="65.099999999999994" customHeight="1" x14ac:dyDescent="0.25">
      <c r="A190" s="191">
        <v>181</v>
      </c>
      <c r="B190" s="192"/>
      <c r="C190" s="192"/>
      <c r="D190" s="192"/>
      <c r="E190" s="53" t="s">
        <v>2413</v>
      </c>
      <c r="F190" s="193" t="s">
        <v>3352</v>
      </c>
      <c r="G190" s="193" t="s">
        <v>3363</v>
      </c>
      <c r="H190" s="194">
        <v>5232</v>
      </c>
      <c r="I190" s="195"/>
      <c r="J190" s="197"/>
      <c r="K190" s="53"/>
    </row>
    <row r="191" spans="1:11" ht="65.099999999999994" customHeight="1" x14ac:dyDescent="0.25">
      <c r="A191" s="191">
        <v>182</v>
      </c>
      <c r="B191" s="192"/>
      <c r="C191" s="192"/>
      <c r="D191" s="192"/>
      <c r="E191" s="53" t="s">
        <v>2414</v>
      </c>
      <c r="F191" s="193" t="s">
        <v>3352</v>
      </c>
      <c r="G191" s="193" t="s">
        <v>3363</v>
      </c>
      <c r="H191" s="194">
        <v>5232</v>
      </c>
      <c r="I191" s="195"/>
      <c r="J191" s="197"/>
      <c r="K191" s="53"/>
    </row>
    <row r="192" spans="1:11" ht="65.099999999999994" customHeight="1" x14ac:dyDescent="0.25">
      <c r="A192" s="191">
        <v>183</v>
      </c>
      <c r="B192" s="192"/>
      <c r="C192" s="192"/>
      <c r="D192" s="192"/>
      <c r="E192" s="53" t="s">
        <v>2415</v>
      </c>
      <c r="F192" s="193" t="s">
        <v>3352</v>
      </c>
      <c r="G192" s="193" t="s">
        <v>3363</v>
      </c>
      <c r="H192" s="194">
        <v>5232</v>
      </c>
      <c r="I192" s="195"/>
      <c r="J192" s="197"/>
      <c r="K192" s="53"/>
    </row>
    <row r="193" spans="1:11" ht="65.099999999999994" customHeight="1" x14ac:dyDescent="0.25">
      <c r="A193" s="191">
        <v>184</v>
      </c>
      <c r="B193" s="192"/>
      <c r="C193" s="192"/>
      <c r="D193" s="192"/>
      <c r="E193" s="53" t="s">
        <v>2416</v>
      </c>
      <c r="F193" s="193" t="s">
        <v>3352</v>
      </c>
      <c r="G193" s="193" t="s">
        <v>3363</v>
      </c>
      <c r="H193" s="194">
        <v>5232</v>
      </c>
      <c r="I193" s="195"/>
      <c r="J193" s="197"/>
      <c r="K193" s="53"/>
    </row>
    <row r="194" spans="1:11" ht="65.099999999999994" customHeight="1" x14ac:dyDescent="0.25">
      <c r="A194" s="191">
        <v>185</v>
      </c>
      <c r="B194" s="192"/>
      <c r="C194" s="192"/>
      <c r="D194" s="192"/>
      <c r="E194" s="53" t="s">
        <v>2417</v>
      </c>
      <c r="F194" s="193" t="s">
        <v>3352</v>
      </c>
      <c r="G194" s="193" t="s">
        <v>3363</v>
      </c>
      <c r="H194" s="194">
        <v>5232</v>
      </c>
      <c r="I194" s="195"/>
      <c r="J194" s="197"/>
      <c r="K194" s="53"/>
    </row>
    <row r="195" spans="1:11" ht="65.099999999999994" customHeight="1" x14ac:dyDescent="0.25">
      <c r="A195" s="191">
        <v>186</v>
      </c>
      <c r="B195" s="192"/>
      <c r="C195" s="192"/>
      <c r="D195" s="192"/>
      <c r="E195" s="53" t="s">
        <v>2418</v>
      </c>
      <c r="F195" s="193" t="s">
        <v>3352</v>
      </c>
      <c r="G195" s="193" t="s">
        <v>3363</v>
      </c>
      <c r="H195" s="194">
        <v>5232</v>
      </c>
      <c r="I195" s="195"/>
      <c r="J195" s="197"/>
      <c r="K195" s="53"/>
    </row>
    <row r="196" spans="1:11" ht="65.099999999999994" customHeight="1" x14ac:dyDescent="0.25">
      <c r="A196" s="191">
        <v>187</v>
      </c>
      <c r="B196" s="192"/>
      <c r="C196" s="192"/>
      <c r="D196" s="192"/>
      <c r="E196" s="53" t="s">
        <v>2419</v>
      </c>
      <c r="F196" s="193" t="s">
        <v>3352</v>
      </c>
      <c r="G196" s="193" t="s">
        <v>3363</v>
      </c>
      <c r="H196" s="194">
        <v>5232</v>
      </c>
      <c r="I196" s="195"/>
      <c r="J196" s="197"/>
      <c r="K196" s="53"/>
    </row>
    <row r="197" spans="1:11" ht="65.099999999999994" customHeight="1" x14ac:dyDescent="0.25">
      <c r="A197" s="191">
        <v>188</v>
      </c>
      <c r="B197" s="192"/>
      <c r="C197" s="192"/>
      <c r="D197" s="192"/>
      <c r="E197" s="53" t="s">
        <v>2420</v>
      </c>
      <c r="F197" s="193" t="s">
        <v>3375</v>
      </c>
      <c r="G197" s="193" t="s">
        <v>3363</v>
      </c>
      <c r="H197" s="194">
        <v>5232</v>
      </c>
      <c r="I197" s="195"/>
      <c r="J197" s="197"/>
      <c r="K197" s="53"/>
    </row>
    <row r="198" spans="1:11" ht="65.099999999999994" customHeight="1" x14ac:dyDescent="0.25">
      <c r="A198" s="191">
        <v>189</v>
      </c>
      <c r="B198" s="192"/>
      <c r="C198" s="192"/>
      <c r="D198" s="192"/>
      <c r="E198" s="53" t="s">
        <v>2421</v>
      </c>
      <c r="F198" s="193" t="s">
        <v>3375</v>
      </c>
      <c r="G198" s="193" t="s">
        <v>3363</v>
      </c>
      <c r="H198" s="194">
        <v>5232</v>
      </c>
      <c r="I198" s="195"/>
      <c r="J198" s="197"/>
      <c r="K198" s="53"/>
    </row>
    <row r="199" spans="1:11" ht="65.099999999999994" customHeight="1" x14ac:dyDescent="0.25">
      <c r="A199" s="191">
        <v>190</v>
      </c>
      <c r="B199" s="192"/>
      <c r="C199" s="192"/>
      <c r="D199" s="192"/>
      <c r="E199" s="53" t="s">
        <v>2422</v>
      </c>
      <c r="F199" s="193" t="s">
        <v>3375</v>
      </c>
      <c r="G199" s="193" t="s">
        <v>3363</v>
      </c>
      <c r="H199" s="194">
        <v>5232</v>
      </c>
      <c r="I199" s="195"/>
      <c r="J199" s="197"/>
      <c r="K199" s="53"/>
    </row>
    <row r="200" spans="1:11" ht="65.099999999999994" customHeight="1" x14ac:dyDescent="0.25">
      <c r="A200" s="191">
        <v>191</v>
      </c>
      <c r="B200" s="192"/>
      <c r="C200" s="192"/>
      <c r="D200" s="192"/>
      <c r="E200" s="53" t="s">
        <v>2423</v>
      </c>
      <c r="F200" s="193" t="s">
        <v>3375</v>
      </c>
      <c r="G200" s="193" t="s">
        <v>3363</v>
      </c>
      <c r="H200" s="194">
        <v>5232</v>
      </c>
      <c r="I200" s="195"/>
      <c r="J200" s="197"/>
      <c r="K200" s="53"/>
    </row>
    <row r="201" spans="1:11" ht="65.099999999999994" customHeight="1" x14ac:dyDescent="0.25">
      <c r="A201" s="191">
        <v>192</v>
      </c>
      <c r="B201" s="192"/>
      <c r="C201" s="192"/>
      <c r="D201" s="192"/>
      <c r="E201" s="53" t="s">
        <v>2424</v>
      </c>
      <c r="F201" s="193" t="s">
        <v>3375</v>
      </c>
      <c r="G201" s="193" t="s">
        <v>3363</v>
      </c>
      <c r="H201" s="194">
        <v>5232</v>
      </c>
      <c r="I201" s="195"/>
      <c r="J201" s="197"/>
      <c r="K201" s="53"/>
    </row>
    <row r="202" spans="1:11" ht="65.099999999999994" customHeight="1" x14ac:dyDescent="0.25">
      <c r="A202" s="191">
        <v>193</v>
      </c>
      <c r="B202" s="192"/>
      <c r="C202" s="192"/>
      <c r="D202" s="192"/>
      <c r="E202" s="53" t="s">
        <v>2425</v>
      </c>
      <c r="F202" s="193" t="s">
        <v>3375</v>
      </c>
      <c r="G202" s="193" t="s">
        <v>3363</v>
      </c>
      <c r="H202" s="194">
        <v>5232</v>
      </c>
      <c r="I202" s="195"/>
      <c r="J202" s="197"/>
      <c r="K202" s="53"/>
    </row>
    <row r="203" spans="1:11" ht="65.099999999999994" customHeight="1" x14ac:dyDescent="0.25">
      <c r="A203" s="191">
        <v>194</v>
      </c>
      <c r="B203" s="192"/>
      <c r="C203" s="192"/>
      <c r="D203" s="192"/>
      <c r="E203" s="53" t="s">
        <v>2426</v>
      </c>
      <c r="F203" s="193" t="s">
        <v>3375</v>
      </c>
      <c r="G203" s="193" t="s">
        <v>3363</v>
      </c>
      <c r="H203" s="194">
        <v>5232</v>
      </c>
      <c r="I203" s="195"/>
      <c r="J203" s="197"/>
      <c r="K203" s="53"/>
    </row>
    <row r="204" spans="1:11" ht="65.099999999999994" customHeight="1" x14ac:dyDescent="0.25">
      <c r="A204" s="191">
        <v>195</v>
      </c>
      <c r="B204" s="192"/>
      <c r="C204" s="192"/>
      <c r="D204" s="192"/>
      <c r="E204" s="53" t="s">
        <v>2427</v>
      </c>
      <c r="F204" s="193" t="s">
        <v>3375</v>
      </c>
      <c r="G204" s="193" t="s">
        <v>3363</v>
      </c>
      <c r="H204" s="194">
        <v>5232</v>
      </c>
      <c r="I204" s="195"/>
      <c r="J204" s="197"/>
      <c r="K204" s="53"/>
    </row>
    <row r="205" spans="1:11" ht="65.099999999999994" customHeight="1" x14ac:dyDescent="0.25">
      <c r="A205" s="191">
        <v>196</v>
      </c>
      <c r="B205" s="192"/>
      <c r="C205" s="192"/>
      <c r="D205" s="192"/>
      <c r="E205" s="53" t="s">
        <v>2428</v>
      </c>
      <c r="F205" s="193" t="s">
        <v>3375</v>
      </c>
      <c r="G205" s="193" t="s">
        <v>3363</v>
      </c>
      <c r="H205" s="194">
        <v>5232</v>
      </c>
      <c r="I205" s="195"/>
      <c r="J205" s="197"/>
      <c r="K205" s="53"/>
    </row>
    <row r="206" spans="1:11" ht="65.099999999999994" customHeight="1" x14ac:dyDescent="0.25">
      <c r="A206" s="191">
        <v>197</v>
      </c>
      <c r="B206" s="192"/>
      <c r="C206" s="192"/>
      <c r="D206" s="192"/>
      <c r="E206" s="53" t="s">
        <v>2429</v>
      </c>
      <c r="F206" s="193" t="s">
        <v>3375</v>
      </c>
      <c r="G206" s="193" t="s">
        <v>3363</v>
      </c>
      <c r="H206" s="194">
        <v>5232</v>
      </c>
      <c r="I206" s="195"/>
      <c r="J206" s="197"/>
      <c r="K206" s="53"/>
    </row>
    <row r="207" spans="1:11" ht="65.099999999999994" customHeight="1" x14ac:dyDescent="0.25">
      <c r="A207" s="191">
        <v>198</v>
      </c>
      <c r="B207" s="192"/>
      <c r="C207" s="192"/>
      <c r="D207" s="192"/>
      <c r="E207" s="53" t="s">
        <v>2430</v>
      </c>
      <c r="F207" s="193" t="s">
        <v>3375</v>
      </c>
      <c r="G207" s="193" t="s">
        <v>3363</v>
      </c>
      <c r="H207" s="194">
        <v>5232</v>
      </c>
      <c r="I207" s="195"/>
      <c r="J207" s="197"/>
      <c r="K207" s="53"/>
    </row>
    <row r="208" spans="1:11" ht="65.099999999999994" customHeight="1" x14ac:dyDescent="0.25">
      <c r="A208" s="191">
        <v>199</v>
      </c>
      <c r="B208" s="192"/>
      <c r="C208" s="192"/>
      <c r="D208" s="192"/>
      <c r="E208" s="53" t="s">
        <v>2431</v>
      </c>
      <c r="F208" s="193" t="s">
        <v>3375</v>
      </c>
      <c r="G208" s="193" t="s">
        <v>3363</v>
      </c>
      <c r="H208" s="194">
        <v>5232</v>
      </c>
      <c r="I208" s="195"/>
      <c r="J208" s="197"/>
      <c r="K208" s="53"/>
    </row>
    <row r="209" spans="1:11" ht="65.099999999999994" customHeight="1" x14ac:dyDescent="0.25">
      <c r="A209" s="191">
        <v>200</v>
      </c>
      <c r="B209" s="192"/>
      <c r="C209" s="192"/>
      <c r="D209" s="192"/>
      <c r="E209" s="53" t="s">
        <v>2432</v>
      </c>
      <c r="F209" s="193" t="s">
        <v>3375</v>
      </c>
      <c r="G209" s="193" t="s">
        <v>3363</v>
      </c>
      <c r="H209" s="194">
        <v>5232</v>
      </c>
      <c r="I209" s="195"/>
      <c r="J209" s="197"/>
      <c r="K209" s="53"/>
    </row>
    <row r="210" spans="1:11" ht="65.099999999999994" customHeight="1" x14ac:dyDescent="0.25">
      <c r="A210" s="191">
        <v>201</v>
      </c>
      <c r="B210" s="192"/>
      <c r="C210" s="192"/>
      <c r="D210" s="192"/>
      <c r="E210" s="53" t="s">
        <v>2433</v>
      </c>
      <c r="F210" s="193" t="s">
        <v>3375</v>
      </c>
      <c r="G210" s="193" t="s">
        <v>3363</v>
      </c>
      <c r="H210" s="194">
        <v>5232</v>
      </c>
      <c r="I210" s="195"/>
      <c r="J210" s="197"/>
      <c r="K210" s="53"/>
    </row>
    <row r="211" spans="1:11" ht="65.099999999999994" customHeight="1" x14ac:dyDescent="0.25">
      <c r="A211" s="191">
        <v>202</v>
      </c>
      <c r="B211" s="192"/>
      <c r="C211" s="192"/>
      <c r="D211" s="192"/>
      <c r="E211" s="53" t="s">
        <v>2434</v>
      </c>
      <c r="F211" s="193" t="s">
        <v>3375</v>
      </c>
      <c r="G211" s="193" t="s">
        <v>3363</v>
      </c>
      <c r="H211" s="194">
        <v>5232</v>
      </c>
      <c r="I211" s="195"/>
      <c r="J211" s="197"/>
      <c r="K211" s="53"/>
    </row>
    <row r="212" spans="1:11" ht="65.099999999999994" customHeight="1" x14ac:dyDescent="0.25">
      <c r="A212" s="191">
        <v>203</v>
      </c>
      <c r="B212" s="192"/>
      <c r="C212" s="192"/>
      <c r="D212" s="192"/>
      <c r="E212" s="53" t="s">
        <v>2435</v>
      </c>
      <c r="F212" s="193" t="s">
        <v>3375</v>
      </c>
      <c r="G212" s="193" t="s">
        <v>3363</v>
      </c>
      <c r="H212" s="194">
        <v>5232</v>
      </c>
      <c r="I212" s="195"/>
      <c r="J212" s="197"/>
      <c r="K212" s="53"/>
    </row>
    <row r="213" spans="1:11" ht="65.099999999999994" customHeight="1" x14ac:dyDescent="0.25">
      <c r="A213" s="191">
        <v>204</v>
      </c>
      <c r="B213" s="192"/>
      <c r="C213" s="192"/>
      <c r="D213" s="192"/>
      <c r="E213" s="53" t="s">
        <v>2436</v>
      </c>
      <c r="F213" s="193" t="s">
        <v>3375</v>
      </c>
      <c r="G213" s="193" t="s">
        <v>3363</v>
      </c>
      <c r="H213" s="194">
        <v>5232</v>
      </c>
      <c r="I213" s="195"/>
      <c r="J213" s="197"/>
      <c r="K213" s="53"/>
    </row>
    <row r="214" spans="1:11" ht="65.099999999999994" customHeight="1" x14ac:dyDescent="0.25">
      <c r="A214" s="191">
        <v>205</v>
      </c>
      <c r="B214" s="192"/>
      <c r="C214" s="192"/>
      <c r="D214" s="192"/>
      <c r="E214" s="53" t="s">
        <v>2437</v>
      </c>
      <c r="F214" s="193" t="s">
        <v>3375</v>
      </c>
      <c r="G214" s="193" t="s">
        <v>3363</v>
      </c>
      <c r="H214" s="194">
        <v>5232</v>
      </c>
      <c r="I214" s="195"/>
      <c r="J214" s="197"/>
      <c r="K214" s="53"/>
    </row>
    <row r="215" spans="1:11" ht="65.099999999999994" customHeight="1" x14ac:dyDescent="0.25">
      <c r="A215" s="191">
        <v>206</v>
      </c>
      <c r="B215" s="192"/>
      <c r="C215" s="192"/>
      <c r="D215" s="192"/>
      <c r="E215" s="53" t="s">
        <v>2438</v>
      </c>
      <c r="F215" s="193" t="s">
        <v>3375</v>
      </c>
      <c r="G215" s="193" t="s">
        <v>3363</v>
      </c>
      <c r="H215" s="194">
        <v>5232</v>
      </c>
      <c r="I215" s="195"/>
      <c r="J215" s="197"/>
      <c r="K215" s="53"/>
    </row>
    <row r="216" spans="1:11" ht="65.099999999999994" customHeight="1" x14ac:dyDescent="0.25">
      <c r="A216" s="191">
        <v>207</v>
      </c>
      <c r="B216" s="192"/>
      <c r="C216" s="192"/>
      <c r="D216" s="192"/>
      <c r="E216" s="53" t="s">
        <v>2439</v>
      </c>
      <c r="F216" s="193" t="s">
        <v>3375</v>
      </c>
      <c r="G216" s="193" t="s">
        <v>3363</v>
      </c>
      <c r="H216" s="194">
        <v>5232</v>
      </c>
      <c r="I216" s="195"/>
      <c r="J216" s="197"/>
      <c r="K216" s="53"/>
    </row>
    <row r="217" spans="1:11" ht="65.099999999999994" customHeight="1" x14ac:dyDescent="0.25">
      <c r="A217" s="191">
        <v>208</v>
      </c>
      <c r="B217" s="192"/>
      <c r="C217" s="192"/>
      <c r="D217" s="192"/>
      <c r="E217" s="53" t="s">
        <v>2440</v>
      </c>
      <c r="F217" s="193" t="s">
        <v>3375</v>
      </c>
      <c r="G217" s="193" t="s">
        <v>3363</v>
      </c>
      <c r="H217" s="194">
        <v>5232</v>
      </c>
      <c r="I217" s="195"/>
      <c r="J217" s="197"/>
      <c r="K217" s="53"/>
    </row>
    <row r="218" spans="1:11" ht="65.099999999999994" customHeight="1" x14ac:dyDescent="0.25">
      <c r="A218" s="191">
        <v>209</v>
      </c>
      <c r="B218" s="192"/>
      <c r="C218" s="192"/>
      <c r="D218" s="192"/>
      <c r="E218" s="53" t="s">
        <v>2441</v>
      </c>
      <c r="F218" s="193" t="s">
        <v>3375</v>
      </c>
      <c r="G218" s="193" t="s">
        <v>3363</v>
      </c>
      <c r="H218" s="194">
        <v>5232</v>
      </c>
      <c r="I218" s="195"/>
      <c r="J218" s="197"/>
      <c r="K218" s="53"/>
    </row>
    <row r="219" spans="1:11" ht="65.099999999999994" customHeight="1" x14ac:dyDescent="0.25">
      <c r="A219" s="191">
        <v>210</v>
      </c>
      <c r="B219" s="192"/>
      <c r="C219" s="192"/>
      <c r="D219" s="192"/>
      <c r="E219" s="53" t="s">
        <v>2442</v>
      </c>
      <c r="F219" s="193" t="s">
        <v>3375</v>
      </c>
      <c r="G219" s="193" t="s">
        <v>3363</v>
      </c>
      <c r="H219" s="194">
        <v>5232</v>
      </c>
      <c r="I219" s="195"/>
      <c r="J219" s="197"/>
      <c r="K219" s="53"/>
    </row>
    <row r="220" spans="1:11" ht="65.099999999999994" customHeight="1" x14ac:dyDescent="0.25">
      <c r="A220" s="191">
        <v>211</v>
      </c>
      <c r="B220" s="192"/>
      <c r="C220" s="192"/>
      <c r="D220" s="192"/>
      <c r="E220" s="53" t="s">
        <v>2443</v>
      </c>
      <c r="F220" s="193" t="s">
        <v>3375</v>
      </c>
      <c r="G220" s="193" t="s">
        <v>3363</v>
      </c>
      <c r="H220" s="194">
        <v>5232</v>
      </c>
      <c r="I220" s="195"/>
      <c r="J220" s="197"/>
      <c r="K220" s="53"/>
    </row>
    <row r="221" spans="1:11" ht="65.099999999999994" customHeight="1" x14ac:dyDescent="0.25">
      <c r="A221" s="191">
        <v>212</v>
      </c>
      <c r="B221" s="192"/>
      <c r="C221" s="192"/>
      <c r="D221" s="192"/>
      <c r="E221" s="53" t="s">
        <v>2444</v>
      </c>
      <c r="F221" s="193" t="s">
        <v>3375</v>
      </c>
      <c r="G221" s="193" t="s">
        <v>3363</v>
      </c>
      <c r="H221" s="194">
        <v>5232</v>
      </c>
      <c r="I221" s="195"/>
      <c r="J221" s="197"/>
      <c r="K221" s="53"/>
    </row>
    <row r="222" spans="1:11" ht="65.099999999999994" customHeight="1" x14ac:dyDescent="0.25">
      <c r="A222" s="191">
        <v>213</v>
      </c>
      <c r="B222" s="192"/>
      <c r="C222" s="192"/>
      <c r="D222" s="192"/>
      <c r="E222" s="53" t="s">
        <v>2445</v>
      </c>
      <c r="F222" s="193" t="s">
        <v>3375</v>
      </c>
      <c r="G222" s="193" t="s">
        <v>3363</v>
      </c>
      <c r="H222" s="194">
        <v>5232</v>
      </c>
      <c r="I222" s="195"/>
      <c r="J222" s="197"/>
      <c r="K222" s="53"/>
    </row>
    <row r="223" spans="1:11" ht="65.099999999999994" customHeight="1" x14ac:dyDescent="0.25">
      <c r="A223" s="191">
        <v>214</v>
      </c>
      <c r="B223" s="192"/>
      <c r="C223" s="192"/>
      <c r="D223" s="192"/>
      <c r="E223" s="53" t="s">
        <v>2446</v>
      </c>
      <c r="F223" s="193" t="s">
        <v>3375</v>
      </c>
      <c r="G223" s="193" t="s">
        <v>3363</v>
      </c>
      <c r="H223" s="194">
        <v>5232</v>
      </c>
      <c r="I223" s="195"/>
      <c r="J223" s="197"/>
      <c r="K223" s="53"/>
    </row>
    <row r="224" spans="1:11" ht="65.099999999999994" customHeight="1" x14ac:dyDescent="0.25">
      <c r="A224" s="191">
        <v>215</v>
      </c>
      <c r="B224" s="192"/>
      <c r="C224" s="192"/>
      <c r="D224" s="192"/>
      <c r="E224" s="53" t="s">
        <v>2447</v>
      </c>
      <c r="F224" s="193" t="s">
        <v>3375</v>
      </c>
      <c r="G224" s="193" t="s">
        <v>3363</v>
      </c>
      <c r="H224" s="194">
        <v>5232</v>
      </c>
      <c r="I224" s="195"/>
      <c r="J224" s="197"/>
      <c r="K224" s="53"/>
    </row>
    <row r="225" spans="1:11" ht="65.099999999999994" customHeight="1" x14ac:dyDescent="0.25">
      <c r="A225" s="191">
        <v>216</v>
      </c>
      <c r="B225" s="192"/>
      <c r="C225" s="192"/>
      <c r="D225" s="192"/>
      <c r="E225" s="53" t="s">
        <v>2448</v>
      </c>
      <c r="F225" s="193" t="s">
        <v>3375</v>
      </c>
      <c r="G225" s="193" t="s">
        <v>3363</v>
      </c>
      <c r="H225" s="194">
        <v>5232</v>
      </c>
      <c r="I225" s="195"/>
      <c r="J225" s="197"/>
      <c r="K225" s="53"/>
    </row>
    <row r="226" spans="1:11" ht="65.099999999999994" customHeight="1" x14ac:dyDescent="0.25">
      <c r="A226" s="191">
        <v>217</v>
      </c>
      <c r="B226" s="192"/>
      <c r="C226" s="192"/>
      <c r="D226" s="192"/>
      <c r="E226" s="53" t="s">
        <v>2449</v>
      </c>
      <c r="F226" s="193" t="s">
        <v>3375</v>
      </c>
      <c r="G226" s="193" t="s">
        <v>3363</v>
      </c>
      <c r="H226" s="194">
        <v>5232</v>
      </c>
      <c r="I226" s="195"/>
      <c r="J226" s="197"/>
      <c r="K226" s="53"/>
    </row>
    <row r="227" spans="1:11" ht="65.099999999999994" customHeight="1" x14ac:dyDescent="0.25">
      <c r="A227" s="191">
        <v>218</v>
      </c>
      <c r="B227" s="192"/>
      <c r="C227" s="192"/>
      <c r="D227" s="192"/>
      <c r="E227" s="53" t="s">
        <v>2450</v>
      </c>
      <c r="F227" s="193" t="s">
        <v>3375</v>
      </c>
      <c r="G227" s="193" t="s">
        <v>3363</v>
      </c>
      <c r="H227" s="194">
        <v>5232</v>
      </c>
      <c r="I227" s="195"/>
      <c r="J227" s="197"/>
      <c r="K227" s="53"/>
    </row>
    <row r="228" spans="1:11" ht="65.099999999999994" customHeight="1" x14ac:dyDescent="0.25">
      <c r="A228" s="191">
        <v>219</v>
      </c>
      <c r="B228" s="192"/>
      <c r="C228" s="192"/>
      <c r="D228" s="192"/>
      <c r="E228" s="53" t="s">
        <v>2451</v>
      </c>
      <c r="F228" s="193" t="s">
        <v>3375</v>
      </c>
      <c r="G228" s="193" t="s">
        <v>3363</v>
      </c>
      <c r="H228" s="194">
        <v>5232</v>
      </c>
      <c r="I228" s="195"/>
      <c r="J228" s="197"/>
      <c r="K228" s="53"/>
    </row>
    <row r="229" spans="1:11" ht="65.099999999999994" customHeight="1" x14ac:dyDescent="0.25">
      <c r="A229" s="191">
        <v>220</v>
      </c>
      <c r="B229" s="192"/>
      <c r="C229" s="192"/>
      <c r="D229" s="192"/>
      <c r="E229" s="53" t="s">
        <v>2452</v>
      </c>
      <c r="F229" s="193" t="s">
        <v>3375</v>
      </c>
      <c r="G229" s="193" t="s">
        <v>3363</v>
      </c>
      <c r="H229" s="194">
        <v>5232</v>
      </c>
      <c r="I229" s="195"/>
      <c r="J229" s="197"/>
      <c r="K229" s="53"/>
    </row>
    <row r="230" spans="1:11" ht="65.099999999999994" customHeight="1" x14ac:dyDescent="0.25">
      <c r="A230" s="191">
        <v>221</v>
      </c>
      <c r="B230" s="192"/>
      <c r="C230" s="192"/>
      <c r="D230" s="192"/>
      <c r="E230" s="53" t="s">
        <v>2453</v>
      </c>
      <c r="F230" s="193" t="s">
        <v>3375</v>
      </c>
      <c r="G230" s="193" t="s">
        <v>3363</v>
      </c>
      <c r="H230" s="194">
        <v>5232</v>
      </c>
      <c r="I230" s="195"/>
      <c r="J230" s="197"/>
      <c r="K230" s="53"/>
    </row>
    <row r="231" spans="1:11" ht="65.099999999999994" customHeight="1" x14ac:dyDescent="0.25">
      <c r="A231" s="191">
        <v>222</v>
      </c>
      <c r="B231" s="192"/>
      <c r="C231" s="192"/>
      <c r="D231" s="192"/>
      <c r="E231" s="53" t="s">
        <v>2454</v>
      </c>
      <c r="F231" s="193" t="s">
        <v>3375</v>
      </c>
      <c r="G231" s="193" t="s">
        <v>3363</v>
      </c>
      <c r="H231" s="194">
        <v>5232</v>
      </c>
      <c r="I231" s="195"/>
      <c r="J231" s="197"/>
      <c r="K231" s="53"/>
    </row>
    <row r="232" spans="1:11" ht="65.099999999999994" customHeight="1" x14ac:dyDescent="0.25">
      <c r="A232" s="191">
        <v>223</v>
      </c>
      <c r="B232" s="192"/>
      <c r="C232" s="192"/>
      <c r="D232" s="192"/>
      <c r="E232" s="53" t="s">
        <v>2455</v>
      </c>
      <c r="F232" s="193" t="s">
        <v>3353</v>
      </c>
      <c r="G232" s="193" t="s">
        <v>3363</v>
      </c>
      <c r="H232" s="194">
        <v>5232</v>
      </c>
      <c r="I232" s="195"/>
      <c r="J232" s="197"/>
      <c r="K232" s="53"/>
    </row>
    <row r="233" spans="1:11" ht="65.099999999999994" customHeight="1" x14ac:dyDescent="0.25">
      <c r="A233" s="191">
        <v>224</v>
      </c>
      <c r="B233" s="192"/>
      <c r="C233" s="192"/>
      <c r="D233" s="192"/>
      <c r="E233" s="53" t="s">
        <v>2456</v>
      </c>
      <c r="F233" s="193" t="s">
        <v>3353</v>
      </c>
      <c r="G233" s="193" t="s">
        <v>3363</v>
      </c>
      <c r="H233" s="194">
        <v>5232</v>
      </c>
      <c r="I233" s="195"/>
      <c r="J233" s="197"/>
      <c r="K233" s="53"/>
    </row>
    <row r="234" spans="1:11" ht="65.099999999999994" customHeight="1" x14ac:dyDescent="0.25">
      <c r="A234" s="191">
        <v>225</v>
      </c>
      <c r="B234" s="192"/>
      <c r="C234" s="192"/>
      <c r="D234" s="192"/>
      <c r="E234" s="53" t="s">
        <v>2457</v>
      </c>
      <c r="F234" s="193" t="s">
        <v>3353</v>
      </c>
      <c r="G234" s="193" t="s">
        <v>3363</v>
      </c>
      <c r="H234" s="194">
        <v>5232</v>
      </c>
      <c r="I234" s="195"/>
      <c r="J234" s="197"/>
      <c r="K234" s="53"/>
    </row>
    <row r="235" spans="1:11" ht="65.099999999999994" customHeight="1" x14ac:dyDescent="0.25">
      <c r="A235" s="191">
        <v>226</v>
      </c>
      <c r="B235" s="192"/>
      <c r="C235" s="192"/>
      <c r="D235" s="192"/>
      <c r="E235" s="53" t="s">
        <v>2458</v>
      </c>
      <c r="F235" s="193" t="s">
        <v>3353</v>
      </c>
      <c r="G235" s="193" t="s">
        <v>3363</v>
      </c>
      <c r="H235" s="194">
        <v>5232</v>
      </c>
      <c r="I235" s="195"/>
      <c r="J235" s="197"/>
      <c r="K235" s="53"/>
    </row>
    <row r="236" spans="1:11" ht="65.099999999999994" customHeight="1" x14ac:dyDescent="0.25">
      <c r="A236" s="191">
        <v>227</v>
      </c>
      <c r="B236" s="192"/>
      <c r="C236" s="192"/>
      <c r="D236" s="192"/>
      <c r="E236" s="53" t="s">
        <v>2459</v>
      </c>
      <c r="F236" s="193" t="s">
        <v>3353</v>
      </c>
      <c r="G236" s="193" t="s">
        <v>3363</v>
      </c>
      <c r="H236" s="194">
        <v>5232</v>
      </c>
      <c r="I236" s="195"/>
      <c r="J236" s="197"/>
      <c r="K236" s="53"/>
    </row>
    <row r="237" spans="1:11" ht="65.099999999999994" customHeight="1" x14ac:dyDescent="0.25">
      <c r="A237" s="191">
        <v>228</v>
      </c>
      <c r="B237" s="192"/>
      <c r="C237" s="192"/>
      <c r="D237" s="192"/>
      <c r="E237" s="53" t="s">
        <v>2460</v>
      </c>
      <c r="F237" s="193" t="s">
        <v>3353</v>
      </c>
      <c r="G237" s="193" t="s">
        <v>3363</v>
      </c>
      <c r="H237" s="194">
        <v>5232</v>
      </c>
      <c r="I237" s="195"/>
      <c r="J237" s="197"/>
      <c r="K237" s="53"/>
    </row>
    <row r="238" spans="1:11" ht="65.099999999999994" customHeight="1" x14ac:dyDescent="0.25">
      <c r="A238" s="191">
        <v>229</v>
      </c>
      <c r="B238" s="192"/>
      <c r="C238" s="192"/>
      <c r="D238" s="192"/>
      <c r="E238" s="53" t="s">
        <v>2461</v>
      </c>
      <c r="F238" s="193" t="s">
        <v>3353</v>
      </c>
      <c r="G238" s="193" t="s">
        <v>3363</v>
      </c>
      <c r="H238" s="194">
        <v>5232</v>
      </c>
      <c r="I238" s="195"/>
      <c r="J238" s="197"/>
      <c r="K238" s="53"/>
    </row>
    <row r="239" spans="1:11" ht="65.099999999999994" customHeight="1" x14ac:dyDescent="0.25">
      <c r="A239" s="191">
        <v>230</v>
      </c>
      <c r="B239" s="192"/>
      <c r="C239" s="192"/>
      <c r="D239" s="192"/>
      <c r="E239" s="53" t="s">
        <v>2462</v>
      </c>
      <c r="F239" s="193" t="s">
        <v>3353</v>
      </c>
      <c r="G239" s="193" t="s">
        <v>3363</v>
      </c>
      <c r="H239" s="194">
        <v>5232</v>
      </c>
      <c r="I239" s="195"/>
      <c r="J239" s="197"/>
      <c r="K239" s="53"/>
    </row>
    <row r="240" spans="1:11" ht="65.099999999999994" customHeight="1" x14ac:dyDescent="0.25">
      <c r="A240" s="191">
        <v>231</v>
      </c>
      <c r="B240" s="192"/>
      <c r="C240" s="192"/>
      <c r="D240" s="192"/>
      <c r="E240" s="53" t="s">
        <v>2463</v>
      </c>
      <c r="F240" s="193" t="s">
        <v>3353</v>
      </c>
      <c r="G240" s="193" t="s">
        <v>3363</v>
      </c>
      <c r="H240" s="194">
        <v>5232</v>
      </c>
      <c r="I240" s="195"/>
      <c r="J240" s="197"/>
      <c r="K240" s="53"/>
    </row>
    <row r="241" spans="1:11" ht="65.099999999999994" customHeight="1" x14ac:dyDescent="0.25">
      <c r="A241" s="191">
        <v>232</v>
      </c>
      <c r="B241" s="192"/>
      <c r="C241" s="192"/>
      <c r="D241" s="192"/>
      <c r="E241" s="53" t="s">
        <v>2464</v>
      </c>
      <c r="F241" s="193" t="s">
        <v>3353</v>
      </c>
      <c r="G241" s="193" t="s">
        <v>3363</v>
      </c>
      <c r="H241" s="194">
        <v>5232</v>
      </c>
      <c r="I241" s="195"/>
      <c r="J241" s="197"/>
      <c r="K241" s="53"/>
    </row>
    <row r="242" spans="1:11" ht="65.099999999999994" customHeight="1" x14ac:dyDescent="0.25">
      <c r="A242" s="191">
        <v>233</v>
      </c>
      <c r="B242" s="192"/>
      <c r="C242" s="192"/>
      <c r="D242" s="192"/>
      <c r="E242" s="53" t="s">
        <v>2465</v>
      </c>
      <c r="F242" s="193" t="s">
        <v>3353</v>
      </c>
      <c r="G242" s="193" t="s">
        <v>3363</v>
      </c>
      <c r="H242" s="194">
        <v>5232</v>
      </c>
      <c r="I242" s="195"/>
      <c r="J242" s="197"/>
      <c r="K242" s="53"/>
    </row>
    <row r="243" spans="1:11" ht="65.099999999999994" customHeight="1" x14ac:dyDescent="0.25">
      <c r="A243" s="191">
        <v>234</v>
      </c>
      <c r="B243" s="192"/>
      <c r="C243" s="192"/>
      <c r="D243" s="192"/>
      <c r="E243" s="53" t="s">
        <v>2466</v>
      </c>
      <c r="F243" s="193" t="s">
        <v>3353</v>
      </c>
      <c r="G243" s="193" t="s">
        <v>3363</v>
      </c>
      <c r="H243" s="194">
        <v>5232</v>
      </c>
      <c r="I243" s="195"/>
      <c r="J243" s="197"/>
      <c r="K243" s="53"/>
    </row>
    <row r="244" spans="1:11" ht="65.099999999999994" customHeight="1" x14ac:dyDescent="0.25">
      <c r="A244" s="191">
        <v>235</v>
      </c>
      <c r="B244" s="192"/>
      <c r="C244" s="192"/>
      <c r="D244" s="192"/>
      <c r="E244" s="53" t="s">
        <v>2467</v>
      </c>
      <c r="F244" s="193" t="s">
        <v>3353</v>
      </c>
      <c r="G244" s="193" t="s">
        <v>3363</v>
      </c>
      <c r="H244" s="194">
        <v>5232</v>
      </c>
      <c r="I244" s="195"/>
      <c r="J244" s="197"/>
      <c r="K244" s="53"/>
    </row>
    <row r="245" spans="1:11" ht="65.099999999999994" customHeight="1" x14ac:dyDescent="0.25">
      <c r="A245" s="191">
        <v>236</v>
      </c>
      <c r="B245" s="192"/>
      <c r="C245" s="192"/>
      <c r="D245" s="192"/>
      <c r="E245" s="53" t="s">
        <v>2468</v>
      </c>
      <c r="F245" s="193" t="s">
        <v>3353</v>
      </c>
      <c r="G245" s="193" t="s">
        <v>3363</v>
      </c>
      <c r="H245" s="194">
        <v>5232</v>
      </c>
      <c r="I245" s="195"/>
      <c r="J245" s="197"/>
      <c r="K245" s="53"/>
    </row>
    <row r="246" spans="1:11" ht="65.099999999999994" customHeight="1" x14ac:dyDescent="0.25">
      <c r="A246" s="191">
        <v>237</v>
      </c>
      <c r="B246" s="192"/>
      <c r="C246" s="192"/>
      <c r="D246" s="192"/>
      <c r="E246" s="53" t="s">
        <v>2469</v>
      </c>
      <c r="F246" s="193" t="s">
        <v>3353</v>
      </c>
      <c r="G246" s="193" t="s">
        <v>3363</v>
      </c>
      <c r="H246" s="194">
        <v>5232</v>
      </c>
      <c r="I246" s="195"/>
      <c r="J246" s="197"/>
      <c r="K246" s="53"/>
    </row>
    <row r="247" spans="1:11" ht="65.099999999999994" customHeight="1" x14ac:dyDescent="0.25">
      <c r="A247" s="191">
        <v>238</v>
      </c>
      <c r="B247" s="192"/>
      <c r="C247" s="192"/>
      <c r="D247" s="192"/>
      <c r="E247" s="53" t="s">
        <v>2470</v>
      </c>
      <c r="F247" s="193" t="s">
        <v>3353</v>
      </c>
      <c r="G247" s="193" t="s">
        <v>3363</v>
      </c>
      <c r="H247" s="194">
        <v>5232</v>
      </c>
      <c r="I247" s="195"/>
      <c r="J247" s="197"/>
      <c r="K247" s="53"/>
    </row>
    <row r="248" spans="1:11" ht="65.099999999999994" customHeight="1" x14ac:dyDescent="0.25">
      <c r="A248" s="191">
        <v>239</v>
      </c>
      <c r="B248" s="192"/>
      <c r="C248" s="192"/>
      <c r="D248" s="192"/>
      <c r="E248" s="53" t="s">
        <v>2471</v>
      </c>
      <c r="F248" s="193" t="s">
        <v>3353</v>
      </c>
      <c r="G248" s="193" t="s">
        <v>3363</v>
      </c>
      <c r="H248" s="194">
        <v>5232</v>
      </c>
      <c r="I248" s="195"/>
      <c r="J248" s="197"/>
      <c r="K248" s="53"/>
    </row>
    <row r="249" spans="1:11" ht="65.099999999999994" customHeight="1" x14ac:dyDescent="0.25">
      <c r="A249" s="191">
        <v>240</v>
      </c>
      <c r="B249" s="192"/>
      <c r="C249" s="192"/>
      <c r="D249" s="192"/>
      <c r="E249" s="53" t="s">
        <v>2472</v>
      </c>
      <c r="F249" s="193" t="s">
        <v>3354</v>
      </c>
      <c r="G249" s="193" t="s">
        <v>3363</v>
      </c>
      <c r="H249" s="194">
        <v>5232</v>
      </c>
      <c r="I249" s="195"/>
      <c r="J249" s="197"/>
      <c r="K249" s="53"/>
    </row>
    <row r="250" spans="1:11" ht="65.099999999999994" customHeight="1" x14ac:dyDescent="0.25">
      <c r="A250" s="191">
        <v>241</v>
      </c>
      <c r="B250" s="192"/>
      <c r="C250" s="192"/>
      <c r="D250" s="192"/>
      <c r="E250" s="53" t="s">
        <v>2473</v>
      </c>
      <c r="F250" s="193" t="s">
        <v>3354</v>
      </c>
      <c r="G250" s="193" t="s">
        <v>3363</v>
      </c>
      <c r="H250" s="194">
        <v>5232</v>
      </c>
      <c r="I250" s="195"/>
      <c r="J250" s="197"/>
      <c r="K250" s="53"/>
    </row>
    <row r="251" spans="1:11" ht="65.099999999999994" customHeight="1" x14ac:dyDescent="0.25">
      <c r="A251" s="191">
        <v>242</v>
      </c>
      <c r="B251" s="192"/>
      <c r="C251" s="192"/>
      <c r="D251" s="192"/>
      <c r="E251" s="53" t="s">
        <v>2474</v>
      </c>
      <c r="F251" s="193" t="s">
        <v>3354</v>
      </c>
      <c r="G251" s="193" t="s">
        <v>3363</v>
      </c>
      <c r="H251" s="194">
        <v>5232</v>
      </c>
      <c r="I251" s="195"/>
      <c r="J251" s="197"/>
      <c r="K251" s="53"/>
    </row>
    <row r="252" spans="1:11" ht="65.099999999999994" customHeight="1" x14ac:dyDescent="0.25">
      <c r="A252" s="191">
        <v>243</v>
      </c>
      <c r="B252" s="192"/>
      <c r="C252" s="192"/>
      <c r="D252" s="192"/>
      <c r="E252" s="53" t="s">
        <v>2475</v>
      </c>
      <c r="F252" s="193" t="s">
        <v>3354</v>
      </c>
      <c r="G252" s="193" t="s">
        <v>3363</v>
      </c>
      <c r="H252" s="194">
        <v>5232</v>
      </c>
      <c r="I252" s="195"/>
      <c r="J252" s="197"/>
      <c r="K252" s="53"/>
    </row>
    <row r="253" spans="1:11" ht="65.099999999999994" customHeight="1" x14ac:dyDescent="0.25">
      <c r="A253" s="191">
        <v>244</v>
      </c>
      <c r="B253" s="192"/>
      <c r="C253" s="192"/>
      <c r="D253" s="192"/>
      <c r="E253" s="53" t="s">
        <v>2476</v>
      </c>
      <c r="F253" s="193" t="s">
        <v>3354</v>
      </c>
      <c r="G253" s="193" t="s">
        <v>3363</v>
      </c>
      <c r="H253" s="194">
        <v>5232</v>
      </c>
      <c r="I253" s="195"/>
      <c r="J253" s="197"/>
      <c r="K253" s="53"/>
    </row>
    <row r="254" spans="1:11" ht="65.099999999999994" customHeight="1" x14ac:dyDescent="0.25">
      <c r="A254" s="191">
        <v>245</v>
      </c>
      <c r="B254" s="192"/>
      <c r="C254" s="192"/>
      <c r="D254" s="192"/>
      <c r="E254" s="53" t="s">
        <v>2477</v>
      </c>
      <c r="F254" s="193" t="s">
        <v>3354</v>
      </c>
      <c r="G254" s="193" t="s">
        <v>3363</v>
      </c>
      <c r="H254" s="194">
        <v>5232</v>
      </c>
      <c r="I254" s="195"/>
      <c r="J254" s="197"/>
      <c r="K254" s="53"/>
    </row>
    <row r="255" spans="1:11" ht="65.099999999999994" customHeight="1" x14ac:dyDescent="0.25">
      <c r="A255" s="191">
        <v>246</v>
      </c>
      <c r="B255" s="192"/>
      <c r="C255" s="192"/>
      <c r="D255" s="192"/>
      <c r="E255" s="53" t="s">
        <v>2478</v>
      </c>
      <c r="F255" s="193" t="s">
        <v>3354</v>
      </c>
      <c r="G255" s="193" t="s">
        <v>3363</v>
      </c>
      <c r="H255" s="194">
        <v>5232</v>
      </c>
      <c r="I255" s="195"/>
      <c r="J255" s="197"/>
      <c r="K255" s="53"/>
    </row>
    <row r="256" spans="1:11" ht="65.099999999999994" customHeight="1" x14ac:dyDescent="0.25">
      <c r="A256" s="191">
        <v>247</v>
      </c>
      <c r="B256" s="192"/>
      <c r="C256" s="192"/>
      <c r="D256" s="192"/>
      <c r="E256" s="53" t="s">
        <v>2479</v>
      </c>
      <c r="F256" s="193" t="s">
        <v>3354</v>
      </c>
      <c r="G256" s="193" t="s">
        <v>3363</v>
      </c>
      <c r="H256" s="194">
        <v>5232</v>
      </c>
      <c r="I256" s="195"/>
      <c r="J256" s="197"/>
      <c r="K256" s="53"/>
    </row>
    <row r="257" spans="1:11" ht="65.099999999999994" customHeight="1" x14ac:dyDescent="0.25">
      <c r="A257" s="191">
        <v>248</v>
      </c>
      <c r="B257" s="192"/>
      <c r="C257" s="192"/>
      <c r="D257" s="192"/>
      <c r="E257" s="53" t="s">
        <v>2480</v>
      </c>
      <c r="F257" s="193" t="s">
        <v>3354</v>
      </c>
      <c r="G257" s="193" t="s">
        <v>3363</v>
      </c>
      <c r="H257" s="194">
        <v>5232</v>
      </c>
      <c r="I257" s="195"/>
      <c r="J257" s="197"/>
      <c r="K257" s="53"/>
    </row>
    <row r="258" spans="1:11" ht="65.099999999999994" customHeight="1" x14ac:dyDescent="0.25">
      <c r="A258" s="191">
        <v>249</v>
      </c>
      <c r="B258" s="192"/>
      <c r="C258" s="192"/>
      <c r="D258" s="192"/>
      <c r="E258" s="53" t="s">
        <v>2481</v>
      </c>
      <c r="F258" s="193" t="s">
        <v>3354</v>
      </c>
      <c r="G258" s="193" t="s">
        <v>3363</v>
      </c>
      <c r="H258" s="194">
        <v>5232</v>
      </c>
      <c r="I258" s="195"/>
      <c r="J258" s="197"/>
      <c r="K258" s="53"/>
    </row>
    <row r="259" spans="1:11" ht="65.099999999999994" customHeight="1" x14ac:dyDescent="0.25">
      <c r="A259" s="191">
        <v>250</v>
      </c>
      <c r="B259" s="192"/>
      <c r="C259" s="192"/>
      <c r="D259" s="192"/>
      <c r="E259" s="53" t="s">
        <v>2482</v>
      </c>
      <c r="F259" s="193" t="s">
        <v>3354</v>
      </c>
      <c r="G259" s="193" t="s">
        <v>3363</v>
      </c>
      <c r="H259" s="194">
        <v>5232</v>
      </c>
      <c r="I259" s="195"/>
      <c r="J259" s="197"/>
      <c r="K259" s="53"/>
    </row>
    <row r="260" spans="1:11" ht="65.099999999999994" customHeight="1" x14ac:dyDescent="0.25">
      <c r="A260" s="191">
        <v>251</v>
      </c>
      <c r="B260" s="192"/>
      <c r="C260" s="192"/>
      <c r="D260" s="192"/>
      <c r="E260" s="53" t="s">
        <v>2483</v>
      </c>
      <c r="F260" s="193" t="s">
        <v>3354</v>
      </c>
      <c r="G260" s="193" t="s">
        <v>3363</v>
      </c>
      <c r="H260" s="194">
        <v>5232</v>
      </c>
      <c r="I260" s="195"/>
      <c r="J260" s="197"/>
      <c r="K260" s="53"/>
    </row>
    <row r="261" spans="1:11" ht="65.099999999999994" customHeight="1" x14ac:dyDescent="0.25">
      <c r="A261" s="191">
        <v>252</v>
      </c>
      <c r="B261" s="192"/>
      <c r="C261" s="192"/>
      <c r="D261" s="192"/>
      <c r="E261" s="53" t="s">
        <v>2484</v>
      </c>
      <c r="F261" s="193" t="s">
        <v>3354</v>
      </c>
      <c r="G261" s="193" t="s">
        <v>3363</v>
      </c>
      <c r="H261" s="194">
        <v>5232</v>
      </c>
      <c r="I261" s="195"/>
      <c r="J261" s="197"/>
      <c r="K261" s="53"/>
    </row>
    <row r="262" spans="1:11" ht="65.099999999999994" customHeight="1" x14ac:dyDescent="0.25">
      <c r="A262" s="191">
        <v>253</v>
      </c>
      <c r="B262" s="192"/>
      <c r="C262" s="192"/>
      <c r="D262" s="192"/>
      <c r="E262" s="53" t="s">
        <v>2485</v>
      </c>
      <c r="F262" s="193" t="s">
        <v>3354</v>
      </c>
      <c r="G262" s="193" t="s">
        <v>3363</v>
      </c>
      <c r="H262" s="194">
        <v>5232</v>
      </c>
      <c r="I262" s="195"/>
      <c r="J262" s="197"/>
      <c r="K262" s="53"/>
    </row>
    <row r="263" spans="1:11" ht="65.099999999999994" customHeight="1" x14ac:dyDescent="0.25">
      <c r="A263" s="191">
        <v>254</v>
      </c>
      <c r="B263" s="192"/>
      <c r="C263" s="192"/>
      <c r="D263" s="192"/>
      <c r="E263" s="53" t="s">
        <v>2486</v>
      </c>
      <c r="F263" s="193" t="s">
        <v>3354</v>
      </c>
      <c r="G263" s="193" t="s">
        <v>3363</v>
      </c>
      <c r="H263" s="194">
        <v>5232</v>
      </c>
      <c r="I263" s="195"/>
      <c r="J263" s="197"/>
      <c r="K263" s="53"/>
    </row>
    <row r="264" spans="1:11" ht="65.099999999999994" customHeight="1" x14ac:dyDescent="0.25">
      <c r="A264" s="191">
        <v>255</v>
      </c>
      <c r="B264" s="192"/>
      <c r="C264" s="192"/>
      <c r="D264" s="192"/>
      <c r="E264" s="53" t="s">
        <v>2487</v>
      </c>
      <c r="F264" s="193" t="s">
        <v>3354</v>
      </c>
      <c r="G264" s="193" t="s">
        <v>3363</v>
      </c>
      <c r="H264" s="194">
        <v>5232</v>
      </c>
      <c r="I264" s="195"/>
      <c r="J264" s="197"/>
      <c r="K264" s="53"/>
    </row>
    <row r="265" spans="1:11" ht="65.099999999999994" customHeight="1" x14ac:dyDescent="0.25">
      <c r="A265" s="191">
        <v>256</v>
      </c>
      <c r="B265" s="192"/>
      <c r="C265" s="192"/>
      <c r="D265" s="192"/>
      <c r="E265" s="53" t="s">
        <v>2488</v>
      </c>
      <c r="F265" s="193" t="s">
        <v>3354</v>
      </c>
      <c r="G265" s="193" t="s">
        <v>3363</v>
      </c>
      <c r="H265" s="194">
        <v>5232</v>
      </c>
      <c r="I265" s="195"/>
      <c r="J265" s="197"/>
      <c r="K265" s="53"/>
    </row>
    <row r="266" spans="1:11" ht="65.099999999999994" customHeight="1" x14ac:dyDescent="0.25">
      <c r="A266" s="191">
        <v>257</v>
      </c>
      <c r="B266" s="192"/>
      <c r="C266" s="192"/>
      <c r="D266" s="192"/>
      <c r="E266" s="53" t="s">
        <v>2489</v>
      </c>
      <c r="F266" s="193" t="s">
        <v>3354</v>
      </c>
      <c r="G266" s="193" t="s">
        <v>3363</v>
      </c>
      <c r="H266" s="194">
        <v>5232</v>
      </c>
      <c r="I266" s="195"/>
      <c r="J266" s="197"/>
      <c r="K266" s="53"/>
    </row>
    <row r="267" spans="1:11" ht="65.099999999999994" customHeight="1" x14ac:dyDescent="0.25">
      <c r="A267" s="191">
        <v>258</v>
      </c>
      <c r="B267" s="192"/>
      <c r="C267" s="192"/>
      <c r="D267" s="192"/>
      <c r="E267" s="53" t="s">
        <v>2490</v>
      </c>
      <c r="F267" s="193" t="s">
        <v>3354</v>
      </c>
      <c r="G267" s="193" t="s">
        <v>3363</v>
      </c>
      <c r="H267" s="194">
        <v>5232</v>
      </c>
      <c r="I267" s="195"/>
      <c r="J267" s="197"/>
      <c r="K267" s="53"/>
    </row>
    <row r="268" spans="1:11" ht="65.099999999999994" customHeight="1" x14ac:dyDescent="0.25">
      <c r="A268" s="191">
        <v>259</v>
      </c>
      <c r="B268" s="192"/>
      <c r="C268" s="192"/>
      <c r="D268" s="192"/>
      <c r="E268" s="53" t="s">
        <v>2491</v>
      </c>
      <c r="F268" s="193" t="s">
        <v>3354</v>
      </c>
      <c r="G268" s="193" t="s">
        <v>3363</v>
      </c>
      <c r="H268" s="194">
        <v>5232</v>
      </c>
      <c r="I268" s="195"/>
      <c r="J268" s="197"/>
      <c r="K268" s="53"/>
    </row>
    <row r="269" spans="1:11" ht="65.099999999999994" customHeight="1" x14ac:dyDescent="0.25">
      <c r="A269" s="191">
        <v>260</v>
      </c>
      <c r="B269" s="192"/>
      <c r="C269" s="192"/>
      <c r="D269" s="192"/>
      <c r="E269" s="53" t="s">
        <v>2492</v>
      </c>
      <c r="F269" s="193" t="s">
        <v>3354</v>
      </c>
      <c r="G269" s="193" t="s">
        <v>3363</v>
      </c>
      <c r="H269" s="194">
        <v>5232</v>
      </c>
      <c r="I269" s="195"/>
      <c r="J269" s="197"/>
      <c r="K269" s="53"/>
    </row>
    <row r="270" spans="1:11" ht="65.099999999999994" customHeight="1" x14ac:dyDescent="0.25">
      <c r="A270" s="191">
        <v>261</v>
      </c>
      <c r="B270" s="192"/>
      <c r="C270" s="192"/>
      <c r="D270" s="192"/>
      <c r="E270" s="53" t="s">
        <v>2493</v>
      </c>
      <c r="F270" s="193" t="s">
        <v>3354</v>
      </c>
      <c r="G270" s="193" t="s">
        <v>3363</v>
      </c>
      <c r="H270" s="194">
        <v>5232</v>
      </c>
      <c r="I270" s="195"/>
      <c r="J270" s="197"/>
      <c r="K270" s="53"/>
    </row>
    <row r="271" spans="1:11" ht="65.099999999999994" customHeight="1" x14ac:dyDescent="0.25">
      <c r="A271" s="191">
        <v>262</v>
      </c>
      <c r="B271" s="192"/>
      <c r="C271" s="192"/>
      <c r="D271" s="192"/>
      <c r="E271" s="53" t="s">
        <v>2494</v>
      </c>
      <c r="F271" s="193" t="s">
        <v>3354</v>
      </c>
      <c r="G271" s="193" t="s">
        <v>3363</v>
      </c>
      <c r="H271" s="194">
        <v>5232</v>
      </c>
      <c r="I271" s="195"/>
      <c r="J271" s="197"/>
      <c r="K271" s="53"/>
    </row>
    <row r="272" spans="1:11" ht="65.099999999999994" customHeight="1" x14ac:dyDescent="0.25">
      <c r="A272" s="191">
        <v>263</v>
      </c>
      <c r="B272" s="192"/>
      <c r="C272" s="192"/>
      <c r="D272" s="192"/>
      <c r="E272" s="53" t="s">
        <v>2495</v>
      </c>
      <c r="F272" s="193" t="s">
        <v>3354</v>
      </c>
      <c r="G272" s="193" t="s">
        <v>3363</v>
      </c>
      <c r="H272" s="194">
        <v>5232</v>
      </c>
      <c r="I272" s="195"/>
      <c r="J272" s="197"/>
      <c r="K272" s="53"/>
    </row>
    <row r="273" spans="1:11" ht="65.099999999999994" customHeight="1" x14ac:dyDescent="0.25">
      <c r="A273" s="191">
        <v>264</v>
      </c>
      <c r="B273" s="192"/>
      <c r="C273" s="192"/>
      <c r="D273" s="192"/>
      <c r="E273" s="53" t="s">
        <v>2496</v>
      </c>
      <c r="F273" s="193" t="s">
        <v>3354</v>
      </c>
      <c r="G273" s="193" t="s">
        <v>3363</v>
      </c>
      <c r="H273" s="194">
        <v>5232</v>
      </c>
      <c r="I273" s="195"/>
      <c r="J273" s="197"/>
      <c r="K273" s="53"/>
    </row>
    <row r="274" spans="1:11" ht="65.099999999999994" customHeight="1" x14ac:dyDescent="0.25">
      <c r="A274" s="191">
        <v>265</v>
      </c>
      <c r="B274" s="192"/>
      <c r="C274" s="192"/>
      <c r="D274" s="192"/>
      <c r="E274" s="53" t="s">
        <v>2497</v>
      </c>
      <c r="F274" s="193" t="s">
        <v>3354</v>
      </c>
      <c r="G274" s="193" t="s">
        <v>3363</v>
      </c>
      <c r="H274" s="194">
        <v>5232</v>
      </c>
      <c r="I274" s="195"/>
      <c r="J274" s="197"/>
      <c r="K274" s="53"/>
    </row>
    <row r="275" spans="1:11" ht="65.099999999999994" customHeight="1" x14ac:dyDescent="0.25">
      <c r="A275" s="191">
        <v>266</v>
      </c>
      <c r="B275" s="192"/>
      <c r="C275" s="192"/>
      <c r="D275" s="192"/>
      <c r="E275" s="53" t="s">
        <v>2498</v>
      </c>
      <c r="F275" s="193" t="s">
        <v>3354</v>
      </c>
      <c r="G275" s="193" t="s">
        <v>3363</v>
      </c>
      <c r="H275" s="194">
        <v>5232</v>
      </c>
      <c r="I275" s="195"/>
      <c r="J275" s="197"/>
      <c r="K275" s="53"/>
    </row>
    <row r="276" spans="1:11" ht="65.099999999999994" customHeight="1" x14ac:dyDescent="0.25">
      <c r="A276" s="191">
        <v>267</v>
      </c>
      <c r="B276" s="192"/>
      <c r="C276" s="192"/>
      <c r="D276" s="192"/>
      <c r="E276" s="53" t="s">
        <v>2499</v>
      </c>
      <c r="F276" s="193" t="s">
        <v>3354</v>
      </c>
      <c r="G276" s="193" t="s">
        <v>3363</v>
      </c>
      <c r="H276" s="194">
        <v>5232</v>
      </c>
      <c r="I276" s="195"/>
      <c r="J276" s="197"/>
      <c r="K276" s="53"/>
    </row>
    <row r="277" spans="1:11" ht="65.099999999999994" customHeight="1" x14ac:dyDescent="0.25">
      <c r="A277" s="191">
        <v>268</v>
      </c>
      <c r="B277" s="192"/>
      <c r="C277" s="192"/>
      <c r="D277" s="192"/>
      <c r="E277" s="53" t="s">
        <v>2500</v>
      </c>
      <c r="F277" s="193" t="s">
        <v>3354</v>
      </c>
      <c r="G277" s="193" t="s">
        <v>3363</v>
      </c>
      <c r="H277" s="194">
        <v>5232</v>
      </c>
      <c r="I277" s="195"/>
      <c r="J277" s="197"/>
      <c r="K277" s="53"/>
    </row>
    <row r="278" spans="1:11" ht="65.099999999999994" customHeight="1" x14ac:dyDescent="0.25">
      <c r="A278" s="191">
        <v>269</v>
      </c>
      <c r="B278" s="192"/>
      <c r="C278" s="192"/>
      <c r="D278" s="192"/>
      <c r="E278" s="53" t="s">
        <v>2501</v>
      </c>
      <c r="F278" s="193" t="s">
        <v>3354</v>
      </c>
      <c r="G278" s="193" t="s">
        <v>3363</v>
      </c>
      <c r="H278" s="194">
        <v>5232</v>
      </c>
      <c r="I278" s="195"/>
      <c r="J278" s="197"/>
      <c r="K278" s="53"/>
    </row>
    <row r="279" spans="1:11" ht="65.099999999999994" customHeight="1" x14ac:dyDescent="0.25">
      <c r="A279" s="191">
        <v>270</v>
      </c>
      <c r="B279" s="192"/>
      <c r="C279" s="192"/>
      <c r="D279" s="192"/>
      <c r="E279" s="53" t="s">
        <v>2502</v>
      </c>
      <c r="F279" s="193" t="s">
        <v>3354</v>
      </c>
      <c r="G279" s="193" t="s">
        <v>3363</v>
      </c>
      <c r="H279" s="194">
        <v>5232</v>
      </c>
      <c r="I279" s="195"/>
      <c r="J279" s="197"/>
      <c r="K279" s="53"/>
    </row>
    <row r="280" spans="1:11" ht="65.099999999999994" customHeight="1" x14ac:dyDescent="0.25">
      <c r="A280" s="191">
        <v>271</v>
      </c>
      <c r="B280" s="192"/>
      <c r="C280" s="192"/>
      <c r="D280" s="192"/>
      <c r="E280" s="53" t="s">
        <v>2503</v>
      </c>
      <c r="F280" s="193" t="s">
        <v>3354</v>
      </c>
      <c r="G280" s="193" t="s">
        <v>3363</v>
      </c>
      <c r="H280" s="194">
        <v>5232</v>
      </c>
      <c r="I280" s="195"/>
      <c r="J280" s="197"/>
      <c r="K280" s="53"/>
    </row>
    <row r="281" spans="1:11" ht="65.099999999999994" customHeight="1" x14ac:dyDescent="0.25">
      <c r="A281" s="191">
        <v>272</v>
      </c>
      <c r="B281" s="192"/>
      <c r="C281" s="192"/>
      <c r="D281" s="192"/>
      <c r="E281" s="53" t="s">
        <v>2504</v>
      </c>
      <c r="F281" s="193" t="s">
        <v>3354</v>
      </c>
      <c r="G281" s="193" t="s">
        <v>3363</v>
      </c>
      <c r="H281" s="194">
        <v>5232</v>
      </c>
      <c r="I281" s="195"/>
      <c r="J281" s="197"/>
      <c r="K281" s="53"/>
    </row>
    <row r="282" spans="1:11" ht="65.099999999999994" customHeight="1" x14ac:dyDescent="0.25">
      <c r="A282" s="191">
        <v>273</v>
      </c>
      <c r="B282" s="192"/>
      <c r="C282" s="192"/>
      <c r="D282" s="192"/>
      <c r="E282" s="53" t="s">
        <v>2505</v>
      </c>
      <c r="F282" s="193" t="s">
        <v>3354</v>
      </c>
      <c r="G282" s="193" t="s">
        <v>3363</v>
      </c>
      <c r="H282" s="194">
        <v>5232</v>
      </c>
      <c r="I282" s="195"/>
      <c r="J282" s="197"/>
      <c r="K282" s="53"/>
    </row>
    <row r="283" spans="1:11" ht="65.099999999999994" customHeight="1" x14ac:dyDescent="0.25">
      <c r="A283" s="191">
        <v>274</v>
      </c>
      <c r="B283" s="192"/>
      <c r="C283" s="192"/>
      <c r="D283" s="192"/>
      <c r="E283" s="53" t="s">
        <v>2506</v>
      </c>
      <c r="F283" s="193" t="s">
        <v>3354</v>
      </c>
      <c r="G283" s="193" t="s">
        <v>3363</v>
      </c>
      <c r="H283" s="194">
        <v>5232</v>
      </c>
      <c r="I283" s="195"/>
      <c r="J283" s="197"/>
      <c r="K283" s="53"/>
    </row>
    <row r="284" spans="1:11" ht="65.099999999999994" customHeight="1" x14ac:dyDescent="0.25">
      <c r="A284" s="191">
        <v>275</v>
      </c>
      <c r="B284" s="192"/>
      <c r="C284" s="192"/>
      <c r="D284" s="192"/>
      <c r="E284" s="53" t="s">
        <v>2507</v>
      </c>
      <c r="F284" s="193" t="s">
        <v>3354</v>
      </c>
      <c r="G284" s="193" t="s">
        <v>3363</v>
      </c>
      <c r="H284" s="194">
        <v>5232</v>
      </c>
      <c r="I284" s="195"/>
      <c r="J284" s="197"/>
      <c r="K284" s="53"/>
    </row>
    <row r="285" spans="1:11" ht="65.099999999999994" customHeight="1" x14ac:dyDescent="0.25">
      <c r="A285" s="191">
        <v>276</v>
      </c>
      <c r="B285" s="192"/>
      <c r="C285" s="192"/>
      <c r="D285" s="192"/>
      <c r="E285" s="53" t="s">
        <v>2508</v>
      </c>
      <c r="F285" s="193" t="s">
        <v>3354</v>
      </c>
      <c r="G285" s="193" t="s">
        <v>3363</v>
      </c>
      <c r="H285" s="194">
        <v>5232</v>
      </c>
      <c r="I285" s="195"/>
      <c r="J285" s="197"/>
      <c r="K285" s="53"/>
    </row>
    <row r="286" spans="1:11" ht="65.099999999999994" customHeight="1" x14ac:dyDescent="0.25">
      <c r="A286" s="191">
        <v>277</v>
      </c>
      <c r="B286" s="192"/>
      <c r="C286" s="192"/>
      <c r="D286" s="192"/>
      <c r="E286" s="53" t="s">
        <v>2509</v>
      </c>
      <c r="F286" s="193" t="s">
        <v>3354</v>
      </c>
      <c r="G286" s="193" t="s">
        <v>3363</v>
      </c>
      <c r="H286" s="194">
        <v>5232</v>
      </c>
      <c r="I286" s="195"/>
      <c r="J286" s="197"/>
      <c r="K286" s="53"/>
    </row>
    <row r="287" spans="1:11" ht="65.099999999999994" customHeight="1" x14ac:dyDescent="0.25">
      <c r="A287" s="191">
        <v>278</v>
      </c>
      <c r="B287" s="192"/>
      <c r="C287" s="192"/>
      <c r="D287" s="192"/>
      <c r="E287" s="53" t="s">
        <v>2510</v>
      </c>
      <c r="F287" s="193" t="s">
        <v>3354</v>
      </c>
      <c r="G287" s="193" t="s">
        <v>3363</v>
      </c>
      <c r="H287" s="194">
        <v>5232</v>
      </c>
      <c r="I287" s="195"/>
      <c r="J287" s="197"/>
      <c r="K287" s="53"/>
    </row>
    <row r="288" spans="1:11" ht="65.099999999999994" customHeight="1" x14ac:dyDescent="0.25">
      <c r="A288" s="191">
        <v>279</v>
      </c>
      <c r="B288" s="192"/>
      <c r="C288" s="192"/>
      <c r="D288" s="192"/>
      <c r="E288" s="53" t="s">
        <v>2511</v>
      </c>
      <c r="F288" s="193" t="s">
        <v>3354</v>
      </c>
      <c r="G288" s="193" t="s">
        <v>3363</v>
      </c>
      <c r="H288" s="194">
        <v>5232</v>
      </c>
      <c r="I288" s="195"/>
      <c r="J288" s="197"/>
      <c r="K288" s="53"/>
    </row>
    <row r="289" spans="1:11" ht="65.099999999999994" customHeight="1" x14ac:dyDescent="0.25">
      <c r="A289" s="191">
        <v>280</v>
      </c>
      <c r="B289" s="192"/>
      <c r="C289" s="192"/>
      <c r="D289" s="192"/>
      <c r="E289" s="53" t="s">
        <v>2512</v>
      </c>
      <c r="F289" s="193" t="s">
        <v>3354</v>
      </c>
      <c r="G289" s="193" t="s">
        <v>3363</v>
      </c>
      <c r="H289" s="194">
        <v>5232</v>
      </c>
      <c r="I289" s="195"/>
      <c r="J289" s="197"/>
      <c r="K289" s="53"/>
    </row>
    <row r="290" spans="1:11" ht="65.099999999999994" customHeight="1" x14ac:dyDescent="0.25">
      <c r="A290" s="191">
        <v>281</v>
      </c>
      <c r="B290" s="192"/>
      <c r="C290" s="192"/>
      <c r="D290" s="192"/>
      <c r="E290" s="53" t="s">
        <v>2513</v>
      </c>
      <c r="F290" s="193" t="s">
        <v>3354</v>
      </c>
      <c r="G290" s="193" t="s">
        <v>3363</v>
      </c>
      <c r="H290" s="194">
        <v>5232</v>
      </c>
      <c r="I290" s="195"/>
      <c r="J290" s="197"/>
      <c r="K290" s="53"/>
    </row>
    <row r="291" spans="1:11" ht="65.099999999999994" customHeight="1" x14ac:dyDescent="0.25">
      <c r="A291" s="191">
        <v>282</v>
      </c>
      <c r="B291" s="192"/>
      <c r="C291" s="192"/>
      <c r="D291" s="192"/>
      <c r="E291" s="53" t="s">
        <v>2514</v>
      </c>
      <c r="F291" s="193" t="s">
        <v>3354</v>
      </c>
      <c r="G291" s="193" t="s">
        <v>3363</v>
      </c>
      <c r="H291" s="194">
        <v>5232</v>
      </c>
      <c r="I291" s="195"/>
      <c r="J291" s="197"/>
      <c r="K291" s="53"/>
    </row>
    <row r="292" spans="1:11" ht="65.099999999999994" customHeight="1" x14ac:dyDescent="0.25">
      <c r="A292" s="191">
        <v>283</v>
      </c>
      <c r="B292" s="192"/>
      <c r="C292" s="192"/>
      <c r="D292" s="192"/>
      <c r="E292" s="53" t="s">
        <v>2515</v>
      </c>
      <c r="F292" s="193" t="s">
        <v>3354</v>
      </c>
      <c r="G292" s="193" t="s">
        <v>3363</v>
      </c>
      <c r="H292" s="194">
        <v>5232</v>
      </c>
      <c r="I292" s="195"/>
      <c r="J292" s="197"/>
      <c r="K292" s="53"/>
    </row>
    <row r="293" spans="1:11" ht="65.099999999999994" customHeight="1" x14ac:dyDescent="0.25">
      <c r="A293" s="191">
        <v>284</v>
      </c>
      <c r="B293" s="192"/>
      <c r="C293" s="192"/>
      <c r="D293" s="192"/>
      <c r="E293" s="53" t="s">
        <v>2516</v>
      </c>
      <c r="F293" s="193" t="s">
        <v>3354</v>
      </c>
      <c r="G293" s="193" t="s">
        <v>3363</v>
      </c>
      <c r="H293" s="194">
        <v>5232</v>
      </c>
      <c r="I293" s="195"/>
      <c r="J293" s="197"/>
      <c r="K293" s="53"/>
    </row>
    <row r="294" spans="1:11" ht="65.099999999999994" customHeight="1" x14ac:dyDescent="0.25">
      <c r="A294" s="191">
        <v>285</v>
      </c>
      <c r="B294" s="192"/>
      <c r="C294" s="192"/>
      <c r="D294" s="192"/>
      <c r="E294" s="53" t="s">
        <v>2517</v>
      </c>
      <c r="F294" s="193" t="s">
        <v>3354</v>
      </c>
      <c r="G294" s="193" t="s">
        <v>3363</v>
      </c>
      <c r="H294" s="194">
        <v>5232</v>
      </c>
      <c r="I294" s="195"/>
      <c r="J294" s="197"/>
      <c r="K294" s="53"/>
    </row>
    <row r="295" spans="1:11" ht="65.099999999999994" customHeight="1" x14ac:dyDescent="0.25">
      <c r="A295" s="191">
        <v>286</v>
      </c>
      <c r="B295" s="192"/>
      <c r="C295" s="192"/>
      <c r="D295" s="192"/>
      <c r="E295" s="53" t="s">
        <v>2518</v>
      </c>
      <c r="F295" s="193" t="s">
        <v>3354</v>
      </c>
      <c r="G295" s="193" t="s">
        <v>3363</v>
      </c>
      <c r="H295" s="194">
        <v>5232</v>
      </c>
      <c r="I295" s="195"/>
      <c r="J295" s="197"/>
      <c r="K295" s="53"/>
    </row>
    <row r="296" spans="1:11" ht="65.099999999999994" customHeight="1" x14ac:dyDescent="0.25">
      <c r="A296" s="191">
        <v>287</v>
      </c>
      <c r="B296" s="192"/>
      <c r="C296" s="192"/>
      <c r="D296" s="192"/>
      <c r="E296" s="53" t="s">
        <v>2519</v>
      </c>
      <c r="F296" s="193" t="s">
        <v>3354</v>
      </c>
      <c r="G296" s="193" t="s">
        <v>3363</v>
      </c>
      <c r="H296" s="194">
        <v>5232</v>
      </c>
      <c r="I296" s="195"/>
      <c r="J296" s="197"/>
      <c r="K296" s="53"/>
    </row>
    <row r="297" spans="1:11" ht="65.099999999999994" customHeight="1" x14ac:dyDescent="0.25">
      <c r="A297" s="191">
        <v>288</v>
      </c>
      <c r="B297" s="192"/>
      <c r="C297" s="192"/>
      <c r="D297" s="192"/>
      <c r="E297" s="53" t="s">
        <v>2520</v>
      </c>
      <c r="F297" s="193" t="s">
        <v>3354</v>
      </c>
      <c r="G297" s="193" t="s">
        <v>3363</v>
      </c>
      <c r="H297" s="194">
        <v>5232</v>
      </c>
      <c r="I297" s="195"/>
      <c r="J297" s="197"/>
      <c r="K297" s="53"/>
    </row>
    <row r="298" spans="1:11" ht="65.099999999999994" customHeight="1" x14ac:dyDescent="0.25">
      <c r="A298" s="191">
        <v>289</v>
      </c>
      <c r="B298" s="192"/>
      <c r="C298" s="192"/>
      <c r="D298" s="192"/>
      <c r="E298" s="53" t="s">
        <v>2521</v>
      </c>
      <c r="F298" s="193" t="s">
        <v>3354</v>
      </c>
      <c r="G298" s="193" t="s">
        <v>3363</v>
      </c>
      <c r="H298" s="194">
        <v>5232</v>
      </c>
      <c r="I298" s="195"/>
      <c r="J298" s="197"/>
      <c r="K298" s="53"/>
    </row>
    <row r="299" spans="1:11" ht="65.099999999999994" customHeight="1" x14ac:dyDescent="0.25">
      <c r="A299" s="191">
        <v>290</v>
      </c>
      <c r="B299" s="192"/>
      <c r="C299" s="192"/>
      <c r="D299" s="192"/>
      <c r="E299" s="53" t="s">
        <v>2522</v>
      </c>
      <c r="F299" s="193" t="s">
        <v>3354</v>
      </c>
      <c r="G299" s="193" t="s">
        <v>3363</v>
      </c>
      <c r="H299" s="194">
        <v>5232</v>
      </c>
      <c r="I299" s="195"/>
      <c r="J299" s="197"/>
      <c r="K299" s="53"/>
    </row>
    <row r="300" spans="1:11" ht="65.099999999999994" customHeight="1" x14ac:dyDescent="0.25">
      <c r="A300" s="191">
        <v>291</v>
      </c>
      <c r="B300" s="192"/>
      <c r="C300" s="192"/>
      <c r="D300" s="192"/>
      <c r="E300" s="53" t="s">
        <v>2523</v>
      </c>
      <c r="F300" s="193" t="s">
        <v>3354</v>
      </c>
      <c r="G300" s="193" t="s">
        <v>3363</v>
      </c>
      <c r="H300" s="194">
        <v>5232</v>
      </c>
      <c r="I300" s="195"/>
      <c r="J300" s="197"/>
      <c r="K300" s="53"/>
    </row>
    <row r="301" spans="1:11" ht="65.099999999999994" customHeight="1" x14ac:dyDescent="0.25">
      <c r="A301" s="191">
        <v>292</v>
      </c>
      <c r="B301" s="192"/>
      <c r="C301" s="192"/>
      <c r="D301" s="192"/>
      <c r="E301" s="53" t="s">
        <v>2524</v>
      </c>
      <c r="F301" s="193" t="s">
        <v>3354</v>
      </c>
      <c r="G301" s="193" t="s">
        <v>3363</v>
      </c>
      <c r="H301" s="194">
        <v>5232</v>
      </c>
      <c r="I301" s="195"/>
      <c r="J301" s="197"/>
      <c r="K301" s="53"/>
    </row>
    <row r="302" spans="1:11" ht="65.099999999999994" customHeight="1" x14ac:dyDescent="0.25">
      <c r="A302" s="191">
        <v>293</v>
      </c>
      <c r="B302" s="192"/>
      <c r="C302" s="192"/>
      <c r="D302" s="192"/>
      <c r="E302" s="53" t="s">
        <v>2525</v>
      </c>
      <c r="F302" s="193" t="s">
        <v>3354</v>
      </c>
      <c r="G302" s="193" t="s">
        <v>3363</v>
      </c>
      <c r="H302" s="194">
        <v>5232</v>
      </c>
      <c r="I302" s="195"/>
      <c r="J302" s="197"/>
      <c r="K302" s="53"/>
    </row>
    <row r="303" spans="1:11" ht="65.099999999999994" customHeight="1" x14ac:dyDescent="0.25">
      <c r="A303" s="191">
        <v>294</v>
      </c>
      <c r="B303" s="192"/>
      <c r="C303" s="192"/>
      <c r="D303" s="192"/>
      <c r="E303" s="53" t="s">
        <v>2526</v>
      </c>
      <c r="F303" s="193" t="s">
        <v>3354</v>
      </c>
      <c r="G303" s="193" t="s">
        <v>3363</v>
      </c>
      <c r="H303" s="194">
        <v>5232</v>
      </c>
      <c r="I303" s="195"/>
      <c r="J303" s="197"/>
      <c r="K303" s="53"/>
    </row>
    <row r="304" spans="1:11" ht="65.099999999999994" customHeight="1" x14ac:dyDescent="0.25">
      <c r="A304" s="191">
        <v>295</v>
      </c>
      <c r="B304" s="192"/>
      <c r="C304" s="192"/>
      <c r="D304" s="192"/>
      <c r="E304" s="53" t="s">
        <v>2527</v>
      </c>
      <c r="F304" s="193" t="s">
        <v>3354</v>
      </c>
      <c r="G304" s="193" t="s">
        <v>3363</v>
      </c>
      <c r="H304" s="194">
        <v>5232</v>
      </c>
      <c r="I304" s="195"/>
      <c r="J304" s="197"/>
      <c r="K304" s="53"/>
    </row>
    <row r="305" spans="1:11" ht="65.099999999999994" customHeight="1" x14ac:dyDescent="0.25">
      <c r="A305" s="191">
        <v>296</v>
      </c>
      <c r="B305" s="192"/>
      <c r="C305" s="192"/>
      <c r="D305" s="192"/>
      <c r="E305" s="53" t="s">
        <v>2528</v>
      </c>
      <c r="F305" s="193" t="s">
        <v>3354</v>
      </c>
      <c r="G305" s="193" t="s">
        <v>3363</v>
      </c>
      <c r="H305" s="194">
        <v>5232</v>
      </c>
      <c r="I305" s="195"/>
      <c r="J305" s="197"/>
      <c r="K305" s="53"/>
    </row>
    <row r="306" spans="1:11" ht="65.099999999999994" customHeight="1" x14ac:dyDescent="0.25">
      <c r="A306" s="191">
        <v>297</v>
      </c>
      <c r="B306" s="192"/>
      <c r="C306" s="192"/>
      <c r="D306" s="192"/>
      <c r="E306" s="53" t="s">
        <v>2529</v>
      </c>
      <c r="F306" s="193" t="s">
        <v>3354</v>
      </c>
      <c r="G306" s="193" t="s">
        <v>3363</v>
      </c>
      <c r="H306" s="194">
        <v>5232</v>
      </c>
      <c r="I306" s="195"/>
      <c r="J306" s="197"/>
      <c r="K306" s="53"/>
    </row>
    <row r="307" spans="1:11" ht="65.099999999999994" customHeight="1" x14ac:dyDescent="0.25">
      <c r="A307" s="191">
        <v>298</v>
      </c>
      <c r="B307" s="192"/>
      <c r="C307" s="192"/>
      <c r="D307" s="192"/>
      <c r="E307" s="53" t="s">
        <v>2530</v>
      </c>
      <c r="F307" s="193" t="s">
        <v>3354</v>
      </c>
      <c r="G307" s="193" t="s">
        <v>3363</v>
      </c>
      <c r="H307" s="194">
        <v>5232</v>
      </c>
      <c r="I307" s="195"/>
      <c r="J307" s="197"/>
      <c r="K307" s="53"/>
    </row>
    <row r="308" spans="1:11" ht="65.099999999999994" customHeight="1" x14ac:dyDescent="0.25">
      <c r="A308" s="191">
        <v>299</v>
      </c>
      <c r="B308" s="192"/>
      <c r="C308" s="192"/>
      <c r="D308" s="192"/>
      <c r="E308" s="53" t="s">
        <v>2531</v>
      </c>
      <c r="F308" s="193" t="s">
        <v>3354</v>
      </c>
      <c r="G308" s="193" t="s">
        <v>3363</v>
      </c>
      <c r="H308" s="194">
        <v>5232</v>
      </c>
      <c r="I308" s="195"/>
      <c r="J308" s="197"/>
      <c r="K308" s="53"/>
    </row>
    <row r="309" spans="1:11" ht="65.099999999999994" customHeight="1" x14ac:dyDescent="0.25">
      <c r="A309" s="191">
        <v>300</v>
      </c>
      <c r="B309" s="192"/>
      <c r="C309" s="192"/>
      <c r="D309" s="192"/>
      <c r="E309" s="53" t="s">
        <v>2532</v>
      </c>
      <c r="F309" s="193" t="s">
        <v>3354</v>
      </c>
      <c r="G309" s="193" t="s">
        <v>3363</v>
      </c>
      <c r="H309" s="194">
        <v>5232</v>
      </c>
      <c r="I309" s="195"/>
      <c r="J309" s="197"/>
      <c r="K309" s="53"/>
    </row>
    <row r="310" spans="1:11" ht="65.099999999999994" customHeight="1" x14ac:dyDescent="0.25">
      <c r="A310" s="191">
        <v>301</v>
      </c>
      <c r="B310" s="192"/>
      <c r="C310" s="192"/>
      <c r="D310" s="192"/>
      <c r="E310" s="53" t="s">
        <v>2533</v>
      </c>
      <c r="F310" s="193" t="s">
        <v>3354</v>
      </c>
      <c r="G310" s="193" t="s">
        <v>3363</v>
      </c>
      <c r="H310" s="194">
        <v>5232</v>
      </c>
      <c r="I310" s="195"/>
      <c r="J310" s="197"/>
      <c r="K310" s="53"/>
    </row>
    <row r="311" spans="1:11" ht="65.099999999999994" customHeight="1" x14ac:dyDescent="0.25">
      <c r="A311" s="191">
        <v>302</v>
      </c>
      <c r="B311" s="192"/>
      <c r="C311" s="192"/>
      <c r="D311" s="192"/>
      <c r="E311" s="53" t="s">
        <v>2534</v>
      </c>
      <c r="F311" s="193" t="s">
        <v>3354</v>
      </c>
      <c r="G311" s="193" t="s">
        <v>3363</v>
      </c>
      <c r="H311" s="194">
        <v>5232</v>
      </c>
      <c r="I311" s="195"/>
      <c r="J311" s="197"/>
      <c r="K311" s="53"/>
    </row>
    <row r="312" spans="1:11" ht="65.099999999999994" customHeight="1" x14ac:dyDescent="0.25">
      <c r="A312" s="191">
        <v>303</v>
      </c>
      <c r="B312" s="192"/>
      <c r="C312" s="192"/>
      <c r="D312" s="192"/>
      <c r="E312" s="53" t="s">
        <v>2535</v>
      </c>
      <c r="F312" s="193" t="s">
        <v>3354</v>
      </c>
      <c r="G312" s="193" t="s">
        <v>3363</v>
      </c>
      <c r="H312" s="194">
        <v>5232</v>
      </c>
      <c r="I312" s="195"/>
      <c r="J312" s="197"/>
      <c r="K312" s="53"/>
    </row>
    <row r="313" spans="1:11" ht="65.099999999999994" customHeight="1" x14ac:dyDescent="0.25">
      <c r="A313" s="191">
        <v>304</v>
      </c>
      <c r="B313" s="192"/>
      <c r="C313" s="192"/>
      <c r="D313" s="192"/>
      <c r="E313" s="53" t="s">
        <v>2536</v>
      </c>
      <c r="F313" s="193" t="s">
        <v>3354</v>
      </c>
      <c r="G313" s="193" t="s">
        <v>3363</v>
      </c>
      <c r="H313" s="194">
        <v>5232</v>
      </c>
      <c r="I313" s="195"/>
      <c r="J313" s="197"/>
      <c r="K313" s="53"/>
    </row>
    <row r="314" spans="1:11" ht="65.099999999999994" customHeight="1" x14ac:dyDescent="0.25">
      <c r="A314" s="191">
        <v>305</v>
      </c>
      <c r="B314" s="192"/>
      <c r="C314" s="192"/>
      <c r="D314" s="192"/>
      <c r="E314" s="53" t="s">
        <v>2537</v>
      </c>
      <c r="F314" s="193" t="s">
        <v>3354</v>
      </c>
      <c r="G314" s="193" t="s">
        <v>3363</v>
      </c>
      <c r="H314" s="194">
        <v>5232</v>
      </c>
      <c r="I314" s="195"/>
      <c r="J314" s="197"/>
      <c r="K314" s="53"/>
    </row>
    <row r="315" spans="1:11" ht="65.099999999999994" customHeight="1" x14ac:dyDescent="0.25">
      <c r="A315" s="191">
        <v>306</v>
      </c>
      <c r="B315" s="192"/>
      <c r="C315" s="192"/>
      <c r="D315" s="192"/>
      <c r="E315" s="53" t="s">
        <v>2538</v>
      </c>
      <c r="F315" s="193" t="s">
        <v>3354</v>
      </c>
      <c r="G315" s="193" t="s">
        <v>3363</v>
      </c>
      <c r="H315" s="194">
        <v>5232</v>
      </c>
      <c r="I315" s="195"/>
      <c r="J315" s="197"/>
      <c r="K315" s="53"/>
    </row>
    <row r="316" spans="1:11" ht="65.099999999999994" customHeight="1" x14ac:dyDescent="0.25">
      <c r="A316" s="191">
        <v>307</v>
      </c>
      <c r="B316" s="192"/>
      <c r="C316" s="192"/>
      <c r="D316" s="192"/>
      <c r="E316" s="53" t="s">
        <v>2539</v>
      </c>
      <c r="F316" s="193" t="s">
        <v>3354</v>
      </c>
      <c r="G316" s="193" t="s">
        <v>3363</v>
      </c>
      <c r="H316" s="194">
        <v>5232</v>
      </c>
      <c r="I316" s="195"/>
      <c r="J316" s="197"/>
      <c r="K316" s="53"/>
    </row>
    <row r="317" spans="1:11" ht="65.099999999999994" customHeight="1" x14ac:dyDescent="0.25">
      <c r="A317" s="191">
        <v>308</v>
      </c>
      <c r="B317" s="192"/>
      <c r="C317" s="192"/>
      <c r="D317" s="192"/>
      <c r="E317" s="53" t="s">
        <v>2540</v>
      </c>
      <c r="F317" s="193" t="s">
        <v>3354</v>
      </c>
      <c r="G317" s="193" t="s">
        <v>3363</v>
      </c>
      <c r="H317" s="194">
        <v>5232</v>
      </c>
      <c r="I317" s="195"/>
      <c r="J317" s="197"/>
      <c r="K317" s="53"/>
    </row>
    <row r="318" spans="1:11" ht="65.099999999999994" customHeight="1" x14ac:dyDescent="0.25">
      <c r="A318" s="191">
        <v>309</v>
      </c>
      <c r="B318" s="192"/>
      <c r="C318" s="192"/>
      <c r="D318" s="192"/>
      <c r="E318" s="53" t="s">
        <v>2541</v>
      </c>
      <c r="F318" s="193" t="s">
        <v>3354</v>
      </c>
      <c r="G318" s="193" t="s">
        <v>3363</v>
      </c>
      <c r="H318" s="194">
        <v>5232</v>
      </c>
      <c r="I318" s="195"/>
      <c r="J318" s="197"/>
      <c r="K318" s="53"/>
    </row>
    <row r="319" spans="1:11" ht="65.099999999999994" customHeight="1" x14ac:dyDescent="0.25">
      <c r="A319" s="191">
        <v>310</v>
      </c>
      <c r="B319" s="192"/>
      <c r="C319" s="192"/>
      <c r="D319" s="192"/>
      <c r="E319" s="53" t="s">
        <v>2542</v>
      </c>
      <c r="F319" s="193" t="s">
        <v>3354</v>
      </c>
      <c r="G319" s="193" t="s">
        <v>3363</v>
      </c>
      <c r="H319" s="194">
        <v>5232</v>
      </c>
      <c r="I319" s="195"/>
      <c r="J319" s="197"/>
      <c r="K319" s="53"/>
    </row>
    <row r="320" spans="1:11" ht="65.099999999999994" customHeight="1" x14ac:dyDescent="0.25">
      <c r="A320" s="191">
        <v>311</v>
      </c>
      <c r="B320" s="192"/>
      <c r="C320" s="192"/>
      <c r="D320" s="192"/>
      <c r="E320" s="53" t="s">
        <v>2543</v>
      </c>
      <c r="F320" s="193" t="s">
        <v>3354</v>
      </c>
      <c r="G320" s="193" t="s">
        <v>3363</v>
      </c>
      <c r="H320" s="194">
        <v>5232</v>
      </c>
      <c r="I320" s="195"/>
      <c r="J320" s="197"/>
      <c r="K320" s="53"/>
    </row>
    <row r="321" spans="1:11" ht="65.099999999999994" customHeight="1" x14ac:dyDescent="0.25">
      <c r="A321" s="191">
        <v>312</v>
      </c>
      <c r="B321" s="192"/>
      <c r="C321" s="192"/>
      <c r="D321" s="192"/>
      <c r="E321" s="53" t="s">
        <v>2544</v>
      </c>
      <c r="F321" s="193" t="s">
        <v>3354</v>
      </c>
      <c r="G321" s="193" t="s">
        <v>3363</v>
      </c>
      <c r="H321" s="194">
        <v>5232</v>
      </c>
      <c r="I321" s="195"/>
      <c r="J321" s="197"/>
      <c r="K321" s="53"/>
    </row>
    <row r="322" spans="1:11" ht="65.099999999999994" customHeight="1" x14ac:dyDescent="0.25">
      <c r="A322" s="191">
        <v>313</v>
      </c>
      <c r="B322" s="192"/>
      <c r="C322" s="192"/>
      <c r="D322" s="192"/>
      <c r="E322" s="53" t="s">
        <v>2545</v>
      </c>
      <c r="F322" s="193" t="s">
        <v>3354</v>
      </c>
      <c r="G322" s="193" t="s">
        <v>3363</v>
      </c>
      <c r="H322" s="194">
        <v>5232</v>
      </c>
      <c r="I322" s="195"/>
      <c r="J322" s="197"/>
      <c r="K322" s="53"/>
    </row>
    <row r="323" spans="1:11" ht="65.099999999999994" customHeight="1" x14ac:dyDescent="0.25">
      <c r="A323" s="191">
        <v>314</v>
      </c>
      <c r="B323" s="192"/>
      <c r="C323" s="192"/>
      <c r="D323" s="192"/>
      <c r="E323" s="53" t="s">
        <v>2546</v>
      </c>
      <c r="F323" s="193" t="s">
        <v>3354</v>
      </c>
      <c r="G323" s="193" t="s">
        <v>3363</v>
      </c>
      <c r="H323" s="194">
        <v>5232</v>
      </c>
      <c r="I323" s="195"/>
      <c r="J323" s="197"/>
      <c r="K323" s="53"/>
    </row>
    <row r="324" spans="1:11" ht="65.099999999999994" customHeight="1" x14ac:dyDescent="0.25">
      <c r="A324" s="191">
        <v>315</v>
      </c>
      <c r="B324" s="192"/>
      <c r="C324" s="192"/>
      <c r="D324" s="192"/>
      <c r="E324" s="53" t="s">
        <v>2547</v>
      </c>
      <c r="F324" s="193" t="s">
        <v>3354</v>
      </c>
      <c r="G324" s="193" t="s">
        <v>3363</v>
      </c>
      <c r="H324" s="194">
        <v>5232</v>
      </c>
      <c r="I324" s="195"/>
      <c r="J324" s="197"/>
      <c r="K324" s="53"/>
    </row>
    <row r="325" spans="1:11" ht="65.099999999999994" customHeight="1" x14ac:dyDescent="0.25">
      <c r="A325" s="191">
        <v>316</v>
      </c>
      <c r="B325" s="192"/>
      <c r="C325" s="192"/>
      <c r="D325" s="192"/>
      <c r="E325" s="53" t="s">
        <v>2548</v>
      </c>
      <c r="F325" s="193" t="s">
        <v>3354</v>
      </c>
      <c r="G325" s="193" t="s">
        <v>3363</v>
      </c>
      <c r="H325" s="194">
        <v>5232</v>
      </c>
      <c r="I325" s="195"/>
      <c r="J325" s="197"/>
      <c r="K325" s="53"/>
    </row>
    <row r="326" spans="1:11" ht="65.099999999999994" customHeight="1" x14ac:dyDescent="0.25">
      <c r="A326" s="191">
        <v>317</v>
      </c>
      <c r="B326" s="192"/>
      <c r="C326" s="192"/>
      <c r="D326" s="192"/>
      <c r="E326" s="53" t="s">
        <v>2549</v>
      </c>
      <c r="F326" s="193" t="s">
        <v>3354</v>
      </c>
      <c r="G326" s="193" t="s">
        <v>3363</v>
      </c>
      <c r="H326" s="194">
        <v>5232</v>
      </c>
      <c r="I326" s="195"/>
      <c r="J326" s="197"/>
      <c r="K326" s="53"/>
    </row>
    <row r="327" spans="1:11" ht="65.099999999999994" customHeight="1" x14ac:dyDescent="0.25">
      <c r="A327" s="191">
        <v>318</v>
      </c>
      <c r="B327" s="192"/>
      <c r="C327" s="192"/>
      <c r="D327" s="192"/>
      <c r="E327" s="53" t="s">
        <v>2550</v>
      </c>
      <c r="F327" s="193" t="s">
        <v>3354</v>
      </c>
      <c r="G327" s="193" t="s">
        <v>3363</v>
      </c>
      <c r="H327" s="194">
        <v>5232</v>
      </c>
      <c r="I327" s="195"/>
      <c r="J327" s="197"/>
      <c r="K327" s="53"/>
    </row>
    <row r="328" spans="1:11" ht="65.099999999999994" customHeight="1" x14ac:dyDescent="0.25">
      <c r="A328" s="191">
        <v>319</v>
      </c>
      <c r="B328" s="192"/>
      <c r="C328" s="192"/>
      <c r="D328" s="192"/>
      <c r="E328" s="53" t="s">
        <v>2551</v>
      </c>
      <c r="F328" s="193" t="s">
        <v>3354</v>
      </c>
      <c r="G328" s="193" t="s">
        <v>3363</v>
      </c>
      <c r="H328" s="194">
        <v>5232</v>
      </c>
      <c r="I328" s="195"/>
      <c r="J328" s="197"/>
      <c r="K328" s="53"/>
    </row>
    <row r="329" spans="1:11" ht="65.099999999999994" customHeight="1" x14ac:dyDescent="0.25">
      <c r="A329" s="191">
        <v>320</v>
      </c>
      <c r="B329" s="192"/>
      <c r="C329" s="192"/>
      <c r="D329" s="192"/>
      <c r="E329" s="53" t="s">
        <v>2552</v>
      </c>
      <c r="F329" s="193" t="s">
        <v>3354</v>
      </c>
      <c r="G329" s="193" t="s">
        <v>3363</v>
      </c>
      <c r="H329" s="194">
        <v>5232</v>
      </c>
      <c r="I329" s="195"/>
      <c r="J329" s="197"/>
      <c r="K329" s="53"/>
    </row>
    <row r="330" spans="1:11" ht="65.099999999999994" customHeight="1" x14ac:dyDescent="0.25">
      <c r="A330" s="191">
        <v>321</v>
      </c>
      <c r="B330" s="192"/>
      <c r="C330" s="192"/>
      <c r="D330" s="192"/>
      <c r="E330" s="53" t="s">
        <v>2553</v>
      </c>
      <c r="F330" s="193" t="s">
        <v>3354</v>
      </c>
      <c r="G330" s="193" t="s">
        <v>3363</v>
      </c>
      <c r="H330" s="194">
        <v>5232</v>
      </c>
      <c r="I330" s="195"/>
      <c r="J330" s="197"/>
      <c r="K330" s="53"/>
    </row>
    <row r="331" spans="1:11" ht="65.099999999999994" customHeight="1" x14ac:dyDescent="0.25">
      <c r="A331" s="191">
        <v>322</v>
      </c>
      <c r="B331" s="192"/>
      <c r="C331" s="192"/>
      <c r="D331" s="192"/>
      <c r="E331" s="53" t="s">
        <v>2554</v>
      </c>
      <c r="F331" s="193" t="s">
        <v>3354</v>
      </c>
      <c r="G331" s="193" t="s">
        <v>3363</v>
      </c>
      <c r="H331" s="194">
        <v>5232</v>
      </c>
      <c r="I331" s="195"/>
      <c r="J331" s="197"/>
      <c r="K331" s="53"/>
    </row>
    <row r="332" spans="1:11" ht="65.099999999999994" customHeight="1" x14ac:dyDescent="0.25">
      <c r="A332" s="191">
        <v>323</v>
      </c>
      <c r="B332" s="192"/>
      <c r="C332" s="192"/>
      <c r="D332" s="192"/>
      <c r="E332" s="53" t="s">
        <v>2555</v>
      </c>
      <c r="F332" s="193" t="s">
        <v>3354</v>
      </c>
      <c r="G332" s="193" t="s">
        <v>3363</v>
      </c>
      <c r="H332" s="194">
        <v>5232</v>
      </c>
      <c r="I332" s="195"/>
      <c r="J332" s="197"/>
      <c r="K332" s="53"/>
    </row>
    <row r="333" spans="1:11" ht="65.099999999999994" customHeight="1" x14ac:dyDescent="0.25">
      <c r="A333" s="191">
        <v>324</v>
      </c>
      <c r="B333" s="192"/>
      <c r="C333" s="192"/>
      <c r="D333" s="192"/>
      <c r="E333" s="53" t="s">
        <v>2556</v>
      </c>
      <c r="F333" s="193" t="s">
        <v>3354</v>
      </c>
      <c r="G333" s="193" t="s">
        <v>3363</v>
      </c>
      <c r="H333" s="194">
        <v>5232</v>
      </c>
      <c r="I333" s="195"/>
      <c r="J333" s="197"/>
      <c r="K333" s="53"/>
    </row>
    <row r="334" spans="1:11" ht="65.099999999999994" customHeight="1" x14ac:dyDescent="0.25">
      <c r="A334" s="191">
        <v>325</v>
      </c>
      <c r="B334" s="192"/>
      <c r="C334" s="192"/>
      <c r="D334" s="192"/>
      <c r="E334" s="53" t="s">
        <v>2557</v>
      </c>
      <c r="F334" s="193" t="s">
        <v>3354</v>
      </c>
      <c r="G334" s="193" t="s">
        <v>3363</v>
      </c>
      <c r="H334" s="194">
        <v>5232</v>
      </c>
      <c r="I334" s="195"/>
      <c r="J334" s="197"/>
      <c r="K334" s="53"/>
    </row>
    <row r="335" spans="1:11" ht="65.099999999999994" customHeight="1" x14ac:dyDescent="0.25">
      <c r="A335" s="191">
        <v>326</v>
      </c>
      <c r="B335" s="192"/>
      <c r="C335" s="192"/>
      <c r="D335" s="192"/>
      <c r="E335" s="53" t="s">
        <v>2558</v>
      </c>
      <c r="F335" s="193" t="s">
        <v>3354</v>
      </c>
      <c r="G335" s="193" t="s">
        <v>3363</v>
      </c>
      <c r="H335" s="194">
        <v>5232</v>
      </c>
      <c r="I335" s="195"/>
      <c r="J335" s="197"/>
      <c r="K335" s="53"/>
    </row>
    <row r="336" spans="1:11" ht="65.099999999999994" customHeight="1" x14ac:dyDescent="0.25">
      <c r="A336" s="191">
        <v>327</v>
      </c>
      <c r="B336" s="192"/>
      <c r="C336" s="192"/>
      <c r="D336" s="192"/>
      <c r="E336" s="53" t="s">
        <v>2559</v>
      </c>
      <c r="F336" s="193" t="s">
        <v>3354</v>
      </c>
      <c r="G336" s="193" t="s">
        <v>3363</v>
      </c>
      <c r="H336" s="194">
        <v>5232</v>
      </c>
      <c r="I336" s="195"/>
      <c r="J336" s="197"/>
      <c r="K336" s="53"/>
    </row>
    <row r="337" spans="1:11" ht="65.099999999999994" customHeight="1" x14ac:dyDescent="0.25">
      <c r="A337" s="191">
        <v>328</v>
      </c>
      <c r="B337" s="192"/>
      <c r="C337" s="192"/>
      <c r="D337" s="192"/>
      <c r="E337" s="53" t="s">
        <v>2560</v>
      </c>
      <c r="F337" s="193" t="s">
        <v>3354</v>
      </c>
      <c r="G337" s="193" t="s">
        <v>3363</v>
      </c>
      <c r="H337" s="194">
        <v>5232</v>
      </c>
      <c r="I337" s="195"/>
      <c r="J337" s="197"/>
      <c r="K337" s="53"/>
    </row>
    <row r="338" spans="1:11" ht="65.099999999999994" customHeight="1" x14ac:dyDescent="0.25">
      <c r="A338" s="191">
        <v>329</v>
      </c>
      <c r="B338" s="192"/>
      <c r="C338" s="192"/>
      <c r="D338" s="192"/>
      <c r="E338" s="53" t="s">
        <v>2561</v>
      </c>
      <c r="F338" s="193" t="s">
        <v>3354</v>
      </c>
      <c r="G338" s="193" t="s">
        <v>3363</v>
      </c>
      <c r="H338" s="194">
        <v>5232</v>
      </c>
      <c r="I338" s="195"/>
      <c r="J338" s="197"/>
      <c r="K338" s="53"/>
    </row>
    <row r="339" spans="1:11" ht="65.099999999999994" customHeight="1" x14ac:dyDescent="0.25">
      <c r="A339" s="191">
        <v>330</v>
      </c>
      <c r="B339" s="192"/>
      <c r="C339" s="192"/>
      <c r="D339" s="192"/>
      <c r="E339" s="53" t="s">
        <v>2562</v>
      </c>
      <c r="F339" s="193" t="s">
        <v>3354</v>
      </c>
      <c r="G339" s="193" t="s">
        <v>3363</v>
      </c>
      <c r="H339" s="194">
        <v>5232</v>
      </c>
      <c r="I339" s="195"/>
      <c r="J339" s="197"/>
      <c r="K339" s="53"/>
    </row>
    <row r="340" spans="1:11" ht="65.099999999999994" customHeight="1" x14ac:dyDescent="0.25">
      <c r="A340" s="191">
        <v>331</v>
      </c>
      <c r="B340" s="192"/>
      <c r="C340" s="192"/>
      <c r="D340" s="192"/>
      <c r="E340" s="53" t="s">
        <v>2563</v>
      </c>
      <c r="F340" s="193" t="s">
        <v>3354</v>
      </c>
      <c r="G340" s="193" t="s">
        <v>3363</v>
      </c>
      <c r="H340" s="194">
        <v>5232</v>
      </c>
      <c r="I340" s="195"/>
      <c r="J340" s="197"/>
      <c r="K340" s="53"/>
    </row>
    <row r="341" spans="1:11" ht="65.099999999999994" customHeight="1" x14ac:dyDescent="0.25">
      <c r="A341" s="191">
        <v>332</v>
      </c>
      <c r="B341" s="192"/>
      <c r="C341" s="192"/>
      <c r="D341" s="192"/>
      <c r="E341" s="53" t="s">
        <v>2564</v>
      </c>
      <c r="F341" s="193" t="s">
        <v>3354</v>
      </c>
      <c r="G341" s="193" t="s">
        <v>3363</v>
      </c>
      <c r="H341" s="194">
        <v>5232</v>
      </c>
      <c r="I341" s="195"/>
      <c r="J341" s="197"/>
      <c r="K341" s="53"/>
    </row>
    <row r="342" spans="1:11" ht="65.099999999999994" customHeight="1" x14ac:dyDescent="0.25">
      <c r="A342" s="191">
        <v>333</v>
      </c>
      <c r="B342" s="192"/>
      <c r="C342" s="192"/>
      <c r="D342" s="192"/>
      <c r="E342" s="53" t="s">
        <v>2565</v>
      </c>
      <c r="F342" s="193" t="s">
        <v>3354</v>
      </c>
      <c r="G342" s="193" t="s">
        <v>3363</v>
      </c>
      <c r="H342" s="194">
        <v>5232</v>
      </c>
      <c r="I342" s="195"/>
      <c r="J342" s="197"/>
      <c r="K342" s="53"/>
    </row>
    <row r="343" spans="1:11" ht="65.099999999999994" customHeight="1" x14ac:dyDescent="0.25">
      <c r="A343" s="191">
        <v>334</v>
      </c>
      <c r="B343" s="192"/>
      <c r="C343" s="192"/>
      <c r="D343" s="192"/>
      <c r="E343" s="53" t="s">
        <v>2566</v>
      </c>
      <c r="F343" s="193" t="s">
        <v>3354</v>
      </c>
      <c r="G343" s="193" t="s">
        <v>3363</v>
      </c>
      <c r="H343" s="194">
        <v>5232</v>
      </c>
      <c r="I343" s="195"/>
      <c r="J343" s="197"/>
      <c r="K343" s="53"/>
    </row>
    <row r="344" spans="1:11" ht="65.099999999999994" customHeight="1" x14ac:dyDescent="0.25">
      <c r="A344" s="191">
        <v>335</v>
      </c>
      <c r="B344" s="192"/>
      <c r="C344" s="192"/>
      <c r="D344" s="192"/>
      <c r="E344" s="53" t="s">
        <v>2567</v>
      </c>
      <c r="F344" s="193" t="s">
        <v>3354</v>
      </c>
      <c r="G344" s="193" t="s">
        <v>3363</v>
      </c>
      <c r="H344" s="194">
        <v>5232</v>
      </c>
      <c r="I344" s="195"/>
      <c r="J344" s="197"/>
      <c r="K344" s="53"/>
    </row>
    <row r="345" spans="1:11" ht="65.099999999999994" customHeight="1" x14ac:dyDescent="0.25">
      <c r="A345" s="191">
        <v>336</v>
      </c>
      <c r="B345" s="192"/>
      <c r="C345" s="192"/>
      <c r="D345" s="192"/>
      <c r="E345" s="53" t="s">
        <v>2568</v>
      </c>
      <c r="F345" s="193" t="s">
        <v>3354</v>
      </c>
      <c r="G345" s="193" t="s">
        <v>3363</v>
      </c>
      <c r="H345" s="194">
        <v>5232</v>
      </c>
      <c r="I345" s="195"/>
      <c r="J345" s="197"/>
      <c r="K345" s="53"/>
    </row>
    <row r="346" spans="1:11" ht="65.099999999999994" customHeight="1" x14ac:dyDescent="0.25">
      <c r="A346" s="191">
        <v>337</v>
      </c>
      <c r="B346" s="192"/>
      <c r="C346" s="192"/>
      <c r="D346" s="192"/>
      <c r="E346" s="53" t="s">
        <v>2569</v>
      </c>
      <c r="F346" s="193" t="s">
        <v>3354</v>
      </c>
      <c r="G346" s="193" t="s">
        <v>3363</v>
      </c>
      <c r="H346" s="194">
        <v>5232</v>
      </c>
      <c r="I346" s="195"/>
      <c r="J346" s="197"/>
      <c r="K346" s="53"/>
    </row>
    <row r="347" spans="1:11" ht="65.099999999999994" customHeight="1" x14ac:dyDescent="0.25">
      <c r="A347" s="191">
        <v>338</v>
      </c>
      <c r="B347" s="192"/>
      <c r="C347" s="192"/>
      <c r="D347" s="192"/>
      <c r="E347" s="53" t="s">
        <v>2570</v>
      </c>
      <c r="F347" s="193" t="s">
        <v>3354</v>
      </c>
      <c r="G347" s="193" t="s">
        <v>3363</v>
      </c>
      <c r="H347" s="194">
        <v>5232</v>
      </c>
      <c r="I347" s="195"/>
      <c r="J347" s="197"/>
      <c r="K347" s="53"/>
    </row>
    <row r="348" spans="1:11" ht="65.099999999999994" customHeight="1" x14ac:dyDescent="0.25">
      <c r="A348" s="191">
        <v>339</v>
      </c>
      <c r="B348" s="192"/>
      <c r="C348" s="192"/>
      <c r="D348" s="192"/>
      <c r="E348" s="53" t="s">
        <v>2571</v>
      </c>
      <c r="F348" s="193" t="s">
        <v>3354</v>
      </c>
      <c r="G348" s="193" t="s">
        <v>3363</v>
      </c>
      <c r="H348" s="194">
        <v>5232</v>
      </c>
      <c r="I348" s="195"/>
      <c r="J348" s="197"/>
      <c r="K348" s="53"/>
    </row>
    <row r="349" spans="1:11" ht="65.099999999999994" customHeight="1" x14ac:dyDescent="0.25">
      <c r="A349" s="191">
        <v>340</v>
      </c>
      <c r="B349" s="192"/>
      <c r="C349" s="192"/>
      <c r="D349" s="192"/>
      <c r="E349" s="53" t="s">
        <v>2572</v>
      </c>
      <c r="F349" s="193" t="s">
        <v>3354</v>
      </c>
      <c r="G349" s="193" t="s">
        <v>3363</v>
      </c>
      <c r="H349" s="194">
        <v>5232</v>
      </c>
      <c r="I349" s="195"/>
      <c r="J349" s="197"/>
      <c r="K349" s="53"/>
    </row>
    <row r="350" spans="1:11" ht="65.099999999999994" customHeight="1" x14ac:dyDescent="0.25">
      <c r="A350" s="191">
        <v>341</v>
      </c>
      <c r="B350" s="192"/>
      <c r="C350" s="192"/>
      <c r="D350" s="192"/>
      <c r="E350" s="53" t="s">
        <v>2573</v>
      </c>
      <c r="F350" s="193" t="s">
        <v>3354</v>
      </c>
      <c r="G350" s="193" t="s">
        <v>3363</v>
      </c>
      <c r="H350" s="194">
        <v>5232</v>
      </c>
      <c r="I350" s="195"/>
      <c r="J350" s="197"/>
      <c r="K350" s="53"/>
    </row>
    <row r="351" spans="1:11" ht="65.099999999999994" customHeight="1" x14ac:dyDescent="0.25">
      <c r="A351" s="191">
        <v>342</v>
      </c>
      <c r="B351" s="192"/>
      <c r="C351" s="192"/>
      <c r="D351" s="192"/>
      <c r="E351" s="53" t="s">
        <v>2574</v>
      </c>
      <c r="F351" s="193" t="s">
        <v>3354</v>
      </c>
      <c r="G351" s="193" t="s">
        <v>3363</v>
      </c>
      <c r="H351" s="194">
        <v>5232</v>
      </c>
      <c r="I351" s="195"/>
      <c r="J351" s="197"/>
      <c r="K351" s="53"/>
    </row>
    <row r="352" spans="1:11" ht="65.099999999999994" customHeight="1" x14ac:dyDescent="0.25">
      <c r="A352" s="191">
        <v>343</v>
      </c>
      <c r="B352" s="192"/>
      <c r="C352" s="192"/>
      <c r="D352" s="192"/>
      <c r="E352" s="53" t="s">
        <v>2575</v>
      </c>
      <c r="F352" s="193" t="s">
        <v>3354</v>
      </c>
      <c r="G352" s="193" t="s">
        <v>3363</v>
      </c>
      <c r="H352" s="194">
        <v>5232</v>
      </c>
      <c r="I352" s="195"/>
      <c r="J352" s="197"/>
      <c r="K352" s="53"/>
    </row>
    <row r="353" spans="1:11" ht="65.099999999999994" customHeight="1" x14ac:dyDescent="0.25">
      <c r="A353" s="191">
        <v>344</v>
      </c>
      <c r="B353" s="192"/>
      <c r="C353" s="192"/>
      <c r="D353" s="192"/>
      <c r="E353" s="53" t="s">
        <v>2576</v>
      </c>
      <c r="F353" s="193" t="s">
        <v>3354</v>
      </c>
      <c r="G353" s="193" t="s">
        <v>3363</v>
      </c>
      <c r="H353" s="194">
        <v>5232</v>
      </c>
      <c r="I353" s="195"/>
      <c r="J353" s="197"/>
      <c r="K353" s="53"/>
    </row>
    <row r="354" spans="1:11" ht="65.099999999999994" customHeight="1" x14ac:dyDescent="0.25">
      <c r="A354" s="191">
        <v>345</v>
      </c>
      <c r="B354" s="192"/>
      <c r="C354" s="192"/>
      <c r="D354" s="192"/>
      <c r="E354" s="53" t="s">
        <v>2577</v>
      </c>
      <c r="F354" s="193" t="s">
        <v>3354</v>
      </c>
      <c r="G354" s="193" t="s">
        <v>3363</v>
      </c>
      <c r="H354" s="194">
        <v>5232</v>
      </c>
      <c r="I354" s="195"/>
      <c r="J354" s="197"/>
      <c r="K354" s="53"/>
    </row>
    <row r="355" spans="1:11" ht="65.099999999999994" customHeight="1" x14ac:dyDescent="0.25">
      <c r="A355" s="191">
        <v>346</v>
      </c>
      <c r="B355" s="192"/>
      <c r="C355" s="192"/>
      <c r="D355" s="192"/>
      <c r="E355" s="53" t="s">
        <v>2578</v>
      </c>
      <c r="F355" s="193" t="s">
        <v>3354</v>
      </c>
      <c r="G355" s="193" t="s">
        <v>3363</v>
      </c>
      <c r="H355" s="194">
        <v>5232</v>
      </c>
      <c r="I355" s="195"/>
      <c r="J355" s="197"/>
      <c r="K355" s="53"/>
    </row>
    <row r="356" spans="1:11" ht="65.099999999999994" customHeight="1" x14ac:dyDescent="0.25">
      <c r="A356" s="191">
        <v>347</v>
      </c>
      <c r="B356" s="192"/>
      <c r="C356" s="192"/>
      <c r="D356" s="192"/>
      <c r="E356" s="53" t="s">
        <v>2579</v>
      </c>
      <c r="F356" s="193" t="s">
        <v>3354</v>
      </c>
      <c r="G356" s="193" t="s">
        <v>3363</v>
      </c>
      <c r="H356" s="194">
        <v>5232</v>
      </c>
      <c r="I356" s="195"/>
      <c r="J356" s="197"/>
      <c r="K356" s="53"/>
    </row>
    <row r="357" spans="1:11" ht="65.099999999999994" customHeight="1" x14ac:dyDescent="0.25">
      <c r="A357" s="191">
        <v>348</v>
      </c>
      <c r="B357" s="192"/>
      <c r="C357" s="192"/>
      <c r="D357" s="192"/>
      <c r="E357" s="53" t="s">
        <v>2580</v>
      </c>
      <c r="F357" s="193" t="s">
        <v>3354</v>
      </c>
      <c r="G357" s="193" t="s">
        <v>3363</v>
      </c>
      <c r="H357" s="194">
        <v>5232</v>
      </c>
      <c r="I357" s="195"/>
      <c r="J357" s="197"/>
      <c r="K357" s="53"/>
    </row>
    <row r="358" spans="1:11" ht="65.099999999999994" customHeight="1" x14ac:dyDescent="0.25">
      <c r="A358" s="191">
        <v>349</v>
      </c>
      <c r="B358" s="192"/>
      <c r="C358" s="192"/>
      <c r="D358" s="192"/>
      <c r="E358" s="53" t="s">
        <v>2581</v>
      </c>
      <c r="F358" s="193" t="s">
        <v>3354</v>
      </c>
      <c r="G358" s="193" t="s">
        <v>3363</v>
      </c>
      <c r="H358" s="194">
        <v>5232</v>
      </c>
      <c r="I358" s="195"/>
      <c r="J358" s="197"/>
      <c r="K358" s="53"/>
    </row>
    <row r="359" spans="1:11" ht="65.099999999999994" customHeight="1" x14ac:dyDescent="0.25">
      <c r="A359" s="191">
        <v>350</v>
      </c>
      <c r="B359" s="192"/>
      <c r="C359" s="192"/>
      <c r="D359" s="192"/>
      <c r="E359" s="53" t="s">
        <v>2582</v>
      </c>
      <c r="F359" s="193" t="s">
        <v>3354</v>
      </c>
      <c r="G359" s="193" t="s">
        <v>3363</v>
      </c>
      <c r="H359" s="194">
        <v>5232</v>
      </c>
      <c r="I359" s="195"/>
      <c r="J359" s="197"/>
      <c r="K359" s="53"/>
    </row>
    <row r="360" spans="1:11" ht="65.099999999999994" customHeight="1" x14ac:dyDescent="0.25">
      <c r="A360" s="191">
        <v>351</v>
      </c>
      <c r="B360" s="192"/>
      <c r="C360" s="192"/>
      <c r="D360" s="192"/>
      <c r="E360" s="53" t="s">
        <v>2583</v>
      </c>
      <c r="F360" s="193" t="s">
        <v>3354</v>
      </c>
      <c r="G360" s="193" t="s">
        <v>3363</v>
      </c>
      <c r="H360" s="194">
        <v>5232</v>
      </c>
      <c r="I360" s="195"/>
      <c r="J360" s="197"/>
      <c r="K360" s="53"/>
    </row>
    <row r="361" spans="1:11" ht="65.099999999999994" customHeight="1" x14ac:dyDescent="0.25">
      <c r="A361" s="191">
        <v>352</v>
      </c>
      <c r="B361" s="192"/>
      <c r="C361" s="192"/>
      <c r="D361" s="192"/>
      <c r="E361" s="53" t="s">
        <v>2584</v>
      </c>
      <c r="F361" s="193" t="s">
        <v>3354</v>
      </c>
      <c r="G361" s="193" t="s">
        <v>3363</v>
      </c>
      <c r="H361" s="194">
        <v>5232</v>
      </c>
      <c r="I361" s="195"/>
      <c r="J361" s="197"/>
      <c r="K361" s="53"/>
    </row>
    <row r="362" spans="1:11" ht="65.099999999999994" customHeight="1" x14ac:dyDescent="0.25">
      <c r="A362" s="191">
        <v>353</v>
      </c>
      <c r="B362" s="192"/>
      <c r="C362" s="192"/>
      <c r="D362" s="192"/>
      <c r="E362" s="53" t="s">
        <v>2585</v>
      </c>
      <c r="F362" s="193" t="s">
        <v>3354</v>
      </c>
      <c r="G362" s="193" t="s">
        <v>3363</v>
      </c>
      <c r="H362" s="194">
        <v>5232</v>
      </c>
      <c r="I362" s="195"/>
      <c r="J362" s="197"/>
      <c r="K362" s="53"/>
    </row>
    <row r="363" spans="1:11" ht="65.099999999999994" customHeight="1" x14ac:dyDescent="0.25">
      <c r="A363" s="191">
        <v>354</v>
      </c>
      <c r="B363" s="192"/>
      <c r="C363" s="192"/>
      <c r="D363" s="192"/>
      <c r="E363" s="53" t="s">
        <v>2586</v>
      </c>
      <c r="F363" s="193" t="s">
        <v>3354</v>
      </c>
      <c r="G363" s="193" t="s">
        <v>3363</v>
      </c>
      <c r="H363" s="194">
        <v>5232</v>
      </c>
      <c r="I363" s="195"/>
      <c r="J363" s="197"/>
      <c r="K363" s="53"/>
    </row>
    <row r="364" spans="1:11" ht="65.099999999999994" customHeight="1" x14ac:dyDescent="0.25">
      <c r="A364" s="191">
        <v>355</v>
      </c>
      <c r="B364" s="192"/>
      <c r="C364" s="192"/>
      <c r="D364" s="192"/>
      <c r="E364" s="53" t="s">
        <v>2587</v>
      </c>
      <c r="F364" s="193" t="s">
        <v>3354</v>
      </c>
      <c r="G364" s="193" t="s">
        <v>3363</v>
      </c>
      <c r="H364" s="194">
        <v>5232</v>
      </c>
      <c r="I364" s="195"/>
      <c r="J364" s="197"/>
      <c r="K364" s="53"/>
    </row>
    <row r="365" spans="1:11" ht="65.099999999999994" customHeight="1" x14ac:dyDescent="0.25">
      <c r="A365" s="191">
        <v>356</v>
      </c>
      <c r="B365" s="192"/>
      <c r="C365" s="192"/>
      <c r="D365" s="192"/>
      <c r="E365" s="53" t="s">
        <v>2588</v>
      </c>
      <c r="F365" s="193" t="s">
        <v>3354</v>
      </c>
      <c r="G365" s="193" t="s">
        <v>3363</v>
      </c>
      <c r="H365" s="194">
        <v>5232</v>
      </c>
      <c r="I365" s="195"/>
      <c r="J365" s="197"/>
      <c r="K365" s="53"/>
    </row>
    <row r="366" spans="1:11" ht="65.099999999999994" customHeight="1" x14ac:dyDescent="0.25">
      <c r="A366" s="191">
        <v>357</v>
      </c>
      <c r="B366" s="192"/>
      <c r="C366" s="192"/>
      <c r="D366" s="192"/>
      <c r="E366" s="53" t="s">
        <v>2589</v>
      </c>
      <c r="F366" s="193" t="s">
        <v>3354</v>
      </c>
      <c r="G366" s="193" t="s">
        <v>3363</v>
      </c>
      <c r="H366" s="194">
        <v>5232</v>
      </c>
      <c r="I366" s="195"/>
      <c r="J366" s="197"/>
      <c r="K366" s="53"/>
    </row>
    <row r="367" spans="1:11" ht="65.099999999999994" customHeight="1" x14ac:dyDescent="0.25">
      <c r="A367" s="191">
        <v>358</v>
      </c>
      <c r="B367" s="192"/>
      <c r="C367" s="192"/>
      <c r="D367" s="192"/>
      <c r="E367" s="53" t="s">
        <v>2590</v>
      </c>
      <c r="F367" s="193" t="s">
        <v>3354</v>
      </c>
      <c r="G367" s="193" t="s">
        <v>3363</v>
      </c>
      <c r="H367" s="194">
        <v>5232</v>
      </c>
      <c r="I367" s="195"/>
      <c r="J367" s="197"/>
      <c r="K367" s="53"/>
    </row>
    <row r="368" spans="1:11" ht="65.099999999999994" customHeight="1" x14ac:dyDescent="0.25">
      <c r="A368" s="191">
        <v>359</v>
      </c>
      <c r="B368" s="192"/>
      <c r="C368" s="192"/>
      <c r="D368" s="192"/>
      <c r="E368" s="53" t="s">
        <v>2591</v>
      </c>
      <c r="F368" s="193" t="s">
        <v>3354</v>
      </c>
      <c r="G368" s="193" t="s">
        <v>3363</v>
      </c>
      <c r="H368" s="194">
        <v>5232</v>
      </c>
      <c r="I368" s="195"/>
      <c r="J368" s="197"/>
      <c r="K368" s="53"/>
    </row>
    <row r="369" spans="1:11" ht="65.099999999999994" customHeight="1" x14ac:dyDescent="0.25">
      <c r="A369" s="191">
        <v>360</v>
      </c>
      <c r="B369" s="192"/>
      <c r="C369" s="192"/>
      <c r="D369" s="192"/>
      <c r="E369" s="53" t="s">
        <v>2592</v>
      </c>
      <c r="F369" s="193" t="s">
        <v>3354</v>
      </c>
      <c r="G369" s="193" t="s">
        <v>3363</v>
      </c>
      <c r="H369" s="194">
        <v>5232</v>
      </c>
      <c r="I369" s="195"/>
      <c r="J369" s="197"/>
      <c r="K369" s="53"/>
    </row>
    <row r="370" spans="1:11" ht="65.099999999999994" customHeight="1" x14ac:dyDescent="0.25">
      <c r="A370" s="191">
        <v>361</v>
      </c>
      <c r="B370" s="192"/>
      <c r="C370" s="192"/>
      <c r="D370" s="192"/>
      <c r="E370" s="53" t="s">
        <v>2593</v>
      </c>
      <c r="F370" s="193" t="s">
        <v>3354</v>
      </c>
      <c r="G370" s="193" t="s">
        <v>3363</v>
      </c>
      <c r="H370" s="194">
        <v>5232</v>
      </c>
      <c r="I370" s="195"/>
      <c r="J370" s="197"/>
      <c r="K370" s="53"/>
    </row>
    <row r="371" spans="1:11" ht="65.099999999999994" customHeight="1" x14ac:dyDescent="0.25">
      <c r="A371" s="191">
        <v>362</v>
      </c>
      <c r="B371" s="192"/>
      <c r="C371" s="192"/>
      <c r="D371" s="192"/>
      <c r="E371" s="53" t="s">
        <v>2594</v>
      </c>
      <c r="F371" s="193" t="s">
        <v>3354</v>
      </c>
      <c r="G371" s="193" t="s">
        <v>3363</v>
      </c>
      <c r="H371" s="194">
        <v>5232</v>
      </c>
      <c r="I371" s="195"/>
      <c r="J371" s="197"/>
      <c r="K371" s="53"/>
    </row>
    <row r="372" spans="1:11" ht="65.099999999999994" customHeight="1" x14ac:dyDescent="0.25">
      <c r="A372" s="191">
        <v>363</v>
      </c>
      <c r="B372" s="192"/>
      <c r="C372" s="192"/>
      <c r="D372" s="192"/>
      <c r="E372" s="53" t="s">
        <v>2595</v>
      </c>
      <c r="F372" s="193" t="s">
        <v>3354</v>
      </c>
      <c r="G372" s="193" t="s">
        <v>3363</v>
      </c>
      <c r="H372" s="194">
        <v>5232</v>
      </c>
      <c r="I372" s="195"/>
      <c r="J372" s="197"/>
      <c r="K372" s="53"/>
    </row>
    <row r="373" spans="1:11" ht="65.099999999999994" customHeight="1" x14ac:dyDescent="0.25">
      <c r="A373" s="191">
        <v>364</v>
      </c>
      <c r="B373" s="192"/>
      <c r="C373" s="192"/>
      <c r="D373" s="192"/>
      <c r="E373" s="53" t="s">
        <v>2596</v>
      </c>
      <c r="F373" s="193" t="s">
        <v>3354</v>
      </c>
      <c r="G373" s="193" t="s">
        <v>3363</v>
      </c>
      <c r="H373" s="194">
        <v>5232</v>
      </c>
      <c r="I373" s="195"/>
      <c r="J373" s="197"/>
      <c r="K373" s="53"/>
    </row>
    <row r="374" spans="1:11" ht="65.099999999999994" customHeight="1" x14ac:dyDescent="0.25">
      <c r="A374" s="191">
        <v>365</v>
      </c>
      <c r="B374" s="192"/>
      <c r="C374" s="192"/>
      <c r="D374" s="192"/>
      <c r="E374" s="53" t="s">
        <v>2597</v>
      </c>
      <c r="F374" s="193" t="s">
        <v>3354</v>
      </c>
      <c r="G374" s="193" t="s">
        <v>3363</v>
      </c>
      <c r="H374" s="194">
        <v>5232</v>
      </c>
      <c r="I374" s="195"/>
      <c r="J374" s="197"/>
      <c r="K374" s="53"/>
    </row>
    <row r="375" spans="1:11" ht="65.099999999999994" customHeight="1" x14ac:dyDescent="0.25">
      <c r="A375" s="191">
        <v>366</v>
      </c>
      <c r="B375" s="192"/>
      <c r="C375" s="192"/>
      <c r="D375" s="192"/>
      <c r="E375" s="53" t="s">
        <v>2598</v>
      </c>
      <c r="F375" s="193" t="s">
        <v>3354</v>
      </c>
      <c r="G375" s="193" t="s">
        <v>3363</v>
      </c>
      <c r="H375" s="194">
        <v>5232</v>
      </c>
      <c r="I375" s="195"/>
      <c r="J375" s="197"/>
      <c r="K375" s="53"/>
    </row>
    <row r="376" spans="1:11" ht="65.099999999999994" customHeight="1" x14ac:dyDescent="0.25">
      <c r="A376" s="191">
        <v>367</v>
      </c>
      <c r="B376" s="192"/>
      <c r="C376" s="192"/>
      <c r="D376" s="192"/>
      <c r="E376" s="53" t="s">
        <v>2599</v>
      </c>
      <c r="F376" s="193" t="s">
        <v>3354</v>
      </c>
      <c r="G376" s="193" t="s">
        <v>3363</v>
      </c>
      <c r="H376" s="194">
        <v>5232</v>
      </c>
      <c r="I376" s="195"/>
      <c r="J376" s="197"/>
      <c r="K376" s="53"/>
    </row>
    <row r="377" spans="1:11" ht="65.099999999999994" customHeight="1" x14ac:dyDescent="0.25">
      <c r="A377" s="191">
        <v>368</v>
      </c>
      <c r="B377" s="192"/>
      <c r="C377" s="192"/>
      <c r="D377" s="192"/>
      <c r="E377" s="53" t="s">
        <v>2600</v>
      </c>
      <c r="F377" s="193" t="s">
        <v>3354</v>
      </c>
      <c r="G377" s="193" t="s">
        <v>3363</v>
      </c>
      <c r="H377" s="194">
        <v>5232</v>
      </c>
      <c r="I377" s="195"/>
      <c r="J377" s="197"/>
      <c r="K377" s="53"/>
    </row>
    <row r="378" spans="1:11" ht="65.099999999999994" customHeight="1" x14ac:dyDescent="0.25">
      <c r="A378" s="191">
        <v>369</v>
      </c>
      <c r="B378" s="192"/>
      <c r="C378" s="192"/>
      <c r="D378" s="192"/>
      <c r="E378" s="53" t="s">
        <v>2601</v>
      </c>
      <c r="F378" s="193" t="s">
        <v>3354</v>
      </c>
      <c r="G378" s="193" t="s">
        <v>3363</v>
      </c>
      <c r="H378" s="194">
        <v>5232</v>
      </c>
      <c r="I378" s="195"/>
      <c r="J378" s="197"/>
      <c r="K378" s="53"/>
    </row>
    <row r="379" spans="1:11" ht="65.099999999999994" customHeight="1" x14ac:dyDescent="0.25">
      <c r="A379" s="191">
        <v>370</v>
      </c>
      <c r="B379" s="192"/>
      <c r="C379" s="192"/>
      <c r="D379" s="192"/>
      <c r="E379" s="53" t="s">
        <v>2602</v>
      </c>
      <c r="F379" s="193" t="s">
        <v>3354</v>
      </c>
      <c r="G379" s="193" t="s">
        <v>3363</v>
      </c>
      <c r="H379" s="194">
        <v>5232</v>
      </c>
      <c r="I379" s="195"/>
      <c r="J379" s="197"/>
      <c r="K379" s="53"/>
    </row>
    <row r="380" spans="1:11" ht="65.099999999999994" customHeight="1" x14ac:dyDescent="0.25">
      <c r="A380" s="191">
        <v>371</v>
      </c>
      <c r="B380" s="192"/>
      <c r="C380" s="192"/>
      <c r="D380" s="192"/>
      <c r="E380" s="53" t="s">
        <v>2603</v>
      </c>
      <c r="F380" s="193" t="s">
        <v>3354</v>
      </c>
      <c r="G380" s="193" t="s">
        <v>3363</v>
      </c>
      <c r="H380" s="194">
        <v>5232</v>
      </c>
      <c r="I380" s="195"/>
      <c r="J380" s="197"/>
      <c r="K380" s="53"/>
    </row>
    <row r="381" spans="1:11" ht="65.099999999999994" customHeight="1" x14ac:dyDescent="0.25">
      <c r="A381" s="191">
        <v>372</v>
      </c>
      <c r="B381" s="192"/>
      <c r="C381" s="192"/>
      <c r="D381" s="192"/>
      <c r="E381" s="53" t="s">
        <v>2604</v>
      </c>
      <c r="F381" s="193" t="s">
        <v>3354</v>
      </c>
      <c r="G381" s="193" t="s">
        <v>3363</v>
      </c>
      <c r="H381" s="194">
        <v>5232</v>
      </c>
      <c r="I381" s="195"/>
      <c r="J381" s="197"/>
      <c r="K381" s="53"/>
    </row>
    <row r="382" spans="1:11" ht="65.099999999999994" customHeight="1" x14ac:dyDescent="0.25">
      <c r="A382" s="191">
        <v>373</v>
      </c>
      <c r="B382" s="192"/>
      <c r="C382" s="192"/>
      <c r="D382" s="192"/>
      <c r="E382" s="53" t="s">
        <v>2605</v>
      </c>
      <c r="F382" s="193" t="s">
        <v>3355</v>
      </c>
      <c r="G382" s="193" t="s">
        <v>3363</v>
      </c>
      <c r="H382" s="194">
        <v>5232</v>
      </c>
      <c r="I382" s="195"/>
      <c r="J382" s="197"/>
      <c r="K382" s="53"/>
    </row>
    <row r="383" spans="1:11" ht="65.099999999999994" customHeight="1" x14ac:dyDescent="0.25">
      <c r="A383" s="191">
        <v>374</v>
      </c>
      <c r="B383" s="192"/>
      <c r="C383" s="192"/>
      <c r="D383" s="192"/>
      <c r="E383" s="53" t="s">
        <v>2606</v>
      </c>
      <c r="F383" s="193" t="s">
        <v>3355</v>
      </c>
      <c r="G383" s="193" t="s">
        <v>3363</v>
      </c>
      <c r="H383" s="194">
        <v>5232</v>
      </c>
      <c r="I383" s="195"/>
      <c r="J383" s="197"/>
      <c r="K383" s="53"/>
    </row>
    <row r="384" spans="1:11" ht="65.099999999999994" customHeight="1" x14ac:dyDescent="0.25">
      <c r="A384" s="191">
        <v>375</v>
      </c>
      <c r="B384" s="192"/>
      <c r="C384" s="192"/>
      <c r="D384" s="192"/>
      <c r="E384" s="53" t="s">
        <v>2607</v>
      </c>
      <c r="F384" s="193" t="s">
        <v>3355</v>
      </c>
      <c r="G384" s="193" t="s">
        <v>3363</v>
      </c>
      <c r="H384" s="194">
        <v>5232</v>
      </c>
      <c r="I384" s="195"/>
      <c r="J384" s="197"/>
      <c r="K384" s="53"/>
    </row>
    <row r="385" spans="1:11" ht="65.099999999999994" customHeight="1" x14ac:dyDescent="0.25">
      <c r="A385" s="191">
        <v>376</v>
      </c>
      <c r="B385" s="192"/>
      <c r="C385" s="192"/>
      <c r="D385" s="192"/>
      <c r="E385" s="53" t="s">
        <v>2608</v>
      </c>
      <c r="F385" s="193" t="s">
        <v>3355</v>
      </c>
      <c r="G385" s="193" t="s">
        <v>3363</v>
      </c>
      <c r="H385" s="194">
        <v>5232</v>
      </c>
      <c r="I385" s="195"/>
      <c r="J385" s="197"/>
      <c r="K385" s="53"/>
    </row>
    <row r="386" spans="1:11" ht="65.099999999999994" customHeight="1" x14ac:dyDescent="0.25">
      <c r="A386" s="191">
        <v>377</v>
      </c>
      <c r="B386" s="192"/>
      <c r="C386" s="192"/>
      <c r="D386" s="192"/>
      <c r="E386" s="53" t="s">
        <v>2609</v>
      </c>
      <c r="F386" s="193" t="s">
        <v>3355</v>
      </c>
      <c r="G386" s="193" t="s">
        <v>3363</v>
      </c>
      <c r="H386" s="194">
        <v>5232</v>
      </c>
      <c r="I386" s="195"/>
      <c r="J386" s="197"/>
      <c r="K386" s="53"/>
    </row>
    <row r="387" spans="1:11" ht="65.099999999999994" customHeight="1" x14ac:dyDescent="0.25">
      <c r="A387" s="191">
        <v>378</v>
      </c>
      <c r="B387" s="192"/>
      <c r="C387" s="192"/>
      <c r="D387" s="192"/>
      <c r="E387" s="53" t="s">
        <v>2610</v>
      </c>
      <c r="F387" s="193" t="s">
        <v>3355</v>
      </c>
      <c r="G387" s="193" t="s">
        <v>3363</v>
      </c>
      <c r="H387" s="194">
        <v>5232</v>
      </c>
      <c r="I387" s="195"/>
      <c r="J387" s="197"/>
      <c r="K387" s="53"/>
    </row>
    <row r="388" spans="1:11" ht="65.099999999999994" customHeight="1" x14ac:dyDescent="0.25">
      <c r="A388" s="191">
        <v>379</v>
      </c>
      <c r="B388" s="192"/>
      <c r="C388" s="192"/>
      <c r="D388" s="192"/>
      <c r="E388" s="53" t="s">
        <v>2611</v>
      </c>
      <c r="F388" s="193" t="s">
        <v>3355</v>
      </c>
      <c r="G388" s="193" t="s">
        <v>3363</v>
      </c>
      <c r="H388" s="194">
        <v>5232</v>
      </c>
      <c r="I388" s="195"/>
      <c r="J388" s="197"/>
      <c r="K388" s="53"/>
    </row>
    <row r="389" spans="1:11" ht="65.099999999999994" customHeight="1" x14ac:dyDescent="0.25">
      <c r="A389" s="191">
        <v>380</v>
      </c>
      <c r="B389" s="192"/>
      <c r="C389" s="192"/>
      <c r="D389" s="192"/>
      <c r="E389" s="53" t="s">
        <v>2612</v>
      </c>
      <c r="F389" s="193" t="s">
        <v>3355</v>
      </c>
      <c r="G389" s="193" t="s">
        <v>3363</v>
      </c>
      <c r="H389" s="194">
        <v>5232</v>
      </c>
      <c r="I389" s="195"/>
      <c r="J389" s="197"/>
      <c r="K389" s="53"/>
    </row>
    <row r="390" spans="1:11" ht="65.099999999999994" customHeight="1" x14ac:dyDescent="0.25">
      <c r="A390" s="191">
        <v>381</v>
      </c>
      <c r="B390" s="192"/>
      <c r="C390" s="192"/>
      <c r="D390" s="192"/>
      <c r="E390" s="53" t="s">
        <v>2613</v>
      </c>
      <c r="F390" s="193" t="s">
        <v>3355</v>
      </c>
      <c r="G390" s="193" t="s">
        <v>3363</v>
      </c>
      <c r="H390" s="194">
        <v>5232</v>
      </c>
      <c r="I390" s="195"/>
      <c r="J390" s="197"/>
      <c r="K390" s="53"/>
    </row>
    <row r="391" spans="1:11" ht="65.099999999999994" customHeight="1" x14ac:dyDescent="0.25">
      <c r="A391" s="191">
        <v>382</v>
      </c>
      <c r="B391" s="192"/>
      <c r="C391" s="192"/>
      <c r="D391" s="192"/>
      <c r="E391" s="53" t="s">
        <v>2614</v>
      </c>
      <c r="F391" s="193" t="s">
        <v>3355</v>
      </c>
      <c r="G391" s="193" t="s">
        <v>3363</v>
      </c>
      <c r="H391" s="194">
        <v>5232</v>
      </c>
      <c r="I391" s="195"/>
      <c r="J391" s="197"/>
      <c r="K391" s="53"/>
    </row>
    <row r="392" spans="1:11" ht="65.099999999999994" customHeight="1" x14ac:dyDescent="0.25">
      <c r="A392" s="191">
        <v>383</v>
      </c>
      <c r="B392" s="192"/>
      <c r="C392" s="192"/>
      <c r="D392" s="192"/>
      <c r="E392" s="53" t="s">
        <v>2615</v>
      </c>
      <c r="F392" s="193" t="s">
        <v>3355</v>
      </c>
      <c r="G392" s="193" t="s">
        <v>3363</v>
      </c>
      <c r="H392" s="194">
        <v>5232</v>
      </c>
      <c r="I392" s="195"/>
      <c r="J392" s="197"/>
      <c r="K392" s="53"/>
    </row>
    <row r="393" spans="1:11" ht="65.099999999999994" customHeight="1" x14ac:dyDescent="0.25">
      <c r="A393" s="191">
        <v>384</v>
      </c>
      <c r="B393" s="192"/>
      <c r="C393" s="192"/>
      <c r="D393" s="192"/>
      <c r="E393" s="53" t="s">
        <v>2616</v>
      </c>
      <c r="F393" s="193" t="s">
        <v>3355</v>
      </c>
      <c r="G393" s="193" t="s">
        <v>3363</v>
      </c>
      <c r="H393" s="194">
        <v>5232</v>
      </c>
      <c r="I393" s="195"/>
      <c r="J393" s="197"/>
      <c r="K393" s="53"/>
    </row>
    <row r="394" spans="1:11" ht="65.099999999999994" customHeight="1" x14ac:dyDescent="0.25">
      <c r="A394" s="191">
        <v>385</v>
      </c>
      <c r="B394" s="192"/>
      <c r="C394" s="192"/>
      <c r="D394" s="192"/>
      <c r="E394" s="53" t="s">
        <v>2617</v>
      </c>
      <c r="F394" s="193" t="s">
        <v>3355</v>
      </c>
      <c r="G394" s="193" t="s">
        <v>3363</v>
      </c>
      <c r="H394" s="194">
        <v>5232</v>
      </c>
      <c r="I394" s="195"/>
      <c r="J394" s="197"/>
      <c r="K394" s="53"/>
    </row>
    <row r="395" spans="1:11" ht="65.099999999999994" customHeight="1" x14ac:dyDescent="0.25">
      <c r="A395" s="191">
        <v>386</v>
      </c>
      <c r="B395" s="192"/>
      <c r="C395" s="192"/>
      <c r="D395" s="192"/>
      <c r="E395" s="53" t="s">
        <v>2618</v>
      </c>
      <c r="F395" s="193" t="s">
        <v>3355</v>
      </c>
      <c r="G395" s="193" t="s">
        <v>3363</v>
      </c>
      <c r="H395" s="194">
        <v>5232</v>
      </c>
      <c r="I395" s="195"/>
      <c r="J395" s="197"/>
      <c r="K395" s="53"/>
    </row>
    <row r="396" spans="1:11" ht="65.099999999999994" customHeight="1" x14ac:dyDescent="0.25">
      <c r="A396" s="191">
        <v>387</v>
      </c>
      <c r="B396" s="192"/>
      <c r="C396" s="192"/>
      <c r="D396" s="192"/>
      <c r="E396" s="53" t="s">
        <v>2619</v>
      </c>
      <c r="F396" s="193" t="s">
        <v>3355</v>
      </c>
      <c r="G396" s="193" t="s">
        <v>3363</v>
      </c>
      <c r="H396" s="194">
        <v>5232</v>
      </c>
      <c r="I396" s="195"/>
      <c r="J396" s="197"/>
      <c r="K396" s="53"/>
    </row>
    <row r="397" spans="1:11" ht="65.099999999999994" customHeight="1" x14ac:dyDescent="0.25">
      <c r="A397" s="191">
        <v>388</v>
      </c>
      <c r="B397" s="192"/>
      <c r="C397" s="192"/>
      <c r="D397" s="192"/>
      <c r="E397" s="53" t="s">
        <v>2620</v>
      </c>
      <c r="F397" s="193" t="s">
        <v>3355</v>
      </c>
      <c r="G397" s="193" t="s">
        <v>3363</v>
      </c>
      <c r="H397" s="194">
        <v>5232</v>
      </c>
      <c r="I397" s="195"/>
      <c r="J397" s="197"/>
      <c r="K397" s="53"/>
    </row>
    <row r="398" spans="1:11" ht="65.099999999999994" customHeight="1" x14ac:dyDescent="0.25">
      <c r="A398" s="191">
        <v>389</v>
      </c>
      <c r="B398" s="192"/>
      <c r="C398" s="192"/>
      <c r="D398" s="192"/>
      <c r="E398" s="53" t="s">
        <v>2621</v>
      </c>
      <c r="F398" s="193" t="s">
        <v>3355</v>
      </c>
      <c r="G398" s="193" t="s">
        <v>3363</v>
      </c>
      <c r="H398" s="194">
        <v>5232</v>
      </c>
      <c r="I398" s="195"/>
      <c r="J398" s="197"/>
      <c r="K398" s="53"/>
    </row>
    <row r="399" spans="1:11" ht="65.099999999999994" customHeight="1" x14ac:dyDescent="0.25">
      <c r="A399" s="191">
        <v>390</v>
      </c>
      <c r="B399" s="192"/>
      <c r="C399" s="192"/>
      <c r="D399" s="192"/>
      <c r="E399" s="53" t="s">
        <v>2622</v>
      </c>
      <c r="F399" s="193" t="s">
        <v>3355</v>
      </c>
      <c r="G399" s="193" t="s">
        <v>3363</v>
      </c>
      <c r="H399" s="194">
        <v>5232</v>
      </c>
      <c r="I399" s="195"/>
      <c r="J399" s="197"/>
      <c r="K399" s="53"/>
    </row>
    <row r="400" spans="1:11" ht="65.099999999999994" customHeight="1" x14ac:dyDescent="0.25">
      <c r="A400" s="191">
        <v>391</v>
      </c>
      <c r="B400" s="192"/>
      <c r="C400" s="192"/>
      <c r="D400" s="192"/>
      <c r="E400" s="53" t="s">
        <v>2623</v>
      </c>
      <c r="F400" s="193" t="s">
        <v>3355</v>
      </c>
      <c r="G400" s="193" t="s">
        <v>3363</v>
      </c>
      <c r="H400" s="194">
        <v>5232</v>
      </c>
      <c r="I400" s="195"/>
      <c r="J400" s="197"/>
      <c r="K400" s="53"/>
    </row>
    <row r="401" spans="1:11" ht="65.099999999999994" customHeight="1" x14ac:dyDescent="0.25">
      <c r="A401" s="191">
        <v>392</v>
      </c>
      <c r="B401" s="192"/>
      <c r="C401" s="192"/>
      <c r="D401" s="192"/>
      <c r="E401" s="53" t="s">
        <v>2624</v>
      </c>
      <c r="F401" s="193" t="s">
        <v>3355</v>
      </c>
      <c r="G401" s="193" t="s">
        <v>3363</v>
      </c>
      <c r="H401" s="194">
        <v>5232</v>
      </c>
      <c r="I401" s="195"/>
      <c r="J401" s="197"/>
      <c r="K401" s="53"/>
    </row>
    <row r="402" spans="1:11" ht="65.099999999999994" customHeight="1" x14ac:dyDescent="0.25">
      <c r="A402" s="191">
        <v>393</v>
      </c>
      <c r="B402" s="192"/>
      <c r="C402" s="192"/>
      <c r="D402" s="192"/>
      <c r="E402" s="53" t="s">
        <v>2625</v>
      </c>
      <c r="F402" s="193" t="s">
        <v>3355</v>
      </c>
      <c r="G402" s="193" t="s">
        <v>3363</v>
      </c>
      <c r="H402" s="194">
        <v>5232</v>
      </c>
      <c r="I402" s="195"/>
      <c r="J402" s="197"/>
      <c r="K402" s="53"/>
    </row>
    <row r="403" spans="1:11" ht="65.099999999999994" customHeight="1" x14ac:dyDescent="0.25">
      <c r="A403" s="191">
        <v>394</v>
      </c>
      <c r="B403" s="192"/>
      <c r="C403" s="192"/>
      <c r="D403" s="192"/>
      <c r="E403" s="53" t="s">
        <v>2626</v>
      </c>
      <c r="F403" s="193" t="s">
        <v>3355</v>
      </c>
      <c r="G403" s="193" t="s">
        <v>3363</v>
      </c>
      <c r="H403" s="194">
        <v>5232</v>
      </c>
      <c r="I403" s="195"/>
      <c r="J403" s="197"/>
      <c r="K403" s="53"/>
    </row>
    <row r="404" spans="1:11" ht="65.099999999999994" customHeight="1" x14ac:dyDescent="0.25">
      <c r="A404" s="191">
        <v>395</v>
      </c>
      <c r="B404" s="192"/>
      <c r="C404" s="192"/>
      <c r="D404" s="192"/>
      <c r="E404" s="53" t="s">
        <v>2627</v>
      </c>
      <c r="F404" s="193" t="s">
        <v>3355</v>
      </c>
      <c r="G404" s="193" t="s">
        <v>3363</v>
      </c>
      <c r="H404" s="194">
        <v>5232</v>
      </c>
      <c r="I404" s="195"/>
      <c r="J404" s="197"/>
      <c r="K404" s="53"/>
    </row>
    <row r="405" spans="1:11" ht="65.099999999999994" customHeight="1" x14ac:dyDescent="0.25">
      <c r="A405" s="191">
        <v>396</v>
      </c>
      <c r="B405" s="192"/>
      <c r="C405" s="192"/>
      <c r="D405" s="192"/>
      <c r="E405" s="53" t="s">
        <v>2628</v>
      </c>
      <c r="F405" s="193" t="s">
        <v>3355</v>
      </c>
      <c r="G405" s="193" t="s">
        <v>3363</v>
      </c>
      <c r="H405" s="194">
        <v>5232</v>
      </c>
      <c r="I405" s="195"/>
      <c r="J405" s="197"/>
      <c r="K405" s="53"/>
    </row>
    <row r="406" spans="1:11" ht="65.099999999999994" customHeight="1" x14ac:dyDescent="0.25">
      <c r="A406" s="191">
        <v>397</v>
      </c>
      <c r="B406" s="192"/>
      <c r="C406" s="192"/>
      <c r="D406" s="192"/>
      <c r="E406" s="53" t="s">
        <v>2629</v>
      </c>
      <c r="F406" s="193" t="s">
        <v>3355</v>
      </c>
      <c r="G406" s="193" t="s">
        <v>3363</v>
      </c>
      <c r="H406" s="194">
        <v>5232</v>
      </c>
      <c r="I406" s="195"/>
      <c r="J406" s="197"/>
      <c r="K406" s="53"/>
    </row>
    <row r="407" spans="1:11" ht="65.099999999999994" customHeight="1" x14ac:dyDescent="0.25">
      <c r="A407" s="191">
        <v>398</v>
      </c>
      <c r="B407" s="192"/>
      <c r="C407" s="192"/>
      <c r="D407" s="192"/>
      <c r="E407" s="53" t="s">
        <v>2630</v>
      </c>
      <c r="F407" s="193" t="s">
        <v>3355</v>
      </c>
      <c r="G407" s="193" t="s">
        <v>3363</v>
      </c>
      <c r="H407" s="194">
        <v>5232</v>
      </c>
      <c r="I407" s="195"/>
      <c r="J407" s="197"/>
      <c r="K407" s="53"/>
    </row>
    <row r="408" spans="1:11" ht="65.099999999999994" customHeight="1" x14ac:dyDescent="0.25">
      <c r="A408" s="191">
        <v>399</v>
      </c>
      <c r="B408" s="192"/>
      <c r="C408" s="192"/>
      <c r="D408" s="192"/>
      <c r="E408" s="53" t="s">
        <v>2631</v>
      </c>
      <c r="F408" s="193" t="s">
        <v>3355</v>
      </c>
      <c r="G408" s="193" t="s">
        <v>3363</v>
      </c>
      <c r="H408" s="194">
        <v>5232</v>
      </c>
      <c r="I408" s="195"/>
      <c r="J408" s="197"/>
      <c r="K408" s="53"/>
    </row>
    <row r="409" spans="1:11" ht="65.099999999999994" customHeight="1" x14ac:dyDescent="0.25">
      <c r="A409" s="191">
        <v>400</v>
      </c>
      <c r="B409" s="192"/>
      <c r="C409" s="192"/>
      <c r="D409" s="192"/>
      <c r="E409" s="53" t="s">
        <v>2632</v>
      </c>
      <c r="F409" s="193" t="s">
        <v>3355</v>
      </c>
      <c r="G409" s="193" t="s">
        <v>3363</v>
      </c>
      <c r="H409" s="194">
        <v>5232</v>
      </c>
      <c r="I409" s="195"/>
      <c r="J409" s="197"/>
      <c r="K409" s="53"/>
    </row>
    <row r="410" spans="1:11" ht="65.099999999999994" customHeight="1" x14ac:dyDescent="0.25">
      <c r="A410" s="191">
        <v>401</v>
      </c>
      <c r="B410" s="192"/>
      <c r="C410" s="192"/>
      <c r="D410" s="192"/>
      <c r="E410" s="53" t="s">
        <v>2633</v>
      </c>
      <c r="F410" s="193" t="s">
        <v>3355</v>
      </c>
      <c r="G410" s="193" t="s">
        <v>3363</v>
      </c>
      <c r="H410" s="194">
        <v>5232</v>
      </c>
      <c r="I410" s="195"/>
      <c r="J410" s="197"/>
      <c r="K410" s="53"/>
    </row>
    <row r="411" spans="1:11" ht="65.099999999999994" customHeight="1" x14ac:dyDescent="0.25">
      <c r="A411" s="191">
        <v>402</v>
      </c>
      <c r="B411" s="192"/>
      <c r="C411" s="192"/>
      <c r="D411" s="192"/>
      <c r="E411" s="53" t="s">
        <v>2634</v>
      </c>
      <c r="F411" s="193" t="s">
        <v>3355</v>
      </c>
      <c r="G411" s="193" t="s">
        <v>3363</v>
      </c>
      <c r="H411" s="194">
        <v>5232</v>
      </c>
      <c r="I411" s="195"/>
      <c r="J411" s="197"/>
      <c r="K411" s="53"/>
    </row>
    <row r="412" spans="1:11" ht="65.099999999999994" customHeight="1" x14ac:dyDescent="0.25">
      <c r="A412" s="191">
        <v>403</v>
      </c>
      <c r="B412" s="192"/>
      <c r="C412" s="192"/>
      <c r="D412" s="192"/>
      <c r="E412" s="53" t="s">
        <v>2635</v>
      </c>
      <c r="F412" s="193" t="s">
        <v>3355</v>
      </c>
      <c r="G412" s="193" t="s">
        <v>3363</v>
      </c>
      <c r="H412" s="194">
        <v>5232</v>
      </c>
      <c r="I412" s="195"/>
      <c r="J412" s="197"/>
      <c r="K412" s="53"/>
    </row>
    <row r="413" spans="1:11" ht="65.099999999999994" customHeight="1" x14ac:dyDescent="0.25">
      <c r="A413" s="191">
        <v>404</v>
      </c>
      <c r="B413" s="192"/>
      <c r="C413" s="192"/>
      <c r="D413" s="192"/>
      <c r="E413" s="53" t="s">
        <v>2636</v>
      </c>
      <c r="F413" s="193" t="s">
        <v>3355</v>
      </c>
      <c r="G413" s="193" t="s">
        <v>3363</v>
      </c>
      <c r="H413" s="194">
        <v>5232</v>
      </c>
      <c r="I413" s="195"/>
      <c r="J413" s="197"/>
      <c r="K413" s="53"/>
    </row>
    <row r="414" spans="1:11" ht="65.099999999999994" customHeight="1" x14ac:dyDescent="0.25">
      <c r="A414" s="191">
        <v>405</v>
      </c>
      <c r="B414" s="192"/>
      <c r="C414" s="192"/>
      <c r="D414" s="192"/>
      <c r="E414" s="53" t="s">
        <v>2637</v>
      </c>
      <c r="F414" s="193" t="s">
        <v>3355</v>
      </c>
      <c r="G414" s="193" t="s">
        <v>3363</v>
      </c>
      <c r="H414" s="194">
        <v>5232</v>
      </c>
      <c r="I414" s="195"/>
      <c r="J414" s="197"/>
      <c r="K414" s="53"/>
    </row>
    <row r="415" spans="1:11" ht="65.099999999999994" customHeight="1" x14ac:dyDescent="0.25">
      <c r="A415" s="191">
        <v>406</v>
      </c>
      <c r="B415" s="192"/>
      <c r="C415" s="192"/>
      <c r="D415" s="192"/>
      <c r="E415" s="53" t="s">
        <v>2638</v>
      </c>
      <c r="F415" s="193" t="s">
        <v>3355</v>
      </c>
      <c r="G415" s="193" t="s">
        <v>3363</v>
      </c>
      <c r="H415" s="194">
        <v>5232</v>
      </c>
      <c r="I415" s="195"/>
      <c r="J415" s="197"/>
      <c r="K415" s="53"/>
    </row>
    <row r="416" spans="1:11" ht="65.099999999999994" customHeight="1" x14ac:dyDescent="0.25">
      <c r="A416" s="191">
        <v>407</v>
      </c>
      <c r="B416" s="192"/>
      <c r="C416" s="192"/>
      <c r="D416" s="192"/>
      <c r="E416" s="53" t="s">
        <v>2639</v>
      </c>
      <c r="F416" s="193" t="s">
        <v>3355</v>
      </c>
      <c r="G416" s="193" t="s">
        <v>3363</v>
      </c>
      <c r="H416" s="194">
        <v>5232</v>
      </c>
      <c r="I416" s="195"/>
      <c r="J416" s="197"/>
      <c r="K416" s="53"/>
    </row>
    <row r="417" spans="1:11" ht="65.099999999999994" customHeight="1" x14ac:dyDescent="0.25">
      <c r="A417" s="191">
        <v>408</v>
      </c>
      <c r="B417" s="192"/>
      <c r="C417" s="192"/>
      <c r="D417" s="192"/>
      <c r="E417" s="53" t="s">
        <v>2640</v>
      </c>
      <c r="F417" s="193" t="s">
        <v>3355</v>
      </c>
      <c r="G417" s="193" t="s">
        <v>3363</v>
      </c>
      <c r="H417" s="194">
        <v>5232</v>
      </c>
      <c r="I417" s="195"/>
      <c r="J417" s="197"/>
      <c r="K417" s="53"/>
    </row>
    <row r="418" spans="1:11" ht="65.099999999999994" customHeight="1" x14ac:dyDescent="0.25">
      <c r="A418" s="191">
        <v>409</v>
      </c>
      <c r="B418" s="192"/>
      <c r="C418" s="192"/>
      <c r="D418" s="192"/>
      <c r="E418" s="53" t="s">
        <v>2641</v>
      </c>
      <c r="F418" s="193" t="s">
        <v>3355</v>
      </c>
      <c r="G418" s="193" t="s">
        <v>3363</v>
      </c>
      <c r="H418" s="194">
        <v>5232</v>
      </c>
      <c r="I418" s="195"/>
      <c r="J418" s="197"/>
      <c r="K418" s="53"/>
    </row>
    <row r="419" spans="1:11" ht="65.099999999999994" customHeight="1" x14ac:dyDescent="0.25">
      <c r="A419" s="191">
        <v>410</v>
      </c>
      <c r="B419" s="192"/>
      <c r="C419" s="192"/>
      <c r="D419" s="192"/>
      <c r="E419" s="53" t="s">
        <v>2642</v>
      </c>
      <c r="F419" s="193" t="s">
        <v>3355</v>
      </c>
      <c r="G419" s="193" t="s">
        <v>3363</v>
      </c>
      <c r="H419" s="194">
        <v>5232</v>
      </c>
      <c r="I419" s="195"/>
      <c r="J419" s="197"/>
      <c r="K419" s="53"/>
    </row>
    <row r="420" spans="1:11" ht="65.099999999999994" customHeight="1" x14ac:dyDescent="0.25">
      <c r="A420" s="191">
        <v>411</v>
      </c>
      <c r="B420" s="192"/>
      <c r="C420" s="192"/>
      <c r="D420" s="192"/>
      <c r="E420" s="53" t="s">
        <v>2643</v>
      </c>
      <c r="F420" s="193" t="s">
        <v>3356</v>
      </c>
      <c r="G420" s="193" t="s">
        <v>3363</v>
      </c>
      <c r="H420" s="194">
        <v>5232</v>
      </c>
      <c r="I420" s="195"/>
      <c r="J420" s="197"/>
      <c r="K420" s="53"/>
    </row>
    <row r="421" spans="1:11" ht="65.099999999999994" customHeight="1" x14ac:dyDescent="0.25">
      <c r="A421" s="191">
        <v>412</v>
      </c>
      <c r="B421" s="192"/>
      <c r="C421" s="192"/>
      <c r="D421" s="192"/>
      <c r="E421" s="53" t="s">
        <v>2644</v>
      </c>
      <c r="F421" s="193" t="s">
        <v>3356</v>
      </c>
      <c r="G421" s="193" t="s">
        <v>3363</v>
      </c>
      <c r="H421" s="194">
        <v>5232</v>
      </c>
      <c r="I421" s="195"/>
      <c r="J421" s="197"/>
      <c r="K421" s="53"/>
    </row>
    <row r="422" spans="1:11" ht="65.099999999999994" customHeight="1" x14ac:dyDescent="0.25">
      <c r="A422" s="191">
        <v>413</v>
      </c>
      <c r="B422" s="192"/>
      <c r="C422" s="192"/>
      <c r="D422" s="192"/>
      <c r="E422" s="53" t="s">
        <v>2645</v>
      </c>
      <c r="F422" s="193" t="s">
        <v>3356</v>
      </c>
      <c r="G422" s="193" t="s">
        <v>3363</v>
      </c>
      <c r="H422" s="194">
        <v>5232</v>
      </c>
      <c r="I422" s="195"/>
      <c r="J422" s="197"/>
      <c r="K422" s="53"/>
    </row>
    <row r="423" spans="1:11" ht="65.099999999999994" customHeight="1" x14ac:dyDescent="0.25">
      <c r="A423" s="191">
        <v>414</v>
      </c>
      <c r="B423" s="192"/>
      <c r="C423" s="192"/>
      <c r="D423" s="192"/>
      <c r="E423" s="53" t="s">
        <v>2646</v>
      </c>
      <c r="F423" s="193" t="s">
        <v>3356</v>
      </c>
      <c r="G423" s="193" t="s">
        <v>3363</v>
      </c>
      <c r="H423" s="194">
        <v>5232</v>
      </c>
      <c r="I423" s="195"/>
      <c r="J423" s="197"/>
      <c r="K423" s="53"/>
    </row>
    <row r="424" spans="1:11" ht="65.099999999999994" customHeight="1" x14ac:dyDescent="0.25">
      <c r="A424" s="191">
        <v>415</v>
      </c>
      <c r="B424" s="192"/>
      <c r="C424" s="192"/>
      <c r="D424" s="192"/>
      <c r="E424" s="53" t="s">
        <v>2647</v>
      </c>
      <c r="F424" s="193" t="s">
        <v>3356</v>
      </c>
      <c r="G424" s="193" t="s">
        <v>3363</v>
      </c>
      <c r="H424" s="194">
        <v>5232</v>
      </c>
      <c r="I424" s="195"/>
      <c r="J424" s="197"/>
      <c r="K424" s="53"/>
    </row>
    <row r="425" spans="1:11" ht="65.099999999999994" customHeight="1" x14ac:dyDescent="0.25">
      <c r="A425" s="191">
        <v>416</v>
      </c>
      <c r="B425" s="192"/>
      <c r="C425" s="192"/>
      <c r="D425" s="192"/>
      <c r="E425" s="53" t="s">
        <v>2648</v>
      </c>
      <c r="F425" s="193" t="s">
        <v>3356</v>
      </c>
      <c r="G425" s="193" t="s">
        <v>3363</v>
      </c>
      <c r="H425" s="194">
        <v>5232</v>
      </c>
      <c r="I425" s="195"/>
      <c r="J425" s="197"/>
      <c r="K425" s="53"/>
    </row>
    <row r="426" spans="1:11" ht="65.099999999999994" customHeight="1" x14ac:dyDescent="0.25">
      <c r="A426" s="191">
        <v>417</v>
      </c>
      <c r="B426" s="192"/>
      <c r="C426" s="192"/>
      <c r="D426" s="192"/>
      <c r="E426" s="53" t="s">
        <v>2649</v>
      </c>
      <c r="F426" s="193" t="s">
        <v>3356</v>
      </c>
      <c r="G426" s="193" t="s">
        <v>3363</v>
      </c>
      <c r="H426" s="194">
        <v>5232</v>
      </c>
      <c r="I426" s="195"/>
      <c r="J426" s="197"/>
      <c r="K426" s="53"/>
    </row>
    <row r="427" spans="1:11" ht="65.099999999999994" customHeight="1" x14ac:dyDescent="0.25">
      <c r="A427" s="191">
        <v>418</v>
      </c>
      <c r="B427" s="192"/>
      <c r="C427" s="192"/>
      <c r="D427" s="192"/>
      <c r="E427" s="53" t="s">
        <v>2650</v>
      </c>
      <c r="F427" s="193" t="s">
        <v>3356</v>
      </c>
      <c r="G427" s="193" t="s">
        <v>3363</v>
      </c>
      <c r="H427" s="194">
        <v>5232</v>
      </c>
      <c r="I427" s="195"/>
      <c r="J427" s="197"/>
      <c r="K427" s="53"/>
    </row>
    <row r="428" spans="1:11" ht="65.099999999999994" customHeight="1" x14ac:dyDescent="0.25">
      <c r="A428" s="191">
        <v>419</v>
      </c>
      <c r="B428" s="192"/>
      <c r="C428" s="192"/>
      <c r="D428" s="192"/>
      <c r="E428" s="53" t="s">
        <v>2651</v>
      </c>
      <c r="F428" s="193" t="s">
        <v>3356</v>
      </c>
      <c r="G428" s="193" t="s">
        <v>3363</v>
      </c>
      <c r="H428" s="194">
        <v>5232</v>
      </c>
      <c r="I428" s="195"/>
      <c r="J428" s="197"/>
      <c r="K428" s="53"/>
    </row>
    <row r="429" spans="1:11" ht="65.099999999999994" customHeight="1" x14ac:dyDescent="0.25">
      <c r="A429" s="191">
        <v>420</v>
      </c>
      <c r="B429" s="192"/>
      <c r="C429" s="192"/>
      <c r="D429" s="192"/>
      <c r="E429" s="53" t="s">
        <v>2652</v>
      </c>
      <c r="F429" s="193" t="s">
        <v>3356</v>
      </c>
      <c r="G429" s="193" t="s">
        <v>3363</v>
      </c>
      <c r="H429" s="194">
        <v>5232</v>
      </c>
      <c r="I429" s="195"/>
      <c r="J429" s="197"/>
      <c r="K429" s="53"/>
    </row>
    <row r="430" spans="1:11" ht="65.099999999999994" customHeight="1" x14ac:dyDescent="0.25">
      <c r="A430" s="191">
        <v>421</v>
      </c>
      <c r="B430" s="192"/>
      <c r="C430" s="192"/>
      <c r="D430" s="192"/>
      <c r="E430" s="53" t="s">
        <v>2653</v>
      </c>
      <c r="F430" s="193" t="s">
        <v>3356</v>
      </c>
      <c r="G430" s="193" t="s">
        <v>3363</v>
      </c>
      <c r="H430" s="194">
        <v>5232</v>
      </c>
      <c r="I430" s="195"/>
      <c r="J430" s="197"/>
      <c r="K430" s="53"/>
    </row>
    <row r="431" spans="1:11" ht="65.099999999999994" customHeight="1" x14ac:dyDescent="0.25">
      <c r="A431" s="191">
        <v>422</v>
      </c>
      <c r="B431" s="192"/>
      <c r="C431" s="192"/>
      <c r="D431" s="192"/>
      <c r="E431" s="53" t="s">
        <v>2654</v>
      </c>
      <c r="F431" s="193" t="s">
        <v>3356</v>
      </c>
      <c r="G431" s="193" t="s">
        <v>3363</v>
      </c>
      <c r="H431" s="194">
        <v>5232</v>
      </c>
      <c r="I431" s="195"/>
      <c r="J431" s="197"/>
      <c r="K431" s="53"/>
    </row>
    <row r="432" spans="1:11" ht="65.099999999999994" customHeight="1" x14ac:dyDescent="0.25">
      <c r="A432" s="191">
        <v>423</v>
      </c>
      <c r="B432" s="192"/>
      <c r="C432" s="192"/>
      <c r="D432" s="192"/>
      <c r="E432" s="53" t="s">
        <v>2655</v>
      </c>
      <c r="F432" s="193" t="s">
        <v>3356</v>
      </c>
      <c r="G432" s="193" t="s">
        <v>3363</v>
      </c>
      <c r="H432" s="194">
        <v>5232</v>
      </c>
      <c r="I432" s="195"/>
      <c r="J432" s="197"/>
      <c r="K432" s="53"/>
    </row>
    <row r="433" spans="1:11" ht="65.099999999999994" customHeight="1" x14ac:dyDescent="0.25">
      <c r="A433" s="191">
        <v>424</v>
      </c>
      <c r="B433" s="192"/>
      <c r="C433" s="192"/>
      <c r="D433" s="192"/>
      <c r="E433" s="53" t="s">
        <v>2656</v>
      </c>
      <c r="F433" s="193" t="s">
        <v>3356</v>
      </c>
      <c r="G433" s="193" t="s">
        <v>3363</v>
      </c>
      <c r="H433" s="194">
        <v>5232</v>
      </c>
      <c r="I433" s="195"/>
      <c r="J433" s="197"/>
      <c r="K433" s="53"/>
    </row>
    <row r="434" spans="1:11" ht="65.099999999999994" customHeight="1" x14ac:dyDescent="0.25">
      <c r="A434" s="191">
        <v>425</v>
      </c>
      <c r="B434" s="192"/>
      <c r="C434" s="192"/>
      <c r="D434" s="192"/>
      <c r="E434" s="53" t="s">
        <v>2657</v>
      </c>
      <c r="F434" s="193" t="s">
        <v>3356</v>
      </c>
      <c r="G434" s="193" t="s">
        <v>3363</v>
      </c>
      <c r="H434" s="194">
        <v>5232</v>
      </c>
      <c r="I434" s="195"/>
      <c r="J434" s="197"/>
      <c r="K434" s="53"/>
    </row>
    <row r="435" spans="1:11" ht="65.099999999999994" customHeight="1" x14ac:dyDescent="0.25">
      <c r="A435" s="191">
        <v>426</v>
      </c>
      <c r="B435" s="192"/>
      <c r="C435" s="192"/>
      <c r="D435" s="192"/>
      <c r="E435" s="53" t="s">
        <v>2658</v>
      </c>
      <c r="F435" s="193" t="s">
        <v>3356</v>
      </c>
      <c r="G435" s="193" t="s">
        <v>3363</v>
      </c>
      <c r="H435" s="194">
        <v>5232</v>
      </c>
      <c r="I435" s="195"/>
      <c r="J435" s="197"/>
      <c r="K435" s="53"/>
    </row>
    <row r="436" spans="1:11" ht="65.099999999999994" customHeight="1" x14ac:dyDescent="0.25">
      <c r="A436" s="191">
        <v>427</v>
      </c>
      <c r="B436" s="192"/>
      <c r="C436" s="192"/>
      <c r="D436" s="192"/>
      <c r="E436" s="53" t="s">
        <v>2659</v>
      </c>
      <c r="F436" s="193" t="s">
        <v>3356</v>
      </c>
      <c r="G436" s="193" t="s">
        <v>3363</v>
      </c>
      <c r="H436" s="194">
        <v>5232</v>
      </c>
      <c r="I436" s="195"/>
      <c r="J436" s="197"/>
      <c r="K436" s="53"/>
    </row>
    <row r="437" spans="1:11" ht="65.099999999999994" customHeight="1" x14ac:dyDescent="0.25">
      <c r="A437" s="191">
        <v>428</v>
      </c>
      <c r="B437" s="192"/>
      <c r="C437" s="192"/>
      <c r="D437" s="192"/>
      <c r="E437" s="53" t="s">
        <v>2660</v>
      </c>
      <c r="F437" s="193" t="s">
        <v>3356</v>
      </c>
      <c r="G437" s="193" t="s">
        <v>3363</v>
      </c>
      <c r="H437" s="194">
        <v>5232</v>
      </c>
      <c r="I437" s="195"/>
      <c r="J437" s="197"/>
      <c r="K437" s="53"/>
    </row>
    <row r="438" spans="1:11" ht="65.099999999999994" customHeight="1" x14ac:dyDescent="0.25">
      <c r="A438" s="191">
        <v>429</v>
      </c>
      <c r="B438" s="192"/>
      <c r="C438" s="192"/>
      <c r="D438" s="192"/>
      <c r="E438" s="53" t="s">
        <v>2661</v>
      </c>
      <c r="F438" s="193" t="s">
        <v>3356</v>
      </c>
      <c r="G438" s="193" t="s">
        <v>3363</v>
      </c>
      <c r="H438" s="194">
        <v>5232</v>
      </c>
      <c r="I438" s="195"/>
      <c r="J438" s="197"/>
      <c r="K438" s="53"/>
    </row>
    <row r="439" spans="1:11" ht="65.099999999999994" customHeight="1" x14ac:dyDescent="0.25">
      <c r="A439" s="191">
        <v>430</v>
      </c>
      <c r="B439" s="192"/>
      <c r="C439" s="192"/>
      <c r="D439" s="192"/>
      <c r="E439" s="53" t="s">
        <v>2662</v>
      </c>
      <c r="F439" s="193" t="s">
        <v>3356</v>
      </c>
      <c r="G439" s="193" t="s">
        <v>3363</v>
      </c>
      <c r="H439" s="194">
        <v>5232</v>
      </c>
      <c r="I439" s="195"/>
      <c r="J439" s="197"/>
      <c r="K439" s="53"/>
    </row>
    <row r="440" spans="1:11" ht="65.099999999999994" customHeight="1" x14ac:dyDescent="0.25">
      <c r="A440" s="191">
        <v>431</v>
      </c>
      <c r="B440" s="192"/>
      <c r="C440" s="192"/>
      <c r="D440" s="192"/>
      <c r="E440" s="53" t="s">
        <v>2663</v>
      </c>
      <c r="F440" s="193" t="s">
        <v>3356</v>
      </c>
      <c r="G440" s="193" t="s">
        <v>3363</v>
      </c>
      <c r="H440" s="194">
        <v>5232</v>
      </c>
      <c r="I440" s="195"/>
      <c r="J440" s="197"/>
      <c r="K440" s="53"/>
    </row>
    <row r="441" spans="1:11" ht="65.099999999999994" customHeight="1" x14ac:dyDescent="0.25">
      <c r="A441" s="191">
        <v>432</v>
      </c>
      <c r="B441" s="192"/>
      <c r="C441" s="192"/>
      <c r="D441" s="192"/>
      <c r="E441" s="53" t="s">
        <v>2664</v>
      </c>
      <c r="F441" s="193" t="s">
        <v>3356</v>
      </c>
      <c r="G441" s="193" t="s">
        <v>3363</v>
      </c>
      <c r="H441" s="194">
        <v>5232</v>
      </c>
      <c r="I441" s="195"/>
      <c r="J441" s="197"/>
      <c r="K441" s="53"/>
    </row>
    <row r="442" spans="1:11" ht="65.099999999999994" customHeight="1" x14ac:dyDescent="0.25">
      <c r="A442" s="191">
        <v>433</v>
      </c>
      <c r="B442" s="192"/>
      <c r="C442" s="192"/>
      <c r="D442" s="192"/>
      <c r="E442" s="53" t="s">
        <v>2665</v>
      </c>
      <c r="F442" s="193" t="s">
        <v>3356</v>
      </c>
      <c r="G442" s="193" t="s">
        <v>3363</v>
      </c>
      <c r="H442" s="194">
        <v>5232</v>
      </c>
      <c r="I442" s="195"/>
      <c r="J442" s="197"/>
      <c r="K442" s="53"/>
    </row>
    <row r="443" spans="1:11" ht="65.099999999999994" customHeight="1" x14ac:dyDescent="0.25">
      <c r="A443" s="191">
        <v>434</v>
      </c>
      <c r="B443" s="192"/>
      <c r="C443" s="192"/>
      <c r="D443" s="192"/>
      <c r="E443" s="53" t="s">
        <v>2666</v>
      </c>
      <c r="F443" s="193" t="s">
        <v>3356</v>
      </c>
      <c r="G443" s="193" t="s">
        <v>3363</v>
      </c>
      <c r="H443" s="194">
        <v>5232</v>
      </c>
      <c r="I443" s="195"/>
      <c r="J443" s="197"/>
      <c r="K443" s="53"/>
    </row>
    <row r="444" spans="1:11" ht="65.099999999999994" customHeight="1" x14ac:dyDescent="0.25">
      <c r="A444" s="191">
        <v>435</v>
      </c>
      <c r="B444" s="192"/>
      <c r="C444" s="192"/>
      <c r="D444" s="192"/>
      <c r="E444" s="53" t="s">
        <v>2667</v>
      </c>
      <c r="F444" s="193" t="s">
        <v>3356</v>
      </c>
      <c r="G444" s="193" t="s">
        <v>3363</v>
      </c>
      <c r="H444" s="194">
        <v>5232</v>
      </c>
      <c r="I444" s="195"/>
      <c r="J444" s="197"/>
      <c r="K444" s="53"/>
    </row>
    <row r="445" spans="1:11" ht="65.099999999999994" customHeight="1" x14ac:dyDescent="0.25">
      <c r="A445" s="191">
        <v>436</v>
      </c>
      <c r="B445" s="192"/>
      <c r="C445" s="192"/>
      <c r="D445" s="192"/>
      <c r="E445" s="53" t="s">
        <v>2668</v>
      </c>
      <c r="F445" s="193" t="s">
        <v>3356</v>
      </c>
      <c r="G445" s="193" t="s">
        <v>3363</v>
      </c>
      <c r="H445" s="194">
        <v>5232</v>
      </c>
      <c r="I445" s="195"/>
      <c r="J445" s="197"/>
      <c r="K445" s="53"/>
    </row>
    <row r="446" spans="1:11" ht="65.099999999999994" customHeight="1" x14ac:dyDescent="0.25">
      <c r="A446" s="191">
        <v>437</v>
      </c>
      <c r="B446" s="192"/>
      <c r="C446" s="192"/>
      <c r="D446" s="192"/>
      <c r="E446" s="53" t="s">
        <v>2669</v>
      </c>
      <c r="F446" s="193" t="s">
        <v>3356</v>
      </c>
      <c r="G446" s="193" t="s">
        <v>3363</v>
      </c>
      <c r="H446" s="194">
        <v>5232</v>
      </c>
      <c r="I446" s="195"/>
      <c r="J446" s="197"/>
      <c r="K446" s="53"/>
    </row>
    <row r="447" spans="1:11" ht="65.099999999999994" customHeight="1" x14ac:dyDescent="0.25">
      <c r="A447" s="191">
        <v>438</v>
      </c>
      <c r="B447" s="192"/>
      <c r="C447" s="192"/>
      <c r="D447" s="192"/>
      <c r="E447" s="53" t="s">
        <v>2670</v>
      </c>
      <c r="F447" s="193" t="s">
        <v>3356</v>
      </c>
      <c r="G447" s="193" t="s">
        <v>3363</v>
      </c>
      <c r="H447" s="194">
        <v>5232</v>
      </c>
      <c r="I447" s="195"/>
      <c r="J447" s="197"/>
      <c r="K447" s="53"/>
    </row>
    <row r="448" spans="1:11" ht="65.099999999999994" customHeight="1" x14ac:dyDescent="0.25">
      <c r="A448" s="191">
        <v>439</v>
      </c>
      <c r="B448" s="192"/>
      <c r="C448" s="192"/>
      <c r="D448" s="192"/>
      <c r="E448" s="53" t="s">
        <v>2671</v>
      </c>
      <c r="F448" s="193" t="s">
        <v>3356</v>
      </c>
      <c r="G448" s="193" t="s">
        <v>3363</v>
      </c>
      <c r="H448" s="194">
        <v>5232</v>
      </c>
      <c r="I448" s="195"/>
      <c r="J448" s="197"/>
      <c r="K448" s="53"/>
    </row>
    <row r="449" spans="1:11" ht="65.099999999999994" customHeight="1" x14ac:dyDescent="0.25">
      <c r="A449" s="191">
        <v>440</v>
      </c>
      <c r="B449" s="192"/>
      <c r="C449" s="192"/>
      <c r="D449" s="192"/>
      <c r="E449" s="53" t="s">
        <v>2672</v>
      </c>
      <c r="F449" s="193" t="s">
        <v>3356</v>
      </c>
      <c r="G449" s="193" t="s">
        <v>3363</v>
      </c>
      <c r="H449" s="194">
        <v>5232</v>
      </c>
      <c r="I449" s="195"/>
      <c r="J449" s="197"/>
      <c r="K449" s="53"/>
    </row>
    <row r="450" spans="1:11" ht="65.099999999999994" customHeight="1" x14ac:dyDescent="0.25">
      <c r="A450" s="191">
        <v>441</v>
      </c>
      <c r="B450" s="192"/>
      <c r="C450" s="192"/>
      <c r="D450" s="192"/>
      <c r="E450" s="53" t="s">
        <v>2673</v>
      </c>
      <c r="F450" s="193" t="s">
        <v>3356</v>
      </c>
      <c r="G450" s="193" t="s">
        <v>3363</v>
      </c>
      <c r="H450" s="194">
        <v>5232</v>
      </c>
      <c r="I450" s="195"/>
      <c r="J450" s="197"/>
      <c r="K450" s="53"/>
    </row>
    <row r="451" spans="1:11" ht="65.099999999999994" customHeight="1" x14ac:dyDescent="0.25">
      <c r="A451" s="191">
        <v>442</v>
      </c>
      <c r="B451" s="192"/>
      <c r="C451" s="192"/>
      <c r="D451" s="192"/>
      <c r="E451" s="53" t="s">
        <v>2674</v>
      </c>
      <c r="F451" s="193" t="s">
        <v>3356</v>
      </c>
      <c r="G451" s="193" t="s">
        <v>3363</v>
      </c>
      <c r="H451" s="194">
        <v>5232</v>
      </c>
      <c r="I451" s="195"/>
      <c r="J451" s="197"/>
      <c r="K451" s="53"/>
    </row>
    <row r="452" spans="1:11" ht="65.099999999999994" customHeight="1" x14ac:dyDescent="0.25">
      <c r="A452" s="191">
        <v>443</v>
      </c>
      <c r="B452" s="192"/>
      <c r="C452" s="192"/>
      <c r="D452" s="192"/>
      <c r="E452" s="53" t="s">
        <v>2675</v>
      </c>
      <c r="F452" s="193" t="s">
        <v>3356</v>
      </c>
      <c r="G452" s="193" t="s">
        <v>3363</v>
      </c>
      <c r="H452" s="194">
        <v>5232</v>
      </c>
      <c r="I452" s="195"/>
      <c r="J452" s="197"/>
      <c r="K452" s="53"/>
    </row>
    <row r="453" spans="1:11" ht="65.099999999999994" customHeight="1" x14ac:dyDescent="0.25">
      <c r="A453" s="191">
        <v>444</v>
      </c>
      <c r="B453" s="192"/>
      <c r="C453" s="192"/>
      <c r="D453" s="192"/>
      <c r="E453" s="53" t="s">
        <v>2676</v>
      </c>
      <c r="F453" s="193" t="s">
        <v>3356</v>
      </c>
      <c r="G453" s="193" t="s">
        <v>3363</v>
      </c>
      <c r="H453" s="194">
        <v>5232</v>
      </c>
      <c r="I453" s="195"/>
      <c r="J453" s="197"/>
      <c r="K453" s="53"/>
    </row>
    <row r="454" spans="1:11" ht="65.099999999999994" customHeight="1" x14ac:dyDescent="0.25">
      <c r="A454" s="191">
        <v>445</v>
      </c>
      <c r="B454" s="192"/>
      <c r="C454" s="192"/>
      <c r="D454" s="192"/>
      <c r="E454" s="53" t="s">
        <v>2677</v>
      </c>
      <c r="F454" s="193" t="s">
        <v>3356</v>
      </c>
      <c r="G454" s="193" t="s">
        <v>3363</v>
      </c>
      <c r="H454" s="194">
        <v>5232</v>
      </c>
      <c r="I454" s="195"/>
      <c r="J454" s="197"/>
      <c r="K454" s="53"/>
    </row>
    <row r="455" spans="1:11" ht="65.099999999999994" customHeight="1" x14ac:dyDescent="0.25">
      <c r="A455" s="191">
        <v>446</v>
      </c>
      <c r="B455" s="192"/>
      <c r="C455" s="192"/>
      <c r="D455" s="192"/>
      <c r="E455" s="53" t="s">
        <v>2678</v>
      </c>
      <c r="F455" s="193" t="s">
        <v>3356</v>
      </c>
      <c r="G455" s="193" t="s">
        <v>3363</v>
      </c>
      <c r="H455" s="194">
        <v>5232</v>
      </c>
      <c r="I455" s="195"/>
      <c r="J455" s="197"/>
      <c r="K455" s="53"/>
    </row>
    <row r="456" spans="1:11" ht="65.099999999999994" customHeight="1" x14ac:dyDescent="0.25">
      <c r="A456" s="191">
        <v>447</v>
      </c>
      <c r="B456" s="192"/>
      <c r="C456" s="192"/>
      <c r="D456" s="192"/>
      <c r="E456" s="53" t="s">
        <v>2679</v>
      </c>
      <c r="F456" s="193" t="s">
        <v>3356</v>
      </c>
      <c r="G456" s="193" t="s">
        <v>3363</v>
      </c>
      <c r="H456" s="194">
        <v>5232</v>
      </c>
      <c r="I456" s="195"/>
      <c r="J456" s="197"/>
      <c r="K456" s="53"/>
    </row>
    <row r="457" spans="1:11" ht="65.099999999999994" customHeight="1" x14ac:dyDescent="0.25">
      <c r="A457" s="191">
        <v>448</v>
      </c>
      <c r="B457" s="192"/>
      <c r="C457" s="192"/>
      <c r="D457" s="192"/>
      <c r="E457" s="53" t="s">
        <v>2680</v>
      </c>
      <c r="F457" s="193" t="s">
        <v>3356</v>
      </c>
      <c r="G457" s="193" t="s">
        <v>3363</v>
      </c>
      <c r="H457" s="194">
        <v>5232</v>
      </c>
      <c r="I457" s="195"/>
      <c r="J457" s="197"/>
      <c r="K457" s="53"/>
    </row>
    <row r="458" spans="1:11" ht="65.099999999999994" customHeight="1" x14ac:dyDescent="0.25">
      <c r="A458" s="191">
        <v>449</v>
      </c>
      <c r="B458" s="192"/>
      <c r="C458" s="192"/>
      <c r="D458" s="192"/>
      <c r="E458" s="53" t="s">
        <v>2681</v>
      </c>
      <c r="F458" s="193" t="s">
        <v>3356</v>
      </c>
      <c r="G458" s="193" t="s">
        <v>3363</v>
      </c>
      <c r="H458" s="194">
        <v>5232</v>
      </c>
      <c r="I458" s="195"/>
      <c r="J458" s="197"/>
      <c r="K458" s="53"/>
    </row>
    <row r="459" spans="1:11" ht="65.099999999999994" customHeight="1" x14ac:dyDescent="0.25">
      <c r="A459" s="191">
        <v>450</v>
      </c>
      <c r="B459" s="192"/>
      <c r="C459" s="192"/>
      <c r="D459" s="192"/>
      <c r="E459" s="53" t="s">
        <v>2682</v>
      </c>
      <c r="F459" s="193" t="s">
        <v>3356</v>
      </c>
      <c r="G459" s="193" t="s">
        <v>3363</v>
      </c>
      <c r="H459" s="194">
        <v>5232</v>
      </c>
      <c r="I459" s="195"/>
      <c r="J459" s="197"/>
      <c r="K459" s="53"/>
    </row>
    <row r="460" spans="1:11" ht="65.099999999999994" customHeight="1" x14ac:dyDescent="0.25">
      <c r="A460" s="191">
        <v>451</v>
      </c>
      <c r="B460" s="192"/>
      <c r="C460" s="192"/>
      <c r="D460" s="192"/>
      <c r="E460" s="53" t="s">
        <v>2683</v>
      </c>
      <c r="F460" s="193" t="s">
        <v>3356</v>
      </c>
      <c r="G460" s="193" t="s">
        <v>3363</v>
      </c>
      <c r="H460" s="194">
        <v>5232</v>
      </c>
      <c r="I460" s="195"/>
      <c r="J460" s="197"/>
      <c r="K460" s="53"/>
    </row>
    <row r="461" spans="1:11" ht="65.099999999999994" customHeight="1" x14ac:dyDescent="0.25">
      <c r="A461" s="191">
        <v>452</v>
      </c>
      <c r="B461" s="192"/>
      <c r="C461" s="192"/>
      <c r="D461" s="192"/>
      <c r="E461" s="53" t="s">
        <v>2684</v>
      </c>
      <c r="F461" s="193" t="s">
        <v>3356</v>
      </c>
      <c r="G461" s="193" t="s">
        <v>3363</v>
      </c>
      <c r="H461" s="194">
        <v>5232</v>
      </c>
      <c r="I461" s="195"/>
      <c r="J461" s="197"/>
      <c r="K461" s="53"/>
    </row>
    <row r="462" spans="1:11" ht="65.099999999999994" customHeight="1" x14ac:dyDescent="0.25">
      <c r="A462" s="191">
        <v>453</v>
      </c>
      <c r="B462" s="192"/>
      <c r="C462" s="192"/>
      <c r="D462" s="192"/>
      <c r="E462" s="53" t="s">
        <v>2685</v>
      </c>
      <c r="F462" s="193" t="s">
        <v>3356</v>
      </c>
      <c r="G462" s="193" t="s">
        <v>3363</v>
      </c>
      <c r="H462" s="194">
        <v>5232</v>
      </c>
      <c r="I462" s="195"/>
      <c r="J462" s="197"/>
      <c r="K462" s="53"/>
    </row>
    <row r="463" spans="1:11" ht="65.099999999999994" customHeight="1" x14ac:dyDescent="0.25">
      <c r="A463" s="191">
        <v>454</v>
      </c>
      <c r="B463" s="192"/>
      <c r="C463" s="192"/>
      <c r="D463" s="192"/>
      <c r="E463" s="53" t="s">
        <v>2686</v>
      </c>
      <c r="F463" s="193" t="s">
        <v>3356</v>
      </c>
      <c r="G463" s="193" t="s">
        <v>3363</v>
      </c>
      <c r="H463" s="194">
        <v>5232</v>
      </c>
      <c r="I463" s="195"/>
      <c r="J463" s="197"/>
      <c r="K463" s="53"/>
    </row>
    <row r="464" spans="1:11" ht="65.099999999999994" customHeight="1" x14ac:dyDescent="0.25">
      <c r="A464" s="191">
        <v>455</v>
      </c>
      <c r="B464" s="192"/>
      <c r="C464" s="192"/>
      <c r="D464" s="192"/>
      <c r="E464" s="53" t="s">
        <v>2687</v>
      </c>
      <c r="F464" s="193" t="s">
        <v>3356</v>
      </c>
      <c r="G464" s="193" t="s">
        <v>3363</v>
      </c>
      <c r="H464" s="194">
        <v>5232</v>
      </c>
      <c r="I464" s="195"/>
      <c r="J464" s="197"/>
      <c r="K464" s="53"/>
    </row>
    <row r="465" spans="1:11" ht="65.099999999999994" customHeight="1" x14ac:dyDescent="0.25">
      <c r="A465" s="191">
        <v>456</v>
      </c>
      <c r="B465" s="192"/>
      <c r="C465" s="192"/>
      <c r="D465" s="192"/>
      <c r="E465" s="53" t="s">
        <v>2688</v>
      </c>
      <c r="F465" s="193" t="s">
        <v>3356</v>
      </c>
      <c r="G465" s="193" t="s">
        <v>3363</v>
      </c>
      <c r="H465" s="194">
        <v>5232</v>
      </c>
      <c r="I465" s="195"/>
      <c r="J465" s="197"/>
      <c r="K465" s="53"/>
    </row>
    <row r="466" spans="1:11" ht="65.099999999999994" customHeight="1" x14ac:dyDescent="0.25">
      <c r="A466" s="191">
        <v>457</v>
      </c>
      <c r="B466" s="192"/>
      <c r="C466" s="192"/>
      <c r="D466" s="192"/>
      <c r="E466" s="53" t="s">
        <v>2689</v>
      </c>
      <c r="F466" s="193" t="s">
        <v>3356</v>
      </c>
      <c r="G466" s="193" t="s">
        <v>3363</v>
      </c>
      <c r="H466" s="194">
        <v>5232</v>
      </c>
      <c r="I466" s="195"/>
      <c r="J466" s="197"/>
      <c r="K466" s="53"/>
    </row>
    <row r="467" spans="1:11" ht="65.099999999999994" customHeight="1" x14ac:dyDescent="0.25">
      <c r="A467" s="191">
        <v>458</v>
      </c>
      <c r="B467" s="192"/>
      <c r="C467" s="192"/>
      <c r="D467" s="192"/>
      <c r="E467" s="53" t="s">
        <v>2690</v>
      </c>
      <c r="F467" s="193" t="s">
        <v>3356</v>
      </c>
      <c r="G467" s="193" t="s">
        <v>3363</v>
      </c>
      <c r="H467" s="194">
        <v>5232</v>
      </c>
      <c r="I467" s="195"/>
      <c r="J467" s="197"/>
      <c r="K467" s="53"/>
    </row>
    <row r="468" spans="1:11" ht="65.099999999999994" customHeight="1" x14ac:dyDescent="0.25">
      <c r="A468" s="191">
        <v>459</v>
      </c>
      <c r="B468" s="192"/>
      <c r="C468" s="192"/>
      <c r="D468" s="192"/>
      <c r="E468" s="53" t="s">
        <v>2691</v>
      </c>
      <c r="F468" s="193" t="s">
        <v>3356</v>
      </c>
      <c r="G468" s="193" t="s">
        <v>3363</v>
      </c>
      <c r="H468" s="194">
        <v>5232</v>
      </c>
      <c r="I468" s="195"/>
      <c r="J468" s="197"/>
      <c r="K468" s="53"/>
    </row>
    <row r="469" spans="1:11" ht="65.099999999999994" customHeight="1" x14ac:dyDescent="0.25">
      <c r="A469" s="191">
        <v>460</v>
      </c>
      <c r="B469" s="192"/>
      <c r="C469" s="192"/>
      <c r="D469" s="192"/>
      <c r="E469" s="53" t="s">
        <v>2692</v>
      </c>
      <c r="F469" s="193" t="s">
        <v>3356</v>
      </c>
      <c r="G469" s="193" t="s">
        <v>3363</v>
      </c>
      <c r="H469" s="194">
        <v>5232</v>
      </c>
      <c r="I469" s="195"/>
      <c r="J469" s="197"/>
      <c r="K469" s="53"/>
    </row>
    <row r="470" spans="1:11" ht="65.099999999999994" customHeight="1" x14ac:dyDescent="0.25">
      <c r="A470" s="191">
        <v>461</v>
      </c>
      <c r="B470" s="192"/>
      <c r="C470" s="192"/>
      <c r="D470" s="192"/>
      <c r="E470" s="53" t="s">
        <v>2693</v>
      </c>
      <c r="F470" s="193" t="s">
        <v>3356</v>
      </c>
      <c r="G470" s="193" t="s">
        <v>3363</v>
      </c>
      <c r="H470" s="194">
        <v>5232</v>
      </c>
      <c r="I470" s="195"/>
      <c r="J470" s="197"/>
      <c r="K470" s="53"/>
    </row>
    <row r="471" spans="1:11" ht="65.099999999999994" customHeight="1" x14ac:dyDescent="0.25">
      <c r="A471" s="191">
        <v>462</v>
      </c>
      <c r="B471" s="192"/>
      <c r="C471" s="192"/>
      <c r="D471" s="192"/>
      <c r="E471" s="53" t="s">
        <v>2694</v>
      </c>
      <c r="F471" s="193" t="s">
        <v>3356</v>
      </c>
      <c r="G471" s="193" t="s">
        <v>3363</v>
      </c>
      <c r="H471" s="194">
        <v>5232</v>
      </c>
      <c r="I471" s="195"/>
      <c r="J471" s="197"/>
      <c r="K471" s="53"/>
    </row>
    <row r="472" spans="1:11" ht="65.099999999999994" customHeight="1" x14ac:dyDescent="0.25">
      <c r="A472" s="191">
        <v>463</v>
      </c>
      <c r="B472" s="192"/>
      <c r="C472" s="192"/>
      <c r="D472" s="192"/>
      <c r="E472" s="53" t="s">
        <v>2695</v>
      </c>
      <c r="F472" s="193" t="s">
        <v>3356</v>
      </c>
      <c r="G472" s="193" t="s">
        <v>3363</v>
      </c>
      <c r="H472" s="194">
        <v>5232</v>
      </c>
      <c r="I472" s="195"/>
      <c r="J472" s="197"/>
      <c r="K472" s="53"/>
    </row>
    <row r="473" spans="1:11" ht="65.099999999999994" customHeight="1" x14ac:dyDescent="0.25">
      <c r="A473" s="191">
        <v>464</v>
      </c>
      <c r="B473" s="192"/>
      <c r="C473" s="192"/>
      <c r="D473" s="192"/>
      <c r="E473" s="53" t="s">
        <v>2696</v>
      </c>
      <c r="F473" s="193" t="s">
        <v>3356</v>
      </c>
      <c r="G473" s="193" t="s">
        <v>3363</v>
      </c>
      <c r="H473" s="194">
        <v>5232</v>
      </c>
      <c r="I473" s="195"/>
      <c r="J473" s="197"/>
      <c r="K473" s="53"/>
    </row>
    <row r="474" spans="1:11" ht="65.099999999999994" customHeight="1" x14ac:dyDescent="0.25">
      <c r="A474" s="191">
        <v>465</v>
      </c>
      <c r="B474" s="192"/>
      <c r="C474" s="192"/>
      <c r="D474" s="192"/>
      <c r="E474" s="53" t="s">
        <v>2697</v>
      </c>
      <c r="F474" s="193" t="s">
        <v>3356</v>
      </c>
      <c r="G474" s="193" t="s">
        <v>3363</v>
      </c>
      <c r="H474" s="194">
        <v>5232</v>
      </c>
      <c r="I474" s="195"/>
      <c r="J474" s="197"/>
      <c r="K474" s="53"/>
    </row>
    <row r="475" spans="1:11" ht="65.099999999999994" customHeight="1" x14ac:dyDescent="0.25">
      <c r="A475" s="191">
        <v>466</v>
      </c>
      <c r="B475" s="192"/>
      <c r="C475" s="192"/>
      <c r="D475" s="192"/>
      <c r="E475" s="53" t="s">
        <v>2698</v>
      </c>
      <c r="F475" s="193" t="s">
        <v>3356</v>
      </c>
      <c r="G475" s="193" t="s">
        <v>3363</v>
      </c>
      <c r="H475" s="194">
        <v>5232</v>
      </c>
      <c r="I475" s="195"/>
      <c r="J475" s="197"/>
      <c r="K475" s="53"/>
    </row>
    <row r="476" spans="1:11" ht="65.099999999999994" customHeight="1" x14ac:dyDescent="0.25">
      <c r="A476" s="191">
        <v>467</v>
      </c>
      <c r="B476" s="192"/>
      <c r="C476" s="192"/>
      <c r="D476" s="192"/>
      <c r="E476" s="53" t="s">
        <v>2699</v>
      </c>
      <c r="F476" s="193" t="s">
        <v>3356</v>
      </c>
      <c r="G476" s="193" t="s">
        <v>3363</v>
      </c>
      <c r="H476" s="194">
        <v>5232</v>
      </c>
      <c r="I476" s="195"/>
      <c r="J476" s="197"/>
      <c r="K476" s="53"/>
    </row>
    <row r="477" spans="1:11" ht="65.099999999999994" customHeight="1" x14ac:dyDescent="0.25">
      <c r="A477" s="191">
        <v>468</v>
      </c>
      <c r="B477" s="192"/>
      <c r="C477" s="192"/>
      <c r="D477" s="192"/>
      <c r="E477" s="53" t="s">
        <v>2700</v>
      </c>
      <c r="F477" s="193" t="s">
        <v>3356</v>
      </c>
      <c r="G477" s="193" t="s">
        <v>3363</v>
      </c>
      <c r="H477" s="194">
        <v>5232</v>
      </c>
      <c r="I477" s="195"/>
      <c r="J477" s="197"/>
      <c r="K477" s="53"/>
    </row>
    <row r="478" spans="1:11" ht="65.099999999999994" customHeight="1" x14ac:dyDescent="0.25">
      <c r="A478" s="191">
        <v>469</v>
      </c>
      <c r="B478" s="192"/>
      <c r="C478" s="192"/>
      <c r="D478" s="192"/>
      <c r="E478" s="53" t="s">
        <v>2701</v>
      </c>
      <c r="F478" s="193" t="s">
        <v>3356</v>
      </c>
      <c r="G478" s="193" t="s">
        <v>3363</v>
      </c>
      <c r="H478" s="194">
        <v>5232</v>
      </c>
      <c r="I478" s="195"/>
      <c r="J478" s="197"/>
      <c r="K478" s="53"/>
    </row>
    <row r="479" spans="1:11" ht="65.099999999999994" customHeight="1" x14ac:dyDescent="0.25">
      <c r="A479" s="191">
        <v>470</v>
      </c>
      <c r="B479" s="192"/>
      <c r="C479" s="192"/>
      <c r="D479" s="192"/>
      <c r="E479" s="53" t="s">
        <v>2702</v>
      </c>
      <c r="F479" s="193" t="s">
        <v>3356</v>
      </c>
      <c r="G479" s="193" t="s">
        <v>3363</v>
      </c>
      <c r="H479" s="194">
        <v>5232</v>
      </c>
      <c r="I479" s="195"/>
      <c r="J479" s="197"/>
      <c r="K479" s="53"/>
    </row>
    <row r="480" spans="1:11" ht="65.099999999999994" customHeight="1" x14ac:dyDescent="0.25">
      <c r="A480" s="191">
        <v>471</v>
      </c>
      <c r="B480" s="192"/>
      <c r="C480" s="192"/>
      <c r="D480" s="192"/>
      <c r="E480" s="53" t="s">
        <v>2703</v>
      </c>
      <c r="F480" s="193" t="s">
        <v>3356</v>
      </c>
      <c r="G480" s="193" t="s">
        <v>3363</v>
      </c>
      <c r="H480" s="194">
        <v>5232</v>
      </c>
      <c r="I480" s="195"/>
      <c r="J480" s="197"/>
      <c r="K480" s="53"/>
    </row>
    <row r="481" spans="1:11" ht="65.099999999999994" customHeight="1" x14ac:dyDescent="0.25">
      <c r="A481" s="191">
        <v>472</v>
      </c>
      <c r="B481" s="192"/>
      <c r="C481" s="192"/>
      <c r="D481" s="192"/>
      <c r="E481" s="53" t="s">
        <v>2704</v>
      </c>
      <c r="F481" s="193" t="s">
        <v>3356</v>
      </c>
      <c r="G481" s="193" t="s">
        <v>3363</v>
      </c>
      <c r="H481" s="194">
        <v>5232</v>
      </c>
      <c r="I481" s="195"/>
      <c r="J481" s="197"/>
      <c r="K481" s="53"/>
    </row>
    <row r="482" spans="1:11" ht="65.099999999999994" customHeight="1" x14ac:dyDescent="0.25">
      <c r="A482" s="191">
        <v>473</v>
      </c>
      <c r="B482" s="192"/>
      <c r="C482" s="192"/>
      <c r="D482" s="192"/>
      <c r="E482" s="53" t="s">
        <v>2705</v>
      </c>
      <c r="F482" s="193" t="s">
        <v>3356</v>
      </c>
      <c r="G482" s="193" t="s">
        <v>3363</v>
      </c>
      <c r="H482" s="194">
        <v>5232</v>
      </c>
      <c r="I482" s="195"/>
      <c r="J482" s="197"/>
      <c r="K482" s="53"/>
    </row>
    <row r="483" spans="1:11" ht="65.099999999999994" customHeight="1" x14ac:dyDescent="0.25">
      <c r="A483" s="191">
        <v>474</v>
      </c>
      <c r="B483" s="192"/>
      <c r="C483" s="192"/>
      <c r="D483" s="192"/>
      <c r="E483" s="53" t="s">
        <v>2706</v>
      </c>
      <c r="F483" s="193" t="s">
        <v>3356</v>
      </c>
      <c r="G483" s="193" t="s">
        <v>3363</v>
      </c>
      <c r="H483" s="194">
        <v>5232</v>
      </c>
      <c r="I483" s="195"/>
      <c r="J483" s="197"/>
      <c r="K483" s="53"/>
    </row>
    <row r="484" spans="1:11" ht="65.099999999999994" customHeight="1" x14ac:dyDescent="0.25">
      <c r="A484" s="191">
        <v>475</v>
      </c>
      <c r="B484" s="192"/>
      <c r="C484" s="192"/>
      <c r="D484" s="192"/>
      <c r="E484" s="53" t="s">
        <v>2707</v>
      </c>
      <c r="F484" s="193" t="s">
        <v>3356</v>
      </c>
      <c r="G484" s="193" t="s">
        <v>3363</v>
      </c>
      <c r="H484" s="194">
        <v>5232</v>
      </c>
      <c r="I484" s="195"/>
      <c r="J484" s="197"/>
      <c r="K484" s="53"/>
    </row>
    <row r="485" spans="1:11" ht="65.099999999999994" customHeight="1" x14ac:dyDescent="0.25">
      <c r="A485" s="191">
        <v>476</v>
      </c>
      <c r="B485" s="192"/>
      <c r="C485" s="192"/>
      <c r="D485" s="192"/>
      <c r="E485" s="53" t="s">
        <v>2708</v>
      </c>
      <c r="F485" s="193" t="s">
        <v>3356</v>
      </c>
      <c r="G485" s="193" t="s">
        <v>3363</v>
      </c>
      <c r="H485" s="194">
        <v>5232</v>
      </c>
      <c r="I485" s="195"/>
      <c r="J485" s="197"/>
      <c r="K485" s="53"/>
    </row>
    <row r="486" spans="1:11" ht="65.099999999999994" customHeight="1" x14ac:dyDescent="0.25">
      <c r="A486" s="191">
        <v>477</v>
      </c>
      <c r="B486" s="192"/>
      <c r="C486" s="192"/>
      <c r="D486" s="192"/>
      <c r="E486" s="53" t="s">
        <v>2709</v>
      </c>
      <c r="F486" s="193" t="s">
        <v>3356</v>
      </c>
      <c r="G486" s="193" t="s">
        <v>3363</v>
      </c>
      <c r="H486" s="194">
        <v>5232</v>
      </c>
      <c r="I486" s="195"/>
      <c r="J486" s="197"/>
      <c r="K486" s="53"/>
    </row>
    <row r="487" spans="1:11" ht="65.099999999999994" customHeight="1" x14ac:dyDescent="0.25">
      <c r="A487" s="191">
        <v>478</v>
      </c>
      <c r="B487" s="192"/>
      <c r="C487" s="192"/>
      <c r="D487" s="192"/>
      <c r="E487" s="53" t="s">
        <v>2710</v>
      </c>
      <c r="F487" s="193" t="s">
        <v>3356</v>
      </c>
      <c r="G487" s="193" t="s">
        <v>3363</v>
      </c>
      <c r="H487" s="194">
        <v>5232</v>
      </c>
      <c r="I487" s="195"/>
      <c r="J487" s="197"/>
      <c r="K487" s="53"/>
    </row>
    <row r="488" spans="1:11" ht="65.099999999999994" customHeight="1" x14ac:dyDescent="0.25">
      <c r="A488" s="191">
        <v>479</v>
      </c>
      <c r="B488" s="192"/>
      <c r="C488" s="192"/>
      <c r="D488" s="192"/>
      <c r="E488" s="53" t="s">
        <v>2711</v>
      </c>
      <c r="F488" s="193" t="s">
        <v>3356</v>
      </c>
      <c r="G488" s="193" t="s">
        <v>3363</v>
      </c>
      <c r="H488" s="194">
        <v>5232</v>
      </c>
      <c r="I488" s="195"/>
      <c r="J488" s="197"/>
      <c r="K488" s="53"/>
    </row>
    <row r="489" spans="1:11" ht="65.099999999999994" customHeight="1" x14ac:dyDescent="0.25">
      <c r="A489" s="191">
        <v>480</v>
      </c>
      <c r="B489" s="192"/>
      <c r="C489" s="192"/>
      <c r="D489" s="192"/>
      <c r="E489" s="53" t="s">
        <v>2712</v>
      </c>
      <c r="F489" s="193" t="s">
        <v>3356</v>
      </c>
      <c r="G489" s="193" t="s">
        <v>3363</v>
      </c>
      <c r="H489" s="194">
        <v>5232</v>
      </c>
      <c r="I489" s="195"/>
      <c r="J489" s="197"/>
      <c r="K489" s="53"/>
    </row>
    <row r="490" spans="1:11" ht="65.099999999999994" customHeight="1" x14ac:dyDescent="0.25">
      <c r="A490" s="191">
        <v>481</v>
      </c>
      <c r="B490" s="192"/>
      <c r="C490" s="192"/>
      <c r="D490" s="192"/>
      <c r="E490" s="53" t="s">
        <v>2713</v>
      </c>
      <c r="F490" s="193" t="s">
        <v>3356</v>
      </c>
      <c r="G490" s="193" t="s">
        <v>3363</v>
      </c>
      <c r="H490" s="194">
        <v>5232</v>
      </c>
      <c r="I490" s="195"/>
      <c r="J490" s="197"/>
      <c r="K490" s="53"/>
    </row>
    <row r="491" spans="1:11" ht="65.099999999999994" customHeight="1" x14ac:dyDescent="0.25">
      <c r="A491" s="191">
        <v>482</v>
      </c>
      <c r="B491" s="192"/>
      <c r="C491" s="192"/>
      <c r="D491" s="192"/>
      <c r="E491" s="53" t="s">
        <v>2714</v>
      </c>
      <c r="F491" s="193" t="s">
        <v>3356</v>
      </c>
      <c r="G491" s="193" t="s">
        <v>3363</v>
      </c>
      <c r="H491" s="194">
        <v>5232</v>
      </c>
      <c r="I491" s="195"/>
      <c r="J491" s="197"/>
      <c r="K491" s="53"/>
    </row>
    <row r="492" spans="1:11" ht="65.099999999999994" customHeight="1" x14ac:dyDescent="0.25">
      <c r="A492" s="191">
        <v>483</v>
      </c>
      <c r="B492" s="192"/>
      <c r="C492" s="192"/>
      <c r="D492" s="192"/>
      <c r="E492" s="53" t="s">
        <v>2715</v>
      </c>
      <c r="F492" s="193" t="s">
        <v>3356</v>
      </c>
      <c r="G492" s="193" t="s">
        <v>3363</v>
      </c>
      <c r="H492" s="194">
        <v>5232</v>
      </c>
      <c r="I492" s="195"/>
      <c r="J492" s="197"/>
      <c r="K492" s="53"/>
    </row>
    <row r="493" spans="1:11" ht="65.099999999999994" customHeight="1" x14ac:dyDescent="0.25">
      <c r="A493" s="191">
        <v>484</v>
      </c>
      <c r="B493" s="192"/>
      <c r="C493" s="192"/>
      <c r="D493" s="192"/>
      <c r="E493" s="53" t="s">
        <v>2716</v>
      </c>
      <c r="F493" s="193" t="s">
        <v>3356</v>
      </c>
      <c r="G493" s="193" t="s">
        <v>3363</v>
      </c>
      <c r="H493" s="194">
        <v>5232</v>
      </c>
      <c r="I493" s="195"/>
      <c r="J493" s="197"/>
      <c r="K493" s="53"/>
    </row>
    <row r="494" spans="1:11" ht="65.099999999999994" customHeight="1" x14ac:dyDescent="0.25">
      <c r="A494" s="191">
        <v>485</v>
      </c>
      <c r="B494" s="192"/>
      <c r="C494" s="192"/>
      <c r="D494" s="192"/>
      <c r="E494" s="53" t="s">
        <v>2717</v>
      </c>
      <c r="F494" s="193" t="s">
        <v>3356</v>
      </c>
      <c r="G494" s="193" t="s">
        <v>3363</v>
      </c>
      <c r="H494" s="194">
        <v>5232</v>
      </c>
      <c r="I494" s="195"/>
      <c r="J494" s="197"/>
      <c r="K494" s="53"/>
    </row>
    <row r="495" spans="1:11" ht="65.099999999999994" customHeight="1" x14ac:dyDescent="0.25">
      <c r="A495" s="191">
        <v>486</v>
      </c>
      <c r="B495" s="192"/>
      <c r="C495" s="192"/>
      <c r="D495" s="192"/>
      <c r="E495" s="53" t="s">
        <v>2718</v>
      </c>
      <c r="F495" s="193" t="s">
        <v>3356</v>
      </c>
      <c r="G495" s="193" t="s">
        <v>3363</v>
      </c>
      <c r="H495" s="194">
        <v>5232</v>
      </c>
      <c r="I495" s="195"/>
      <c r="J495" s="197"/>
      <c r="K495" s="53"/>
    </row>
    <row r="496" spans="1:11" ht="65.099999999999994" customHeight="1" x14ac:dyDescent="0.25">
      <c r="A496" s="191">
        <v>487</v>
      </c>
      <c r="B496" s="192"/>
      <c r="C496" s="192"/>
      <c r="D496" s="192"/>
      <c r="E496" s="53" t="s">
        <v>2719</v>
      </c>
      <c r="F496" s="193" t="s">
        <v>3356</v>
      </c>
      <c r="G496" s="193" t="s">
        <v>3363</v>
      </c>
      <c r="H496" s="194">
        <v>5232</v>
      </c>
      <c r="I496" s="195"/>
      <c r="J496" s="197"/>
      <c r="K496" s="53"/>
    </row>
    <row r="497" spans="1:11" ht="65.099999999999994" customHeight="1" x14ac:dyDescent="0.25">
      <c r="A497" s="191">
        <v>488</v>
      </c>
      <c r="B497" s="192"/>
      <c r="C497" s="192"/>
      <c r="D497" s="192"/>
      <c r="E497" s="53" t="s">
        <v>2720</v>
      </c>
      <c r="F497" s="193" t="s">
        <v>3356</v>
      </c>
      <c r="G497" s="193" t="s">
        <v>3363</v>
      </c>
      <c r="H497" s="194">
        <v>5232</v>
      </c>
      <c r="I497" s="195"/>
      <c r="J497" s="197"/>
      <c r="K497" s="53"/>
    </row>
    <row r="498" spans="1:11" ht="65.099999999999994" customHeight="1" x14ac:dyDescent="0.25">
      <c r="A498" s="191">
        <v>489</v>
      </c>
      <c r="B498" s="192"/>
      <c r="C498" s="192"/>
      <c r="D498" s="192"/>
      <c r="E498" s="53" t="s">
        <v>2721</v>
      </c>
      <c r="F498" s="193" t="s">
        <v>3356</v>
      </c>
      <c r="G498" s="193" t="s">
        <v>3363</v>
      </c>
      <c r="H498" s="194">
        <v>5232</v>
      </c>
      <c r="I498" s="195"/>
      <c r="J498" s="197"/>
      <c r="K498" s="53"/>
    </row>
    <row r="499" spans="1:11" ht="65.099999999999994" customHeight="1" x14ac:dyDescent="0.25">
      <c r="A499" s="191">
        <v>490</v>
      </c>
      <c r="B499" s="192"/>
      <c r="C499" s="192"/>
      <c r="D499" s="192"/>
      <c r="E499" s="53" t="s">
        <v>2722</v>
      </c>
      <c r="F499" s="193" t="s">
        <v>3356</v>
      </c>
      <c r="G499" s="193" t="s">
        <v>3363</v>
      </c>
      <c r="H499" s="194">
        <v>5232</v>
      </c>
      <c r="I499" s="195"/>
      <c r="J499" s="197"/>
      <c r="K499" s="53"/>
    </row>
    <row r="500" spans="1:11" ht="65.099999999999994" customHeight="1" x14ac:dyDescent="0.25">
      <c r="A500" s="191">
        <v>491</v>
      </c>
      <c r="B500" s="192"/>
      <c r="C500" s="192"/>
      <c r="D500" s="192"/>
      <c r="E500" s="53" t="s">
        <v>2723</v>
      </c>
      <c r="F500" s="193" t="s">
        <v>3356</v>
      </c>
      <c r="G500" s="193" t="s">
        <v>3363</v>
      </c>
      <c r="H500" s="194">
        <v>5232</v>
      </c>
      <c r="I500" s="195"/>
      <c r="J500" s="197"/>
      <c r="K500" s="53"/>
    </row>
    <row r="501" spans="1:11" ht="65.099999999999994" customHeight="1" x14ac:dyDescent="0.25">
      <c r="A501" s="191">
        <v>492</v>
      </c>
      <c r="B501" s="192"/>
      <c r="C501" s="192"/>
      <c r="D501" s="192"/>
      <c r="E501" s="53" t="s">
        <v>2724</v>
      </c>
      <c r="F501" s="193" t="s">
        <v>3356</v>
      </c>
      <c r="G501" s="193" t="s">
        <v>3363</v>
      </c>
      <c r="H501" s="194">
        <v>5232</v>
      </c>
      <c r="I501" s="195"/>
      <c r="J501" s="197"/>
      <c r="K501" s="53"/>
    </row>
    <row r="502" spans="1:11" ht="65.099999999999994" customHeight="1" x14ac:dyDescent="0.25">
      <c r="A502" s="191">
        <v>493</v>
      </c>
      <c r="B502" s="192"/>
      <c r="C502" s="192"/>
      <c r="D502" s="192"/>
      <c r="E502" s="53" t="s">
        <v>2725</v>
      </c>
      <c r="F502" s="193" t="s">
        <v>3356</v>
      </c>
      <c r="G502" s="193" t="s">
        <v>3363</v>
      </c>
      <c r="H502" s="194">
        <v>5232</v>
      </c>
      <c r="I502" s="195"/>
      <c r="J502" s="197"/>
      <c r="K502" s="53"/>
    </row>
    <row r="503" spans="1:11" ht="65.099999999999994" customHeight="1" x14ac:dyDescent="0.25">
      <c r="A503" s="191">
        <v>494</v>
      </c>
      <c r="B503" s="192"/>
      <c r="C503" s="192"/>
      <c r="D503" s="192"/>
      <c r="E503" s="53" t="s">
        <v>2726</v>
      </c>
      <c r="F503" s="193" t="s">
        <v>3356</v>
      </c>
      <c r="G503" s="193" t="s">
        <v>3363</v>
      </c>
      <c r="H503" s="194">
        <v>5232</v>
      </c>
      <c r="I503" s="195"/>
      <c r="J503" s="197"/>
      <c r="K503" s="53"/>
    </row>
    <row r="504" spans="1:11" ht="65.099999999999994" customHeight="1" x14ac:dyDescent="0.25">
      <c r="A504" s="191">
        <v>495</v>
      </c>
      <c r="B504" s="192"/>
      <c r="C504" s="192"/>
      <c r="D504" s="192"/>
      <c r="E504" s="53" t="s">
        <v>2727</v>
      </c>
      <c r="F504" s="193" t="s">
        <v>3356</v>
      </c>
      <c r="G504" s="193" t="s">
        <v>3363</v>
      </c>
      <c r="H504" s="194">
        <v>5232</v>
      </c>
      <c r="I504" s="195"/>
      <c r="J504" s="197"/>
      <c r="K504" s="53"/>
    </row>
    <row r="505" spans="1:11" ht="65.099999999999994" customHeight="1" x14ac:dyDescent="0.25">
      <c r="A505" s="191">
        <v>496</v>
      </c>
      <c r="B505" s="192"/>
      <c r="C505" s="192"/>
      <c r="D505" s="192"/>
      <c r="E505" s="53" t="s">
        <v>2728</v>
      </c>
      <c r="F505" s="193" t="s">
        <v>3356</v>
      </c>
      <c r="G505" s="193" t="s">
        <v>3363</v>
      </c>
      <c r="H505" s="194">
        <v>5232</v>
      </c>
      <c r="I505" s="195"/>
      <c r="J505" s="197"/>
      <c r="K505" s="53"/>
    </row>
    <row r="506" spans="1:11" ht="65.099999999999994" customHeight="1" x14ac:dyDescent="0.25">
      <c r="A506" s="191">
        <v>497</v>
      </c>
      <c r="B506" s="192"/>
      <c r="C506" s="192"/>
      <c r="D506" s="192"/>
      <c r="E506" s="53" t="s">
        <v>2729</v>
      </c>
      <c r="F506" s="193" t="s">
        <v>3357</v>
      </c>
      <c r="G506" s="193" t="s">
        <v>3363</v>
      </c>
      <c r="H506" s="194">
        <v>5232</v>
      </c>
      <c r="I506" s="195"/>
      <c r="J506" s="197"/>
      <c r="K506" s="53"/>
    </row>
    <row r="507" spans="1:11" ht="65.099999999999994" customHeight="1" x14ac:dyDescent="0.25">
      <c r="A507" s="191">
        <v>498</v>
      </c>
      <c r="B507" s="192"/>
      <c r="C507" s="192"/>
      <c r="D507" s="192"/>
      <c r="E507" s="53" t="s">
        <v>2730</v>
      </c>
      <c r="F507" s="193" t="s">
        <v>3357</v>
      </c>
      <c r="G507" s="193" t="s">
        <v>3363</v>
      </c>
      <c r="H507" s="194">
        <v>5232</v>
      </c>
      <c r="I507" s="195"/>
      <c r="J507" s="197"/>
      <c r="K507" s="53"/>
    </row>
    <row r="508" spans="1:11" ht="65.099999999999994" customHeight="1" x14ac:dyDescent="0.25">
      <c r="A508" s="191">
        <v>499</v>
      </c>
      <c r="B508" s="192"/>
      <c r="C508" s="192"/>
      <c r="D508" s="192"/>
      <c r="E508" s="53" t="s">
        <v>2731</v>
      </c>
      <c r="F508" s="193" t="s">
        <v>3357</v>
      </c>
      <c r="G508" s="193" t="s">
        <v>3363</v>
      </c>
      <c r="H508" s="194">
        <v>5232</v>
      </c>
      <c r="I508" s="195"/>
      <c r="J508" s="197"/>
      <c r="K508" s="53"/>
    </row>
    <row r="509" spans="1:11" ht="65.099999999999994" customHeight="1" x14ac:dyDescent="0.25">
      <c r="A509" s="191">
        <v>500</v>
      </c>
      <c r="B509" s="192"/>
      <c r="C509" s="192"/>
      <c r="D509" s="192"/>
      <c r="E509" s="53" t="s">
        <v>2732</v>
      </c>
      <c r="F509" s="193" t="s">
        <v>3357</v>
      </c>
      <c r="G509" s="193" t="s">
        <v>3363</v>
      </c>
      <c r="H509" s="194">
        <v>5232</v>
      </c>
      <c r="I509" s="195"/>
      <c r="J509" s="197"/>
      <c r="K509" s="53"/>
    </row>
    <row r="510" spans="1:11" ht="65.099999999999994" customHeight="1" x14ac:dyDescent="0.25">
      <c r="A510" s="191">
        <v>501</v>
      </c>
      <c r="B510" s="192"/>
      <c r="C510" s="192"/>
      <c r="D510" s="192"/>
      <c r="E510" s="53" t="s">
        <v>2733</v>
      </c>
      <c r="F510" s="193" t="s">
        <v>3357</v>
      </c>
      <c r="G510" s="193" t="s">
        <v>3363</v>
      </c>
      <c r="H510" s="194">
        <v>5232</v>
      </c>
      <c r="I510" s="195"/>
      <c r="J510" s="197"/>
      <c r="K510" s="53"/>
    </row>
    <row r="511" spans="1:11" ht="65.099999999999994" customHeight="1" x14ac:dyDescent="0.25">
      <c r="A511" s="191">
        <v>502</v>
      </c>
      <c r="B511" s="192"/>
      <c r="C511" s="192"/>
      <c r="D511" s="192"/>
      <c r="E511" s="53" t="s">
        <v>2734</v>
      </c>
      <c r="F511" s="193" t="s">
        <v>3357</v>
      </c>
      <c r="G511" s="193" t="s">
        <v>3363</v>
      </c>
      <c r="H511" s="194">
        <v>5232</v>
      </c>
      <c r="I511" s="195"/>
      <c r="J511" s="197"/>
      <c r="K511" s="53"/>
    </row>
    <row r="512" spans="1:11" ht="65.099999999999994" customHeight="1" x14ac:dyDescent="0.25">
      <c r="A512" s="191">
        <v>503</v>
      </c>
      <c r="B512" s="192"/>
      <c r="C512" s="192"/>
      <c r="D512" s="192"/>
      <c r="E512" s="53" t="s">
        <v>2735</v>
      </c>
      <c r="F512" s="193" t="s">
        <v>3357</v>
      </c>
      <c r="G512" s="193" t="s">
        <v>3363</v>
      </c>
      <c r="H512" s="194">
        <v>5232</v>
      </c>
      <c r="I512" s="195"/>
      <c r="J512" s="197"/>
      <c r="K512" s="53"/>
    </row>
    <row r="513" spans="1:11" ht="65.099999999999994" customHeight="1" x14ac:dyDescent="0.25">
      <c r="A513" s="191">
        <v>504</v>
      </c>
      <c r="B513" s="192"/>
      <c r="C513" s="192"/>
      <c r="D513" s="192"/>
      <c r="E513" s="53" t="s">
        <v>2736</v>
      </c>
      <c r="F513" s="193" t="s">
        <v>3357</v>
      </c>
      <c r="G513" s="193" t="s">
        <v>3363</v>
      </c>
      <c r="H513" s="194">
        <v>5232</v>
      </c>
      <c r="I513" s="195"/>
      <c r="J513" s="197"/>
      <c r="K513" s="53"/>
    </row>
    <row r="514" spans="1:11" ht="65.099999999999994" customHeight="1" x14ac:dyDescent="0.25">
      <c r="A514" s="191">
        <v>505</v>
      </c>
      <c r="B514" s="192"/>
      <c r="C514" s="192"/>
      <c r="D514" s="192"/>
      <c r="E514" s="53" t="s">
        <v>2737</v>
      </c>
      <c r="F514" s="193" t="s">
        <v>3357</v>
      </c>
      <c r="G514" s="193" t="s">
        <v>3363</v>
      </c>
      <c r="H514" s="194">
        <v>5232</v>
      </c>
      <c r="I514" s="195"/>
      <c r="J514" s="197"/>
      <c r="K514" s="53"/>
    </row>
    <row r="515" spans="1:11" ht="65.099999999999994" customHeight="1" x14ac:dyDescent="0.25">
      <c r="A515" s="191">
        <v>506</v>
      </c>
      <c r="B515" s="192"/>
      <c r="C515" s="192"/>
      <c r="D515" s="192"/>
      <c r="E515" s="53" t="s">
        <v>2738</v>
      </c>
      <c r="F515" s="193" t="s">
        <v>3357</v>
      </c>
      <c r="G515" s="193" t="s">
        <v>3363</v>
      </c>
      <c r="H515" s="194">
        <v>5232</v>
      </c>
      <c r="I515" s="195"/>
      <c r="J515" s="197"/>
      <c r="K515" s="53"/>
    </row>
    <row r="516" spans="1:11" ht="65.099999999999994" customHeight="1" x14ac:dyDescent="0.25">
      <c r="A516" s="191">
        <v>507</v>
      </c>
      <c r="B516" s="192"/>
      <c r="C516" s="192"/>
      <c r="D516" s="192"/>
      <c r="E516" s="53" t="s">
        <v>2739</v>
      </c>
      <c r="F516" s="193" t="s">
        <v>3357</v>
      </c>
      <c r="G516" s="193" t="s">
        <v>3363</v>
      </c>
      <c r="H516" s="194">
        <v>5232</v>
      </c>
      <c r="I516" s="195"/>
      <c r="J516" s="197"/>
      <c r="K516" s="53"/>
    </row>
    <row r="517" spans="1:11" ht="65.099999999999994" customHeight="1" x14ac:dyDescent="0.25">
      <c r="A517" s="191">
        <v>508</v>
      </c>
      <c r="B517" s="192"/>
      <c r="C517" s="192"/>
      <c r="D517" s="192"/>
      <c r="E517" s="53" t="s">
        <v>2740</v>
      </c>
      <c r="F517" s="193" t="s">
        <v>3357</v>
      </c>
      <c r="G517" s="193" t="s">
        <v>3363</v>
      </c>
      <c r="H517" s="194">
        <v>5232</v>
      </c>
      <c r="I517" s="195"/>
      <c r="J517" s="197"/>
      <c r="K517" s="53"/>
    </row>
    <row r="518" spans="1:11" ht="65.099999999999994" customHeight="1" x14ac:dyDescent="0.25">
      <c r="A518" s="191">
        <v>509</v>
      </c>
      <c r="B518" s="192"/>
      <c r="C518" s="192"/>
      <c r="D518" s="192"/>
      <c r="E518" s="53" t="s">
        <v>2741</v>
      </c>
      <c r="F518" s="193" t="s">
        <v>3357</v>
      </c>
      <c r="G518" s="193" t="s">
        <v>3363</v>
      </c>
      <c r="H518" s="194">
        <v>5232</v>
      </c>
      <c r="I518" s="195"/>
      <c r="J518" s="197"/>
      <c r="K518" s="53"/>
    </row>
    <row r="519" spans="1:11" ht="65.099999999999994" customHeight="1" x14ac:dyDescent="0.25">
      <c r="A519" s="191">
        <v>510</v>
      </c>
      <c r="B519" s="192"/>
      <c r="C519" s="192"/>
      <c r="D519" s="192"/>
      <c r="E519" s="53" t="s">
        <v>2742</v>
      </c>
      <c r="F519" s="193" t="s">
        <v>3357</v>
      </c>
      <c r="G519" s="193" t="s">
        <v>3363</v>
      </c>
      <c r="H519" s="194">
        <v>5232</v>
      </c>
      <c r="I519" s="195"/>
      <c r="J519" s="197"/>
      <c r="K519" s="53"/>
    </row>
    <row r="520" spans="1:11" ht="65.099999999999994" customHeight="1" x14ac:dyDescent="0.25">
      <c r="A520" s="191">
        <v>511</v>
      </c>
      <c r="B520" s="192"/>
      <c r="C520" s="192"/>
      <c r="D520" s="192"/>
      <c r="E520" s="53" t="s">
        <v>2743</v>
      </c>
      <c r="F520" s="193" t="s">
        <v>3357</v>
      </c>
      <c r="G520" s="193" t="s">
        <v>3363</v>
      </c>
      <c r="H520" s="194">
        <v>5232</v>
      </c>
      <c r="I520" s="195"/>
      <c r="J520" s="197"/>
      <c r="K520" s="53"/>
    </row>
    <row r="521" spans="1:11" ht="65.099999999999994" customHeight="1" x14ac:dyDescent="0.25">
      <c r="A521" s="191">
        <v>512</v>
      </c>
      <c r="B521" s="192"/>
      <c r="C521" s="192"/>
      <c r="D521" s="192"/>
      <c r="E521" s="53" t="s">
        <v>2744</v>
      </c>
      <c r="F521" s="193" t="s">
        <v>3357</v>
      </c>
      <c r="G521" s="193" t="s">
        <v>3363</v>
      </c>
      <c r="H521" s="194">
        <v>5232</v>
      </c>
      <c r="I521" s="195"/>
      <c r="J521" s="197"/>
      <c r="K521" s="53"/>
    </row>
    <row r="522" spans="1:11" ht="65.099999999999994" customHeight="1" x14ac:dyDescent="0.25">
      <c r="A522" s="191">
        <v>513</v>
      </c>
      <c r="B522" s="192"/>
      <c r="C522" s="192"/>
      <c r="D522" s="192"/>
      <c r="E522" s="53" t="s">
        <v>2745</v>
      </c>
      <c r="F522" s="193" t="s">
        <v>3357</v>
      </c>
      <c r="G522" s="193" t="s">
        <v>3363</v>
      </c>
      <c r="H522" s="194">
        <v>5232</v>
      </c>
      <c r="I522" s="195"/>
      <c r="J522" s="197"/>
      <c r="K522" s="53"/>
    </row>
    <row r="523" spans="1:11" ht="65.099999999999994" customHeight="1" x14ac:dyDescent="0.25">
      <c r="A523" s="191">
        <v>514</v>
      </c>
      <c r="B523" s="192"/>
      <c r="C523" s="192"/>
      <c r="D523" s="192"/>
      <c r="E523" s="53" t="s">
        <v>2746</v>
      </c>
      <c r="F523" s="193" t="s">
        <v>3357</v>
      </c>
      <c r="G523" s="193" t="s">
        <v>3363</v>
      </c>
      <c r="H523" s="194">
        <v>5232</v>
      </c>
      <c r="I523" s="195"/>
      <c r="J523" s="197"/>
      <c r="K523" s="53"/>
    </row>
    <row r="524" spans="1:11" ht="65.099999999999994" customHeight="1" x14ac:dyDescent="0.25">
      <c r="A524" s="191">
        <v>515</v>
      </c>
      <c r="B524" s="192"/>
      <c r="C524" s="192"/>
      <c r="D524" s="192"/>
      <c r="E524" s="53" t="s">
        <v>2747</v>
      </c>
      <c r="F524" s="193" t="s">
        <v>3357</v>
      </c>
      <c r="G524" s="193" t="s">
        <v>3363</v>
      </c>
      <c r="H524" s="194">
        <v>5232</v>
      </c>
      <c r="I524" s="195"/>
      <c r="J524" s="197"/>
      <c r="K524" s="53"/>
    </row>
    <row r="525" spans="1:11" ht="65.099999999999994" customHeight="1" x14ac:dyDescent="0.25">
      <c r="A525" s="191">
        <v>516</v>
      </c>
      <c r="B525" s="192"/>
      <c r="C525" s="192"/>
      <c r="D525" s="192"/>
      <c r="E525" s="53" t="s">
        <v>2748</v>
      </c>
      <c r="F525" s="193" t="s">
        <v>3357</v>
      </c>
      <c r="G525" s="193" t="s">
        <v>3363</v>
      </c>
      <c r="H525" s="194">
        <v>5232</v>
      </c>
      <c r="I525" s="195"/>
      <c r="J525" s="197"/>
      <c r="K525" s="53"/>
    </row>
    <row r="526" spans="1:11" ht="65.099999999999994" customHeight="1" x14ac:dyDescent="0.25">
      <c r="A526" s="191">
        <v>517</v>
      </c>
      <c r="B526" s="192"/>
      <c r="C526" s="192"/>
      <c r="D526" s="192"/>
      <c r="E526" s="53" t="s">
        <v>2749</v>
      </c>
      <c r="F526" s="193" t="s">
        <v>3357</v>
      </c>
      <c r="G526" s="193" t="s">
        <v>3363</v>
      </c>
      <c r="H526" s="194">
        <v>5232</v>
      </c>
      <c r="I526" s="195"/>
      <c r="J526" s="197"/>
      <c r="K526" s="53"/>
    </row>
    <row r="527" spans="1:11" ht="65.099999999999994" customHeight="1" x14ac:dyDescent="0.25">
      <c r="A527" s="191">
        <v>518</v>
      </c>
      <c r="B527" s="192"/>
      <c r="C527" s="192"/>
      <c r="D527" s="192"/>
      <c r="E527" s="53" t="s">
        <v>2750</v>
      </c>
      <c r="F527" s="193" t="s">
        <v>3357</v>
      </c>
      <c r="G527" s="193" t="s">
        <v>3363</v>
      </c>
      <c r="H527" s="194">
        <v>5232</v>
      </c>
      <c r="I527" s="195"/>
      <c r="J527" s="197"/>
      <c r="K527" s="53"/>
    </row>
    <row r="528" spans="1:11" ht="65.099999999999994" customHeight="1" x14ac:dyDescent="0.25">
      <c r="A528" s="191">
        <v>519</v>
      </c>
      <c r="B528" s="192"/>
      <c r="C528" s="192"/>
      <c r="D528" s="192"/>
      <c r="E528" s="53" t="s">
        <v>2751</v>
      </c>
      <c r="F528" s="193" t="s">
        <v>3357</v>
      </c>
      <c r="G528" s="193" t="s">
        <v>3363</v>
      </c>
      <c r="H528" s="194">
        <v>5232</v>
      </c>
      <c r="I528" s="195"/>
      <c r="J528" s="197"/>
      <c r="K528" s="53"/>
    </row>
    <row r="529" spans="1:11" ht="65.099999999999994" customHeight="1" x14ac:dyDescent="0.25">
      <c r="A529" s="191">
        <v>520</v>
      </c>
      <c r="B529" s="192"/>
      <c r="C529" s="192"/>
      <c r="D529" s="192"/>
      <c r="E529" s="53" t="s">
        <v>2752</v>
      </c>
      <c r="F529" s="193" t="s">
        <v>3357</v>
      </c>
      <c r="G529" s="193" t="s">
        <v>3363</v>
      </c>
      <c r="H529" s="194">
        <v>5232</v>
      </c>
      <c r="I529" s="195"/>
      <c r="J529" s="197"/>
      <c r="K529" s="53"/>
    </row>
    <row r="530" spans="1:11" ht="65.099999999999994" customHeight="1" x14ac:dyDescent="0.25">
      <c r="A530" s="191">
        <v>521</v>
      </c>
      <c r="B530" s="192"/>
      <c r="C530" s="192"/>
      <c r="D530" s="192"/>
      <c r="E530" s="53" t="s">
        <v>2753</v>
      </c>
      <c r="F530" s="193" t="s">
        <v>3357</v>
      </c>
      <c r="G530" s="193" t="s">
        <v>3363</v>
      </c>
      <c r="H530" s="194">
        <v>5232</v>
      </c>
      <c r="I530" s="195"/>
      <c r="J530" s="197"/>
      <c r="K530" s="53"/>
    </row>
    <row r="531" spans="1:11" ht="65.099999999999994" customHeight="1" x14ac:dyDescent="0.25">
      <c r="A531" s="191">
        <v>522</v>
      </c>
      <c r="B531" s="192"/>
      <c r="C531" s="192"/>
      <c r="D531" s="192"/>
      <c r="E531" s="53" t="s">
        <v>2754</v>
      </c>
      <c r="F531" s="193" t="s">
        <v>3357</v>
      </c>
      <c r="G531" s="193" t="s">
        <v>3363</v>
      </c>
      <c r="H531" s="194">
        <v>5232</v>
      </c>
      <c r="I531" s="195"/>
      <c r="J531" s="197"/>
      <c r="K531" s="53"/>
    </row>
    <row r="532" spans="1:11" ht="65.099999999999994" customHeight="1" x14ac:dyDescent="0.25">
      <c r="A532" s="191">
        <v>523</v>
      </c>
      <c r="B532" s="192"/>
      <c r="C532" s="192"/>
      <c r="D532" s="192"/>
      <c r="E532" s="53" t="s">
        <v>2755</v>
      </c>
      <c r="F532" s="193" t="s">
        <v>3357</v>
      </c>
      <c r="G532" s="193" t="s">
        <v>3363</v>
      </c>
      <c r="H532" s="194">
        <v>5232</v>
      </c>
      <c r="I532" s="195"/>
      <c r="J532" s="197"/>
      <c r="K532" s="53"/>
    </row>
    <row r="533" spans="1:11" ht="65.099999999999994" customHeight="1" x14ac:dyDescent="0.25">
      <c r="A533" s="191">
        <v>524</v>
      </c>
      <c r="B533" s="192"/>
      <c r="C533" s="192"/>
      <c r="D533" s="192"/>
      <c r="E533" s="53" t="s">
        <v>2756</v>
      </c>
      <c r="F533" s="193" t="s">
        <v>3358</v>
      </c>
      <c r="G533" s="193" t="s">
        <v>3363</v>
      </c>
      <c r="H533" s="194">
        <v>5232</v>
      </c>
      <c r="I533" s="195"/>
      <c r="J533" s="197"/>
      <c r="K533" s="53"/>
    </row>
    <row r="534" spans="1:11" ht="65.099999999999994" customHeight="1" x14ac:dyDescent="0.25">
      <c r="A534" s="191">
        <v>525</v>
      </c>
      <c r="B534" s="192"/>
      <c r="C534" s="192"/>
      <c r="D534" s="192"/>
      <c r="E534" s="53" t="s">
        <v>2757</v>
      </c>
      <c r="F534" s="193" t="s">
        <v>3358</v>
      </c>
      <c r="G534" s="193" t="s">
        <v>3363</v>
      </c>
      <c r="H534" s="194">
        <v>5232</v>
      </c>
      <c r="I534" s="195"/>
      <c r="J534" s="197"/>
      <c r="K534" s="53"/>
    </row>
    <row r="535" spans="1:11" ht="65.099999999999994" customHeight="1" x14ac:dyDescent="0.25">
      <c r="A535" s="191">
        <v>526</v>
      </c>
      <c r="B535" s="192"/>
      <c r="C535" s="192"/>
      <c r="D535" s="192"/>
      <c r="E535" s="53" t="s">
        <v>2758</v>
      </c>
      <c r="F535" s="193" t="s">
        <v>3358</v>
      </c>
      <c r="G535" s="193" t="s">
        <v>3363</v>
      </c>
      <c r="H535" s="194">
        <v>5232</v>
      </c>
      <c r="I535" s="195"/>
      <c r="J535" s="197"/>
      <c r="K535" s="53"/>
    </row>
    <row r="536" spans="1:11" ht="65.099999999999994" customHeight="1" x14ac:dyDescent="0.25">
      <c r="A536" s="191">
        <v>527</v>
      </c>
      <c r="B536" s="192"/>
      <c r="C536" s="192"/>
      <c r="D536" s="192"/>
      <c r="E536" s="53" t="s">
        <v>2759</v>
      </c>
      <c r="F536" s="193" t="s">
        <v>3358</v>
      </c>
      <c r="G536" s="193" t="s">
        <v>3363</v>
      </c>
      <c r="H536" s="194">
        <v>5232</v>
      </c>
      <c r="I536" s="195"/>
      <c r="J536" s="197"/>
      <c r="K536" s="53"/>
    </row>
    <row r="537" spans="1:11" ht="65.099999999999994" customHeight="1" x14ac:dyDescent="0.25">
      <c r="A537" s="191">
        <v>528</v>
      </c>
      <c r="B537" s="192"/>
      <c r="C537" s="192"/>
      <c r="D537" s="192"/>
      <c r="E537" s="53" t="s">
        <v>2760</v>
      </c>
      <c r="F537" s="193" t="s">
        <v>3358</v>
      </c>
      <c r="G537" s="193" t="s">
        <v>3363</v>
      </c>
      <c r="H537" s="194">
        <v>5232</v>
      </c>
      <c r="I537" s="195"/>
      <c r="J537" s="197"/>
      <c r="K537" s="53"/>
    </row>
    <row r="538" spans="1:11" ht="65.099999999999994" customHeight="1" x14ac:dyDescent="0.25">
      <c r="A538" s="191">
        <v>529</v>
      </c>
      <c r="B538" s="192"/>
      <c r="C538" s="192"/>
      <c r="D538" s="192"/>
      <c r="E538" s="53" t="s">
        <v>2761</v>
      </c>
      <c r="F538" s="193" t="s">
        <v>3358</v>
      </c>
      <c r="G538" s="193" t="s">
        <v>3363</v>
      </c>
      <c r="H538" s="194">
        <v>5232</v>
      </c>
      <c r="I538" s="195"/>
      <c r="J538" s="197"/>
      <c r="K538" s="53"/>
    </row>
    <row r="539" spans="1:11" ht="65.099999999999994" customHeight="1" x14ac:dyDescent="0.25">
      <c r="A539" s="191">
        <v>530</v>
      </c>
      <c r="B539" s="192"/>
      <c r="C539" s="192"/>
      <c r="D539" s="192"/>
      <c r="E539" s="53" t="s">
        <v>2762</v>
      </c>
      <c r="F539" s="193" t="s">
        <v>3358</v>
      </c>
      <c r="G539" s="193" t="s">
        <v>3363</v>
      </c>
      <c r="H539" s="194">
        <v>5232</v>
      </c>
      <c r="I539" s="195"/>
      <c r="J539" s="197"/>
      <c r="K539" s="53"/>
    </row>
    <row r="540" spans="1:11" ht="65.099999999999994" customHeight="1" x14ac:dyDescent="0.25">
      <c r="A540" s="191">
        <v>531</v>
      </c>
      <c r="B540" s="192"/>
      <c r="C540" s="192"/>
      <c r="D540" s="192"/>
      <c r="E540" s="53" t="s">
        <v>2763</v>
      </c>
      <c r="F540" s="193" t="s">
        <v>3358</v>
      </c>
      <c r="G540" s="193" t="s">
        <v>3363</v>
      </c>
      <c r="H540" s="194">
        <v>5232</v>
      </c>
      <c r="I540" s="195"/>
      <c r="J540" s="197"/>
      <c r="K540" s="53"/>
    </row>
    <row r="541" spans="1:11" ht="65.099999999999994" customHeight="1" x14ac:dyDescent="0.25">
      <c r="A541" s="191">
        <v>532</v>
      </c>
      <c r="B541" s="192"/>
      <c r="C541" s="192"/>
      <c r="D541" s="192"/>
      <c r="E541" s="53" t="s">
        <v>2764</v>
      </c>
      <c r="F541" s="193" t="s">
        <v>3358</v>
      </c>
      <c r="G541" s="193" t="s">
        <v>3363</v>
      </c>
      <c r="H541" s="194">
        <v>5232</v>
      </c>
      <c r="I541" s="195"/>
      <c r="J541" s="197"/>
      <c r="K541" s="53"/>
    </row>
    <row r="542" spans="1:11" ht="65.099999999999994" customHeight="1" x14ac:dyDescent="0.25">
      <c r="A542" s="191">
        <v>533</v>
      </c>
      <c r="B542" s="192"/>
      <c r="C542" s="192"/>
      <c r="D542" s="192"/>
      <c r="E542" s="53" t="s">
        <v>2765</v>
      </c>
      <c r="F542" s="193" t="s">
        <v>3358</v>
      </c>
      <c r="G542" s="193" t="s">
        <v>3363</v>
      </c>
      <c r="H542" s="194">
        <v>5232</v>
      </c>
      <c r="I542" s="195"/>
      <c r="J542" s="197"/>
      <c r="K542" s="53"/>
    </row>
    <row r="543" spans="1:11" ht="65.099999999999994" customHeight="1" x14ac:dyDescent="0.25">
      <c r="A543" s="191">
        <v>534</v>
      </c>
      <c r="B543" s="192"/>
      <c r="C543" s="192"/>
      <c r="D543" s="192"/>
      <c r="E543" s="53" t="s">
        <v>2766</v>
      </c>
      <c r="F543" s="193" t="s">
        <v>3358</v>
      </c>
      <c r="G543" s="193" t="s">
        <v>3363</v>
      </c>
      <c r="H543" s="194">
        <v>5232</v>
      </c>
      <c r="I543" s="195"/>
      <c r="J543" s="197"/>
      <c r="K543" s="53"/>
    </row>
    <row r="544" spans="1:11" ht="65.099999999999994" customHeight="1" x14ac:dyDescent="0.25">
      <c r="A544" s="191">
        <v>535</v>
      </c>
      <c r="B544" s="192"/>
      <c r="C544" s="192"/>
      <c r="D544" s="192"/>
      <c r="E544" s="53" t="s">
        <v>2767</v>
      </c>
      <c r="F544" s="193" t="s">
        <v>3358</v>
      </c>
      <c r="G544" s="193" t="s">
        <v>3363</v>
      </c>
      <c r="H544" s="194">
        <v>5232</v>
      </c>
      <c r="I544" s="195"/>
      <c r="J544" s="197"/>
      <c r="K544" s="53"/>
    </row>
    <row r="545" spans="1:11" ht="65.099999999999994" customHeight="1" x14ac:dyDescent="0.25">
      <c r="A545" s="191">
        <v>536</v>
      </c>
      <c r="B545" s="192"/>
      <c r="C545" s="192"/>
      <c r="D545" s="192"/>
      <c r="E545" s="53" t="s">
        <v>2768</v>
      </c>
      <c r="F545" s="193" t="s">
        <v>3358</v>
      </c>
      <c r="G545" s="193" t="s">
        <v>3363</v>
      </c>
      <c r="H545" s="194">
        <v>5232</v>
      </c>
      <c r="I545" s="195"/>
      <c r="J545" s="197"/>
      <c r="K545" s="53"/>
    </row>
    <row r="546" spans="1:11" ht="65.099999999999994" customHeight="1" x14ac:dyDescent="0.25">
      <c r="A546" s="191">
        <v>537</v>
      </c>
      <c r="B546" s="192"/>
      <c r="C546" s="192"/>
      <c r="D546" s="192"/>
      <c r="E546" s="53" t="s">
        <v>2769</v>
      </c>
      <c r="F546" s="193" t="s">
        <v>3358</v>
      </c>
      <c r="G546" s="193" t="s">
        <v>3363</v>
      </c>
      <c r="H546" s="194">
        <v>5232</v>
      </c>
      <c r="I546" s="195"/>
      <c r="J546" s="197"/>
      <c r="K546" s="53"/>
    </row>
    <row r="547" spans="1:11" ht="65.099999999999994" customHeight="1" x14ac:dyDescent="0.25">
      <c r="A547" s="191">
        <v>538</v>
      </c>
      <c r="B547" s="192"/>
      <c r="C547" s="192"/>
      <c r="D547" s="192"/>
      <c r="E547" s="53" t="s">
        <v>2770</v>
      </c>
      <c r="F547" s="193" t="s">
        <v>3359</v>
      </c>
      <c r="G547" s="193" t="s">
        <v>3363</v>
      </c>
      <c r="H547" s="194">
        <v>5232</v>
      </c>
      <c r="I547" s="195"/>
      <c r="J547" s="197"/>
      <c r="K547" s="53"/>
    </row>
    <row r="548" spans="1:11" ht="65.099999999999994" customHeight="1" x14ac:dyDescent="0.25">
      <c r="A548" s="191">
        <v>539</v>
      </c>
      <c r="B548" s="192"/>
      <c r="C548" s="192"/>
      <c r="D548" s="192"/>
      <c r="E548" s="53" t="s">
        <v>2771</v>
      </c>
      <c r="F548" s="193" t="s">
        <v>3359</v>
      </c>
      <c r="G548" s="193" t="s">
        <v>3363</v>
      </c>
      <c r="H548" s="194">
        <v>5232</v>
      </c>
      <c r="I548" s="195"/>
      <c r="J548" s="197"/>
      <c r="K548" s="53"/>
    </row>
    <row r="549" spans="1:11" ht="65.099999999999994" customHeight="1" x14ac:dyDescent="0.25">
      <c r="A549" s="191">
        <v>540</v>
      </c>
      <c r="B549" s="192"/>
      <c r="C549" s="192"/>
      <c r="D549" s="192"/>
      <c r="E549" s="53" t="s">
        <v>2772</v>
      </c>
      <c r="F549" s="193" t="s">
        <v>3359</v>
      </c>
      <c r="G549" s="193" t="s">
        <v>3363</v>
      </c>
      <c r="H549" s="194">
        <v>5232</v>
      </c>
      <c r="I549" s="195"/>
      <c r="J549" s="197"/>
      <c r="K549" s="53"/>
    </row>
    <row r="550" spans="1:11" ht="65.099999999999994" customHeight="1" x14ac:dyDescent="0.25">
      <c r="A550" s="191">
        <v>541</v>
      </c>
      <c r="B550" s="192"/>
      <c r="C550" s="192"/>
      <c r="D550" s="192"/>
      <c r="E550" s="53" t="s">
        <v>2773</v>
      </c>
      <c r="F550" s="193" t="s">
        <v>3359</v>
      </c>
      <c r="G550" s="193" t="s">
        <v>3363</v>
      </c>
      <c r="H550" s="194">
        <v>5232</v>
      </c>
      <c r="I550" s="195"/>
      <c r="J550" s="197"/>
      <c r="K550" s="53"/>
    </row>
    <row r="551" spans="1:11" ht="65.099999999999994" customHeight="1" x14ac:dyDescent="0.25">
      <c r="A551" s="191">
        <v>542</v>
      </c>
      <c r="B551" s="192"/>
      <c r="C551" s="192"/>
      <c r="D551" s="192"/>
      <c r="E551" s="53" t="s">
        <v>2774</v>
      </c>
      <c r="F551" s="193" t="s">
        <v>3359</v>
      </c>
      <c r="G551" s="193" t="s">
        <v>3363</v>
      </c>
      <c r="H551" s="194">
        <v>5232</v>
      </c>
      <c r="I551" s="195"/>
      <c r="J551" s="197"/>
      <c r="K551" s="53"/>
    </row>
    <row r="552" spans="1:11" ht="65.099999999999994" customHeight="1" x14ac:dyDescent="0.25">
      <c r="A552" s="191">
        <v>543</v>
      </c>
      <c r="B552" s="192"/>
      <c r="C552" s="192"/>
      <c r="D552" s="192"/>
      <c r="E552" s="53" t="s">
        <v>2775</v>
      </c>
      <c r="F552" s="193" t="s">
        <v>3359</v>
      </c>
      <c r="G552" s="193" t="s">
        <v>3363</v>
      </c>
      <c r="H552" s="194">
        <v>5232</v>
      </c>
      <c r="I552" s="195"/>
      <c r="J552" s="197"/>
      <c r="K552" s="53"/>
    </row>
    <row r="553" spans="1:11" ht="65.099999999999994" customHeight="1" x14ac:dyDescent="0.25">
      <c r="A553" s="191">
        <v>544</v>
      </c>
      <c r="B553" s="192"/>
      <c r="C553" s="192"/>
      <c r="D553" s="192"/>
      <c r="E553" s="53" t="s">
        <v>2776</v>
      </c>
      <c r="F553" s="193" t="s">
        <v>3359</v>
      </c>
      <c r="G553" s="193" t="s">
        <v>3363</v>
      </c>
      <c r="H553" s="194">
        <v>5232</v>
      </c>
      <c r="I553" s="195"/>
      <c r="J553" s="197"/>
      <c r="K553" s="53"/>
    </row>
    <row r="554" spans="1:11" ht="65.099999999999994" customHeight="1" x14ac:dyDescent="0.25">
      <c r="A554" s="191">
        <v>545</v>
      </c>
      <c r="B554" s="192"/>
      <c r="C554" s="192"/>
      <c r="D554" s="192"/>
      <c r="E554" s="53" t="s">
        <v>2777</v>
      </c>
      <c r="F554" s="193" t="s">
        <v>3359</v>
      </c>
      <c r="G554" s="193" t="s">
        <v>3363</v>
      </c>
      <c r="H554" s="194">
        <v>5232</v>
      </c>
      <c r="I554" s="195"/>
      <c r="J554" s="197"/>
      <c r="K554" s="53"/>
    </row>
    <row r="555" spans="1:11" ht="65.099999999999994" customHeight="1" x14ac:dyDescent="0.25">
      <c r="A555" s="191">
        <v>546</v>
      </c>
      <c r="B555" s="192"/>
      <c r="C555" s="192"/>
      <c r="D555" s="192"/>
      <c r="E555" s="53" t="s">
        <v>2778</v>
      </c>
      <c r="F555" s="193" t="s">
        <v>3359</v>
      </c>
      <c r="G555" s="193" t="s">
        <v>3363</v>
      </c>
      <c r="H555" s="194">
        <v>5232</v>
      </c>
      <c r="I555" s="195"/>
      <c r="J555" s="197"/>
      <c r="K555" s="53"/>
    </row>
    <row r="556" spans="1:11" ht="65.099999999999994" customHeight="1" x14ac:dyDescent="0.25">
      <c r="A556" s="191">
        <v>547</v>
      </c>
      <c r="B556" s="192"/>
      <c r="C556" s="192"/>
      <c r="D556" s="192"/>
      <c r="E556" s="53" t="s">
        <v>2779</v>
      </c>
      <c r="F556" s="193" t="s">
        <v>3359</v>
      </c>
      <c r="G556" s="193" t="s">
        <v>3363</v>
      </c>
      <c r="H556" s="194">
        <v>5232</v>
      </c>
      <c r="I556" s="195"/>
      <c r="J556" s="197"/>
      <c r="K556" s="53"/>
    </row>
    <row r="557" spans="1:11" ht="65.099999999999994" customHeight="1" x14ac:dyDescent="0.25">
      <c r="A557" s="191">
        <v>548</v>
      </c>
      <c r="B557" s="192"/>
      <c r="C557" s="192"/>
      <c r="D557" s="192"/>
      <c r="E557" s="53" t="s">
        <v>2780</v>
      </c>
      <c r="F557" s="193" t="s">
        <v>3359</v>
      </c>
      <c r="G557" s="193" t="s">
        <v>3363</v>
      </c>
      <c r="H557" s="194">
        <v>5232</v>
      </c>
      <c r="I557" s="195"/>
      <c r="J557" s="197"/>
      <c r="K557" s="53"/>
    </row>
    <row r="558" spans="1:11" ht="65.099999999999994" customHeight="1" x14ac:dyDescent="0.25">
      <c r="A558" s="191">
        <v>549</v>
      </c>
      <c r="B558" s="192"/>
      <c r="C558" s="192"/>
      <c r="D558" s="192"/>
      <c r="E558" s="53" t="s">
        <v>2781</v>
      </c>
      <c r="F558" s="193" t="s">
        <v>3359</v>
      </c>
      <c r="G558" s="193" t="s">
        <v>3363</v>
      </c>
      <c r="H558" s="194">
        <v>5232</v>
      </c>
      <c r="I558" s="195"/>
      <c r="J558" s="197"/>
      <c r="K558" s="53"/>
    </row>
    <row r="559" spans="1:11" ht="65.099999999999994" customHeight="1" x14ac:dyDescent="0.25">
      <c r="A559" s="191">
        <v>550</v>
      </c>
      <c r="B559" s="192"/>
      <c r="C559" s="192"/>
      <c r="D559" s="192"/>
      <c r="E559" s="53" t="s">
        <v>2782</v>
      </c>
      <c r="F559" s="193" t="s">
        <v>3359</v>
      </c>
      <c r="G559" s="193" t="s">
        <v>3363</v>
      </c>
      <c r="H559" s="194">
        <v>5232</v>
      </c>
      <c r="I559" s="195"/>
      <c r="J559" s="197"/>
      <c r="K559" s="53"/>
    </row>
    <row r="560" spans="1:11" ht="65.099999999999994" customHeight="1" x14ac:dyDescent="0.25">
      <c r="A560" s="191">
        <v>551</v>
      </c>
      <c r="B560" s="192"/>
      <c r="C560" s="192"/>
      <c r="D560" s="192"/>
      <c r="E560" s="53" t="s">
        <v>2783</v>
      </c>
      <c r="F560" s="193" t="s">
        <v>3359</v>
      </c>
      <c r="G560" s="193" t="s">
        <v>3363</v>
      </c>
      <c r="H560" s="194">
        <v>5232</v>
      </c>
      <c r="I560" s="195"/>
      <c r="J560" s="197"/>
      <c r="K560" s="53"/>
    </row>
    <row r="561" spans="1:11" ht="65.099999999999994" customHeight="1" x14ac:dyDescent="0.25">
      <c r="A561" s="191">
        <v>552</v>
      </c>
      <c r="B561" s="192"/>
      <c r="C561" s="192"/>
      <c r="D561" s="192"/>
      <c r="E561" s="53" t="s">
        <v>2784</v>
      </c>
      <c r="F561" s="193" t="s">
        <v>3359</v>
      </c>
      <c r="G561" s="193" t="s">
        <v>3363</v>
      </c>
      <c r="H561" s="194">
        <v>5232</v>
      </c>
      <c r="I561" s="195"/>
      <c r="J561" s="197"/>
      <c r="K561" s="53"/>
    </row>
    <row r="562" spans="1:11" ht="65.099999999999994" customHeight="1" x14ac:dyDescent="0.25">
      <c r="A562" s="191">
        <v>553</v>
      </c>
      <c r="B562" s="192"/>
      <c r="C562" s="192"/>
      <c r="D562" s="192"/>
      <c r="E562" s="53" t="s">
        <v>2785</v>
      </c>
      <c r="F562" s="193" t="s">
        <v>3359</v>
      </c>
      <c r="G562" s="193" t="s">
        <v>3363</v>
      </c>
      <c r="H562" s="194">
        <v>5232</v>
      </c>
      <c r="I562" s="195"/>
      <c r="J562" s="197"/>
      <c r="K562" s="53"/>
    </row>
    <row r="563" spans="1:11" ht="65.099999999999994" customHeight="1" x14ac:dyDescent="0.25">
      <c r="A563" s="191">
        <v>554</v>
      </c>
      <c r="B563" s="192"/>
      <c r="C563" s="192"/>
      <c r="D563" s="192"/>
      <c r="E563" s="53" t="s">
        <v>2786</v>
      </c>
      <c r="F563" s="193" t="s">
        <v>3359</v>
      </c>
      <c r="G563" s="193" t="s">
        <v>3363</v>
      </c>
      <c r="H563" s="194">
        <v>5232</v>
      </c>
      <c r="I563" s="195"/>
      <c r="J563" s="197"/>
      <c r="K563" s="53"/>
    </row>
    <row r="564" spans="1:11" ht="65.099999999999994" customHeight="1" x14ac:dyDescent="0.25">
      <c r="A564" s="191">
        <v>555</v>
      </c>
      <c r="B564" s="192"/>
      <c r="C564" s="192"/>
      <c r="D564" s="192"/>
      <c r="E564" s="53" t="s">
        <v>2787</v>
      </c>
      <c r="F564" s="193" t="s">
        <v>3359</v>
      </c>
      <c r="G564" s="193" t="s">
        <v>3363</v>
      </c>
      <c r="H564" s="194">
        <v>5232</v>
      </c>
      <c r="I564" s="195"/>
      <c r="J564" s="197"/>
      <c r="K564" s="53"/>
    </row>
    <row r="565" spans="1:11" ht="65.099999999999994" customHeight="1" x14ac:dyDescent="0.25">
      <c r="A565" s="191">
        <v>556</v>
      </c>
      <c r="B565" s="192"/>
      <c r="C565" s="192"/>
      <c r="D565" s="192"/>
      <c r="E565" s="53" t="s">
        <v>2788</v>
      </c>
      <c r="F565" s="193" t="s">
        <v>3359</v>
      </c>
      <c r="G565" s="193" t="s">
        <v>3363</v>
      </c>
      <c r="H565" s="194">
        <v>5232</v>
      </c>
      <c r="I565" s="195"/>
      <c r="J565" s="197"/>
      <c r="K565" s="53"/>
    </row>
    <row r="566" spans="1:11" ht="65.099999999999994" customHeight="1" x14ac:dyDescent="0.25">
      <c r="A566" s="191">
        <v>557</v>
      </c>
      <c r="B566" s="192"/>
      <c r="C566" s="192"/>
      <c r="D566" s="192"/>
      <c r="E566" s="53" t="s">
        <v>2789</v>
      </c>
      <c r="F566" s="193" t="s">
        <v>3359</v>
      </c>
      <c r="G566" s="193" t="s">
        <v>3363</v>
      </c>
      <c r="H566" s="194">
        <v>5232</v>
      </c>
      <c r="I566" s="195"/>
      <c r="J566" s="197"/>
      <c r="K566" s="53"/>
    </row>
    <row r="567" spans="1:11" ht="65.099999999999994" customHeight="1" x14ac:dyDescent="0.25">
      <c r="A567" s="191">
        <v>558</v>
      </c>
      <c r="B567" s="192"/>
      <c r="C567" s="192"/>
      <c r="D567" s="192"/>
      <c r="E567" s="53" t="s">
        <v>2790</v>
      </c>
      <c r="F567" s="193" t="s">
        <v>3359</v>
      </c>
      <c r="G567" s="193" t="s">
        <v>3363</v>
      </c>
      <c r="H567" s="194">
        <v>5232</v>
      </c>
      <c r="I567" s="195"/>
      <c r="J567" s="197"/>
      <c r="K567" s="53"/>
    </row>
    <row r="568" spans="1:11" ht="65.099999999999994" customHeight="1" x14ac:dyDescent="0.25">
      <c r="A568" s="191">
        <v>559</v>
      </c>
      <c r="B568" s="192"/>
      <c r="C568" s="192"/>
      <c r="D568" s="192"/>
      <c r="E568" s="53" t="s">
        <v>2791</v>
      </c>
      <c r="F568" s="193" t="s">
        <v>3359</v>
      </c>
      <c r="G568" s="193" t="s">
        <v>3363</v>
      </c>
      <c r="H568" s="194">
        <v>5232</v>
      </c>
      <c r="I568" s="195"/>
      <c r="J568" s="197"/>
      <c r="K568" s="53"/>
    </row>
    <row r="569" spans="1:11" ht="65.099999999999994" customHeight="1" x14ac:dyDescent="0.25">
      <c r="A569" s="191">
        <v>560</v>
      </c>
      <c r="B569" s="192"/>
      <c r="C569" s="192"/>
      <c r="D569" s="192"/>
      <c r="E569" s="53" t="s">
        <v>2792</v>
      </c>
      <c r="F569" s="193" t="s">
        <v>3359</v>
      </c>
      <c r="G569" s="193" t="s">
        <v>3363</v>
      </c>
      <c r="H569" s="194">
        <v>5232</v>
      </c>
      <c r="I569" s="195"/>
      <c r="J569" s="197"/>
      <c r="K569" s="53"/>
    </row>
    <row r="570" spans="1:11" ht="65.099999999999994" customHeight="1" x14ac:dyDescent="0.25">
      <c r="A570" s="191">
        <v>561</v>
      </c>
      <c r="B570" s="192"/>
      <c r="C570" s="192"/>
      <c r="D570" s="192"/>
      <c r="E570" s="53" t="s">
        <v>2793</v>
      </c>
      <c r="F570" s="193" t="s">
        <v>3359</v>
      </c>
      <c r="G570" s="193" t="s">
        <v>3363</v>
      </c>
      <c r="H570" s="194">
        <v>5232</v>
      </c>
      <c r="I570" s="195"/>
      <c r="J570" s="197"/>
      <c r="K570" s="53"/>
    </row>
    <row r="571" spans="1:11" ht="65.099999999999994" customHeight="1" x14ac:dyDescent="0.25">
      <c r="A571" s="191">
        <v>562</v>
      </c>
      <c r="B571" s="192"/>
      <c r="C571" s="192"/>
      <c r="D571" s="192"/>
      <c r="E571" s="53" t="s">
        <v>2794</v>
      </c>
      <c r="F571" s="193" t="s">
        <v>3359</v>
      </c>
      <c r="G571" s="193" t="s">
        <v>3363</v>
      </c>
      <c r="H571" s="194">
        <v>5232</v>
      </c>
      <c r="I571" s="195"/>
      <c r="J571" s="197"/>
      <c r="K571" s="53"/>
    </row>
    <row r="572" spans="1:11" ht="65.099999999999994" customHeight="1" x14ac:dyDescent="0.25">
      <c r="A572" s="191">
        <v>563</v>
      </c>
      <c r="B572" s="192"/>
      <c r="C572" s="192"/>
      <c r="D572" s="192"/>
      <c r="E572" s="53" t="s">
        <v>2795</v>
      </c>
      <c r="F572" s="193" t="s">
        <v>3359</v>
      </c>
      <c r="G572" s="193" t="s">
        <v>3363</v>
      </c>
      <c r="H572" s="194">
        <v>5232</v>
      </c>
      <c r="I572" s="195"/>
      <c r="J572" s="197"/>
      <c r="K572" s="53"/>
    </row>
    <row r="573" spans="1:11" ht="65.099999999999994" customHeight="1" x14ac:dyDescent="0.25">
      <c r="A573" s="191">
        <v>564</v>
      </c>
      <c r="B573" s="192"/>
      <c r="C573" s="192"/>
      <c r="D573" s="192"/>
      <c r="E573" s="53" t="s">
        <v>2796</v>
      </c>
      <c r="F573" s="193" t="s">
        <v>3359</v>
      </c>
      <c r="G573" s="193" t="s">
        <v>3363</v>
      </c>
      <c r="H573" s="194">
        <v>5232</v>
      </c>
      <c r="I573" s="195"/>
      <c r="J573" s="197"/>
      <c r="K573" s="53"/>
    </row>
    <row r="574" spans="1:11" ht="65.099999999999994" customHeight="1" x14ac:dyDescent="0.25">
      <c r="A574" s="191">
        <v>565</v>
      </c>
      <c r="B574" s="192"/>
      <c r="C574" s="192"/>
      <c r="D574" s="192"/>
      <c r="E574" s="53" t="s">
        <v>2797</v>
      </c>
      <c r="F574" s="193" t="s">
        <v>3359</v>
      </c>
      <c r="G574" s="193" t="s">
        <v>3363</v>
      </c>
      <c r="H574" s="194">
        <v>5232</v>
      </c>
      <c r="I574" s="195"/>
      <c r="J574" s="197"/>
      <c r="K574" s="53"/>
    </row>
    <row r="575" spans="1:11" ht="65.099999999999994" customHeight="1" x14ac:dyDescent="0.25">
      <c r="A575" s="191">
        <v>566</v>
      </c>
      <c r="B575" s="192"/>
      <c r="C575" s="192"/>
      <c r="D575" s="192"/>
      <c r="E575" s="53" t="s">
        <v>2798</v>
      </c>
      <c r="F575" s="193" t="s">
        <v>3359</v>
      </c>
      <c r="G575" s="193" t="s">
        <v>3363</v>
      </c>
      <c r="H575" s="194">
        <v>5232</v>
      </c>
      <c r="I575" s="195"/>
      <c r="J575" s="197"/>
      <c r="K575" s="53"/>
    </row>
    <row r="576" spans="1:11" ht="65.099999999999994" customHeight="1" x14ac:dyDescent="0.25">
      <c r="A576" s="191">
        <v>567</v>
      </c>
      <c r="B576" s="192"/>
      <c r="C576" s="192"/>
      <c r="D576" s="192"/>
      <c r="E576" s="53" t="s">
        <v>2799</v>
      </c>
      <c r="F576" s="193" t="s">
        <v>3359</v>
      </c>
      <c r="G576" s="193" t="s">
        <v>3363</v>
      </c>
      <c r="H576" s="194">
        <v>5232</v>
      </c>
      <c r="I576" s="195"/>
      <c r="J576" s="197"/>
      <c r="K576" s="53"/>
    </row>
    <row r="577" spans="1:11" ht="65.099999999999994" customHeight="1" x14ac:dyDescent="0.25">
      <c r="A577" s="191">
        <v>568</v>
      </c>
      <c r="B577" s="192"/>
      <c r="C577" s="192"/>
      <c r="D577" s="192"/>
      <c r="E577" s="53" t="s">
        <v>2800</v>
      </c>
      <c r="F577" s="193" t="s">
        <v>3359</v>
      </c>
      <c r="G577" s="193" t="s">
        <v>3363</v>
      </c>
      <c r="H577" s="194">
        <v>5232</v>
      </c>
      <c r="I577" s="195"/>
      <c r="J577" s="197"/>
      <c r="K577" s="53"/>
    </row>
    <row r="578" spans="1:11" ht="65.099999999999994" customHeight="1" x14ac:dyDescent="0.25">
      <c r="A578" s="191">
        <v>569</v>
      </c>
      <c r="B578" s="192"/>
      <c r="C578" s="192"/>
      <c r="D578" s="192"/>
      <c r="E578" s="53" t="s">
        <v>2801</v>
      </c>
      <c r="F578" s="193" t="s">
        <v>3359</v>
      </c>
      <c r="G578" s="193" t="s">
        <v>3363</v>
      </c>
      <c r="H578" s="194">
        <v>5232</v>
      </c>
      <c r="I578" s="195"/>
      <c r="J578" s="197"/>
      <c r="K578" s="53"/>
    </row>
    <row r="579" spans="1:11" ht="65.099999999999994" customHeight="1" x14ac:dyDescent="0.25">
      <c r="A579" s="191">
        <v>570</v>
      </c>
      <c r="B579" s="192"/>
      <c r="C579" s="192"/>
      <c r="D579" s="192"/>
      <c r="E579" s="53" t="s">
        <v>2802</v>
      </c>
      <c r="F579" s="193" t="s">
        <v>3359</v>
      </c>
      <c r="G579" s="193" t="s">
        <v>3363</v>
      </c>
      <c r="H579" s="194">
        <v>5232</v>
      </c>
      <c r="I579" s="195"/>
      <c r="J579" s="197"/>
      <c r="K579" s="53"/>
    </row>
    <row r="580" spans="1:11" ht="65.099999999999994" customHeight="1" x14ac:dyDescent="0.25">
      <c r="A580" s="191">
        <v>571</v>
      </c>
      <c r="B580" s="192"/>
      <c r="C580" s="192"/>
      <c r="D580" s="192"/>
      <c r="E580" s="53" t="s">
        <v>2803</v>
      </c>
      <c r="F580" s="193" t="s">
        <v>3359</v>
      </c>
      <c r="G580" s="193" t="s">
        <v>3363</v>
      </c>
      <c r="H580" s="194">
        <v>5232</v>
      </c>
      <c r="I580" s="195"/>
      <c r="J580" s="197"/>
      <c r="K580" s="53"/>
    </row>
    <row r="581" spans="1:11" ht="65.099999999999994" customHeight="1" x14ac:dyDescent="0.25">
      <c r="A581" s="191">
        <v>572</v>
      </c>
      <c r="B581" s="192"/>
      <c r="C581" s="192"/>
      <c r="D581" s="192"/>
      <c r="E581" s="53" t="s">
        <v>2804</v>
      </c>
      <c r="F581" s="193" t="s">
        <v>3359</v>
      </c>
      <c r="G581" s="193" t="s">
        <v>3363</v>
      </c>
      <c r="H581" s="194">
        <v>5232</v>
      </c>
      <c r="I581" s="195"/>
      <c r="J581" s="197"/>
      <c r="K581" s="53"/>
    </row>
    <row r="582" spans="1:11" ht="65.099999999999994" customHeight="1" x14ac:dyDescent="0.25">
      <c r="A582" s="191">
        <v>573</v>
      </c>
      <c r="B582" s="192"/>
      <c r="C582" s="192"/>
      <c r="D582" s="192"/>
      <c r="E582" s="53" t="s">
        <v>2805</v>
      </c>
      <c r="F582" s="193" t="s">
        <v>3359</v>
      </c>
      <c r="G582" s="193" t="s">
        <v>3363</v>
      </c>
      <c r="H582" s="194">
        <v>5232</v>
      </c>
      <c r="I582" s="195"/>
      <c r="J582" s="197"/>
      <c r="K582" s="53"/>
    </row>
    <row r="583" spans="1:11" ht="65.099999999999994" customHeight="1" x14ac:dyDescent="0.25">
      <c r="A583" s="191">
        <v>574</v>
      </c>
      <c r="B583" s="192"/>
      <c r="C583" s="192"/>
      <c r="D583" s="192"/>
      <c r="E583" s="53" t="s">
        <v>2806</v>
      </c>
      <c r="F583" s="193" t="s">
        <v>3359</v>
      </c>
      <c r="G583" s="193" t="s">
        <v>3363</v>
      </c>
      <c r="H583" s="194">
        <v>5232</v>
      </c>
      <c r="I583" s="195"/>
      <c r="J583" s="197"/>
      <c r="K583" s="53"/>
    </row>
    <row r="584" spans="1:11" ht="65.099999999999994" customHeight="1" x14ac:dyDescent="0.25">
      <c r="A584" s="191">
        <v>575</v>
      </c>
      <c r="B584" s="192"/>
      <c r="C584" s="192"/>
      <c r="D584" s="192"/>
      <c r="E584" s="53" t="s">
        <v>2807</v>
      </c>
      <c r="F584" s="193" t="s">
        <v>3359</v>
      </c>
      <c r="G584" s="193" t="s">
        <v>3363</v>
      </c>
      <c r="H584" s="194">
        <v>5232</v>
      </c>
      <c r="I584" s="195"/>
      <c r="J584" s="197"/>
      <c r="K584" s="53"/>
    </row>
    <row r="585" spans="1:11" ht="65.099999999999994" customHeight="1" x14ac:dyDescent="0.25">
      <c r="A585" s="191">
        <v>576</v>
      </c>
      <c r="B585" s="192"/>
      <c r="C585" s="192"/>
      <c r="D585" s="192"/>
      <c r="E585" s="53" t="s">
        <v>2808</v>
      </c>
      <c r="F585" s="193" t="s">
        <v>3359</v>
      </c>
      <c r="G585" s="193" t="s">
        <v>3363</v>
      </c>
      <c r="H585" s="194">
        <v>5232</v>
      </c>
      <c r="I585" s="195"/>
      <c r="J585" s="197"/>
      <c r="K585" s="53"/>
    </row>
    <row r="586" spans="1:11" ht="65.099999999999994" customHeight="1" x14ac:dyDescent="0.25">
      <c r="A586" s="191">
        <v>577</v>
      </c>
      <c r="B586" s="192"/>
      <c r="C586" s="192"/>
      <c r="D586" s="192"/>
      <c r="E586" s="53" t="s">
        <v>2809</v>
      </c>
      <c r="F586" s="193" t="s">
        <v>3359</v>
      </c>
      <c r="G586" s="193" t="s">
        <v>3363</v>
      </c>
      <c r="H586" s="194">
        <v>5232</v>
      </c>
      <c r="I586" s="195"/>
      <c r="J586" s="197"/>
      <c r="K586" s="53"/>
    </row>
    <row r="587" spans="1:11" ht="65.099999999999994" customHeight="1" x14ac:dyDescent="0.25">
      <c r="A587" s="191">
        <v>578</v>
      </c>
      <c r="B587" s="192"/>
      <c r="C587" s="192"/>
      <c r="D587" s="192"/>
      <c r="E587" s="53" t="s">
        <v>2810</v>
      </c>
      <c r="F587" s="193" t="s">
        <v>3359</v>
      </c>
      <c r="G587" s="193" t="s">
        <v>3363</v>
      </c>
      <c r="H587" s="194">
        <v>5232</v>
      </c>
      <c r="I587" s="195"/>
      <c r="J587" s="197"/>
      <c r="K587" s="53"/>
    </row>
    <row r="588" spans="1:11" ht="65.099999999999994" customHeight="1" x14ac:dyDescent="0.25">
      <c r="A588" s="191">
        <v>579</v>
      </c>
      <c r="B588" s="192"/>
      <c r="C588" s="192"/>
      <c r="D588" s="192"/>
      <c r="E588" s="53" t="s">
        <v>2811</v>
      </c>
      <c r="F588" s="193" t="s">
        <v>3359</v>
      </c>
      <c r="G588" s="193" t="s">
        <v>3363</v>
      </c>
      <c r="H588" s="194">
        <v>5232</v>
      </c>
      <c r="I588" s="195"/>
      <c r="J588" s="197"/>
      <c r="K588" s="53"/>
    </row>
    <row r="589" spans="1:11" ht="65.099999999999994" customHeight="1" x14ac:dyDescent="0.25">
      <c r="A589" s="191">
        <v>580</v>
      </c>
      <c r="B589" s="192"/>
      <c r="C589" s="192"/>
      <c r="D589" s="192"/>
      <c r="E589" s="53" t="s">
        <v>2812</v>
      </c>
      <c r="F589" s="193" t="s">
        <v>3359</v>
      </c>
      <c r="G589" s="193" t="s">
        <v>3363</v>
      </c>
      <c r="H589" s="194">
        <v>5232</v>
      </c>
      <c r="I589" s="195"/>
      <c r="J589" s="197"/>
      <c r="K589" s="53"/>
    </row>
    <row r="590" spans="1:11" ht="65.099999999999994" customHeight="1" x14ac:dyDescent="0.25">
      <c r="A590" s="191">
        <v>581</v>
      </c>
      <c r="B590" s="192"/>
      <c r="C590" s="192"/>
      <c r="D590" s="192"/>
      <c r="E590" s="53" t="s">
        <v>2813</v>
      </c>
      <c r="F590" s="193" t="s">
        <v>3359</v>
      </c>
      <c r="G590" s="193" t="s">
        <v>3363</v>
      </c>
      <c r="H590" s="194">
        <v>5232</v>
      </c>
      <c r="I590" s="195"/>
      <c r="J590" s="197"/>
      <c r="K590" s="53"/>
    </row>
    <row r="591" spans="1:11" ht="65.099999999999994" customHeight="1" x14ac:dyDescent="0.25">
      <c r="A591" s="191">
        <v>582</v>
      </c>
      <c r="B591" s="192"/>
      <c r="C591" s="192"/>
      <c r="D591" s="192"/>
      <c r="E591" s="53" t="s">
        <v>2814</v>
      </c>
      <c r="F591" s="193" t="s">
        <v>3359</v>
      </c>
      <c r="G591" s="193" t="s">
        <v>3363</v>
      </c>
      <c r="H591" s="194">
        <v>5232</v>
      </c>
      <c r="I591" s="195"/>
      <c r="J591" s="197"/>
      <c r="K591" s="53"/>
    </row>
    <row r="592" spans="1:11" ht="65.099999999999994" customHeight="1" x14ac:dyDescent="0.25">
      <c r="A592" s="191">
        <v>583</v>
      </c>
      <c r="B592" s="192"/>
      <c r="C592" s="192"/>
      <c r="D592" s="192"/>
      <c r="E592" s="53" t="s">
        <v>2815</v>
      </c>
      <c r="F592" s="193" t="s">
        <v>3359</v>
      </c>
      <c r="G592" s="193" t="s">
        <v>3363</v>
      </c>
      <c r="H592" s="194">
        <v>5232</v>
      </c>
      <c r="I592" s="195"/>
      <c r="J592" s="197"/>
      <c r="K592" s="53"/>
    </row>
    <row r="593" spans="1:11" ht="65.099999999999994" customHeight="1" x14ac:dyDescent="0.25">
      <c r="A593" s="191">
        <v>584</v>
      </c>
      <c r="B593" s="192"/>
      <c r="C593" s="192"/>
      <c r="D593" s="192"/>
      <c r="E593" s="53" t="s">
        <v>2816</v>
      </c>
      <c r="F593" s="193" t="s">
        <v>3359</v>
      </c>
      <c r="G593" s="193" t="s">
        <v>3363</v>
      </c>
      <c r="H593" s="194">
        <v>5232</v>
      </c>
      <c r="I593" s="195"/>
      <c r="J593" s="197"/>
      <c r="K593" s="53"/>
    </row>
    <row r="594" spans="1:11" ht="65.099999999999994" customHeight="1" x14ac:dyDescent="0.25">
      <c r="A594" s="191">
        <v>585</v>
      </c>
      <c r="B594" s="192"/>
      <c r="C594" s="192"/>
      <c r="D594" s="192"/>
      <c r="E594" s="53" t="s">
        <v>2817</v>
      </c>
      <c r="F594" s="193" t="s">
        <v>3359</v>
      </c>
      <c r="G594" s="193" t="s">
        <v>3363</v>
      </c>
      <c r="H594" s="194">
        <v>5232</v>
      </c>
      <c r="I594" s="195"/>
      <c r="J594" s="197"/>
      <c r="K594" s="53"/>
    </row>
    <row r="595" spans="1:11" ht="65.099999999999994" customHeight="1" x14ac:dyDescent="0.25">
      <c r="A595" s="191">
        <v>586</v>
      </c>
      <c r="B595" s="192"/>
      <c r="C595" s="192"/>
      <c r="D595" s="192"/>
      <c r="E595" s="53" t="s">
        <v>2818</v>
      </c>
      <c r="F595" s="193" t="s">
        <v>3359</v>
      </c>
      <c r="G595" s="193" t="s">
        <v>3363</v>
      </c>
      <c r="H595" s="194">
        <v>5232</v>
      </c>
      <c r="I595" s="195"/>
      <c r="J595" s="197"/>
      <c r="K595" s="53"/>
    </row>
    <row r="596" spans="1:11" ht="65.099999999999994" customHeight="1" x14ac:dyDescent="0.25">
      <c r="A596" s="191">
        <v>587</v>
      </c>
      <c r="B596" s="192"/>
      <c r="C596" s="192"/>
      <c r="D596" s="192"/>
      <c r="E596" s="53" t="s">
        <v>2819</v>
      </c>
      <c r="F596" s="193" t="s">
        <v>3359</v>
      </c>
      <c r="G596" s="193" t="s">
        <v>3363</v>
      </c>
      <c r="H596" s="194">
        <v>5232</v>
      </c>
      <c r="I596" s="195"/>
      <c r="J596" s="197"/>
      <c r="K596" s="53"/>
    </row>
    <row r="597" spans="1:11" ht="65.099999999999994" customHeight="1" x14ac:dyDescent="0.25">
      <c r="A597" s="191">
        <v>588</v>
      </c>
      <c r="B597" s="192"/>
      <c r="C597" s="192"/>
      <c r="D597" s="192"/>
      <c r="E597" s="53" t="s">
        <v>2820</v>
      </c>
      <c r="F597" s="193" t="s">
        <v>3359</v>
      </c>
      <c r="G597" s="193" t="s">
        <v>3363</v>
      </c>
      <c r="H597" s="194">
        <v>5232</v>
      </c>
      <c r="I597" s="195"/>
      <c r="J597" s="197"/>
      <c r="K597" s="53"/>
    </row>
    <row r="598" spans="1:11" ht="65.099999999999994" customHeight="1" x14ac:dyDescent="0.25">
      <c r="A598" s="191">
        <v>589</v>
      </c>
      <c r="B598" s="192"/>
      <c r="C598" s="192"/>
      <c r="D598" s="192"/>
      <c r="E598" s="53" t="s">
        <v>2821</v>
      </c>
      <c r="F598" s="193" t="s">
        <v>3359</v>
      </c>
      <c r="G598" s="193" t="s">
        <v>3363</v>
      </c>
      <c r="H598" s="194">
        <v>5232</v>
      </c>
      <c r="I598" s="195"/>
      <c r="J598" s="197"/>
      <c r="K598" s="53"/>
    </row>
    <row r="599" spans="1:11" ht="65.099999999999994" customHeight="1" x14ac:dyDescent="0.25">
      <c r="A599" s="191">
        <v>590</v>
      </c>
      <c r="B599" s="192"/>
      <c r="C599" s="192"/>
      <c r="D599" s="192"/>
      <c r="E599" s="53" t="s">
        <v>2822</v>
      </c>
      <c r="F599" s="193" t="s">
        <v>3359</v>
      </c>
      <c r="G599" s="193" t="s">
        <v>3363</v>
      </c>
      <c r="H599" s="194">
        <v>5232</v>
      </c>
      <c r="I599" s="195"/>
      <c r="J599" s="197"/>
      <c r="K599" s="53"/>
    </row>
    <row r="600" spans="1:11" ht="65.099999999999994" customHeight="1" x14ac:dyDescent="0.25">
      <c r="A600" s="191">
        <v>591</v>
      </c>
      <c r="B600" s="192"/>
      <c r="C600" s="192"/>
      <c r="D600" s="192"/>
      <c r="E600" s="53" t="s">
        <v>2823</v>
      </c>
      <c r="F600" s="193" t="s">
        <v>3359</v>
      </c>
      <c r="G600" s="193" t="s">
        <v>3363</v>
      </c>
      <c r="H600" s="194">
        <v>5232</v>
      </c>
      <c r="I600" s="195"/>
      <c r="J600" s="197"/>
      <c r="K600" s="53"/>
    </row>
    <row r="601" spans="1:11" ht="65.099999999999994" customHeight="1" x14ac:dyDescent="0.25">
      <c r="A601" s="191">
        <v>592</v>
      </c>
      <c r="B601" s="192"/>
      <c r="C601" s="192"/>
      <c r="D601" s="192"/>
      <c r="E601" s="53" t="s">
        <v>2824</v>
      </c>
      <c r="F601" s="193" t="s">
        <v>3359</v>
      </c>
      <c r="G601" s="193" t="s">
        <v>3363</v>
      </c>
      <c r="H601" s="194">
        <v>5232</v>
      </c>
      <c r="I601" s="195"/>
      <c r="J601" s="197"/>
      <c r="K601" s="53"/>
    </row>
    <row r="602" spans="1:11" ht="65.099999999999994" customHeight="1" x14ac:dyDescent="0.25">
      <c r="A602" s="191">
        <v>593</v>
      </c>
      <c r="B602" s="192"/>
      <c r="C602" s="192"/>
      <c r="D602" s="192"/>
      <c r="E602" s="53" t="s">
        <v>2825</v>
      </c>
      <c r="F602" s="193" t="s">
        <v>3359</v>
      </c>
      <c r="G602" s="193" t="s">
        <v>3363</v>
      </c>
      <c r="H602" s="194">
        <v>5232</v>
      </c>
      <c r="I602" s="195"/>
      <c r="J602" s="197"/>
      <c r="K602" s="53"/>
    </row>
    <row r="603" spans="1:11" ht="65.099999999999994" customHeight="1" x14ac:dyDescent="0.25">
      <c r="A603" s="191">
        <v>594</v>
      </c>
      <c r="B603" s="192"/>
      <c r="C603" s="192"/>
      <c r="D603" s="192"/>
      <c r="E603" s="53" t="s">
        <v>2826</v>
      </c>
      <c r="F603" s="193" t="s">
        <v>3359</v>
      </c>
      <c r="G603" s="193" t="s">
        <v>3363</v>
      </c>
      <c r="H603" s="194">
        <v>5232</v>
      </c>
      <c r="I603" s="195"/>
      <c r="J603" s="197"/>
      <c r="K603" s="53"/>
    </row>
    <row r="604" spans="1:11" ht="65.099999999999994" customHeight="1" x14ac:dyDescent="0.25">
      <c r="A604" s="191">
        <v>595</v>
      </c>
      <c r="B604" s="192"/>
      <c r="C604" s="192"/>
      <c r="D604" s="192"/>
      <c r="E604" s="53" t="s">
        <v>2827</v>
      </c>
      <c r="F604" s="193" t="s">
        <v>3359</v>
      </c>
      <c r="G604" s="193" t="s">
        <v>3363</v>
      </c>
      <c r="H604" s="194">
        <v>5232</v>
      </c>
      <c r="I604" s="195"/>
      <c r="J604" s="197"/>
      <c r="K604" s="53"/>
    </row>
    <row r="605" spans="1:11" ht="65.099999999999994" customHeight="1" x14ac:dyDescent="0.25">
      <c r="A605" s="191">
        <v>596</v>
      </c>
      <c r="B605" s="192"/>
      <c r="C605" s="192"/>
      <c r="D605" s="192"/>
      <c r="E605" s="53" t="s">
        <v>2828</v>
      </c>
      <c r="F605" s="193" t="s">
        <v>3359</v>
      </c>
      <c r="G605" s="193" t="s">
        <v>3363</v>
      </c>
      <c r="H605" s="194">
        <v>5232</v>
      </c>
      <c r="I605" s="195"/>
      <c r="J605" s="197"/>
      <c r="K605" s="53"/>
    </row>
    <row r="606" spans="1:11" ht="65.099999999999994" customHeight="1" x14ac:dyDescent="0.25">
      <c r="A606" s="191">
        <v>597</v>
      </c>
      <c r="B606" s="192"/>
      <c r="C606" s="192"/>
      <c r="D606" s="192"/>
      <c r="E606" s="53" t="s">
        <v>2829</v>
      </c>
      <c r="F606" s="193" t="s">
        <v>3359</v>
      </c>
      <c r="G606" s="193" t="s">
        <v>3363</v>
      </c>
      <c r="H606" s="194">
        <v>5232</v>
      </c>
      <c r="I606" s="195"/>
      <c r="J606" s="197"/>
      <c r="K606" s="53"/>
    </row>
    <row r="607" spans="1:11" ht="65.099999999999994" customHeight="1" x14ac:dyDescent="0.25">
      <c r="A607" s="191">
        <v>598</v>
      </c>
      <c r="B607" s="192"/>
      <c r="C607" s="192"/>
      <c r="D607" s="192"/>
      <c r="E607" s="53" t="s">
        <v>2830</v>
      </c>
      <c r="F607" s="193" t="s">
        <v>3359</v>
      </c>
      <c r="G607" s="193" t="s">
        <v>3363</v>
      </c>
      <c r="H607" s="194">
        <v>5232</v>
      </c>
      <c r="I607" s="195"/>
      <c r="J607" s="197"/>
      <c r="K607" s="53"/>
    </row>
    <row r="608" spans="1:11" ht="65.099999999999994" customHeight="1" x14ac:dyDescent="0.25">
      <c r="A608" s="191">
        <v>599</v>
      </c>
      <c r="B608" s="192"/>
      <c r="C608" s="192"/>
      <c r="D608" s="192"/>
      <c r="E608" s="53" t="s">
        <v>2831</v>
      </c>
      <c r="F608" s="193" t="s">
        <v>3359</v>
      </c>
      <c r="G608" s="193" t="s">
        <v>3363</v>
      </c>
      <c r="H608" s="194">
        <v>5232</v>
      </c>
      <c r="I608" s="195"/>
      <c r="J608" s="197"/>
      <c r="K608" s="53"/>
    </row>
    <row r="609" spans="1:11" ht="65.099999999999994" customHeight="1" x14ac:dyDescent="0.25">
      <c r="A609" s="191">
        <v>600</v>
      </c>
      <c r="B609" s="192"/>
      <c r="C609" s="192"/>
      <c r="D609" s="192"/>
      <c r="E609" s="53" t="s">
        <v>2832</v>
      </c>
      <c r="F609" s="193" t="s">
        <v>3359</v>
      </c>
      <c r="G609" s="193" t="s">
        <v>3363</v>
      </c>
      <c r="H609" s="194">
        <v>5232</v>
      </c>
      <c r="I609" s="195"/>
      <c r="J609" s="197"/>
      <c r="K609" s="53"/>
    </row>
    <row r="610" spans="1:11" ht="65.099999999999994" customHeight="1" x14ac:dyDescent="0.25">
      <c r="A610" s="191">
        <v>601</v>
      </c>
      <c r="B610" s="192"/>
      <c r="C610" s="192"/>
      <c r="D610" s="192"/>
      <c r="E610" s="53" t="s">
        <v>2833</v>
      </c>
      <c r="F610" s="193" t="s">
        <v>3359</v>
      </c>
      <c r="G610" s="193" t="s">
        <v>3363</v>
      </c>
      <c r="H610" s="194">
        <v>5232</v>
      </c>
      <c r="I610" s="195"/>
      <c r="J610" s="197"/>
      <c r="K610" s="53"/>
    </row>
    <row r="611" spans="1:11" ht="65.099999999999994" customHeight="1" x14ac:dyDescent="0.25">
      <c r="A611" s="191">
        <v>602</v>
      </c>
      <c r="B611" s="192"/>
      <c r="C611" s="192"/>
      <c r="D611" s="192"/>
      <c r="E611" s="53" t="s">
        <v>2834</v>
      </c>
      <c r="F611" s="193" t="s">
        <v>3359</v>
      </c>
      <c r="G611" s="193" t="s">
        <v>3363</v>
      </c>
      <c r="H611" s="194">
        <v>5232</v>
      </c>
      <c r="I611" s="195"/>
      <c r="J611" s="197"/>
      <c r="K611" s="53"/>
    </row>
    <row r="612" spans="1:11" ht="65.099999999999994" customHeight="1" x14ac:dyDescent="0.25">
      <c r="A612" s="191">
        <v>603</v>
      </c>
      <c r="B612" s="192"/>
      <c r="C612" s="192"/>
      <c r="D612" s="192"/>
      <c r="E612" s="53" t="s">
        <v>2835</v>
      </c>
      <c r="F612" s="193" t="s">
        <v>3359</v>
      </c>
      <c r="G612" s="193" t="s">
        <v>3363</v>
      </c>
      <c r="H612" s="194">
        <v>5232</v>
      </c>
      <c r="I612" s="195"/>
      <c r="J612" s="197"/>
      <c r="K612" s="53"/>
    </row>
    <row r="613" spans="1:11" ht="65.099999999999994" customHeight="1" x14ac:dyDescent="0.25">
      <c r="A613" s="191">
        <v>604</v>
      </c>
      <c r="B613" s="192"/>
      <c r="C613" s="192"/>
      <c r="D613" s="192"/>
      <c r="E613" s="53" t="s">
        <v>2836</v>
      </c>
      <c r="F613" s="193" t="s">
        <v>3359</v>
      </c>
      <c r="G613" s="193" t="s">
        <v>3363</v>
      </c>
      <c r="H613" s="194">
        <v>5232</v>
      </c>
      <c r="I613" s="195"/>
      <c r="J613" s="197"/>
      <c r="K613" s="53"/>
    </row>
    <row r="614" spans="1:11" ht="65.099999999999994" customHeight="1" x14ac:dyDescent="0.25">
      <c r="A614" s="191">
        <v>605</v>
      </c>
      <c r="B614" s="192"/>
      <c r="C614" s="192"/>
      <c r="D614" s="192"/>
      <c r="E614" s="53" t="s">
        <v>2837</v>
      </c>
      <c r="F614" s="193" t="s">
        <v>3359</v>
      </c>
      <c r="G614" s="193" t="s">
        <v>3363</v>
      </c>
      <c r="H614" s="194">
        <v>5232</v>
      </c>
      <c r="I614" s="195"/>
      <c r="J614" s="197"/>
      <c r="K614" s="53"/>
    </row>
    <row r="615" spans="1:11" ht="65.099999999999994" customHeight="1" x14ac:dyDescent="0.25">
      <c r="A615" s="191">
        <v>606</v>
      </c>
      <c r="B615" s="192"/>
      <c r="C615" s="192"/>
      <c r="D615" s="192"/>
      <c r="E615" s="53" t="s">
        <v>2838</v>
      </c>
      <c r="F615" s="193" t="s">
        <v>3359</v>
      </c>
      <c r="G615" s="193" t="s">
        <v>3363</v>
      </c>
      <c r="H615" s="194">
        <v>5232</v>
      </c>
      <c r="I615" s="195"/>
      <c r="J615" s="197"/>
      <c r="K615" s="53"/>
    </row>
    <row r="616" spans="1:11" ht="65.099999999999994" customHeight="1" x14ac:dyDescent="0.25">
      <c r="A616" s="191">
        <v>607</v>
      </c>
      <c r="B616" s="192"/>
      <c r="C616" s="192"/>
      <c r="D616" s="192"/>
      <c r="E616" s="53" t="s">
        <v>2839</v>
      </c>
      <c r="F616" s="193" t="s">
        <v>3359</v>
      </c>
      <c r="G616" s="193" t="s">
        <v>3363</v>
      </c>
      <c r="H616" s="194">
        <v>5232</v>
      </c>
      <c r="I616" s="195"/>
      <c r="J616" s="197"/>
      <c r="K616" s="53"/>
    </row>
    <row r="617" spans="1:11" ht="65.099999999999994" customHeight="1" x14ac:dyDescent="0.25">
      <c r="A617" s="191">
        <v>608</v>
      </c>
      <c r="B617" s="192"/>
      <c r="C617" s="192"/>
      <c r="D617" s="192"/>
      <c r="E617" s="53" t="s">
        <v>2840</v>
      </c>
      <c r="F617" s="193" t="s">
        <v>3359</v>
      </c>
      <c r="G617" s="193" t="s">
        <v>3363</v>
      </c>
      <c r="H617" s="194">
        <v>5232</v>
      </c>
      <c r="I617" s="195"/>
      <c r="J617" s="197"/>
      <c r="K617" s="53"/>
    </row>
    <row r="618" spans="1:11" ht="65.099999999999994" customHeight="1" x14ac:dyDescent="0.25">
      <c r="A618" s="191">
        <v>609</v>
      </c>
      <c r="B618" s="192"/>
      <c r="C618" s="192"/>
      <c r="D618" s="192"/>
      <c r="E618" s="53" t="s">
        <v>2841</v>
      </c>
      <c r="F618" s="193" t="s">
        <v>3359</v>
      </c>
      <c r="G618" s="193" t="s">
        <v>3363</v>
      </c>
      <c r="H618" s="194">
        <v>5232</v>
      </c>
      <c r="I618" s="195"/>
      <c r="J618" s="197"/>
      <c r="K618" s="53"/>
    </row>
    <row r="619" spans="1:11" ht="65.099999999999994" customHeight="1" x14ac:dyDescent="0.25">
      <c r="A619" s="191">
        <v>610</v>
      </c>
      <c r="B619" s="192"/>
      <c r="C619" s="192"/>
      <c r="D619" s="192"/>
      <c r="E619" s="53" t="s">
        <v>2842</v>
      </c>
      <c r="F619" s="193" t="s">
        <v>3359</v>
      </c>
      <c r="G619" s="193" t="s">
        <v>3363</v>
      </c>
      <c r="H619" s="194">
        <v>5232</v>
      </c>
      <c r="I619" s="195"/>
      <c r="J619" s="197"/>
      <c r="K619" s="53"/>
    </row>
    <row r="620" spans="1:11" ht="65.099999999999994" customHeight="1" x14ac:dyDescent="0.25">
      <c r="A620" s="191">
        <v>611</v>
      </c>
      <c r="B620" s="192"/>
      <c r="C620" s="192"/>
      <c r="D620" s="192"/>
      <c r="E620" s="53" t="s">
        <v>2843</v>
      </c>
      <c r="F620" s="193" t="s">
        <v>3359</v>
      </c>
      <c r="G620" s="193" t="s">
        <v>3363</v>
      </c>
      <c r="H620" s="194">
        <v>5232</v>
      </c>
      <c r="I620" s="195"/>
      <c r="J620" s="197"/>
      <c r="K620" s="53"/>
    </row>
    <row r="621" spans="1:11" ht="65.099999999999994" customHeight="1" x14ac:dyDescent="0.25">
      <c r="A621" s="191">
        <v>612</v>
      </c>
      <c r="B621" s="192"/>
      <c r="C621" s="192"/>
      <c r="D621" s="192"/>
      <c r="E621" s="53" t="s">
        <v>2844</v>
      </c>
      <c r="F621" s="193" t="s">
        <v>3359</v>
      </c>
      <c r="G621" s="193" t="s">
        <v>3363</v>
      </c>
      <c r="H621" s="194">
        <v>5232</v>
      </c>
      <c r="I621" s="195"/>
      <c r="J621" s="197"/>
      <c r="K621" s="53"/>
    </row>
    <row r="622" spans="1:11" ht="65.099999999999994" customHeight="1" x14ac:dyDescent="0.25">
      <c r="A622" s="191">
        <v>613</v>
      </c>
      <c r="B622" s="192"/>
      <c r="C622" s="192"/>
      <c r="D622" s="192"/>
      <c r="E622" s="53" t="s">
        <v>2845</v>
      </c>
      <c r="F622" s="193" t="s">
        <v>3359</v>
      </c>
      <c r="G622" s="193" t="s">
        <v>3363</v>
      </c>
      <c r="H622" s="194">
        <v>5232</v>
      </c>
      <c r="I622" s="195"/>
      <c r="J622" s="197"/>
      <c r="K622" s="53"/>
    </row>
    <row r="623" spans="1:11" ht="65.099999999999994" customHeight="1" x14ac:dyDescent="0.25">
      <c r="A623" s="191">
        <v>614</v>
      </c>
      <c r="B623" s="192"/>
      <c r="C623" s="192"/>
      <c r="D623" s="192"/>
      <c r="E623" s="53" t="s">
        <v>2846</v>
      </c>
      <c r="F623" s="193" t="s">
        <v>3359</v>
      </c>
      <c r="G623" s="193" t="s">
        <v>3363</v>
      </c>
      <c r="H623" s="194">
        <v>5232</v>
      </c>
      <c r="I623" s="195"/>
      <c r="J623" s="197"/>
      <c r="K623" s="53"/>
    </row>
    <row r="624" spans="1:11" ht="65.099999999999994" customHeight="1" x14ac:dyDescent="0.25">
      <c r="A624" s="191">
        <v>615</v>
      </c>
      <c r="B624" s="192"/>
      <c r="C624" s="192"/>
      <c r="D624" s="192"/>
      <c r="E624" s="53" t="s">
        <v>2847</v>
      </c>
      <c r="F624" s="193" t="s">
        <v>3359</v>
      </c>
      <c r="G624" s="193" t="s">
        <v>3363</v>
      </c>
      <c r="H624" s="194">
        <v>5232</v>
      </c>
      <c r="I624" s="195"/>
      <c r="J624" s="197"/>
      <c r="K624" s="53"/>
    </row>
    <row r="625" spans="1:11" ht="65.099999999999994" customHeight="1" x14ac:dyDescent="0.25">
      <c r="A625" s="191">
        <v>616</v>
      </c>
      <c r="B625" s="192"/>
      <c r="C625" s="192"/>
      <c r="D625" s="192"/>
      <c r="E625" s="53" t="s">
        <v>2848</v>
      </c>
      <c r="F625" s="193" t="s">
        <v>3359</v>
      </c>
      <c r="G625" s="193" t="s">
        <v>3363</v>
      </c>
      <c r="H625" s="194">
        <v>5232</v>
      </c>
      <c r="I625" s="195"/>
      <c r="J625" s="197"/>
      <c r="K625" s="53"/>
    </row>
    <row r="626" spans="1:11" ht="65.099999999999994" customHeight="1" x14ac:dyDescent="0.25">
      <c r="A626" s="191">
        <v>617</v>
      </c>
      <c r="B626" s="192"/>
      <c r="C626" s="192"/>
      <c r="D626" s="192"/>
      <c r="E626" s="53" t="s">
        <v>2849</v>
      </c>
      <c r="F626" s="193" t="s">
        <v>3359</v>
      </c>
      <c r="G626" s="193" t="s">
        <v>3363</v>
      </c>
      <c r="H626" s="194">
        <v>5232</v>
      </c>
      <c r="I626" s="195"/>
      <c r="J626" s="197"/>
      <c r="K626" s="53"/>
    </row>
    <row r="627" spans="1:11" ht="65.099999999999994" customHeight="1" x14ac:dyDescent="0.25">
      <c r="A627" s="191">
        <v>618</v>
      </c>
      <c r="B627" s="192"/>
      <c r="C627" s="192"/>
      <c r="D627" s="192"/>
      <c r="E627" s="53" t="s">
        <v>2850</v>
      </c>
      <c r="F627" s="193" t="s">
        <v>3359</v>
      </c>
      <c r="G627" s="193" t="s">
        <v>3363</v>
      </c>
      <c r="H627" s="194">
        <v>5232</v>
      </c>
      <c r="I627" s="195"/>
      <c r="J627" s="197"/>
      <c r="K627" s="53"/>
    </row>
    <row r="628" spans="1:11" ht="65.099999999999994" customHeight="1" x14ac:dyDescent="0.25">
      <c r="A628" s="191">
        <v>619</v>
      </c>
      <c r="B628" s="192"/>
      <c r="C628" s="192"/>
      <c r="D628" s="192"/>
      <c r="E628" s="53" t="s">
        <v>2851</v>
      </c>
      <c r="F628" s="193" t="s">
        <v>3359</v>
      </c>
      <c r="G628" s="193" t="s">
        <v>3363</v>
      </c>
      <c r="H628" s="194">
        <v>5232</v>
      </c>
      <c r="I628" s="195"/>
      <c r="J628" s="197"/>
      <c r="K628" s="53"/>
    </row>
    <row r="629" spans="1:11" ht="65.099999999999994" customHeight="1" x14ac:dyDescent="0.25">
      <c r="A629" s="191">
        <v>620</v>
      </c>
      <c r="B629" s="192"/>
      <c r="C629" s="192"/>
      <c r="D629" s="192"/>
      <c r="E629" s="53" t="s">
        <v>2852</v>
      </c>
      <c r="F629" s="193" t="s">
        <v>3359</v>
      </c>
      <c r="G629" s="193" t="s">
        <v>3363</v>
      </c>
      <c r="H629" s="194">
        <v>5232</v>
      </c>
      <c r="I629" s="195"/>
      <c r="J629" s="197"/>
      <c r="K629" s="53"/>
    </row>
    <row r="630" spans="1:11" ht="65.099999999999994" customHeight="1" x14ac:dyDescent="0.25">
      <c r="A630" s="191">
        <v>621</v>
      </c>
      <c r="B630" s="192"/>
      <c r="C630" s="192"/>
      <c r="D630" s="192"/>
      <c r="E630" s="53" t="s">
        <v>2853</v>
      </c>
      <c r="F630" s="193" t="s">
        <v>3359</v>
      </c>
      <c r="G630" s="193" t="s">
        <v>3363</v>
      </c>
      <c r="H630" s="194">
        <v>5232</v>
      </c>
      <c r="I630" s="195"/>
      <c r="J630" s="197"/>
      <c r="K630" s="53"/>
    </row>
    <row r="631" spans="1:11" ht="65.099999999999994" customHeight="1" x14ac:dyDescent="0.25">
      <c r="A631" s="191">
        <v>622</v>
      </c>
      <c r="B631" s="192"/>
      <c r="C631" s="192"/>
      <c r="D631" s="192"/>
      <c r="E631" s="53" t="s">
        <v>2854</v>
      </c>
      <c r="F631" s="193" t="s">
        <v>3359</v>
      </c>
      <c r="G631" s="193" t="s">
        <v>3363</v>
      </c>
      <c r="H631" s="194">
        <v>5232</v>
      </c>
      <c r="I631" s="195"/>
      <c r="J631" s="197"/>
      <c r="K631" s="53"/>
    </row>
    <row r="632" spans="1:11" ht="65.099999999999994" customHeight="1" x14ac:dyDescent="0.25">
      <c r="A632" s="191">
        <v>623</v>
      </c>
      <c r="B632" s="192"/>
      <c r="C632" s="192"/>
      <c r="D632" s="192"/>
      <c r="E632" s="53" t="s">
        <v>2855</v>
      </c>
      <c r="F632" s="193" t="s">
        <v>3359</v>
      </c>
      <c r="G632" s="193" t="s">
        <v>3363</v>
      </c>
      <c r="H632" s="194">
        <v>5232</v>
      </c>
      <c r="I632" s="195"/>
      <c r="J632" s="197"/>
      <c r="K632" s="53"/>
    </row>
    <row r="633" spans="1:11" ht="65.099999999999994" customHeight="1" x14ac:dyDescent="0.25">
      <c r="A633" s="191">
        <v>624</v>
      </c>
      <c r="B633" s="192"/>
      <c r="C633" s="192"/>
      <c r="D633" s="192"/>
      <c r="E633" s="53" t="s">
        <v>2856</v>
      </c>
      <c r="F633" s="193" t="s">
        <v>3359</v>
      </c>
      <c r="G633" s="193" t="s">
        <v>3363</v>
      </c>
      <c r="H633" s="194">
        <v>5232</v>
      </c>
      <c r="I633" s="195"/>
      <c r="J633" s="197"/>
      <c r="K633" s="53"/>
    </row>
    <row r="634" spans="1:11" ht="65.099999999999994" customHeight="1" x14ac:dyDescent="0.25">
      <c r="A634" s="191">
        <v>625</v>
      </c>
      <c r="B634" s="192"/>
      <c r="C634" s="192"/>
      <c r="D634" s="192"/>
      <c r="E634" s="53" t="s">
        <v>2857</v>
      </c>
      <c r="F634" s="193" t="s">
        <v>3359</v>
      </c>
      <c r="G634" s="193" t="s">
        <v>3363</v>
      </c>
      <c r="H634" s="194">
        <v>5232</v>
      </c>
      <c r="I634" s="195"/>
      <c r="J634" s="197"/>
      <c r="K634" s="53"/>
    </row>
    <row r="635" spans="1:11" ht="65.099999999999994" customHeight="1" x14ac:dyDescent="0.25">
      <c r="A635" s="191">
        <v>626</v>
      </c>
      <c r="B635" s="192"/>
      <c r="C635" s="192"/>
      <c r="D635" s="192"/>
      <c r="E635" s="53" t="s">
        <v>2858</v>
      </c>
      <c r="F635" s="193" t="s">
        <v>3359</v>
      </c>
      <c r="G635" s="193" t="s">
        <v>3363</v>
      </c>
      <c r="H635" s="194">
        <v>5232</v>
      </c>
      <c r="I635" s="195"/>
      <c r="J635" s="197"/>
      <c r="K635" s="53"/>
    </row>
    <row r="636" spans="1:11" ht="65.099999999999994" customHeight="1" x14ac:dyDescent="0.25">
      <c r="A636" s="191">
        <v>627</v>
      </c>
      <c r="B636" s="192"/>
      <c r="C636" s="192"/>
      <c r="D636" s="192"/>
      <c r="E636" s="53" t="s">
        <v>2859</v>
      </c>
      <c r="F636" s="193" t="s">
        <v>3359</v>
      </c>
      <c r="G636" s="193" t="s">
        <v>3363</v>
      </c>
      <c r="H636" s="194">
        <v>5232</v>
      </c>
      <c r="I636" s="195"/>
      <c r="J636" s="197"/>
      <c r="K636" s="53"/>
    </row>
    <row r="637" spans="1:11" ht="65.099999999999994" customHeight="1" x14ac:dyDescent="0.25">
      <c r="A637" s="191">
        <v>628</v>
      </c>
      <c r="B637" s="192"/>
      <c r="C637" s="192"/>
      <c r="D637" s="192"/>
      <c r="E637" s="53" t="s">
        <v>2860</v>
      </c>
      <c r="F637" s="193" t="s">
        <v>3359</v>
      </c>
      <c r="G637" s="193" t="s">
        <v>3363</v>
      </c>
      <c r="H637" s="194">
        <v>5232</v>
      </c>
      <c r="I637" s="195"/>
      <c r="J637" s="197"/>
      <c r="K637" s="53"/>
    </row>
    <row r="638" spans="1:11" ht="65.099999999999994" customHeight="1" x14ac:dyDescent="0.25">
      <c r="A638" s="191">
        <v>629</v>
      </c>
      <c r="B638" s="192"/>
      <c r="C638" s="192"/>
      <c r="D638" s="192"/>
      <c r="E638" s="53" t="s">
        <v>2861</v>
      </c>
      <c r="F638" s="193" t="s">
        <v>3359</v>
      </c>
      <c r="G638" s="193" t="s">
        <v>3363</v>
      </c>
      <c r="H638" s="194">
        <v>5232</v>
      </c>
      <c r="I638" s="195"/>
      <c r="J638" s="197"/>
      <c r="K638" s="53"/>
    </row>
    <row r="639" spans="1:11" ht="65.099999999999994" customHeight="1" x14ac:dyDescent="0.25">
      <c r="A639" s="191">
        <v>630</v>
      </c>
      <c r="B639" s="192"/>
      <c r="C639" s="192"/>
      <c r="D639" s="192"/>
      <c r="E639" s="53" t="s">
        <v>2862</v>
      </c>
      <c r="F639" s="193" t="s">
        <v>3359</v>
      </c>
      <c r="G639" s="193" t="s">
        <v>3363</v>
      </c>
      <c r="H639" s="194">
        <v>5232</v>
      </c>
      <c r="I639" s="195"/>
      <c r="J639" s="197"/>
      <c r="K639" s="53"/>
    </row>
    <row r="640" spans="1:11" ht="65.099999999999994" customHeight="1" x14ac:dyDescent="0.25">
      <c r="A640" s="191">
        <v>631</v>
      </c>
      <c r="B640" s="192"/>
      <c r="C640" s="192"/>
      <c r="D640" s="192"/>
      <c r="E640" s="53" t="s">
        <v>2863</v>
      </c>
      <c r="F640" s="193" t="s">
        <v>3359</v>
      </c>
      <c r="G640" s="193" t="s">
        <v>3363</v>
      </c>
      <c r="H640" s="194">
        <v>5232</v>
      </c>
      <c r="I640" s="195"/>
      <c r="J640" s="197"/>
      <c r="K640" s="53"/>
    </row>
    <row r="641" spans="1:11" ht="65.099999999999994" customHeight="1" x14ac:dyDescent="0.25">
      <c r="A641" s="191">
        <v>632</v>
      </c>
      <c r="B641" s="192"/>
      <c r="C641" s="192"/>
      <c r="D641" s="192"/>
      <c r="E641" s="53" t="s">
        <v>2864</v>
      </c>
      <c r="F641" s="193" t="s">
        <v>3359</v>
      </c>
      <c r="G641" s="193" t="s">
        <v>3363</v>
      </c>
      <c r="H641" s="194">
        <v>5232</v>
      </c>
      <c r="I641" s="195"/>
      <c r="J641" s="197"/>
      <c r="K641" s="53"/>
    </row>
    <row r="642" spans="1:11" ht="65.099999999999994" customHeight="1" x14ac:dyDescent="0.25">
      <c r="A642" s="191">
        <v>633</v>
      </c>
      <c r="B642" s="192"/>
      <c r="C642" s="192"/>
      <c r="D642" s="192"/>
      <c r="E642" s="53" t="s">
        <v>2865</v>
      </c>
      <c r="F642" s="193" t="s">
        <v>3359</v>
      </c>
      <c r="G642" s="193" t="s">
        <v>3363</v>
      </c>
      <c r="H642" s="194">
        <v>5232</v>
      </c>
      <c r="I642" s="195"/>
      <c r="J642" s="197"/>
      <c r="K642" s="53"/>
    </row>
    <row r="643" spans="1:11" ht="65.099999999999994" customHeight="1" x14ac:dyDescent="0.25">
      <c r="A643" s="191">
        <v>634</v>
      </c>
      <c r="B643" s="192"/>
      <c r="C643" s="192"/>
      <c r="D643" s="192"/>
      <c r="E643" s="53" t="s">
        <v>2866</v>
      </c>
      <c r="F643" s="193" t="s">
        <v>3359</v>
      </c>
      <c r="G643" s="193" t="s">
        <v>3363</v>
      </c>
      <c r="H643" s="194">
        <v>5232</v>
      </c>
      <c r="I643" s="195"/>
      <c r="J643" s="197"/>
      <c r="K643" s="53"/>
    </row>
    <row r="644" spans="1:11" ht="65.099999999999994" customHeight="1" x14ac:dyDescent="0.25">
      <c r="A644" s="191">
        <v>635</v>
      </c>
      <c r="B644" s="192"/>
      <c r="C644" s="192"/>
      <c r="D644" s="192"/>
      <c r="E644" s="53" t="s">
        <v>2867</v>
      </c>
      <c r="F644" s="193" t="s">
        <v>3359</v>
      </c>
      <c r="G644" s="193" t="s">
        <v>3363</v>
      </c>
      <c r="H644" s="194">
        <v>5232</v>
      </c>
      <c r="I644" s="195"/>
      <c r="J644" s="197"/>
      <c r="K644" s="53"/>
    </row>
    <row r="645" spans="1:11" ht="65.099999999999994" customHeight="1" x14ac:dyDescent="0.25">
      <c r="A645" s="191">
        <v>636</v>
      </c>
      <c r="B645" s="192"/>
      <c r="C645" s="192"/>
      <c r="D645" s="192"/>
      <c r="E645" s="53" t="s">
        <v>2868</v>
      </c>
      <c r="F645" s="193" t="s">
        <v>3359</v>
      </c>
      <c r="G645" s="193" t="s">
        <v>3363</v>
      </c>
      <c r="H645" s="194">
        <v>5232</v>
      </c>
      <c r="I645" s="195"/>
      <c r="J645" s="197"/>
      <c r="K645" s="53"/>
    </row>
    <row r="646" spans="1:11" ht="65.099999999999994" customHeight="1" x14ac:dyDescent="0.25">
      <c r="A646" s="191">
        <v>637</v>
      </c>
      <c r="B646" s="192"/>
      <c r="C646" s="192"/>
      <c r="D646" s="192"/>
      <c r="E646" s="53" t="s">
        <v>2869</v>
      </c>
      <c r="F646" s="193" t="s">
        <v>3359</v>
      </c>
      <c r="G646" s="193" t="s">
        <v>3363</v>
      </c>
      <c r="H646" s="194">
        <v>5232</v>
      </c>
      <c r="I646" s="195"/>
      <c r="J646" s="197"/>
      <c r="K646" s="53"/>
    </row>
    <row r="647" spans="1:11" ht="65.099999999999994" customHeight="1" x14ac:dyDescent="0.25">
      <c r="A647" s="191">
        <v>638</v>
      </c>
      <c r="B647" s="192"/>
      <c r="C647" s="192"/>
      <c r="D647" s="192"/>
      <c r="E647" s="53" t="s">
        <v>2870</v>
      </c>
      <c r="F647" s="193" t="s">
        <v>3359</v>
      </c>
      <c r="G647" s="193" t="s">
        <v>3363</v>
      </c>
      <c r="H647" s="194">
        <v>5232</v>
      </c>
      <c r="I647" s="195"/>
      <c r="J647" s="197"/>
      <c r="K647" s="53"/>
    </row>
    <row r="648" spans="1:11" ht="65.099999999999994" customHeight="1" x14ac:dyDescent="0.25">
      <c r="A648" s="191">
        <v>639</v>
      </c>
      <c r="B648" s="192"/>
      <c r="C648" s="192"/>
      <c r="D648" s="192"/>
      <c r="E648" s="53" t="s">
        <v>2871</v>
      </c>
      <c r="F648" s="193" t="s">
        <v>3359</v>
      </c>
      <c r="G648" s="193" t="s">
        <v>3363</v>
      </c>
      <c r="H648" s="194">
        <v>5232</v>
      </c>
      <c r="I648" s="195"/>
      <c r="J648" s="197"/>
      <c r="K648" s="53"/>
    </row>
    <row r="649" spans="1:11" ht="65.099999999999994" customHeight="1" x14ac:dyDescent="0.25">
      <c r="A649" s="191">
        <v>640</v>
      </c>
      <c r="B649" s="192"/>
      <c r="C649" s="192"/>
      <c r="D649" s="192"/>
      <c r="E649" s="53" t="s">
        <v>2872</v>
      </c>
      <c r="F649" s="193" t="s">
        <v>3359</v>
      </c>
      <c r="G649" s="193" t="s">
        <v>3363</v>
      </c>
      <c r="H649" s="194">
        <v>5232</v>
      </c>
      <c r="I649" s="195"/>
      <c r="J649" s="197"/>
      <c r="K649" s="53"/>
    </row>
    <row r="650" spans="1:11" ht="65.099999999999994" customHeight="1" x14ac:dyDescent="0.25">
      <c r="A650" s="191">
        <v>641</v>
      </c>
      <c r="B650" s="192"/>
      <c r="C650" s="192"/>
      <c r="D650" s="192"/>
      <c r="E650" s="53" t="s">
        <v>2873</v>
      </c>
      <c r="F650" s="193" t="s">
        <v>3359</v>
      </c>
      <c r="G650" s="193" t="s">
        <v>3363</v>
      </c>
      <c r="H650" s="194">
        <v>5232</v>
      </c>
      <c r="I650" s="195"/>
      <c r="J650" s="197"/>
      <c r="K650" s="53"/>
    </row>
    <row r="651" spans="1:11" ht="65.099999999999994" customHeight="1" x14ac:dyDescent="0.25">
      <c r="A651" s="191">
        <v>642</v>
      </c>
      <c r="B651" s="192"/>
      <c r="C651" s="192"/>
      <c r="D651" s="192"/>
      <c r="E651" s="53" t="s">
        <v>2874</v>
      </c>
      <c r="F651" s="193" t="s">
        <v>3359</v>
      </c>
      <c r="G651" s="193" t="s">
        <v>3363</v>
      </c>
      <c r="H651" s="194">
        <v>5232</v>
      </c>
      <c r="I651" s="195"/>
      <c r="J651" s="197"/>
      <c r="K651" s="53"/>
    </row>
    <row r="652" spans="1:11" ht="65.099999999999994" customHeight="1" x14ac:dyDescent="0.25">
      <c r="A652" s="191">
        <v>643</v>
      </c>
      <c r="B652" s="192"/>
      <c r="C652" s="192"/>
      <c r="D652" s="192"/>
      <c r="E652" s="53" t="s">
        <v>2875</v>
      </c>
      <c r="F652" s="193" t="s">
        <v>3359</v>
      </c>
      <c r="G652" s="193" t="s">
        <v>3363</v>
      </c>
      <c r="H652" s="194">
        <v>5232</v>
      </c>
      <c r="I652" s="195"/>
      <c r="J652" s="197"/>
      <c r="K652" s="53"/>
    </row>
    <row r="653" spans="1:11" ht="65.099999999999994" customHeight="1" x14ac:dyDescent="0.25">
      <c r="A653" s="191">
        <v>644</v>
      </c>
      <c r="B653" s="192"/>
      <c r="C653" s="192"/>
      <c r="D653" s="192"/>
      <c r="E653" s="53" t="s">
        <v>2876</v>
      </c>
      <c r="F653" s="193" t="s">
        <v>3359</v>
      </c>
      <c r="G653" s="193" t="s">
        <v>3363</v>
      </c>
      <c r="H653" s="194">
        <v>5232</v>
      </c>
      <c r="I653" s="195"/>
      <c r="J653" s="197"/>
      <c r="K653" s="53"/>
    </row>
    <row r="654" spans="1:11" ht="65.099999999999994" customHeight="1" x14ac:dyDescent="0.25">
      <c r="A654" s="191">
        <v>645</v>
      </c>
      <c r="B654" s="192"/>
      <c r="C654" s="192"/>
      <c r="D654" s="192"/>
      <c r="E654" s="53" t="s">
        <v>2877</v>
      </c>
      <c r="F654" s="193" t="s">
        <v>3359</v>
      </c>
      <c r="G654" s="193" t="s">
        <v>3363</v>
      </c>
      <c r="H654" s="194">
        <v>5232</v>
      </c>
      <c r="I654" s="195"/>
      <c r="J654" s="197"/>
      <c r="K654" s="53"/>
    </row>
    <row r="655" spans="1:11" ht="65.099999999999994" customHeight="1" x14ac:dyDescent="0.25">
      <c r="A655" s="191">
        <v>646</v>
      </c>
      <c r="B655" s="192"/>
      <c r="C655" s="192"/>
      <c r="D655" s="192"/>
      <c r="E655" s="53" t="s">
        <v>2878</v>
      </c>
      <c r="F655" s="193" t="s">
        <v>3359</v>
      </c>
      <c r="G655" s="193" t="s">
        <v>3363</v>
      </c>
      <c r="H655" s="194">
        <v>5232</v>
      </c>
      <c r="I655" s="195"/>
      <c r="J655" s="197"/>
      <c r="K655" s="53"/>
    </row>
    <row r="656" spans="1:11" ht="65.099999999999994" customHeight="1" x14ac:dyDescent="0.25">
      <c r="A656" s="191">
        <v>647</v>
      </c>
      <c r="B656" s="192"/>
      <c r="C656" s="192"/>
      <c r="D656" s="192"/>
      <c r="E656" s="53" t="s">
        <v>2879</v>
      </c>
      <c r="F656" s="193" t="s">
        <v>3359</v>
      </c>
      <c r="G656" s="193" t="s">
        <v>3363</v>
      </c>
      <c r="H656" s="194">
        <v>5232</v>
      </c>
      <c r="I656" s="195"/>
      <c r="J656" s="197"/>
      <c r="K656" s="53"/>
    </row>
    <row r="657" spans="1:11" ht="65.099999999999994" customHeight="1" x14ac:dyDescent="0.25">
      <c r="A657" s="191">
        <v>648</v>
      </c>
      <c r="B657" s="192"/>
      <c r="C657" s="192"/>
      <c r="D657" s="192"/>
      <c r="E657" s="53" t="s">
        <v>2880</v>
      </c>
      <c r="F657" s="193" t="s">
        <v>3359</v>
      </c>
      <c r="G657" s="193" t="s">
        <v>3363</v>
      </c>
      <c r="H657" s="194">
        <v>5232</v>
      </c>
      <c r="I657" s="195"/>
      <c r="J657" s="197"/>
      <c r="K657" s="53"/>
    </row>
    <row r="658" spans="1:11" ht="65.099999999999994" customHeight="1" x14ac:dyDescent="0.25">
      <c r="A658" s="191">
        <v>649</v>
      </c>
      <c r="B658" s="192"/>
      <c r="C658" s="192"/>
      <c r="D658" s="192"/>
      <c r="E658" s="53" t="s">
        <v>2881</v>
      </c>
      <c r="F658" s="193" t="s">
        <v>3359</v>
      </c>
      <c r="G658" s="193" t="s">
        <v>3363</v>
      </c>
      <c r="H658" s="194">
        <v>5232</v>
      </c>
      <c r="I658" s="195"/>
      <c r="J658" s="197"/>
      <c r="K658" s="53"/>
    </row>
    <row r="659" spans="1:11" ht="65.099999999999994" customHeight="1" x14ac:dyDescent="0.25">
      <c r="A659" s="191">
        <v>650</v>
      </c>
      <c r="B659" s="192"/>
      <c r="C659" s="192"/>
      <c r="D659" s="192"/>
      <c r="E659" s="53" t="s">
        <v>2882</v>
      </c>
      <c r="F659" s="193" t="s">
        <v>3359</v>
      </c>
      <c r="G659" s="193" t="s">
        <v>3363</v>
      </c>
      <c r="H659" s="194">
        <v>5232</v>
      </c>
      <c r="I659" s="195"/>
      <c r="J659" s="197"/>
      <c r="K659" s="53"/>
    </row>
    <row r="660" spans="1:11" ht="65.099999999999994" customHeight="1" x14ac:dyDescent="0.25">
      <c r="A660" s="191">
        <v>651</v>
      </c>
      <c r="B660" s="192"/>
      <c r="C660" s="192"/>
      <c r="D660" s="192"/>
      <c r="E660" s="53" t="s">
        <v>2883</v>
      </c>
      <c r="F660" s="193" t="s">
        <v>3359</v>
      </c>
      <c r="G660" s="193" t="s">
        <v>3363</v>
      </c>
      <c r="H660" s="194">
        <v>5232</v>
      </c>
      <c r="I660" s="195"/>
      <c r="J660" s="197"/>
      <c r="K660" s="53"/>
    </row>
    <row r="661" spans="1:11" ht="65.099999999999994" customHeight="1" x14ac:dyDescent="0.25">
      <c r="A661" s="191">
        <v>652</v>
      </c>
      <c r="B661" s="192"/>
      <c r="C661" s="192"/>
      <c r="D661" s="192"/>
      <c r="E661" s="53" t="s">
        <v>2884</v>
      </c>
      <c r="F661" s="193" t="s">
        <v>3359</v>
      </c>
      <c r="G661" s="193" t="s">
        <v>3363</v>
      </c>
      <c r="H661" s="194">
        <v>5232</v>
      </c>
      <c r="I661" s="195"/>
      <c r="J661" s="197"/>
      <c r="K661" s="53"/>
    </row>
    <row r="662" spans="1:11" ht="65.099999999999994" customHeight="1" x14ac:dyDescent="0.25">
      <c r="A662" s="191">
        <v>653</v>
      </c>
      <c r="B662" s="192"/>
      <c r="C662" s="192"/>
      <c r="D662" s="192"/>
      <c r="E662" s="53" t="s">
        <v>2885</v>
      </c>
      <c r="F662" s="193" t="s">
        <v>3359</v>
      </c>
      <c r="G662" s="193" t="s">
        <v>3363</v>
      </c>
      <c r="H662" s="194">
        <v>5232</v>
      </c>
      <c r="I662" s="195"/>
      <c r="J662" s="197"/>
      <c r="K662" s="53"/>
    </row>
    <row r="663" spans="1:11" ht="65.099999999999994" customHeight="1" x14ac:dyDescent="0.25">
      <c r="A663" s="191">
        <v>654</v>
      </c>
      <c r="B663" s="192"/>
      <c r="C663" s="192"/>
      <c r="D663" s="192"/>
      <c r="E663" s="53" t="s">
        <v>2886</v>
      </c>
      <c r="F663" s="193" t="s">
        <v>3359</v>
      </c>
      <c r="G663" s="193" t="s">
        <v>3363</v>
      </c>
      <c r="H663" s="194">
        <v>5232</v>
      </c>
      <c r="I663" s="195"/>
      <c r="J663" s="197"/>
      <c r="K663" s="53"/>
    </row>
    <row r="664" spans="1:11" ht="65.099999999999994" customHeight="1" x14ac:dyDescent="0.25">
      <c r="A664" s="191">
        <v>655</v>
      </c>
      <c r="B664" s="192"/>
      <c r="C664" s="192"/>
      <c r="D664" s="192"/>
      <c r="E664" s="53" t="s">
        <v>2887</v>
      </c>
      <c r="F664" s="193" t="s">
        <v>3359</v>
      </c>
      <c r="G664" s="193" t="s">
        <v>3363</v>
      </c>
      <c r="H664" s="194">
        <v>5232</v>
      </c>
      <c r="I664" s="195"/>
      <c r="J664" s="197"/>
      <c r="K664" s="53"/>
    </row>
    <row r="665" spans="1:11" ht="65.099999999999994" customHeight="1" x14ac:dyDescent="0.25">
      <c r="A665" s="191">
        <v>656</v>
      </c>
      <c r="B665" s="192"/>
      <c r="C665" s="192"/>
      <c r="D665" s="192"/>
      <c r="E665" s="53" t="s">
        <v>2888</v>
      </c>
      <c r="F665" s="193" t="s">
        <v>3359</v>
      </c>
      <c r="G665" s="193" t="s">
        <v>3363</v>
      </c>
      <c r="H665" s="194">
        <v>5232</v>
      </c>
      <c r="I665" s="195"/>
      <c r="J665" s="197"/>
      <c r="K665" s="53"/>
    </row>
    <row r="666" spans="1:11" ht="65.099999999999994" customHeight="1" x14ac:dyDescent="0.25">
      <c r="A666" s="191">
        <v>657</v>
      </c>
      <c r="B666" s="192"/>
      <c r="C666" s="192"/>
      <c r="D666" s="192"/>
      <c r="E666" s="53" t="s">
        <v>2889</v>
      </c>
      <c r="F666" s="193" t="s">
        <v>3359</v>
      </c>
      <c r="G666" s="193" t="s">
        <v>3363</v>
      </c>
      <c r="H666" s="194">
        <v>5232</v>
      </c>
      <c r="I666" s="195"/>
      <c r="J666" s="197"/>
      <c r="K666" s="53"/>
    </row>
    <row r="667" spans="1:11" ht="65.099999999999994" customHeight="1" x14ac:dyDescent="0.25">
      <c r="A667" s="191">
        <v>658</v>
      </c>
      <c r="B667" s="192"/>
      <c r="C667" s="192"/>
      <c r="D667" s="192"/>
      <c r="E667" s="53" t="s">
        <v>2890</v>
      </c>
      <c r="F667" s="193" t="s">
        <v>3359</v>
      </c>
      <c r="G667" s="193" t="s">
        <v>3363</v>
      </c>
      <c r="H667" s="194">
        <v>5232</v>
      </c>
      <c r="I667" s="195"/>
      <c r="J667" s="197"/>
      <c r="K667" s="53"/>
    </row>
    <row r="668" spans="1:11" ht="65.099999999999994" customHeight="1" x14ac:dyDescent="0.25">
      <c r="A668" s="191">
        <v>659</v>
      </c>
      <c r="B668" s="192"/>
      <c r="C668" s="192"/>
      <c r="D668" s="192"/>
      <c r="E668" s="53" t="s">
        <v>2891</v>
      </c>
      <c r="F668" s="193" t="s">
        <v>3359</v>
      </c>
      <c r="G668" s="193" t="s">
        <v>3363</v>
      </c>
      <c r="H668" s="194">
        <v>5232</v>
      </c>
      <c r="I668" s="195"/>
      <c r="J668" s="197"/>
      <c r="K668" s="53"/>
    </row>
    <row r="669" spans="1:11" ht="65.099999999999994" customHeight="1" x14ac:dyDescent="0.25">
      <c r="A669" s="191">
        <v>660</v>
      </c>
      <c r="B669" s="192"/>
      <c r="C669" s="192"/>
      <c r="D669" s="192"/>
      <c r="E669" s="53" t="s">
        <v>2892</v>
      </c>
      <c r="F669" s="193" t="s">
        <v>3359</v>
      </c>
      <c r="G669" s="193" t="s">
        <v>3363</v>
      </c>
      <c r="H669" s="194">
        <v>5232</v>
      </c>
      <c r="I669" s="195"/>
      <c r="J669" s="197"/>
      <c r="K669" s="53"/>
    </row>
    <row r="670" spans="1:11" ht="65.099999999999994" customHeight="1" x14ac:dyDescent="0.25">
      <c r="A670" s="191">
        <v>661</v>
      </c>
      <c r="B670" s="192"/>
      <c r="C670" s="192"/>
      <c r="D670" s="192"/>
      <c r="E670" s="53" t="s">
        <v>2893</v>
      </c>
      <c r="F670" s="193" t="s">
        <v>977</v>
      </c>
      <c r="G670" s="193" t="s">
        <v>3363</v>
      </c>
      <c r="H670" s="194">
        <v>5232</v>
      </c>
      <c r="I670" s="195"/>
      <c r="J670" s="197"/>
      <c r="K670" s="53"/>
    </row>
    <row r="671" spans="1:11" ht="65.099999999999994" customHeight="1" x14ac:dyDescent="0.25">
      <c r="A671" s="191">
        <v>662</v>
      </c>
      <c r="B671" s="192"/>
      <c r="C671" s="192"/>
      <c r="D671" s="192"/>
      <c r="E671" s="53" t="s">
        <v>2894</v>
      </c>
      <c r="F671" s="193" t="s">
        <v>977</v>
      </c>
      <c r="G671" s="193" t="s">
        <v>3363</v>
      </c>
      <c r="H671" s="194">
        <v>5232</v>
      </c>
      <c r="I671" s="195"/>
      <c r="J671" s="197"/>
      <c r="K671" s="53"/>
    </row>
    <row r="672" spans="1:11" ht="65.099999999999994" customHeight="1" x14ac:dyDescent="0.25">
      <c r="A672" s="191">
        <v>663</v>
      </c>
      <c r="B672" s="192"/>
      <c r="C672" s="192"/>
      <c r="D672" s="192"/>
      <c r="E672" s="53" t="s">
        <v>2895</v>
      </c>
      <c r="F672" s="193" t="s">
        <v>977</v>
      </c>
      <c r="G672" s="193" t="s">
        <v>3363</v>
      </c>
      <c r="H672" s="194">
        <v>5232</v>
      </c>
      <c r="I672" s="195"/>
      <c r="J672" s="197"/>
      <c r="K672" s="53"/>
    </row>
    <row r="673" spans="1:11" ht="65.099999999999994" customHeight="1" x14ac:dyDescent="0.25">
      <c r="A673" s="191">
        <v>664</v>
      </c>
      <c r="B673" s="192"/>
      <c r="C673" s="192"/>
      <c r="D673" s="192"/>
      <c r="E673" s="53" t="s">
        <v>2896</v>
      </c>
      <c r="F673" s="193" t="s">
        <v>977</v>
      </c>
      <c r="G673" s="193" t="s">
        <v>3363</v>
      </c>
      <c r="H673" s="194">
        <v>5232</v>
      </c>
      <c r="I673" s="195"/>
      <c r="J673" s="197"/>
      <c r="K673" s="53"/>
    </row>
    <row r="674" spans="1:11" ht="65.099999999999994" customHeight="1" x14ac:dyDescent="0.25">
      <c r="A674" s="191">
        <v>665</v>
      </c>
      <c r="B674" s="192"/>
      <c r="C674" s="192"/>
      <c r="D674" s="192"/>
      <c r="E674" s="53" t="s">
        <v>2897</v>
      </c>
      <c r="F674" s="193" t="s">
        <v>977</v>
      </c>
      <c r="G674" s="193" t="s">
        <v>3363</v>
      </c>
      <c r="H674" s="194">
        <v>5232</v>
      </c>
      <c r="I674" s="195"/>
      <c r="J674" s="197"/>
      <c r="K674" s="53"/>
    </row>
    <row r="675" spans="1:11" ht="65.099999999999994" customHeight="1" x14ac:dyDescent="0.25">
      <c r="A675" s="191">
        <v>666</v>
      </c>
      <c r="B675" s="192"/>
      <c r="C675" s="192"/>
      <c r="D675" s="192"/>
      <c r="E675" s="53" t="s">
        <v>2898</v>
      </c>
      <c r="F675" s="193" t="s">
        <v>977</v>
      </c>
      <c r="G675" s="193" t="s">
        <v>3363</v>
      </c>
      <c r="H675" s="194">
        <v>5232</v>
      </c>
      <c r="I675" s="195"/>
      <c r="J675" s="197"/>
      <c r="K675" s="53"/>
    </row>
    <row r="676" spans="1:11" ht="65.099999999999994" customHeight="1" x14ac:dyDescent="0.25">
      <c r="A676" s="191">
        <v>667</v>
      </c>
      <c r="B676" s="192"/>
      <c r="C676" s="192"/>
      <c r="D676" s="192"/>
      <c r="E676" s="53" t="s">
        <v>2899</v>
      </c>
      <c r="F676" s="193" t="s">
        <v>977</v>
      </c>
      <c r="G676" s="193" t="s">
        <v>3363</v>
      </c>
      <c r="H676" s="194">
        <v>5232</v>
      </c>
      <c r="I676" s="195"/>
      <c r="J676" s="197"/>
      <c r="K676" s="53"/>
    </row>
    <row r="677" spans="1:11" ht="65.099999999999994" customHeight="1" x14ac:dyDescent="0.25">
      <c r="A677" s="191">
        <v>668</v>
      </c>
      <c r="B677" s="192"/>
      <c r="C677" s="192"/>
      <c r="D677" s="192"/>
      <c r="E677" s="53" t="s">
        <v>2900</v>
      </c>
      <c r="F677" s="193" t="s">
        <v>977</v>
      </c>
      <c r="G677" s="193" t="s">
        <v>3363</v>
      </c>
      <c r="H677" s="194">
        <v>5232</v>
      </c>
      <c r="I677" s="195"/>
      <c r="J677" s="197"/>
      <c r="K677" s="53"/>
    </row>
    <row r="678" spans="1:11" ht="65.099999999999994" customHeight="1" x14ac:dyDescent="0.25">
      <c r="A678" s="191">
        <v>669</v>
      </c>
      <c r="B678" s="192"/>
      <c r="C678" s="192"/>
      <c r="D678" s="192"/>
      <c r="E678" s="53" t="s">
        <v>2901</v>
      </c>
      <c r="F678" s="193" t="s">
        <v>3360</v>
      </c>
      <c r="G678" s="193" t="s">
        <v>3363</v>
      </c>
      <c r="H678" s="194">
        <v>5232</v>
      </c>
      <c r="I678" s="195"/>
      <c r="J678" s="197"/>
      <c r="K678" s="53"/>
    </row>
    <row r="679" spans="1:11" ht="65.099999999999994" customHeight="1" x14ac:dyDescent="0.25">
      <c r="A679" s="191">
        <v>670</v>
      </c>
      <c r="B679" s="192"/>
      <c r="C679" s="192"/>
      <c r="D679" s="192"/>
      <c r="E679" s="53" t="s">
        <v>2902</v>
      </c>
      <c r="F679" s="193" t="s">
        <v>3360</v>
      </c>
      <c r="G679" s="193" t="s">
        <v>3363</v>
      </c>
      <c r="H679" s="194">
        <v>5232</v>
      </c>
      <c r="I679" s="195"/>
      <c r="J679" s="197"/>
      <c r="K679" s="53"/>
    </row>
    <row r="680" spans="1:11" ht="65.099999999999994" customHeight="1" x14ac:dyDescent="0.25">
      <c r="A680" s="191">
        <v>671</v>
      </c>
      <c r="B680" s="192"/>
      <c r="C680" s="192"/>
      <c r="D680" s="192"/>
      <c r="E680" s="53" t="s">
        <v>2903</v>
      </c>
      <c r="F680" s="193" t="s">
        <v>3360</v>
      </c>
      <c r="G680" s="193" t="s">
        <v>3363</v>
      </c>
      <c r="H680" s="194">
        <v>5232</v>
      </c>
      <c r="I680" s="195"/>
      <c r="J680" s="197"/>
      <c r="K680" s="53"/>
    </row>
    <row r="681" spans="1:11" ht="65.099999999999994" customHeight="1" x14ac:dyDescent="0.25">
      <c r="A681" s="191">
        <v>672</v>
      </c>
      <c r="B681" s="192"/>
      <c r="C681" s="192"/>
      <c r="D681" s="192"/>
      <c r="E681" s="53" t="s">
        <v>2904</v>
      </c>
      <c r="F681" s="193" t="s">
        <v>3360</v>
      </c>
      <c r="G681" s="193" t="s">
        <v>3363</v>
      </c>
      <c r="H681" s="194">
        <v>5232</v>
      </c>
      <c r="I681" s="195"/>
      <c r="J681" s="197"/>
      <c r="K681" s="53"/>
    </row>
    <row r="682" spans="1:11" ht="65.099999999999994" customHeight="1" x14ac:dyDescent="0.25">
      <c r="A682" s="191">
        <v>673</v>
      </c>
      <c r="B682" s="192"/>
      <c r="C682" s="192"/>
      <c r="D682" s="192"/>
      <c r="E682" s="53" t="s">
        <v>2905</v>
      </c>
      <c r="F682" s="193" t="s">
        <v>3360</v>
      </c>
      <c r="G682" s="193" t="s">
        <v>3363</v>
      </c>
      <c r="H682" s="194">
        <v>5232</v>
      </c>
      <c r="I682" s="195"/>
      <c r="J682" s="197"/>
      <c r="K682" s="53"/>
    </row>
    <row r="683" spans="1:11" ht="65.099999999999994" customHeight="1" x14ac:dyDescent="0.25">
      <c r="A683" s="191">
        <v>674</v>
      </c>
      <c r="B683" s="192"/>
      <c r="C683" s="192"/>
      <c r="D683" s="192"/>
      <c r="E683" s="53" t="s">
        <v>2906</v>
      </c>
      <c r="F683" s="193" t="s">
        <v>3360</v>
      </c>
      <c r="G683" s="193" t="s">
        <v>3363</v>
      </c>
      <c r="H683" s="194">
        <v>5232</v>
      </c>
      <c r="I683" s="195"/>
      <c r="J683" s="197"/>
      <c r="K683" s="53"/>
    </row>
    <row r="684" spans="1:11" ht="65.099999999999994" customHeight="1" x14ac:dyDescent="0.25">
      <c r="A684" s="191">
        <v>675</v>
      </c>
      <c r="B684" s="192"/>
      <c r="C684" s="192"/>
      <c r="D684" s="192"/>
      <c r="E684" s="53" t="s">
        <v>2907</v>
      </c>
      <c r="F684" s="193" t="s">
        <v>3360</v>
      </c>
      <c r="G684" s="193" t="s">
        <v>3363</v>
      </c>
      <c r="H684" s="194">
        <v>5232</v>
      </c>
      <c r="I684" s="195"/>
      <c r="J684" s="197"/>
      <c r="K684" s="53"/>
    </row>
    <row r="685" spans="1:11" ht="65.099999999999994" customHeight="1" x14ac:dyDescent="0.25">
      <c r="A685" s="191">
        <v>676</v>
      </c>
      <c r="B685" s="192"/>
      <c r="C685" s="192"/>
      <c r="D685" s="192"/>
      <c r="E685" s="53" t="s">
        <v>2908</v>
      </c>
      <c r="F685" s="193" t="s">
        <v>3360</v>
      </c>
      <c r="G685" s="193" t="s">
        <v>3363</v>
      </c>
      <c r="H685" s="194">
        <v>5232</v>
      </c>
      <c r="I685" s="195"/>
      <c r="J685" s="197"/>
      <c r="K685" s="53"/>
    </row>
    <row r="686" spans="1:11" ht="65.099999999999994" customHeight="1" x14ac:dyDescent="0.25">
      <c r="A686" s="191">
        <v>677</v>
      </c>
      <c r="B686" s="192"/>
      <c r="C686" s="192"/>
      <c r="D686" s="192"/>
      <c r="E686" s="53" t="s">
        <v>2909</v>
      </c>
      <c r="F686" s="193" t="s">
        <v>3360</v>
      </c>
      <c r="G686" s="193" t="s">
        <v>3363</v>
      </c>
      <c r="H686" s="194">
        <v>5232</v>
      </c>
      <c r="I686" s="195"/>
      <c r="J686" s="197"/>
      <c r="K686" s="53"/>
    </row>
    <row r="687" spans="1:11" ht="65.099999999999994" customHeight="1" x14ac:dyDescent="0.25">
      <c r="A687" s="191">
        <v>678</v>
      </c>
      <c r="B687" s="192"/>
      <c r="C687" s="192"/>
      <c r="D687" s="192"/>
      <c r="E687" s="53" t="s">
        <v>2910</v>
      </c>
      <c r="F687" s="193" t="s">
        <v>3360</v>
      </c>
      <c r="G687" s="193" t="s">
        <v>3363</v>
      </c>
      <c r="H687" s="194">
        <v>5232</v>
      </c>
      <c r="I687" s="195"/>
      <c r="J687" s="197"/>
      <c r="K687" s="53"/>
    </row>
    <row r="688" spans="1:11" ht="65.099999999999994" customHeight="1" x14ac:dyDescent="0.25">
      <c r="A688" s="191">
        <v>679</v>
      </c>
      <c r="B688" s="192"/>
      <c r="C688" s="192"/>
      <c r="D688" s="192"/>
      <c r="E688" s="53" t="s">
        <v>2911</v>
      </c>
      <c r="F688" s="193" t="s">
        <v>3360</v>
      </c>
      <c r="G688" s="193" t="s">
        <v>3363</v>
      </c>
      <c r="H688" s="194">
        <v>5232</v>
      </c>
      <c r="I688" s="195"/>
      <c r="J688" s="197"/>
      <c r="K688" s="53"/>
    </row>
    <row r="689" spans="1:11" ht="65.099999999999994" customHeight="1" x14ac:dyDescent="0.25">
      <c r="A689" s="191">
        <v>680</v>
      </c>
      <c r="B689" s="192"/>
      <c r="C689" s="192"/>
      <c r="D689" s="192"/>
      <c r="E689" s="53" t="s">
        <v>2912</v>
      </c>
      <c r="F689" s="193" t="s">
        <v>3360</v>
      </c>
      <c r="G689" s="193" t="s">
        <v>3363</v>
      </c>
      <c r="H689" s="194">
        <v>5232</v>
      </c>
      <c r="I689" s="195"/>
      <c r="J689" s="197"/>
      <c r="K689" s="53"/>
    </row>
    <row r="690" spans="1:11" ht="65.099999999999994" customHeight="1" x14ac:dyDescent="0.25">
      <c r="A690" s="191">
        <v>681</v>
      </c>
      <c r="B690" s="192"/>
      <c r="C690" s="192"/>
      <c r="D690" s="192"/>
      <c r="E690" s="53" t="s">
        <v>2913</v>
      </c>
      <c r="F690" s="193" t="s">
        <v>3360</v>
      </c>
      <c r="G690" s="193" t="s">
        <v>3363</v>
      </c>
      <c r="H690" s="194">
        <v>5232</v>
      </c>
      <c r="I690" s="195"/>
      <c r="J690" s="197"/>
      <c r="K690" s="53"/>
    </row>
    <row r="691" spans="1:11" ht="65.099999999999994" customHeight="1" x14ac:dyDescent="0.25">
      <c r="A691" s="191">
        <v>682</v>
      </c>
      <c r="B691" s="192"/>
      <c r="C691" s="192"/>
      <c r="D691" s="192"/>
      <c r="E691" s="53" t="s">
        <v>2914</v>
      </c>
      <c r="F691" s="193" t="s">
        <v>3360</v>
      </c>
      <c r="G691" s="193" t="s">
        <v>3363</v>
      </c>
      <c r="H691" s="194">
        <v>5232</v>
      </c>
      <c r="I691" s="195"/>
      <c r="J691" s="197"/>
      <c r="K691" s="53"/>
    </row>
    <row r="692" spans="1:11" ht="65.099999999999994" customHeight="1" x14ac:dyDescent="0.25">
      <c r="A692" s="191">
        <v>683</v>
      </c>
      <c r="B692" s="192"/>
      <c r="C692" s="192"/>
      <c r="D692" s="192"/>
      <c r="E692" s="53" t="s">
        <v>2915</v>
      </c>
      <c r="F692" s="193" t="s">
        <v>3360</v>
      </c>
      <c r="G692" s="193" t="s">
        <v>3363</v>
      </c>
      <c r="H692" s="194">
        <v>5232</v>
      </c>
      <c r="I692" s="195"/>
      <c r="J692" s="197"/>
      <c r="K692" s="53"/>
    </row>
    <row r="693" spans="1:11" ht="65.099999999999994" customHeight="1" x14ac:dyDescent="0.25">
      <c r="A693" s="191">
        <v>684</v>
      </c>
      <c r="B693" s="192"/>
      <c r="C693" s="192"/>
      <c r="D693" s="192"/>
      <c r="E693" s="53" t="s">
        <v>2916</v>
      </c>
      <c r="F693" s="193" t="s">
        <v>3360</v>
      </c>
      <c r="G693" s="193" t="s">
        <v>3363</v>
      </c>
      <c r="H693" s="194">
        <v>5232</v>
      </c>
      <c r="I693" s="195"/>
      <c r="J693" s="197"/>
      <c r="K693" s="53"/>
    </row>
    <row r="694" spans="1:11" ht="65.099999999999994" customHeight="1" x14ac:dyDescent="0.25">
      <c r="A694" s="191">
        <v>685</v>
      </c>
      <c r="B694" s="192"/>
      <c r="C694" s="192"/>
      <c r="D694" s="192"/>
      <c r="E694" s="53" t="s">
        <v>2917</v>
      </c>
      <c r="F694" s="193" t="s">
        <v>3360</v>
      </c>
      <c r="G694" s="193" t="s">
        <v>3363</v>
      </c>
      <c r="H694" s="194">
        <v>5232</v>
      </c>
      <c r="I694" s="195"/>
      <c r="J694" s="197"/>
      <c r="K694" s="53"/>
    </row>
    <row r="695" spans="1:11" ht="65.099999999999994" customHeight="1" x14ac:dyDescent="0.25">
      <c r="A695" s="191">
        <v>686</v>
      </c>
      <c r="B695" s="192"/>
      <c r="C695" s="192"/>
      <c r="D695" s="192"/>
      <c r="E695" s="53" t="s">
        <v>2918</v>
      </c>
      <c r="F695" s="193" t="s">
        <v>3360</v>
      </c>
      <c r="G695" s="193" t="s">
        <v>3363</v>
      </c>
      <c r="H695" s="194">
        <v>5232</v>
      </c>
      <c r="I695" s="195"/>
      <c r="J695" s="197"/>
      <c r="K695" s="53"/>
    </row>
    <row r="696" spans="1:11" ht="65.099999999999994" customHeight="1" x14ac:dyDescent="0.25">
      <c r="A696" s="191">
        <v>687</v>
      </c>
      <c r="B696" s="192"/>
      <c r="C696" s="192"/>
      <c r="D696" s="192"/>
      <c r="E696" s="53" t="s">
        <v>2919</v>
      </c>
      <c r="F696" s="193" t="s">
        <v>3360</v>
      </c>
      <c r="G696" s="193" t="s">
        <v>3363</v>
      </c>
      <c r="H696" s="194">
        <v>5232</v>
      </c>
      <c r="I696" s="195"/>
      <c r="J696" s="197"/>
      <c r="K696" s="53"/>
    </row>
    <row r="697" spans="1:11" ht="65.099999999999994" customHeight="1" x14ac:dyDescent="0.25">
      <c r="A697" s="191">
        <v>688</v>
      </c>
      <c r="B697" s="192"/>
      <c r="C697" s="192"/>
      <c r="D697" s="192"/>
      <c r="E697" s="53" t="s">
        <v>2920</v>
      </c>
      <c r="F697" s="193" t="s">
        <v>3360</v>
      </c>
      <c r="G697" s="193" t="s">
        <v>3363</v>
      </c>
      <c r="H697" s="194">
        <v>5232</v>
      </c>
      <c r="I697" s="195"/>
      <c r="J697" s="197"/>
      <c r="K697" s="53"/>
    </row>
    <row r="698" spans="1:11" ht="65.099999999999994" customHeight="1" x14ac:dyDescent="0.25">
      <c r="A698" s="191">
        <v>689</v>
      </c>
      <c r="B698" s="192"/>
      <c r="C698" s="192"/>
      <c r="D698" s="192"/>
      <c r="E698" s="53" t="s">
        <v>2921</v>
      </c>
      <c r="F698" s="193" t="s">
        <v>3360</v>
      </c>
      <c r="G698" s="193" t="s">
        <v>3363</v>
      </c>
      <c r="H698" s="194">
        <v>5232</v>
      </c>
      <c r="I698" s="195"/>
      <c r="J698" s="197"/>
      <c r="K698" s="53"/>
    </row>
    <row r="699" spans="1:11" ht="65.099999999999994" customHeight="1" x14ac:dyDescent="0.25">
      <c r="A699" s="191">
        <v>690</v>
      </c>
      <c r="B699" s="192"/>
      <c r="C699" s="192"/>
      <c r="D699" s="192"/>
      <c r="E699" s="53" t="s">
        <v>2922</v>
      </c>
      <c r="F699" s="193" t="s">
        <v>3360</v>
      </c>
      <c r="G699" s="193" t="s">
        <v>3363</v>
      </c>
      <c r="H699" s="194">
        <v>5232</v>
      </c>
      <c r="I699" s="195"/>
      <c r="J699" s="197"/>
      <c r="K699" s="53"/>
    </row>
    <row r="700" spans="1:11" ht="65.099999999999994" customHeight="1" x14ac:dyDescent="0.25">
      <c r="A700" s="191">
        <v>691</v>
      </c>
      <c r="B700" s="192"/>
      <c r="C700" s="192"/>
      <c r="D700" s="192"/>
      <c r="E700" s="53" t="s">
        <v>2923</v>
      </c>
      <c r="F700" s="193" t="s">
        <v>3360</v>
      </c>
      <c r="G700" s="193" t="s">
        <v>3363</v>
      </c>
      <c r="H700" s="194">
        <v>5232</v>
      </c>
      <c r="I700" s="195"/>
      <c r="J700" s="197"/>
      <c r="K700" s="53"/>
    </row>
    <row r="701" spans="1:11" ht="65.099999999999994" customHeight="1" x14ac:dyDescent="0.25">
      <c r="A701" s="191">
        <v>692</v>
      </c>
      <c r="B701" s="192"/>
      <c r="C701" s="192"/>
      <c r="D701" s="192"/>
      <c r="E701" s="53" t="s">
        <v>2924</v>
      </c>
      <c r="F701" s="193" t="s">
        <v>3360</v>
      </c>
      <c r="G701" s="193" t="s">
        <v>3363</v>
      </c>
      <c r="H701" s="194">
        <v>5232</v>
      </c>
      <c r="I701" s="195"/>
      <c r="J701" s="197"/>
      <c r="K701" s="53"/>
    </row>
    <row r="702" spans="1:11" ht="65.099999999999994" customHeight="1" x14ac:dyDescent="0.25">
      <c r="A702" s="191">
        <v>693</v>
      </c>
      <c r="B702" s="192"/>
      <c r="C702" s="192"/>
      <c r="D702" s="192"/>
      <c r="E702" s="53" t="s">
        <v>2925</v>
      </c>
      <c r="F702" s="193" t="s">
        <v>3360</v>
      </c>
      <c r="G702" s="193" t="s">
        <v>3363</v>
      </c>
      <c r="H702" s="194">
        <v>5232</v>
      </c>
      <c r="I702" s="195"/>
      <c r="J702" s="197"/>
      <c r="K702" s="53"/>
    </row>
    <row r="703" spans="1:11" ht="65.099999999999994" customHeight="1" x14ac:dyDescent="0.25">
      <c r="A703" s="191">
        <v>694</v>
      </c>
      <c r="B703" s="192"/>
      <c r="C703" s="192"/>
      <c r="D703" s="192"/>
      <c r="E703" s="53" t="s">
        <v>2926</v>
      </c>
      <c r="F703" s="193" t="s">
        <v>3360</v>
      </c>
      <c r="G703" s="193" t="s">
        <v>3363</v>
      </c>
      <c r="H703" s="194">
        <v>5232</v>
      </c>
      <c r="I703" s="195"/>
      <c r="J703" s="197"/>
      <c r="K703" s="53"/>
    </row>
    <row r="704" spans="1:11" ht="65.099999999999994" customHeight="1" x14ac:dyDescent="0.25">
      <c r="A704" s="191">
        <v>695</v>
      </c>
      <c r="B704" s="192"/>
      <c r="C704" s="192"/>
      <c r="D704" s="192"/>
      <c r="E704" s="53" t="s">
        <v>2927</v>
      </c>
      <c r="F704" s="193" t="s">
        <v>3360</v>
      </c>
      <c r="G704" s="193" t="s">
        <v>3363</v>
      </c>
      <c r="H704" s="194">
        <v>5232</v>
      </c>
      <c r="I704" s="195"/>
      <c r="J704" s="197"/>
      <c r="K704" s="53"/>
    </row>
    <row r="705" spans="1:11" ht="65.099999999999994" customHeight="1" x14ac:dyDescent="0.25">
      <c r="A705" s="191">
        <v>696</v>
      </c>
      <c r="B705" s="192"/>
      <c r="C705" s="192"/>
      <c r="D705" s="192"/>
      <c r="E705" s="53" t="s">
        <v>2928</v>
      </c>
      <c r="F705" s="193" t="s">
        <v>3360</v>
      </c>
      <c r="G705" s="193" t="s">
        <v>3363</v>
      </c>
      <c r="H705" s="194">
        <v>5232</v>
      </c>
      <c r="I705" s="195"/>
      <c r="J705" s="197"/>
      <c r="K705" s="53"/>
    </row>
    <row r="706" spans="1:11" ht="65.099999999999994" customHeight="1" x14ac:dyDescent="0.25">
      <c r="A706" s="191">
        <v>697</v>
      </c>
      <c r="B706" s="192"/>
      <c r="C706" s="192"/>
      <c r="D706" s="192"/>
      <c r="E706" s="53" t="s">
        <v>2929</v>
      </c>
      <c r="F706" s="193" t="s">
        <v>3360</v>
      </c>
      <c r="G706" s="193" t="s">
        <v>3363</v>
      </c>
      <c r="H706" s="194">
        <v>5232</v>
      </c>
      <c r="I706" s="195"/>
      <c r="J706" s="197"/>
      <c r="K706" s="53"/>
    </row>
    <row r="707" spans="1:11" ht="65.099999999999994" customHeight="1" x14ac:dyDescent="0.25">
      <c r="A707" s="191">
        <v>698</v>
      </c>
      <c r="B707" s="192"/>
      <c r="C707" s="192"/>
      <c r="D707" s="192"/>
      <c r="E707" s="53" t="s">
        <v>2930</v>
      </c>
      <c r="F707" s="193" t="s">
        <v>3360</v>
      </c>
      <c r="G707" s="193" t="s">
        <v>3363</v>
      </c>
      <c r="H707" s="194">
        <v>5232</v>
      </c>
      <c r="I707" s="195"/>
      <c r="J707" s="197"/>
      <c r="K707" s="53"/>
    </row>
    <row r="708" spans="1:11" ht="65.099999999999994" customHeight="1" x14ac:dyDescent="0.25">
      <c r="A708" s="191">
        <v>699</v>
      </c>
      <c r="B708" s="192"/>
      <c r="C708" s="192"/>
      <c r="D708" s="192"/>
      <c r="E708" s="53" t="s">
        <v>2931</v>
      </c>
      <c r="F708" s="193" t="s">
        <v>3361</v>
      </c>
      <c r="G708" s="193" t="s">
        <v>3363</v>
      </c>
      <c r="H708" s="194">
        <v>5232</v>
      </c>
      <c r="I708" s="195"/>
      <c r="J708" s="197"/>
      <c r="K708" s="53"/>
    </row>
    <row r="709" spans="1:11" ht="65.099999999999994" customHeight="1" x14ac:dyDescent="0.25">
      <c r="A709" s="191">
        <v>700</v>
      </c>
      <c r="B709" s="192"/>
      <c r="C709" s="192"/>
      <c r="D709" s="192"/>
      <c r="E709" s="53" t="s">
        <v>2932</v>
      </c>
      <c r="F709" s="193" t="s">
        <v>3361</v>
      </c>
      <c r="G709" s="193" t="s">
        <v>3363</v>
      </c>
      <c r="H709" s="194">
        <v>5232</v>
      </c>
      <c r="I709" s="195"/>
      <c r="J709" s="197"/>
      <c r="K709" s="53"/>
    </row>
    <row r="710" spans="1:11" ht="65.099999999999994" customHeight="1" x14ac:dyDescent="0.25">
      <c r="A710" s="191">
        <v>701</v>
      </c>
      <c r="B710" s="192"/>
      <c r="C710" s="192"/>
      <c r="D710" s="192"/>
      <c r="E710" s="53" t="s">
        <v>2933</v>
      </c>
      <c r="F710" s="193" t="s">
        <v>3361</v>
      </c>
      <c r="G710" s="193" t="s">
        <v>3363</v>
      </c>
      <c r="H710" s="194">
        <v>5232</v>
      </c>
      <c r="I710" s="195"/>
      <c r="J710" s="197"/>
      <c r="K710" s="53"/>
    </row>
    <row r="711" spans="1:11" ht="65.099999999999994" customHeight="1" x14ac:dyDescent="0.25">
      <c r="A711" s="191">
        <v>702</v>
      </c>
      <c r="B711" s="192"/>
      <c r="C711" s="192"/>
      <c r="D711" s="192"/>
      <c r="E711" s="53" t="s">
        <v>2934</v>
      </c>
      <c r="F711" s="193" t="s">
        <v>3361</v>
      </c>
      <c r="G711" s="193" t="s">
        <v>3363</v>
      </c>
      <c r="H711" s="194">
        <v>5232</v>
      </c>
      <c r="I711" s="195"/>
      <c r="J711" s="197"/>
      <c r="K711" s="53"/>
    </row>
    <row r="712" spans="1:11" ht="65.099999999999994" customHeight="1" x14ac:dyDescent="0.25">
      <c r="A712" s="191">
        <v>703</v>
      </c>
      <c r="B712" s="192"/>
      <c r="C712" s="192"/>
      <c r="D712" s="192"/>
      <c r="E712" s="53" t="s">
        <v>2935</v>
      </c>
      <c r="F712" s="193" t="s">
        <v>3361</v>
      </c>
      <c r="G712" s="193" t="s">
        <v>3363</v>
      </c>
      <c r="H712" s="194">
        <v>5232</v>
      </c>
      <c r="I712" s="195"/>
      <c r="J712" s="197"/>
      <c r="K712" s="53"/>
    </row>
    <row r="713" spans="1:11" ht="65.099999999999994" customHeight="1" x14ac:dyDescent="0.25">
      <c r="A713" s="191">
        <v>704</v>
      </c>
      <c r="B713" s="192"/>
      <c r="C713" s="192"/>
      <c r="D713" s="192"/>
      <c r="E713" s="53" t="s">
        <v>2936</v>
      </c>
      <c r="F713" s="193" t="s">
        <v>3361</v>
      </c>
      <c r="G713" s="193" t="s">
        <v>3363</v>
      </c>
      <c r="H713" s="194">
        <v>5232</v>
      </c>
      <c r="I713" s="195"/>
      <c r="J713" s="197"/>
      <c r="K713" s="53"/>
    </row>
    <row r="714" spans="1:11" ht="65.099999999999994" customHeight="1" x14ac:dyDescent="0.25">
      <c r="A714" s="191">
        <v>705</v>
      </c>
      <c r="B714" s="192"/>
      <c r="C714" s="192"/>
      <c r="D714" s="192"/>
      <c r="E714" s="53" t="s">
        <v>2937</v>
      </c>
      <c r="F714" s="193" t="s">
        <v>3361</v>
      </c>
      <c r="G714" s="193" t="s">
        <v>3363</v>
      </c>
      <c r="H714" s="194">
        <v>5232</v>
      </c>
      <c r="I714" s="195"/>
      <c r="J714" s="197"/>
      <c r="K714" s="53"/>
    </row>
    <row r="715" spans="1:11" ht="65.099999999999994" customHeight="1" x14ac:dyDescent="0.25">
      <c r="A715" s="191">
        <v>706</v>
      </c>
      <c r="B715" s="192"/>
      <c r="C715" s="192"/>
      <c r="D715" s="192"/>
      <c r="E715" s="53" t="s">
        <v>2938</v>
      </c>
      <c r="F715" s="193" t="s">
        <v>3361</v>
      </c>
      <c r="G715" s="193" t="s">
        <v>3363</v>
      </c>
      <c r="H715" s="194">
        <v>5232</v>
      </c>
      <c r="I715" s="195"/>
      <c r="J715" s="197"/>
      <c r="K715" s="53"/>
    </row>
    <row r="716" spans="1:11" ht="65.099999999999994" customHeight="1" x14ac:dyDescent="0.25">
      <c r="A716" s="191">
        <v>707</v>
      </c>
      <c r="B716" s="192"/>
      <c r="C716" s="192"/>
      <c r="D716" s="192"/>
      <c r="E716" s="53" t="s">
        <v>2939</v>
      </c>
      <c r="F716" s="193" t="s">
        <v>3361</v>
      </c>
      <c r="G716" s="193" t="s">
        <v>3363</v>
      </c>
      <c r="H716" s="194">
        <v>5232</v>
      </c>
      <c r="I716" s="195"/>
      <c r="J716" s="197"/>
      <c r="K716" s="53"/>
    </row>
    <row r="717" spans="1:11" ht="65.099999999999994" customHeight="1" x14ac:dyDescent="0.25">
      <c r="A717" s="191">
        <v>708</v>
      </c>
      <c r="B717" s="192"/>
      <c r="C717" s="192"/>
      <c r="D717" s="192"/>
      <c r="E717" s="53" t="s">
        <v>2940</v>
      </c>
      <c r="F717" s="193" t="s">
        <v>3361</v>
      </c>
      <c r="G717" s="193" t="s">
        <v>3363</v>
      </c>
      <c r="H717" s="194">
        <v>5232</v>
      </c>
      <c r="I717" s="195"/>
      <c r="J717" s="197"/>
      <c r="K717" s="53"/>
    </row>
    <row r="718" spans="1:11" ht="65.099999999999994" customHeight="1" x14ac:dyDescent="0.25">
      <c r="A718" s="191">
        <v>709</v>
      </c>
      <c r="B718" s="192"/>
      <c r="C718" s="192"/>
      <c r="D718" s="192"/>
      <c r="E718" s="53" t="s">
        <v>2941</v>
      </c>
      <c r="F718" s="193" t="s">
        <v>3361</v>
      </c>
      <c r="G718" s="193" t="s">
        <v>3363</v>
      </c>
      <c r="H718" s="194">
        <v>5232</v>
      </c>
      <c r="I718" s="195"/>
      <c r="J718" s="197"/>
      <c r="K718" s="53"/>
    </row>
    <row r="719" spans="1:11" ht="65.099999999999994" customHeight="1" x14ac:dyDescent="0.25">
      <c r="A719" s="191">
        <v>710</v>
      </c>
      <c r="B719" s="192"/>
      <c r="C719" s="192"/>
      <c r="D719" s="192"/>
      <c r="E719" s="53" t="s">
        <v>2942</v>
      </c>
      <c r="F719" s="193" t="s">
        <v>3361</v>
      </c>
      <c r="G719" s="193" t="s">
        <v>3363</v>
      </c>
      <c r="H719" s="194">
        <v>5232</v>
      </c>
      <c r="I719" s="195"/>
      <c r="J719" s="197"/>
      <c r="K719" s="53"/>
    </row>
    <row r="720" spans="1:11" ht="65.099999999999994" customHeight="1" x14ac:dyDescent="0.25">
      <c r="A720" s="191">
        <v>711</v>
      </c>
      <c r="B720" s="192"/>
      <c r="C720" s="192"/>
      <c r="D720" s="192"/>
      <c r="E720" s="53" t="s">
        <v>2943</v>
      </c>
      <c r="F720" s="193" t="s">
        <v>3361</v>
      </c>
      <c r="G720" s="193" t="s">
        <v>3363</v>
      </c>
      <c r="H720" s="194">
        <v>5232</v>
      </c>
      <c r="I720" s="195"/>
      <c r="J720" s="197"/>
      <c r="K720" s="53"/>
    </row>
    <row r="721" spans="1:11" ht="65.099999999999994" customHeight="1" x14ac:dyDescent="0.25">
      <c r="A721" s="191">
        <v>712</v>
      </c>
      <c r="B721" s="192"/>
      <c r="C721" s="192"/>
      <c r="D721" s="192"/>
      <c r="E721" s="53" t="s">
        <v>2944</v>
      </c>
      <c r="F721" s="193" t="s">
        <v>3361</v>
      </c>
      <c r="G721" s="193" t="s">
        <v>3363</v>
      </c>
      <c r="H721" s="194">
        <v>5232</v>
      </c>
      <c r="I721" s="195"/>
      <c r="J721" s="197"/>
      <c r="K721" s="53"/>
    </row>
    <row r="722" spans="1:11" ht="65.099999999999994" customHeight="1" x14ac:dyDescent="0.25">
      <c r="A722" s="191">
        <v>713</v>
      </c>
      <c r="B722" s="192"/>
      <c r="C722" s="192"/>
      <c r="D722" s="192"/>
      <c r="E722" s="53" t="s">
        <v>2945</v>
      </c>
      <c r="F722" s="193" t="s">
        <v>3361</v>
      </c>
      <c r="G722" s="193" t="s">
        <v>3363</v>
      </c>
      <c r="H722" s="194">
        <v>5232</v>
      </c>
      <c r="I722" s="195"/>
      <c r="J722" s="197"/>
      <c r="K722" s="53"/>
    </row>
    <row r="723" spans="1:11" ht="65.099999999999994" customHeight="1" x14ac:dyDescent="0.25">
      <c r="A723" s="191">
        <v>714</v>
      </c>
      <c r="B723" s="192"/>
      <c r="C723" s="192"/>
      <c r="D723" s="192"/>
      <c r="E723" s="53" t="s">
        <v>2946</v>
      </c>
      <c r="F723" s="193" t="s">
        <v>3361</v>
      </c>
      <c r="G723" s="193" t="s">
        <v>3363</v>
      </c>
      <c r="H723" s="194">
        <v>5232</v>
      </c>
      <c r="I723" s="195"/>
      <c r="J723" s="197"/>
      <c r="K723" s="53"/>
    </row>
    <row r="724" spans="1:11" ht="65.099999999999994" customHeight="1" x14ac:dyDescent="0.25">
      <c r="A724" s="191">
        <v>715</v>
      </c>
      <c r="B724" s="192"/>
      <c r="C724" s="192"/>
      <c r="D724" s="192"/>
      <c r="E724" s="53" t="s">
        <v>2947</v>
      </c>
      <c r="F724" s="193" t="s">
        <v>3361</v>
      </c>
      <c r="G724" s="193" t="s">
        <v>3363</v>
      </c>
      <c r="H724" s="194">
        <v>5232</v>
      </c>
      <c r="I724" s="195"/>
      <c r="J724" s="197"/>
      <c r="K724" s="53"/>
    </row>
    <row r="725" spans="1:11" ht="65.099999999999994" customHeight="1" x14ac:dyDescent="0.25">
      <c r="A725" s="191">
        <v>716</v>
      </c>
      <c r="B725" s="192"/>
      <c r="C725" s="192"/>
      <c r="D725" s="192"/>
      <c r="E725" s="53" t="s">
        <v>2948</v>
      </c>
      <c r="F725" s="193" t="s">
        <v>3361</v>
      </c>
      <c r="G725" s="193" t="s">
        <v>3363</v>
      </c>
      <c r="H725" s="194">
        <v>5232</v>
      </c>
      <c r="I725" s="195"/>
      <c r="J725" s="197"/>
      <c r="K725" s="53"/>
    </row>
    <row r="726" spans="1:11" ht="65.099999999999994" customHeight="1" x14ac:dyDescent="0.25">
      <c r="A726" s="191">
        <v>717</v>
      </c>
      <c r="B726" s="192"/>
      <c r="C726" s="192"/>
      <c r="D726" s="192"/>
      <c r="E726" s="53" t="s">
        <v>2949</v>
      </c>
      <c r="F726" s="193" t="s">
        <v>3361</v>
      </c>
      <c r="G726" s="193" t="s">
        <v>3363</v>
      </c>
      <c r="H726" s="194">
        <v>5232</v>
      </c>
      <c r="I726" s="195"/>
      <c r="J726" s="197"/>
      <c r="K726" s="53"/>
    </row>
    <row r="727" spans="1:11" ht="65.099999999999994" customHeight="1" x14ac:dyDescent="0.25">
      <c r="A727" s="191">
        <v>718</v>
      </c>
      <c r="B727" s="192"/>
      <c r="C727" s="192"/>
      <c r="D727" s="192"/>
      <c r="E727" s="53" t="s">
        <v>2950</v>
      </c>
      <c r="F727" s="193" t="s">
        <v>3361</v>
      </c>
      <c r="G727" s="193" t="s">
        <v>3363</v>
      </c>
      <c r="H727" s="194">
        <v>5232</v>
      </c>
      <c r="I727" s="195"/>
      <c r="J727" s="197"/>
      <c r="K727" s="53"/>
    </row>
    <row r="728" spans="1:11" ht="65.099999999999994" customHeight="1" x14ac:dyDescent="0.25">
      <c r="A728" s="191">
        <v>719</v>
      </c>
      <c r="B728" s="192"/>
      <c r="C728" s="192"/>
      <c r="D728" s="192"/>
      <c r="E728" s="53" t="s">
        <v>2951</v>
      </c>
      <c r="F728" s="193" t="s">
        <v>3361</v>
      </c>
      <c r="G728" s="193" t="s">
        <v>3363</v>
      </c>
      <c r="H728" s="194">
        <v>5232</v>
      </c>
      <c r="I728" s="195"/>
      <c r="J728" s="197"/>
      <c r="K728" s="53"/>
    </row>
    <row r="729" spans="1:11" ht="65.099999999999994" customHeight="1" x14ac:dyDescent="0.25">
      <c r="A729" s="191">
        <v>720</v>
      </c>
      <c r="B729" s="192"/>
      <c r="C729" s="192"/>
      <c r="D729" s="192"/>
      <c r="E729" s="53" t="s">
        <v>2952</v>
      </c>
      <c r="F729" s="193" t="s">
        <v>3361</v>
      </c>
      <c r="G729" s="193" t="s">
        <v>3363</v>
      </c>
      <c r="H729" s="194">
        <v>5232</v>
      </c>
      <c r="I729" s="195"/>
      <c r="J729" s="197"/>
      <c r="K729" s="53"/>
    </row>
    <row r="730" spans="1:11" ht="65.099999999999994" customHeight="1" x14ac:dyDescent="0.25">
      <c r="A730" s="191">
        <v>721</v>
      </c>
      <c r="B730" s="192"/>
      <c r="C730" s="192"/>
      <c r="D730" s="192"/>
      <c r="E730" s="53" t="s">
        <v>2953</v>
      </c>
      <c r="F730" s="193" t="s">
        <v>3361</v>
      </c>
      <c r="G730" s="193" t="s">
        <v>3363</v>
      </c>
      <c r="H730" s="194">
        <v>5232</v>
      </c>
      <c r="I730" s="195"/>
      <c r="J730" s="197"/>
      <c r="K730" s="53"/>
    </row>
    <row r="731" spans="1:11" ht="65.099999999999994" customHeight="1" x14ac:dyDescent="0.25">
      <c r="A731" s="191">
        <v>722</v>
      </c>
      <c r="B731" s="192"/>
      <c r="C731" s="192"/>
      <c r="D731" s="192"/>
      <c r="E731" s="53" t="s">
        <v>2954</v>
      </c>
      <c r="F731" s="193" t="s">
        <v>3361</v>
      </c>
      <c r="G731" s="193" t="s">
        <v>3363</v>
      </c>
      <c r="H731" s="194">
        <v>5232</v>
      </c>
      <c r="I731" s="195"/>
      <c r="J731" s="197"/>
      <c r="K731" s="53"/>
    </row>
    <row r="732" spans="1:11" ht="65.099999999999994" customHeight="1" x14ac:dyDescent="0.25">
      <c r="A732" s="191">
        <v>723</v>
      </c>
      <c r="B732" s="192"/>
      <c r="C732" s="192"/>
      <c r="D732" s="192"/>
      <c r="E732" s="53" t="s">
        <v>2955</v>
      </c>
      <c r="F732" s="193" t="s">
        <v>3361</v>
      </c>
      <c r="G732" s="193" t="s">
        <v>3363</v>
      </c>
      <c r="H732" s="194">
        <v>5232</v>
      </c>
      <c r="I732" s="195"/>
      <c r="J732" s="197"/>
      <c r="K732" s="53"/>
    </row>
    <row r="733" spans="1:11" ht="65.099999999999994" customHeight="1" x14ac:dyDescent="0.25">
      <c r="A733" s="191">
        <v>724</v>
      </c>
      <c r="B733" s="192"/>
      <c r="C733" s="192"/>
      <c r="D733" s="192"/>
      <c r="E733" s="53" t="s">
        <v>2956</v>
      </c>
      <c r="F733" s="193" t="s">
        <v>3361</v>
      </c>
      <c r="G733" s="193" t="s">
        <v>3363</v>
      </c>
      <c r="H733" s="194">
        <v>5232</v>
      </c>
      <c r="I733" s="195"/>
      <c r="J733" s="197"/>
      <c r="K733" s="53"/>
    </row>
    <row r="734" spans="1:11" ht="65.099999999999994" customHeight="1" x14ac:dyDescent="0.25">
      <c r="A734" s="191">
        <v>725</v>
      </c>
      <c r="B734" s="192"/>
      <c r="C734" s="192"/>
      <c r="D734" s="192"/>
      <c r="E734" s="53" t="s">
        <v>2957</v>
      </c>
      <c r="F734" s="193" t="s">
        <v>3361</v>
      </c>
      <c r="G734" s="193" t="s">
        <v>3363</v>
      </c>
      <c r="H734" s="194">
        <v>5232</v>
      </c>
      <c r="I734" s="195"/>
      <c r="J734" s="197"/>
      <c r="K734" s="53"/>
    </row>
    <row r="735" spans="1:11" ht="65.099999999999994" customHeight="1" x14ac:dyDescent="0.25">
      <c r="A735" s="191">
        <v>726</v>
      </c>
      <c r="B735" s="192"/>
      <c r="C735" s="192"/>
      <c r="D735" s="192"/>
      <c r="E735" s="53" t="s">
        <v>2958</v>
      </c>
      <c r="F735" s="193" t="s">
        <v>3361</v>
      </c>
      <c r="G735" s="193" t="s">
        <v>3363</v>
      </c>
      <c r="H735" s="194">
        <v>5232</v>
      </c>
      <c r="I735" s="195"/>
      <c r="J735" s="197"/>
      <c r="K735" s="53"/>
    </row>
    <row r="736" spans="1:11" ht="65.099999999999994" customHeight="1" x14ac:dyDescent="0.25">
      <c r="A736" s="191">
        <v>727</v>
      </c>
      <c r="B736" s="192"/>
      <c r="C736" s="192"/>
      <c r="D736" s="192"/>
      <c r="E736" s="53" t="s">
        <v>2959</v>
      </c>
      <c r="F736" s="193" t="s">
        <v>3361</v>
      </c>
      <c r="G736" s="193" t="s">
        <v>3363</v>
      </c>
      <c r="H736" s="194">
        <v>5232</v>
      </c>
      <c r="I736" s="195"/>
      <c r="J736" s="197"/>
      <c r="K736" s="53"/>
    </row>
    <row r="737" spans="1:11" ht="65.099999999999994" customHeight="1" x14ac:dyDescent="0.25">
      <c r="A737" s="191">
        <v>728</v>
      </c>
      <c r="B737" s="192"/>
      <c r="C737" s="192"/>
      <c r="D737" s="192"/>
      <c r="E737" s="53" t="s">
        <v>2960</v>
      </c>
      <c r="F737" s="193" t="s">
        <v>3361</v>
      </c>
      <c r="G737" s="193" t="s">
        <v>3363</v>
      </c>
      <c r="H737" s="194">
        <v>5232</v>
      </c>
      <c r="I737" s="195"/>
      <c r="J737" s="197"/>
      <c r="K737" s="53"/>
    </row>
    <row r="738" spans="1:11" ht="65.099999999999994" customHeight="1" x14ac:dyDescent="0.25">
      <c r="A738" s="191">
        <v>729</v>
      </c>
      <c r="B738" s="192"/>
      <c r="C738" s="192"/>
      <c r="D738" s="192"/>
      <c r="E738" s="53" t="s">
        <v>2961</v>
      </c>
      <c r="F738" s="193" t="s">
        <v>3361</v>
      </c>
      <c r="G738" s="193" t="s">
        <v>3363</v>
      </c>
      <c r="H738" s="194">
        <v>5232</v>
      </c>
      <c r="I738" s="195"/>
      <c r="J738" s="197"/>
      <c r="K738" s="53"/>
    </row>
    <row r="739" spans="1:11" ht="65.099999999999994" customHeight="1" x14ac:dyDescent="0.25">
      <c r="A739" s="191">
        <v>730</v>
      </c>
      <c r="B739" s="192"/>
      <c r="C739" s="192"/>
      <c r="D739" s="192"/>
      <c r="E739" s="53" t="s">
        <v>2962</v>
      </c>
      <c r="F739" s="193" t="s">
        <v>3361</v>
      </c>
      <c r="G739" s="193" t="s">
        <v>3363</v>
      </c>
      <c r="H739" s="194">
        <v>5232</v>
      </c>
      <c r="I739" s="195"/>
      <c r="J739" s="197"/>
      <c r="K739" s="53"/>
    </row>
    <row r="740" spans="1:11" ht="65.099999999999994" customHeight="1" x14ac:dyDescent="0.25">
      <c r="A740" s="191">
        <v>731</v>
      </c>
      <c r="B740" s="192"/>
      <c r="C740" s="192"/>
      <c r="D740" s="192"/>
      <c r="E740" s="53" t="s">
        <v>2963</v>
      </c>
      <c r="F740" s="193" t="s">
        <v>3361</v>
      </c>
      <c r="G740" s="193" t="s">
        <v>3363</v>
      </c>
      <c r="H740" s="194">
        <v>5232</v>
      </c>
      <c r="I740" s="195"/>
      <c r="J740" s="197"/>
      <c r="K740" s="53"/>
    </row>
    <row r="741" spans="1:11" ht="65.099999999999994" customHeight="1" x14ac:dyDescent="0.25">
      <c r="A741" s="191">
        <v>732</v>
      </c>
      <c r="B741" s="192"/>
      <c r="C741" s="192"/>
      <c r="D741" s="192"/>
      <c r="E741" s="53" t="s">
        <v>2964</v>
      </c>
      <c r="F741" s="193" t="s">
        <v>3361</v>
      </c>
      <c r="G741" s="193" t="s">
        <v>3363</v>
      </c>
      <c r="H741" s="194">
        <v>5232</v>
      </c>
      <c r="I741" s="195"/>
      <c r="J741" s="197"/>
      <c r="K741" s="53"/>
    </row>
    <row r="742" spans="1:11" ht="65.099999999999994" customHeight="1" x14ac:dyDescent="0.25">
      <c r="A742" s="191">
        <v>733</v>
      </c>
      <c r="B742" s="192"/>
      <c r="C742" s="192"/>
      <c r="D742" s="192"/>
      <c r="E742" s="53" t="s">
        <v>2965</v>
      </c>
      <c r="F742" s="193" t="s">
        <v>3361</v>
      </c>
      <c r="G742" s="193" t="s">
        <v>3363</v>
      </c>
      <c r="H742" s="194">
        <v>5232</v>
      </c>
      <c r="I742" s="195"/>
      <c r="J742" s="197"/>
      <c r="K742" s="53"/>
    </row>
    <row r="743" spans="1:11" ht="65.099999999999994" customHeight="1" x14ac:dyDescent="0.25">
      <c r="A743" s="191">
        <v>734</v>
      </c>
      <c r="B743" s="192"/>
      <c r="C743" s="192"/>
      <c r="D743" s="192"/>
      <c r="E743" s="53" t="s">
        <v>2966</v>
      </c>
      <c r="F743" s="193" t="s">
        <v>3361</v>
      </c>
      <c r="G743" s="193" t="s">
        <v>3363</v>
      </c>
      <c r="H743" s="194">
        <v>5232</v>
      </c>
      <c r="I743" s="195"/>
      <c r="J743" s="197"/>
      <c r="K743" s="53"/>
    </row>
    <row r="744" spans="1:11" ht="65.099999999999994" customHeight="1" x14ac:dyDescent="0.25">
      <c r="A744" s="191">
        <v>735</v>
      </c>
      <c r="B744" s="192"/>
      <c r="C744" s="192"/>
      <c r="D744" s="192"/>
      <c r="E744" s="53" t="s">
        <v>2967</v>
      </c>
      <c r="F744" s="193" t="s">
        <v>3361</v>
      </c>
      <c r="G744" s="193" t="s">
        <v>3363</v>
      </c>
      <c r="H744" s="194">
        <v>5232</v>
      </c>
      <c r="I744" s="195"/>
      <c r="J744" s="197"/>
      <c r="K744" s="53"/>
    </row>
    <row r="745" spans="1:11" ht="65.099999999999994" customHeight="1" x14ac:dyDescent="0.25">
      <c r="A745" s="191">
        <v>736</v>
      </c>
      <c r="B745" s="192"/>
      <c r="C745" s="192"/>
      <c r="D745" s="192"/>
      <c r="E745" s="53" t="s">
        <v>2968</v>
      </c>
      <c r="F745" s="193" t="s">
        <v>3361</v>
      </c>
      <c r="G745" s="193" t="s">
        <v>3363</v>
      </c>
      <c r="H745" s="194">
        <v>5232</v>
      </c>
      <c r="I745" s="195"/>
      <c r="J745" s="197"/>
      <c r="K745" s="53"/>
    </row>
    <row r="746" spans="1:11" ht="65.099999999999994" customHeight="1" x14ac:dyDescent="0.25">
      <c r="A746" s="191">
        <v>737</v>
      </c>
      <c r="B746" s="192"/>
      <c r="C746" s="192"/>
      <c r="D746" s="192"/>
      <c r="E746" s="53" t="s">
        <v>2969</v>
      </c>
      <c r="F746" s="193" t="s">
        <v>3361</v>
      </c>
      <c r="G746" s="193" t="s">
        <v>3363</v>
      </c>
      <c r="H746" s="194">
        <v>5232</v>
      </c>
      <c r="I746" s="195"/>
      <c r="J746" s="197"/>
      <c r="K746" s="53"/>
    </row>
    <row r="747" spans="1:11" ht="65.099999999999994" customHeight="1" x14ac:dyDescent="0.25">
      <c r="A747" s="191">
        <v>738</v>
      </c>
      <c r="B747" s="192"/>
      <c r="C747" s="192"/>
      <c r="D747" s="192"/>
      <c r="E747" s="53" t="s">
        <v>2970</v>
      </c>
      <c r="F747" s="193" t="s">
        <v>3361</v>
      </c>
      <c r="G747" s="193" t="s">
        <v>3363</v>
      </c>
      <c r="H747" s="194">
        <v>5232</v>
      </c>
      <c r="I747" s="195"/>
      <c r="J747" s="197"/>
      <c r="K747" s="53"/>
    </row>
    <row r="748" spans="1:11" ht="65.099999999999994" customHeight="1" x14ac:dyDescent="0.25">
      <c r="A748" s="191">
        <v>739</v>
      </c>
      <c r="B748" s="192"/>
      <c r="C748" s="192"/>
      <c r="D748" s="192"/>
      <c r="E748" s="53" t="s">
        <v>2971</v>
      </c>
      <c r="F748" s="193" t="s">
        <v>3361</v>
      </c>
      <c r="G748" s="193" t="s">
        <v>3363</v>
      </c>
      <c r="H748" s="194">
        <v>5232</v>
      </c>
      <c r="I748" s="195"/>
      <c r="J748" s="197"/>
      <c r="K748" s="53"/>
    </row>
    <row r="749" spans="1:11" ht="65.099999999999994" customHeight="1" x14ac:dyDescent="0.25">
      <c r="A749" s="191">
        <v>740</v>
      </c>
      <c r="B749" s="192"/>
      <c r="C749" s="192"/>
      <c r="D749" s="192"/>
      <c r="E749" s="53" t="s">
        <v>2972</v>
      </c>
      <c r="F749" s="193" t="s">
        <v>3361</v>
      </c>
      <c r="G749" s="193" t="s">
        <v>3363</v>
      </c>
      <c r="H749" s="194">
        <v>5232</v>
      </c>
      <c r="I749" s="195"/>
      <c r="J749" s="197"/>
      <c r="K749" s="53"/>
    </row>
    <row r="750" spans="1:11" ht="65.099999999999994" customHeight="1" x14ac:dyDescent="0.25">
      <c r="A750" s="191">
        <v>741</v>
      </c>
      <c r="B750" s="192"/>
      <c r="C750" s="192"/>
      <c r="D750" s="192"/>
      <c r="E750" s="53" t="s">
        <v>2973</v>
      </c>
      <c r="F750" s="193" t="s">
        <v>3361</v>
      </c>
      <c r="G750" s="193" t="s">
        <v>3363</v>
      </c>
      <c r="H750" s="194">
        <v>5232</v>
      </c>
      <c r="I750" s="195"/>
      <c r="J750" s="197"/>
      <c r="K750" s="53"/>
    </row>
    <row r="751" spans="1:11" ht="65.099999999999994" customHeight="1" x14ac:dyDescent="0.25">
      <c r="A751" s="191">
        <v>742</v>
      </c>
      <c r="B751" s="192"/>
      <c r="C751" s="192"/>
      <c r="D751" s="192"/>
      <c r="E751" s="53" t="s">
        <v>2974</v>
      </c>
      <c r="F751" s="193" t="s">
        <v>3361</v>
      </c>
      <c r="G751" s="193" t="s">
        <v>3363</v>
      </c>
      <c r="H751" s="194">
        <v>5232</v>
      </c>
      <c r="I751" s="195"/>
      <c r="J751" s="197"/>
      <c r="K751" s="53"/>
    </row>
    <row r="752" spans="1:11" ht="65.099999999999994" customHeight="1" x14ac:dyDescent="0.25">
      <c r="A752" s="191">
        <v>743</v>
      </c>
      <c r="B752" s="192"/>
      <c r="C752" s="192"/>
      <c r="D752" s="192"/>
      <c r="E752" s="53" t="s">
        <v>2975</v>
      </c>
      <c r="F752" s="193" t="s">
        <v>3361</v>
      </c>
      <c r="G752" s="193" t="s">
        <v>3363</v>
      </c>
      <c r="H752" s="194">
        <v>5232</v>
      </c>
      <c r="I752" s="195"/>
      <c r="J752" s="197"/>
      <c r="K752" s="53"/>
    </row>
    <row r="753" spans="1:11" ht="65.099999999999994" customHeight="1" x14ac:dyDescent="0.25">
      <c r="A753" s="191">
        <v>744</v>
      </c>
      <c r="B753" s="192"/>
      <c r="C753" s="192"/>
      <c r="D753" s="192"/>
      <c r="E753" s="53" t="s">
        <v>2976</v>
      </c>
      <c r="F753" s="193" t="s">
        <v>3361</v>
      </c>
      <c r="G753" s="193" t="s">
        <v>3363</v>
      </c>
      <c r="H753" s="194">
        <v>5232</v>
      </c>
      <c r="I753" s="195"/>
      <c r="J753" s="197"/>
      <c r="K753" s="53"/>
    </row>
    <row r="754" spans="1:11" ht="65.099999999999994" customHeight="1" x14ac:dyDescent="0.25">
      <c r="A754" s="191">
        <v>745</v>
      </c>
      <c r="B754" s="192"/>
      <c r="C754" s="192"/>
      <c r="D754" s="192"/>
      <c r="E754" s="53" t="s">
        <v>2977</v>
      </c>
      <c r="F754" s="193" t="s">
        <v>3361</v>
      </c>
      <c r="G754" s="193" t="s">
        <v>3363</v>
      </c>
      <c r="H754" s="194">
        <v>5232</v>
      </c>
      <c r="I754" s="195"/>
      <c r="J754" s="197"/>
      <c r="K754" s="53"/>
    </row>
    <row r="755" spans="1:11" ht="65.099999999999994" customHeight="1" x14ac:dyDescent="0.25">
      <c r="A755" s="191">
        <v>746</v>
      </c>
      <c r="B755" s="192"/>
      <c r="C755" s="192"/>
      <c r="D755" s="192"/>
      <c r="E755" s="53" t="s">
        <v>2978</v>
      </c>
      <c r="F755" s="193" t="s">
        <v>3361</v>
      </c>
      <c r="G755" s="193" t="s">
        <v>3363</v>
      </c>
      <c r="H755" s="194">
        <v>5232</v>
      </c>
      <c r="I755" s="195"/>
      <c r="J755" s="197"/>
      <c r="K755" s="53"/>
    </row>
    <row r="756" spans="1:11" ht="65.099999999999994" customHeight="1" x14ac:dyDescent="0.25">
      <c r="A756" s="191">
        <v>747</v>
      </c>
      <c r="B756" s="192"/>
      <c r="C756" s="192"/>
      <c r="D756" s="192"/>
      <c r="E756" s="53" t="s">
        <v>2979</v>
      </c>
      <c r="F756" s="193" t="s">
        <v>3361</v>
      </c>
      <c r="G756" s="193" t="s">
        <v>3363</v>
      </c>
      <c r="H756" s="194">
        <v>5232</v>
      </c>
      <c r="I756" s="195"/>
      <c r="J756" s="197"/>
      <c r="K756" s="53"/>
    </row>
    <row r="757" spans="1:11" ht="65.099999999999994" customHeight="1" x14ac:dyDescent="0.25">
      <c r="A757" s="191">
        <v>748</v>
      </c>
      <c r="B757" s="192"/>
      <c r="C757" s="192"/>
      <c r="D757" s="192"/>
      <c r="E757" s="53" t="s">
        <v>2980</v>
      </c>
      <c r="F757" s="193" t="s">
        <v>3361</v>
      </c>
      <c r="G757" s="193" t="s">
        <v>3363</v>
      </c>
      <c r="H757" s="194">
        <v>5232</v>
      </c>
      <c r="I757" s="195"/>
      <c r="J757" s="197"/>
      <c r="K757" s="53"/>
    </row>
    <row r="758" spans="1:11" ht="65.099999999999994" customHeight="1" x14ac:dyDescent="0.25">
      <c r="A758" s="191">
        <v>749</v>
      </c>
      <c r="B758" s="192"/>
      <c r="C758" s="192"/>
      <c r="D758" s="192"/>
      <c r="E758" s="53" t="s">
        <v>2981</v>
      </c>
      <c r="F758" s="193" t="s">
        <v>3361</v>
      </c>
      <c r="G758" s="193" t="s">
        <v>3363</v>
      </c>
      <c r="H758" s="194">
        <v>5232</v>
      </c>
      <c r="I758" s="195"/>
      <c r="J758" s="197"/>
      <c r="K758" s="53"/>
    </row>
    <row r="759" spans="1:11" ht="65.099999999999994" customHeight="1" x14ac:dyDescent="0.25">
      <c r="A759" s="191">
        <v>750</v>
      </c>
      <c r="B759" s="192"/>
      <c r="C759" s="192"/>
      <c r="D759" s="192"/>
      <c r="E759" s="53" t="s">
        <v>2982</v>
      </c>
      <c r="F759" s="193" t="s">
        <v>3361</v>
      </c>
      <c r="G759" s="193" t="s">
        <v>3363</v>
      </c>
      <c r="H759" s="194">
        <v>5232</v>
      </c>
      <c r="I759" s="195"/>
      <c r="J759" s="197"/>
      <c r="K759" s="53"/>
    </row>
    <row r="760" spans="1:11" ht="65.099999999999994" customHeight="1" x14ac:dyDescent="0.25">
      <c r="A760" s="191">
        <v>751</v>
      </c>
      <c r="B760" s="192"/>
      <c r="C760" s="192"/>
      <c r="D760" s="192"/>
      <c r="E760" s="53" t="s">
        <v>2983</v>
      </c>
      <c r="F760" s="193" t="s">
        <v>3361</v>
      </c>
      <c r="G760" s="193" t="s">
        <v>3363</v>
      </c>
      <c r="H760" s="194">
        <v>5232</v>
      </c>
      <c r="I760" s="195"/>
      <c r="J760" s="197"/>
      <c r="K760" s="53"/>
    </row>
    <row r="761" spans="1:11" ht="65.099999999999994" customHeight="1" x14ac:dyDescent="0.25">
      <c r="A761" s="191">
        <v>752</v>
      </c>
      <c r="B761" s="192"/>
      <c r="C761" s="192"/>
      <c r="D761" s="192"/>
      <c r="E761" s="53" t="s">
        <v>2984</v>
      </c>
      <c r="F761" s="193" t="s">
        <v>3361</v>
      </c>
      <c r="G761" s="193" t="s">
        <v>3363</v>
      </c>
      <c r="H761" s="194">
        <v>5232</v>
      </c>
      <c r="I761" s="195"/>
      <c r="J761" s="197"/>
      <c r="K761" s="53"/>
    </row>
    <row r="762" spans="1:11" ht="65.099999999999994" customHeight="1" x14ac:dyDescent="0.25">
      <c r="A762" s="191">
        <v>753</v>
      </c>
      <c r="B762" s="192"/>
      <c r="C762" s="192"/>
      <c r="D762" s="192"/>
      <c r="E762" s="53" t="s">
        <v>2985</v>
      </c>
      <c r="F762" s="193" t="s">
        <v>3361</v>
      </c>
      <c r="G762" s="193" t="s">
        <v>3363</v>
      </c>
      <c r="H762" s="194">
        <v>5232</v>
      </c>
      <c r="I762" s="195"/>
      <c r="J762" s="197"/>
      <c r="K762" s="53"/>
    </row>
    <row r="763" spans="1:11" ht="65.099999999999994" customHeight="1" x14ac:dyDescent="0.25">
      <c r="A763" s="191">
        <v>754</v>
      </c>
      <c r="B763" s="192"/>
      <c r="C763" s="192"/>
      <c r="D763" s="192"/>
      <c r="E763" s="53" t="s">
        <v>2986</v>
      </c>
      <c r="F763" s="193" t="s">
        <v>3361</v>
      </c>
      <c r="G763" s="193" t="s">
        <v>3363</v>
      </c>
      <c r="H763" s="194">
        <v>5232</v>
      </c>
      <c r="I763" s="195"/>
      <c r="J763" s="197"/>
      <c r="K763" s="53"/>
    </row>
    <row r="764" spans="1:11" ht="65.099999999999994" customHeight="1" x14ac:dyDescent="0.25">
      <c r="A764" s="191">
        <v>755</v>
      </c>
      <c r="B764" s="192"/>
      <c r="C764" s="192"/>
      <c r="D764" s="192"/>
      <c r="E764" s="53" t="s">
        <v>2987</v>
      </c>
      <c r="F764" s="193" t="s">
        <v>3361</v>
      </c>
      <c r="G764" s="193" t="s">
        <v>3363</v>
      </c>
      <c r="H764" s="194">
        <v>5232</v>
      </c>
      <c r="I764" s="195"/>
      <c r="J764" s="197"/>
      <c r="K764" s="53"/>
    </row>
    <row r="765" spans="1:11" ht="65.099999999999994" customHeight="1" x14ac:dyDescent="0.25">
      <c r="A765" s="191">
        <v>756</v>
      </c>
      <c r="B765" s="192"/>
      <c r="C765" s="192"/>
      <c r="D765" s="192"/>
      <c r="E765" s="53" t="s">
        <v>2988</v>
      </c>
      <c r="F765" s="193" t="s">
        <v>3361</v>
      </c>
      <c r="G765" s="193" t="s">
        <v>3363</v>
      </c>
      <c r="H765" s="194">
        <v>5232</v>
      </c>
      <c r="I765" s="195"/>
      <c r="J765" s="197"/>
      <c r="K765" s="53"/>
    </row>
    <row r="766" spans="1:11" ht="65.099999999999994" customHeight="1" x14ac:dyDescent="0.25">
      <c r="A766" s="191">
        <v>757</v>
      </c>
      <c r="B766" s="192"/>
      <c r="C766" s="192"/>
      <c r="D766" s="192"/>
      <c r="E766" s="53" t="s">
        <v>2989</v>
      </c>
      <c r="F766" s="193" t="s">
        <v>3361</v>
      </c>
      <c r="G766" s="193" t="s">
        <v>3363</v>
      </c>
      <c r="H766" s="194">
        <v>5232</v>
      </c>
      <c r="I766" s="195"/>
      <c r="J766" s="197"/>
      <c r="K766" s="53"/>
    </row>
    <row r="767" spans="1:11" ht="65.099999999999994" customHeight="1" x14ac:dyDescent="0.25">
      <c r="A767" s="191">
        <v>758</v>
      </c>
      <c r="B767" s="192"/>
      <c r="C767" s="192"/>
      <c r="D767" s="192"/>
      <c r="E767" s="53" t="s">
        <v>2990</v>
      </c>
      <c r="F767" s="193" t="s">
        <v>3361</v>
      </c>
      <c r="G767" s="193" t="s">
        <v>3363</v>
      </c>
      <c r="H767" s="194">
        <v>5232</v>
      </c>
      <c r="I767" s="195"/>
      <c r="J767" s="197"/>
      <c r="K767" s="53"/>
    </row>
    <row r="768" spans="1:11" ht="65.099999999999994" customHeight="1" x14ac:dyDescent="0.25">
      <c r="A768" s="191">
        <v>759</v>
      </c>
      <c r="B768" s="192"/>
      <c r="C768" s="192"/>
      <c r="D768" s="192"/>
      <c r="E768" s="53" t="s">
        <v>2991</v>
      </c>
      <c r="F768" s="193" t="s">
        <v>3361</v>
      </c>
      <c r="G768" s="193" t="s">
        <v>3363</v>
      </c>
      <c r="H768" s="194">
        <v>5232</v>
      </c>
      <c r="I768" s="195"/>
      <c r="J768" s="197"/>
      <c r="K768" s="53"/>
    </row>
    <row r="769" spans="1:11" ht="65.099999999999994" customHeight="1" x14ac:dyDescent="0.25">
      <c r="A769" s="191">
        <v>760</v>
      </c>
      <c r="B769" s="192"/>
      <c r="C769" s="192"/>
      <c r="D769" s="192"/>
      <c r="E769" s="53" t="s">
        <v>2992</v>
      </c>
      <c r="F769" s="193" t="s">
        <v>3361</v>
      </c>
      <c r="G769" s="193" t="s">
        <v>3363</v>
      </c>
      <c r="H769" s="194">
        <v>5232</v>
      </c>
      <c r="I769" s="195"/>
      <c r="J769" s="197"/>
      <c r="K769" s="53"/>
    </row>
    <row r="770" spans="1:11" ht="65.099999999999994" customHeight="1" x14ac:dyDescent="0.25">
      <c r="A770" s="191">
        <v>761</v>
      </c>
      <c r="B770" s="192"/>
      <c r="C770" s="192"/>
      <c r="D770" s="192"/>
      <c r="E770" s="53" t="s">
        <v>2993</v>
      </c>
      <c r="F770" s="193" t="s">
        <v>3361</v>
      </c>
      <c r="G770" s="193" t="s">
        <v>3363</v>
      </c>
      <c r="H770" s="194">
        <v>5232</v>
      </c>
      <c r="I770" s="195"/>
      <c r="J770" s="197"/>
      <c r="K770" s="53"/>
    </row>
    <row r="771" spans="1:11" ht="65.099999999999994" customHeight="1" x14ac:dyDescent="0.25">
      <c r="A771" s="191">
        <v>762</v>
      </c>
      <c r="B771" s="192"/>
      <c r="C771" s="192"/>
      <c r="D771" s="192"/>
      <c r="E771" s="53" t="s">
        <v>2994</v>
      </c>
      <c r="F771" s="193" t="s">
        <v>3361</v>
      </c>
      <c r="G771" s="193" t="s">
        <v>3363</v>
      </c>
      <c r="H771" s="194">
        <v>5232</v>
      </c>
      <c r="I771" s="195"/>
      <c r="J771" s="197"/>
      <c r="K771" s="53"/>
    </row>
    <row r="772" spans="1:11" ht="65.099999999999994" customHeight="1" x14ac:dyDescent="0.25">
      <c r="A772" s="191">
        <v>763</v>
      </c>
      <c r="B772" s="192"/>
      <c r="C772" s="192"/>
      <c r="D772" s="192"/>
      <c r="E772" s="53" t="s">
        <v>2995</v>
      </c>
      <c r="F772" s="193" t="s">
        <v>3361</v>
      </c>
      <c r="G772" s="193" t="s">
        <v>3363</v>
      </c>
      <c r="H772" s="194">
        <v>5232</v>
      </c>
      <c r="I772" s="195"/>
      <c r="J772" s="197"/>
      <c r="K772" s="53"/>
    </row>
    <row r="773" spans="1:11" ht="65.099999999999994" customHeight="1" x14ac:dyDescent="0.25">
      <c r="A773" s="191">
        <v>764</v>
      </c>
      <c r="B773" s="192"/>
      <c r="C773" s="192"/>
      <c r="D773" s="192"/>
      <c r="E773" s="53" t="s">
        <v>2996</v>
      </c>
      <c r="F773" s="193" t="s">
        <v>3361</v>
      </c>
      <c r="G773" s="193" t="s">
        <v>3363</v>
      </c>
      <c r="H773" s="194">
        <v>5232</v>
      </c>
      <c r="I773" s="195"/>
      <c r="J773" s="197"/>
      <c r="K773" s="53"/>
    </row>
    <row r="774" spans="1:11" ht="65.099999999999994" customHeight="1" x14ac:dyDescent="0.25">
      <c r="A774" s="191">
        <v>765</v>
      </c>
      <c r="B774" s="192"/>
      <c r="C774" s="192"/>
      <c r="D774" s="192"/>
      <c r="E774" s="53" t="s">
        <v>2997</v>
      </c>
      <c r="F774" s="193" t="s">
        <v>3361</v>
      </c>
      <c r="G774" s="193" t="s">
        <v>3363</v>
      </c>
      <c r="H774" s="194">
        <v>5232</v>
      </c>
      <c r="I774" s="195"/>
      <c r="J774" s="197"/>
      <c r="K774" s="53"/>
    </row>
    <row r="775" spans="1:11" ht="65.099999999999994" customHeight="1" x14ac:dyDescent="0.25">
      <c r="A775" s="191">
        <v>766</v>
      </c>
      <c r="B775" s="192"/>
      <c r="C775" s="192"/>
      <c r="D775" s="192"/>
      <c r="E775" s="53" t="s">
        <v>2998</v>
      </c>
      <c r="F775" s="193" t="s">
        <v>3361</v>
      </c>
      <c r="G775" s="193" t="s">
        <v>3363</v>
      </c>
      <c r="H775" s="194">
        <v>5232</v>
      </c>
      <c r="I775" s="195"/>
      <c r="J775" s="197"/>
      <c r="K775" s="53"/>
    </row>
    <row r="776" spans="1:11" ht="65.099999999999994" customHeight="1" x14ac:dyDescent="0.25">
      <c r="A776" s="191">
        <v>767</v>
      </c>
      <c r="B776" s="192"/>
      <c r="C776" s="192"/>
      <c r="D776" s="192"/>
      <c r="E776" s="53" t="s">
        <v>2999</v>
      </c>
      <c r="F776" s="193" t="s">
        <v>3361</v>
      </c>
      <c r="G776" s="193" t="s">
        <v>3363</v>
      </c>
      <c r="H776" s="194">
        <v>5232</v>
      </c>
      <c r="I776" s="195"/>
      <c r="J776" s="197"/>
      <c r="K776" s="53"/>
    </row>
    <row r="777" spans="1:11" ht="65.099999999999994" customHeight="1" x14ac:dyDescent="0.25">
      <c r="A777" s="191">
        <v>768</v>
      </c>
      <c r="B777" s="192"/>
      <c r="C777" s="192"/>
      <c r="D777" s="192"/>
      <c r="E777" s="53" t="s">
        <v>3000</v>
      </c>
      <c r="F777" s="193" t="s">
        <v>3361</v>
      </c>
      <c r="G777" s="193" t="s">
        <v>3363</v>
      </c>
      <c r="H777" s="194">
        <v>5232</v>
      </c>
      <c r="I777" s="195"/>
      <c r="J777" s="197"/>
      <c r="K777" s="53"/>
    </row>
    <row r="778" spans="1:11" ht="65.099999999999994" customHeight="1" x14ac:dyDescent="0.25">
      <c r="A778" s="191">
        <v>769</v>
      </c>
      <c r="B778" s="192"/>
      <c r="C778" s="192"/>
      <c r="D778" s="192"/>
      <c r="E778" s="53" t="s">
        <v>3001</v>
      </c>
      <c r="F778" s="193" t="s">
        <v>3361</v>
      </c>
      <c r="G778" s="193" t="s">
        <v>3363</v>
      </c>
      <c r="H778" s="194">
        <v>5232</v>
      </c>
      <c r="I778" s="195"/>
      <c r="J778" s="197"/>
      <c r="K778" s="53"/>
    </row>
    <row r="779" spans="1:11" ht="65.099999999999994" customHeight="1" x14ac:dyDescent="0.25">
      <c r="A779" s="191">
        <v>770</v>
      </c>
      <c r="B779" s="192"/>
      <c r="C779" s="192"/>
      <c r="D779" s="192"/>
      <c r="E779" s="53" t="s">
        <v>3002</v>
      </c>
      <c r="F779" s="193" t="s">
        <v>3361</v>
      </c>
      <c r="G779" s="193" t="s">
        <v>3363</v>
      </c>
      <c r="H779" s="194">
        <v>5232</v>
      </c>
      <c r="I779" s="195"/>
      <c r="J779" s="197"/>
      <c r="K779" s="53"/>
    </row>
    <row r="780" spans="1:11" ht="65.099999999999994" customHeight="1" x14ac:dyDescent="0.25">
      <c r="A780" s="191">
        <v>771</v>
      </c>
      <c r="B780" s="192"/>
      <c r="C780" s="192"/>
      <c r="D780" s="192"/>
      <c r="E780" s="53" t="s">
        <v>3003</v>
      </c>
      <c r="F780" s="193" t="s">
        <v>3361</v>
      </c>
      <c r="G780" s="193" t="s">
        <v>3363</v>
      </c>
      <c r="H780" s="194">
        <v>5232</v>
      </c>
      <c r="I780" s="195"/>
      <c r="J780" s="197"/>
      <c r="K780" s="53"/>
    </row>
    <row r="781" spans="1:11" ht="65.099999999999994" customHeight="1" x14ac:dyDescent="0.25">
      <c r="A781" s="191">
        <v>772</v>
      </c>
      <c r="B781" s="192"/>
      <c r="C781" s="192"/>
      <c r="D781" s="192"/>
      <c r="E781" s="53" t="s">
        <v>3004</v>
      </c>
      <c r="F781" s="193" t="s">
        <v>3361</v>
      </c>
      <c r="G781" s="193" t="s">
        <v>3363</v>
      </c>
      <c r="H781" s="194">
        <v>5232</v>
      </c>
      <c r="I781" s="195"/>
      <c r="J781" s="197"/>
      <c r="K781" s="53"/>
    </row>
    <row r="782" spans="1:11" ht="65.099999999999994" customHeight="1" x14ac:dyDescent="0.25">
      <c r="A782" s="191">
        <v>773</v>
      </c>
      <c r="B782" s="192"/>
      <c r="C782" s="192"/>
      <c r="D782" s="192"/>
      <c r="E782" s="53" t="s">
        <v>3005</v>
      </c>
      <c r="F782" s="193" t="s">
        <v>3361</v>
      </c>
      <c r="G782" s="193" t="s">
        <v>3363</v>
      </c>
      <c r="H782" s="194">
        <v>5232</v>
      </c>
      <c r="I782" s="195"/>
      <c r="J782" s="197"/>
      <c r="K782" s="53"/>
    </row>
    <row r="783" spans="1:11" ht="65.099999999999994" customHeight="1" x14ac:dyDescent="0.25">
      <c r="A783" s="191">
        <v>774</v>
      </c>
      <c r="B783" s="192"/>
      <c r="C783" s="192"/>
      <c r="D783" s="192"/>
      <c r="E783" s="53" t="s">
        <v>3006</v>
      </c>
      <c r="F783" s="193" t="s">
        <v>3361</v>
      </c>
      <c r="G783" s="193" t="s">
        <v>3363</v>
      </c>
      <c r="H783" s="194">
        <v>5232</v>
      </c>
      <c r="I783" s="195"/>
      <c r="J783" s="197"/>
      <c r="K783" s="53"/>
    </row>
    <row r="784" spans="1:11" ht="65.099999999999994" customHeight="1" x14ac:dyDescent="0.25">
      <c r="A784" s="191">
        <v>775</v>
      </c>
      <c r="B784" s="192"/>
      <c r="C784" s="192"/>
      <c r="D784" s="192"/>
      <c r="E784" s="53" t="s">
        <v>3007</v>
      </c>
      <c r="F784" s="193" t="s">
        <v>3361</v>
      </c>
      <c r="G784" s="193" t="s">
        <v>3363</v>
      </c>
      <c r="H784" s="194">
        <v>5232</v>
      </c>
      <c r="I784" s="195"/>
      <c r="J784" s="197"/>
      <c r="K784" s="53"/>
    </row>
    <row r="785" spans="1:11" ht="65.099999999999994" customHeight="1" x14ac:dyDescent="0.25">
      <c r="A785" s="191">
        <v>776</v>
      </c>
      <c r="B785" s="192"/>
      <c r="C785" s="192"/>
      <c r="D785" s="192"/>
      <c r="E785" s="53" t="s">
        <v>3008</v>
      </c>
      <c r="F785" s="193" t="s">
        <v>3361</v>
      </c>
      <c r="G785" s="193" t="s">
        <v>3363</v>
      </c>
      <c r="H785" s="194">
        <v>5232</v>
      </c>
      <c r="I785" s="195"/>
      <c r="J785" s="197"/>
      <c r="K785" s="53"/>
    </row>
    <row r="786" spans="1:11" ht="65.099999999999994" customHeight="1" x14ac:dyDescent="0.25">
      <c r="A786" s="191">
        <v>777</v>
      </c>
      <c r="B786" s="192"/>
      <c r="C786" s="192"/>
      <c r="D786" s="192"/>
      <c r="E786" s="53" t="s">
        <v>3009</v>
      </c>
      <c r="F786" s="193" t="s">
        <v>3361</v>
      </c>
      <c r="G786" s="193" t="s">
        <v>3363</v>
      </c>
      <c r="H786" s="194">
        <v>5232</v>
      </c>
      <c r="I786" s="195"/>
      <c r="J786" s="197"/>
      <c r="K786" s="53"/>
    </row>
    <row r="787" spans="1:11" ht="65.099999999999994" customHeight="1" x14ac:dyDescent="0.25">
      <c r="A787" s="191">
        <v>778</v>
      </c>
      <c r="B787" s="192"/>
      <c r="C787" s="192"/>
      <c r="D787" s="192"/>
      <c r="E787" s="53" t="s">
        <v>3010</v>
      </c>
      <c r="F787" s="193" t="s">
        <v>3361</v>
      </c>
      <c r="G787" s="193" t="s">
        <v>3363</v>
      </c>
      <c r="H787" s="194">
        <v>5232</v>
      </c>
      <c r="I787" s="195"/>
      <c r="J787" s="197"/>
      <c r="K787" s="53"/>
    </row>
    <row r="788" spans="1:11" ht="65.099999999999994" customHeight="1" x14ac:dyDescent="0.25">
      <c r="A788" s="191">
        <v>779</v>
      </c>
      <c r="B788" s="192"/>
      <c r="C788" s="192"/>
      <c r="D788" s="192"/>
      <c r="E788" s="53" t="s">
        <v>3011</v>
      </c>
      <c r="F788" s="193" t="s">
        <v>3361</v>
      </c>
      <c r="G788" s="193" t="s">
        <v>3363</v>
      </c>
      <c r="H788" s="194">
        <v>5232</v>
      </c>
      <c r="I788" s="195"/>
      <c r="J788" s="197"/>
      <c r="K788" s="53"/>
    </row>
    <row r="789" spans="1:11" ht="65.099999999999994" customHeight="1" x14ac:dyDescent="0.25">
      <c r="A789" s="191">
        <v>780</v>
      </c>
      <c r="B789" s="192"/>
      <c r="C789" s="192"/>
      <c r="D789" s="192"/>
      <c r="E789" s="53" t="s">
        <v>3012</v>
      </c>
      <c r="F789" s="193" t="s">
        <v>3361</v>
      </c>
      <c r="G789" s="193" t="s">
        <v>3363</v>
      </c>
      <c r="H789" s="194">
        <v>5232</v>
      </c>
      <c r="I789" s="195"/>
      <c r="J789" s="197"/>
      <c r="K789" s="53"/>
    </row>
    <row r="790" spans="1:11" ht="65.099999999999994" customHeight="1" x14ac:dyDescent="0.25">
      <c r="A790" s="191">
        <v>781</v>
      </c>
      <c r="B790" s="192"/>
      <c r="C790" s="192"/>
      <c r="D790" s="192"/>
      <c r="E790" s="53" t="s">
        <v>3013</v>
      </c>
      <c r="F790" s="193" t="s">
        <v>3361</v>
      </c>
      <c r="G790" s="193" t="s">
        <v>3363</v>
      </c>
      <c r="H790" s="194">
        <v>5232</v>
      </c>
      <c r="I790" s="195"/>
      <c r="J790" s="197"/>
      <c r="K790" s="53"/>
    </row>
    <row r="791" spans="1:11" ht="65.099999999999994" customHeight="1" x14ac:dyDescent="0.25">
      <c r="A791" s="191">
        <v>782</v>
      </c>
      <c r="B791" s="192"/>
      <c r="C791" s="192"/>
      <c r="D791" s="192"/>
      <c r="E791" s="53" t="s">
        <v>3014</v>
      </c>
      <c r="F791" s="193" t="s">
        <v>3361</v>
      </c>
      <c r="G791" s="193" t="s">
        <v>3363</v>
      </c>
      <c r="H791" s="194">
        <v>5232</v>
      </c>
      <c r="I791" s="195"/>
      <c r="J791" s="197"/>
      <c r="K791" s="53"/>
    </row>
    <row r="792" spans="1:11" ht="65.099999999999994" customHeight="1" x14ac:dyDescent="0.25">
      <c r="A792" s="191">
        <v>783</v>
      </c>
      <c r="B792" s="192"/>
      <c r="C792" s="192"/>
      <c r="D792" s="192"/>
      <c r="E792" s="53" t="s">
        <v>3015</v>
      </c>
      <c r="F792" s="193" t="s">
        <v>3361</v>
      </c>
      <c r="G792" s="193" t="s">
        <v>3363</v>
      </c>
      <c r="H792" s="194">
        <v>5232</v>
      </c>
      <c r="I792" s="195"/>
      <c r="J792" s="197"/>
      <c r="K792" s="53"/>
    </row>
    <row r="793" spans="1:11" ht="65.099999999999994" customHeight="1" x14ac:dyDescent="0.25">
      <c r="A793" s="191">
        <v>784</v>
      </c>
      <c r="B793" s="192"/>
      <c r="C793" s="192"/>
      <c r="D793" s="192"/>
      <c r="E793" s="53" t="s">
        <v>3016</v>
      </c>
      <c r="F793" s="193" t="s">
        <v>3361</v>
      </c>
      <c r="G793" s="193" t="s">
        <v>3363</v>
      </c>
      <c r="H793" s="194">
        <v>5232</v>
      </c>
      <c r="I793" s="195"/>
      <c r="J793" s="197"/>
      <c r="K793" s="53"/>
    </row>
    <row r="794" spans="1:11" ht="65.099999999999994" customHeight="1" x14ac:dyDescent="0.25">
      <c r="A794" s="191">
        <v>785</v>
      </c>
      <c r="B794" s="192"/>
      <c r="C794" s="192"/>
      <c r="D794" s="192"/>
      <c r="E794" s="53" t="s">
        <v>3017</v>
      </c>
      <c r="F794" s="193" t="s">
        <v>3361</v>
      </c>
      <c r="G794" s="193" t="s">
        <v>3363</v>
      </c>
      <c r="H794" s="194">
        <v>5232</v>
      </c>
      <c r="I794" s="195"/>
      <c r="J794" s="197"/>
      <c r="K794" s="53"/>
    </row>
    <row r="795" spans="1:11" ht="65.099999999999994" customHeight="1" x14ac:dyDescent="0.25">
      <c r="A795" s="191">
        <v>786</v>
      </c>
      <c r="B795" s="192"/>
      <c r="C795" s="192"/>
      <c r="D795" s="192"/>
      <c r="E795" s="53" t="s">
        <v>3018</v>
      </c>
      <c r="F795" s="193" t="s">
        <v>3361</v>
      </c>
      <c r="G795" s="193" t="s">
        <v>3363</v>
      </c>
      <c r="H795" s="194">
        <v>5232</v>
      </c>
      <c r="I795" s="195"/>
      <c r="J795" s="197"/>
      <c r="K795" s="53"/>
    </row>
    <row r="796" spans="1:11" ht="65.099999999999994" customHeight="1" x14ac:dyDescent="0.25">
      <c r="A796" s="191">
        <v>787</v>
      </c>
      <c r="B796" s="192"/>
      <c r="C796" s="192"/>
      <c r="D796" s="192"/>
      <c r="E796" s="53" t="s">
        <v>3019</v>
      </c>
      <c r="F796" s="193" t="s">
        <v>3361</v>
      </c>
      <c r="G796" s="193" t="s">
        <v>3363</v>
      </c>
      <c r="H796" s="194">
        <v>5232</v>
      </c>
      <c r="I796" s="195"/>
      <c r="J796" s="197"/>
      <c r="K796" s="53"/>
    </row>
    <row r="797" spans="1:11" ht="65.099999999999994" customHeight="1" x14ac:dyDescent="0.25">
      <c r="A797" s="191">
        <v>788</v>
      </c>
      <c r="B797" s="192"/>
      <c r="C797" s="192"/>
      <c r="D797" s="192"/>
      <c r="E797" s="53" t="s">
        <v>3020</v>
      </c>
      <c r="F797" s="193" t="s">
        <v>3361</v>
      </c>
      <c r="G797" s="193" t="s">
        <v>3363</v>
      </c>
      <c r="H797" s="194">
        <v>5232</v>
      </c>
      <c r="I797" s="195"/>
      <c r="J797" s="197"/>
      <c r="K797" s="53"/>
    </row>
    <row r="798" spans="1:11" ht="65.099999999999994" customHeight="1" x14ac:dyDescent="0.25">
      <c r="A798" s="191">
        <v>789</v>
      </c>
      <c r="B798" s="192"/>
      <c r="C798" s="192"/>
      <c r="D798" s="192"/>
      <c r="E798" s="53" t="s">
        <v>3021</v>
      </c>
      <c r="F798" s="193" t="s">
        <v>3361</v>
      </c>
      <c r="G798" s="193" t="s">
        <v>3363</v>
      </c>
      <c r="H798" s="194">
        <v>5232</v>
      </c>
      <c r="I798" s="195"/>
      <c r="J798" s="197"/>
      <c r="K798" s="53"/>
    </row>
    <row r="799" spans="1:11" ht="65.099999999999994" customHeight="1" x14ac:dyDescent="0.25">
      <c r="A799" s="191">
        <v>790</v>
      </c>
      <c r="B799" s="192"/>
      <c r="C799" s="192"/>
      <c r="D799" s="192"/>
      <c r="E799" s="53" t="s">
        <v>3022</v>
      </c>
      <c r="F799" s="193" t="s">
        <v>3361</v>
      </c>
      <c r="G799" s="193" t="s">
        <v>3363</v>
      </c>
      <c r="H799" s="194">
        <v>5232</v>
      </c>
      <c r="I799" s="195"/>
      <c r="J799" s="197"/>
      <c r="K799" s="53"/>
    </row>
    <row r="800" spans="1:11" ht="65.099999999999994" customHeight="1" x14ac:dyDescent="0.25">
      <c r="A800" s="191">
        <v>791</v>
      </c>
      <c r="B800" s="192"/>
      <c r="C800" s="192"/>
      <c r="D800" s="192"/>
      <c r="E800" s="53" t="s">
        <v>3023</v>
      </c>
      <c r="F800" s="193" t="s">
        <v>3361</v>
      </c>
      <c r="G800" s="193" t="s">
        <v>3363</v>
      </c>
      <c r="H800" s="194">
        <v>5232</v>
      </c>
      <c r="I800" s="195"/>
      <c r="J800" s="197"/>
      <c r="K800" s="53"/>
    </row>
    <row r="801" spans="1:11" ht="65.099999999999994" customHeight="1" x14ac:dyDescent="0.25">
      <c r="A801" s="191">
        <v>792</v>
      </c>
      <c r="B801" s="192"/>
      <c r="C801" s="192"/>
      <c r="D801" s="192"/>
      <c r="E801" s="53" t="s">
        <v>3024</v>
      </c>
      <c r="F801" s="193" t="s">
        <v>3361</v>
      </c>
      <c r="G801" s="193" t="s">
        <v>3363</v>
      </c>
      <c r="H801" s="194">
        <v>5232</v>
      </c>
      <c r="I801" s="195"/>
      <c r="J801" s="197"/>
      <c r="K801" s="53"/>
    </row>
    <row r="802" spans="1:11" ht="65.099999999999994" customHeight="1" x14ac:dyDescent="0.25">
      <c r="A802" s="191">
        <v>793</v>
      </c>
      <c r="B802" s="192"/>
      <c r="C802" s="192"/>
      <c r="D802" s="192"/>
      <c r="E802" s="53" t="s">
        <v>3025</v>
      </c>
      <c r="F802" s="193" t="s">
        <v>3361</v>
      </c>
      <c r="G802" s="193" t="s">
        <v>3363</v>
      </c>
      <c r="H802" s="194">
        <v>5232</v>
      </c>
      <c r="I802" s="195"/>
      <c r="J802" s="197"/>
      <c r="K802" s="53"/>
    </row>
    <row r="803" spans="1:11" ht="65.099999999999994" customHeight="1" x14ac:dyDescent="0.25">
      <c r="A803" s="191">
        <v>794</v>
      </c>
      <c r="B803" s="192"/>
      <c r="C803" s="192"/>
      <c r="D803" s="192"/>
      <c r="E803" s="53" t="s">
        <v>3026</v>
      </c>
      <c r="F803" s="193" t="s">
        <v>3361</v>
      </c>
      <c r="G803" s="193" t="s">
        <v>3363</v>
      </c>
      <c r="H803" s="194">
        <v>5232</v>
      </c>
      <c r="I803" s="195"/>
      <c r="J803" s="197"/>
      <c r="K803" s="53"/>
    </row>
    <row r="804" spans="1:11" ht="65.099999999999994" customHeight="1" x14ac:dyDescent="0.25">
      <c r="A804" s="191">
        <v>795</v>
      </c>
      <c r="B804" s="192"/>
      <c r="C804" s="192"/>
      <c r="D804" s="192"/>
      <c r="E804" s="53" t="s">
        <v>3027</v>
      </c>
      <c r="F804" s="193" t="s">
        <v>3361</v>
      </c>
      <c r="G804" s="193" t="s">
        <v>3363</v>
      </c>
      <c r="H804" s="194">
        <v>5232</v>
      </c>
      <c r="I804" s="195"/>
      <c r="J804" s="197"/>
      <c r="K804" s="53"/>
    </row>
    <row r="805" spans="1:11" ht="65.099999999999994" customHeight="1" x14ac:dyDescent="0.25">
      <c r="A805" s="191">
        <v>796</v>
      </c>
      <c r="B805" s="192"/>
      <c r="C805" s="192"/>
      <c r="D805" s="192"/>
      <c r="E805" s="53" t="s">
        <v>3028</v>
      </c>
      <c r="F805" s="193" t="s">
        <v>3361</v>
      </c>
      <c r="G805" s="193" t="s">
        <v>3363</v>
      </c>
      <c r="H805" s="194">
        <v>5232</v>
      </c>
      <c r="I805" s="195"/>
      <c r="J805" s="197"/>
      <c r="K805" s="53"/>
    </row>
    <row r="806" spans="1:11" ht="65.099999999999994" customHeight="1" x14ac:dyDescent="0.25">
      <c r="A806" s="191">
        <v>797</v>
      </c>
      <c r="B806" s="192"/>
      <c r="C806" s="192"/>
      <c r="D806" s="192"/>
      <c r="E806" s="53" t="s">
        <v>3029</v>
      </c>
      <c r="F806" s="193" t="s">
        <v>3361</v>
      </c>
      <c r="G806" s="193" t="s">
        <v>3363</v>
      </c>
      <c r="H806" s="194">
        <v>5232</v>
      </c>
      <c r="I806" s="195"/>
      <c r="J806" s="197"/>
      <c r="K806" s="53"/>
    </row>
    <row r="807" spans="1:11" ht="65.099999999999994" customHeight="1" x14ac:dyDescent="0.25">
      <c r="A807" s="191">
        <v>798</v>
      </c>
      <c r="B807" s="192"/>
      <c r="C807" s="192"/>
      <c r="D807" s="192"/>
      <c r="E807" s="53" t="s">
        <v>3030</v>
      </c>
      <c r="F807" s="193" t="s">
        <v>3361</v>
      </c>
      <c r="G807" s="193" t="s">
        <v>3363</v>
      </c>
      <c r="H807" s="194">
        <v>5232</v>
      </c>
      <c r="I807" s="195"/>
      <c r="J807" s="197"/>
      <c r="K807" s="53"/>
    </row>
    <row r="808" spans="1:11" ht="65.099999999999994" customHeight="1" x14ac:dyDescent="0.25">
      <c r="A808" s="191">
        <v>799</v>
      </c>
      <c r="B808" s="192"/>
      <c r="C808" s="192"/>
      <c r="D808" s="192"/>
      <c r="E808" s="53" t="s">
        <v>3031</v>
      </c>
      <c r="F808" s="193" t="s">
        <v>3361</v>
      </c>
      <c r="G808" s="193" t="s">
        <v>3363</v>
      </c>
      <c r="H808" s="194">
        <v>5232</v>
      </c>
      <c r="I808" s="195"/>
      <c r="J808" s="197"/>
      <c r="K808" s="53"/>
    </row>
    <row r="809" spans="1:11" ht="65.099999999999994" customHeight="1" x14ac:dyDescent="0.25">
      <c r="A809" s="191">
        <v>800</v>
      </c>
      <c r="B809" s="192"/>
      <c r="C809" s="192"/>
      <c r="D809" s="192"/>
      <c r="E809" s="53" t="s">
        <v>3032</v>
      </c>
      <c r="F809" s="193" t="s">
        <v>3361</v>
      </c>
      <c r="G809" s="193" t="s">
        <v>3363</v>
      </c>
      <c r="H809" s="194">
        <v>5232</v>
      </c>
      <c r="I809" s="195"/>
      <c r="J809" s="197"/>
      <c r="K809" s="53"/>
    </row>
    <row r="810" spans="1:11" ht="65.099999999999994" customHeight="1" x14ac:dyDescent="0.25">
      <c r="A810" s="191">
        <v>801</v>
      </c>
      <c r="B810" s="192"/>
      <c r="C810" s="192"/>
      <c r="D810" s="192"/>
      <c r="E810" s="53" t="s">
        <v>3033</v>
      </c>
      <c r="F810" s="193" t="s">
        <v>3361</v>
      </c>
      <c r="G810" s="193" t="s">
        <v>3363</v>
      </c>
      <c r="H810" s="194">
        <v>5232</v>
      </c>
      <c r="I810" s="195"/>
      <c r="J810" s="197"/>
      <c r="K810" s="53"/>
    </row>
    <row r="811" spans="1:11" ht="65.099999999999994" customHeight="1" x14ac:dyDescent="0.25">
      <c r="A811" s="191">
        <v>802</v>
      </c>
      <c r="B811" s="192"/>
      <c r="C811" s="192"/>
      <c r="D811" s="192"/>
      <c r="E811" s="53" t="s">
        <v>3034</v>
      </c>
      <c r="F811" s="193" t="s">
        <v>3361</v>
      </c>
      <c r="G811" s="193" t="s">
        <v>3363</v>
      </c>
      <c r="H811" s="194">
        <v>5232</v>
      </c>
      <c r="I811" s="195"/>
      <c r="J811" s="197"/>
      <c r="K811" s="53"/>
    </row>
    <row r="812" spans="1:11" ht="65.099999999999994" customHeight="1" x14ac:dyDescent="0.25">
      <c r="A812" s="191">
        <v>803</v>
      </c>
      <c r="B812" s="192"/>
      <c r="C812" s="192"/>
      <c r="D812" s="192"/>
      <c r="E812" s="53" t="s">
        <v>3035</v>
      </c>
      <c r="F812" s="193" t="s">
        <v>3361</v>
      </c>
      <c r="G812" s="193" t="s">
        <v>3363</v>
      </c>
      <c r="H812" s="194">
        <v>5232</v>
      </c>
      <c r="I812" s="195"/>
      <c r="J812" s="197"/>
      <c r="K812" s="53"/>
    </row>
    <row r="813" spans="1:11" ht="65.099999999999994" customHeight="1" x14ac:dyDescent="0.25">
      <c r="A813" s="191">
        <v>804</v>
      </c>
      <c r="B813" s="192"/>
      <c r="C813" s="192"/>
      <c r="D813" s="192"/>
      <c r="E813" s="53" t="s">
        <v>3036</v>
      </c>
      <c r="F813" s="193" t="s">
        <v>3361</v>
      </c>
      <c r="G813" s="193" t="s">
        <v>3363</v>
      </c>
      <c r="H813" s="194">
        <v>5232</v>
      </c>
      <c r="I813" s="195"/>
      <c r="J813" s="197"/>
      <c r="K813" s="53"/>
    </row>
    <row r="814" spans="1:11" ht="65.099999999999994" customHeight="1" x14ac:dyDescent="0.25">
      <c r="A814" s="191">
        <v>805</v>
      </c>
      <c r="B814" s="192"/>
      <c r="C814" s="192"/>
      <c r="D814" s="192"/>
      <c r="E814" s="53" t="s">
        <v>3037</v>
      </c>
      <c r="F814" s="193" t="s">
        <v>3361</v>
      </c>
      <c r="G814" s="193" t="s">
        <v>3363</v>
      </c>
      <c r="H814" s="194">
        <v>5232</v>
      </c>
      <c r="I814" s="195"/>
      <c r="J814" s="197"/>
      <c r="K814" s="53"/>
    </row>
    <row r="815" spans="1:11" ht="65.099999999999994" customHeight="1" x14ac:dyDescent="0.25">
      <c r="A815" s="191">
        <v>806</v>
      </c>
      <c r="B815" s="192"/>
      <c r="C815" s="192"/>
      <c r="D815" s="192"/>
      <c r="E815" s="53" t="s">
        <v>3038</v>
      </c>
      <c r="F815" s="193" t="s">
        <v>3361</v>
      </c>
      <c r="G815" s="193" t="s">
        <v>3363</v>
      </c>
      <c r="H815" s="194">
        <v>5232</v>
      </c>
      <c r="I815" s="195"/>
      <c r="J815" s="197"/>
      <c r="K815" s="53"/>
    </row>
    <row r="816" spans="1:11" ht="65.099999999999994" customHeight="1" x14ac:dyDescent="0.25">
      <c r="A816" s="191">
        <v>807</v>
      </c>
      <c r="B816" s="192"/>
      <c r="C816" s="192"/>
      <c r="D816" s="192"/>
      <c r="E816" s="53" t="s">
        <v>3039</v>
      </c>
      <c r="F816" s="193" t="s">
        <v>3361</v>
      </c>
      <c r="G816" s="193" t="s">
        <v>3363</v>
      </c>
      <c r="H816" s="194">
        <v>5232</v>
      </c>
      <c r="I816" s="195"/>
      <c r="J816" s="197"/>
      <c r="K816" s="53"/>
    </row>
    <row r="817" spans="1:11" ht="65.099999999999994" customHeight="1" x14ac:dyDescent="0.25">
      <c r="A817" s="191">
        <v>808</v>
      </c>
      <c r="B817" s="192"/>
      <c r="C817" s="192"/>
      <c r="D817" s="192"/>
      <c r="E817" s="53" t="s">
        <v>3040</v>
      </c>
      <c r="F817" s="193" t="s">
        <v>3361</v>
      </c>
      <c r="G817" s="193" t="s">
        <v>3363</v>
      </c>
      <c r="H817" s="194">
        <v>5232</v>
      </c>
      <c r="I817" s="195"/>
      <c r="J817" s="197"/>
      <c r="K817" s="53"/>
    </row>
    <row r="818" spans="1:11" ht="65.099999999999994" customHeight="1" x14ac:dyDescent="0.25">
      <c r="A818" s="191">
        <v>809</v>
      </c>
      <c r="B818" s="192"/>
      <c r="C818" s="192"/>
      <c r="D818" s="192"/>
      <c r="E818" s="53" t="s">
        <v>3041</v>
      </c>
      <c r="F818" s="193" t="s">
        <v>3361</v>
      </c>
      <c r="G818" s="193" t="s">
        <v>3363</v>
      </c>
      <c r="H818" s="194">
        <v>5232</v>
      </c>
      <c r="I818" s="195"/>
      <c r="J818" s="197"/>
      <c r="K818" s="53"/>
    </row>
    <row r="819" spans="1:11" ht="65.099999999999994" customHeight="1" x14ac:dyDescent="0.25">
      <c r="A819" s="191">
        <v>810</v>
      </c>
      <c r="B819" s="192"/>
      <c r="C819" s="192"/>
      <c r="D819" s="192"/>
      <c r="E819" s="53" t="s">
        <v>3042</v>
      </c>
      <c r="F819" s="193" t="s">
        <v>3361</v>
      </c>
      <c r="G819" s="193" t="s">
        <v>3363</v>
      </c>
      <c r="H819" s="194">
        <v>5232</v>
      </c>
      <c r="I819" s="195"/>
      <c r="J819" s="197"/>
      <c r="K819" s="53"/>
    </row>
    <row r="820" spans="1:11" ht="65.099999999999994" customHeight="1" x14ac:dyDescent="0.25">
      <c r="A820" s="191">
        <v>811</v>
      </c>
      <c r="B820" s="192"/>
      <c r="C820" s="192"/>
      <c r="D820" s="192"/>
      <c r="E820" s="53" t="s">
        <v>3043</v>
      </c>
      <c r="F820" s="193" t="s">
        <v>3361</v>
      </c>
      <c r="G820" s="193" t="s">
        <v>3363</v>
      </c>
      <c r="H820" s="194">
        <v>5232</v>
      </c>
      <c r="I820" s="195"/>
      <c r="J820" s="197"/>
      <c r="K820" s="53"/>
    </row>
    <row r="821" spans="1:11" ht="65.099999999999994" customHeight="1" x14ac:dyDescent="0.25">
      <c r="A821" s="191">
        <v>812</v>
      </c>
      <c r="B821" s="192"/>
      <c r="C821" s="192"/>
      <c r="D821" s="192"/>
      <c r="E821" s="53" t="s">
        <v>3044</v>
      </c>
      <c r="F821" s="193" t="s">
        <v>3361</v>
      </c>
      <c r="G821" s="193" t="s">
        <v>3363</v>
      </c>
      <c r="H821" s="194">
        <v>5232</v>
      </c>
      <c r="I821" s="195"/>
      <c r="J821" s="197"/>
      <c r="K821" s="53"/>
    </row>
    <row r="822" spans="1:11" ht="65.099999999999994" customHeight="1" x14ac:dyDescent="0.25">
      <c r="A822" s="191">
        <v>813</v>
      </c>
      <c r="B822" s="192"/>
      <c r="C822" s="192"/>
      <c r="D822" s="192"/>
      <c r="E822" s="53" t="s">
        <v>3045</v>
      </c>
      <c r="F822" s="193" t="s">
        <v>3361</v>
      </c>
      <c r="G822" s="193" t="s">
        <v>3363</v>
      </c>
      <c r="H822" s="194">
        <v>5232</v>
      </c>
      <c r="I822" s="195"/>
      <c r="J822" s="197"/>
      <c r="K822" s="53"/>
    </row>
    <row r="823" spans="1:11" ht="65.099999999999994" customHeight="1" x14ac:dyDescent="0.25">
      <c r="A823" s="191">
        <v>814</v>
      </c>
      <c r="B823" s="192"/>
      <c r="C823" s="192"/>
      <c r="D823" s="192"/>
      <c r="E823" s="53" t="s">
        <v>3046</v>
      </c>
      <c r="F823" s="193" t="s">
        <v>3361</v>
      </c>
      <c r="G823" s="193" t="s">
        <v>3363</v>
      </c>
      <c r="H823" s="194">
        <v>5232</v>
      </c>
      <c r="I823" s="195"/>
      <c r="J823" s="197"/>
      <c r="K823" s="53"/>
    </row>
    <row r="824" spans="1:11" ht="65.099999999999994" customHeight="1" x14ac:dyDescent="0.25">
      <c r="A824" s="191">
        <v>815</v>
      </c>
      <c r="B824" s="192"/>
      <c r="C824" s="192"/>
      <c r="D824" s="192"/>
      <c r="E824" s="53" t="s">
        <v>3047</v>
      </c>
      <c r="F824" s="193" t="s">
        <v>3361</v>
      </c>
      <c r="G824" s="193" t="s">
        <v>3363</v>
      </c>
      <c r="H824" s="194">
        <v>5232</v>
      </c>
      <c r="I824" s="195"/>
      <c r="J824" s="197"/>
      <c r="K824" s="53"/>
    </row>
    <row r="825" spans="1:11" ht="65.099999999999994" customHeight="1" x14ac:dyDescent="0.25">
      <c r="A825" s="191">
        <v>816</v>
      </c>
      <c r="B825" s="192"/>
      <c r="C825" s="192"/>
      <c r="D825" s="192"/>
      <c r="E825" s="53" t="s">
        <v>3048</v>
      </c>
      <c r="F825" s="193" t="s">
        <v>3361</v>
      </c>
      <c r="G825" s="193" t="s">
        <v>3363</v>
      </c>
      <c r="H825" s="194">
        <v>5232</v>
      </c>
      <c r="I825" s="195"/>
      <c r="J825" s="197"/>
      <c r="K825" s="53"/>
    </row>
    <row r="826" spans="1:11" ht="65.099999999999994" customHeight="1" x14ac:dyDescent="0.25">
      <c r="A826" s="191">
        <v>817</v>
      </c>
      <c r="B826" s="192"/>
      <c r="C826" s="192"/>
      <c r="D826" s="192"/>
      <c r="E826" s="53" t="s">
        <v>3049</v>
      </c>
      <c r="F826" s="193" t="s">
        <v>3361</v>
      </c>
      <c r="G826" s="193" t="s">
        <v>3363</v>
      </c>
      <c r="H826" s="194">
        <v>5232</v>
      </c>
      <c r="I826" s="195"/>
      <c r="J826" s="197"/>
      <c r="K826" s="53"/>
    </row>
    <row r="827" spans="1:11" ht="65.099999999999994" customHeight="1" x14ac:dyDescent="0.25">
      <c r="A827" s="191">
        <v>818</v>
      </c>
      <c r="B827" s="192"/>
      <c r="C827" s="192"/>
      <c r="D827" s="192"/>
      <c r="E827" s="53" t="s">
        <v>3050</v>
      </c>
      <c r="F827" s="193" t="s">
        <v>3361</v>
      </c>
      <c r="G827" s="193" t="s">
        <v>3363</v>
      </c>
      <c r="H827" s="194">
        <v>5232</v>
      </c>
      <c r="I827" s="195"/>
      <c r="J827" s="197"/>
      <c r="K827" s="53"/>
    </row>
    <row r="828" spans="1:11" ht="65.099999999999994" customHeight="1" x14ac:dyDescent="0.25">
      <c r="A828" s="191">
        <v>819</v>
      </c>
      <c r="B828" s="192"/>
      <c r="C828" s="192"/>
      <c r="D828" s="192"/>
      <c r="E828" s="53" t="s">
        <v>3051</v>
      </c>
      <c r="F828" s="193" t="s">
        <v>3361</v>
      </c>
      <c r="G828" s="193" t="s">
        <v>3363</v>
      </c>
      <c r="H828" s="194">
        <v>5232</v>
      </c>
      <c r="I828" s="195"/>
      <c r="J828" s="197"/>
      <c r="K828" s="53"/>
    </row>
    <row r="829" spans="1:11" ht="65.099999999999994" customHeight="1" x14ac:dyDescent="0.25">
      <c r="A829" s="191">
        <v>820</v>
      </c>
      <c r="B829" s="192"/>
      <c r="C829" s="192"/>
      <c r="D829" s="192"/>
      <c r="E829" s="53" t="s">
        <v>3052</v>
      </c>
      <c r="F829" s="193" t="s">
        <v>3361</v>
      </c>
      <c r="G829" s="193" t="s">
        <v>3363</v>
      </c>
      <c r="H829" s="194">
        <v>5232</v>
      </c>
      <c r="I829" s="195"/>
      <c r="J829" s="197"/>
      <c r="K829" s="53"/>
    </row>
    <row r="830" spans="1:11" ht="65.099999999999994" customHeight="1" x14ac:dyDescent="0.25">
      <c r="A830" s="191">
        <v>821</v>
      </c>
      <c r="B830" s="192"/>
      <c r="C830" s="192"/>
      <c r="D830" s="192"/>
      <c r="E830" s="53" t="s">
        <v>3053</v>
      </c>
      <c r="F830" s="193" t="s">
        <v>3361</v>
      </c>
      <c r="G830" s="193" t="s">
        <v>3363</v>
      </c>
      <c r="H830" s="194">
        <v>5232</v>
      </c>
      <c r="I830" s="195"/>
      <c r="J830" s="197"/>
      <c r="K830" s="53"/>
    </row>
    <row r="831" spans="1:11" ht="65.099999999999994" customHeight="1" x14ac:dyDescent="0.25">
      <c r="A831" s="191">
        <v>822</v>
      </c>
      <c r="B831" s="192"/>
      <c r="C831" s="192"/>
      <c r="D831" s="192"/>
      <c r="E831" s="53" t="s">
        <v>3054</v>
      </c>
      <c r="F831" s="193" t="s">
        <v>3361</v>
      </c>
      <c r="G831" s="193" t="s">
        <v>3363</v>
      </c>
      <c r="H831" s="194">
        <v>5232</v>
      </c>
      <c r="I831" s="195"/>
      <c r="J831" s="197"/>
      <c r="K831" s="53"/>
    </row>
    <row r="832" spans="1:11" ht="65.099999999999994" customHeight="1" x14ac:dyDescent="0.25">
      <c r="A832" s="191">
        <v>823</v>
      </c>
      <c r="B832" s="192"/>
      <c r="C832" s="192"/>
      <c r="D832" s="192"/>
      <c r="E832" s="53" t="s">
        <v>3055</v>
      </c>
      <c r="F832" s="193" t="s">
        <v>3361</v>
      </c>
      <c r="G832" s="193" t="s">
        <v>3363</v>
      </c>
      <c r="H832" s="194">
        <v>5232</v>
      </c>
      <c r="I832" s="195"/>
      <c r="J832" s="197"/>
      <c r="K832" s="53"/>
    </row>
    <row r="833" spans="1:11" ht="65.099999999999994" customHeight="1" x14ac:dyDescent="0.25">
      <c r="A833" s="191">
        <v>824</v>
      </c>
      <c r="B833" s="192"/>
      <c r="C833" s="192"/>
      <c r="D833" s="192"/>
      <c r="E833" s="53" t="s">
        <v>3056</v>
      </c>
      <c r="F833" s="193" t="s">
        <v>3361</v>
      </c>
      <c r="G833" s="193" t="s">
        <v>3363</v>
      </c>
      <c r="H833" s="194">
        <v>5232</v>
      </c>
      <c r="I833" s="195"/>
      <c r="J833" s="197"/>
      <c r="K833" s="53"/>
    </row>
    <row r="834" spans="1:11" ht="65.099999999999994" customHeight="1" x14ac:dyDescent="0.25">
      <c r="A834" s="191">
        <v>825</v>
      </c>
      <c r="B834" s="192"/>
      <c r="C834" s="192"/>
      <c r="D834" s="192"/>
      <c r="E834" s="53" t="s">
        <v>3057</v>
      </c>
      <c r="F834" s="193" t="s">
        <v>3361</v>
      </c>
      <c r="G834" s="193" t="s">
        <v>3363</v>
      </c>
      <c r="H834" s="194">
        <v>5232</v>
      </c>
      <c r="I834" s="195"/>
      <c r="J834" s="197"/>
      <c r="K834" s="53"/>
    </row>
    <row r="835" spans="1:11" ht="65.099999999999994" customHeight="1" x14ac:dyDescent="0.25">
      <c r="A835" s="191">
        <v>826</v>
      </c>
      <c r="B835" s="192"/>
      <c r="C835" s="192"/>
      <c r="D835" s="192"/>
      <c r="E835" s="53" t="s">
        <v>3058</v>
      </c>
      <c r="F835" s="193" t="s">
        <v>3361</v>
      </c>
      <c r="G835" s="193" t="s">
        <v>3363</v>
      </c>
      <c r="H835" s="194">
        <v>5232</v>
      </c>
      <c r="I835" s="195"/>
      <c r="J835" s="197"/>
      <c r="K835" s="53"/>
    </row>
    <row r="836" spans="1:11" ht="65.099999999999994" customHeight="1" x14ac:dyDescent="0.25">
      <c r="A836" s="191">
        <v>827</v>
      </c>
      <c r="B836" s="192"/>
      <c r="C836" s="192"/>
      <c r="D836" s="192"/>
      <c r="E836" s="53" t="s">
        <v>3059</v>
      </c>
      <c r="F836" s="193" t="s">
        <v>3361</v>
      </c>
      <c r="G836" s="193" t="s">
        <v>3363</v>
      </c>
      <c r="H836" s="194">
        <v>5232</v>
      </c>
      <c r="I836" s="195"/>
      <c r="J836" s="197"/>
      <c r="K836" s="53"/>
    </row>
    <row r="837" spans="1:11" ht="65.099999999999994" customHeight="1" x14ac:dyDescent="0.25">
      <c r="A837" s="191">
        <v>828</v>
      </c>
      <c r="B837" s="192"/>
      <c r="C837" s="192"/>
      <c r="D837" s="192"/>
      <c r="E837" s="53" t="s">
        <v>3060</v>
      </c>
      <c r="F837" s="193" t="s">
        <v>3361</v>
      </c>
      <c r="G837" s="193" t="s">
        <v>3363</v>
      </c>
      <c r="H837" s="194">
        <v>5232</v>
      </c>
      <c r="I837" s="195"/>
      <c r="J837" s="197"/>
      <c r="K837" s="53"/>
    </row>
    <row r="838" spans="1:11" ht="65.099999999999994" customHeight="1" x14ac:dyDescent="0.25">
      <c r="A838" s="191">
        <v>829</v>
      </c>
      <c r="B838" s="192"/>
      <c r="C838" s="192"/>
      <c r="D838" s="192"/>
      <c r="E838" s="53" t="s">
        <v>3061</v>
      </c>
      <c r="F838" s="193" t="s">
        <v>3361</v>
      </c>
      <c r="G838" s="193" t="s">
        <v>3363</v>
      </c>
      <c r="H838" s="194">
        <v>5232</v>
      </c>
      <c r="I838" s="195"/>
      <c r="J838" s="197"/>
      <c r="K838" s="53"/>
    </row>
    <row r="839" spans="1:11" ht="65.099999999999994" customHeight="1" x14ac:dyDescent="0.25">
      <c r="A839" s="191">
        <v>830</v>
      </c>
      <c r="B839" s="192"/>
      <c r="C839" s="192"/>
      <c r="D839" s="192"/>
      <c r="E839" s="53" t="s">
        <v>3062</v>
      </c>
      <c r="F839" s="193" t="s">
        <v>3361</v>
      </c>
      <c r="G839" s="193" t="s">
        <v>3363</v>
      </c>
      <c r="H839" s="194">
        <v>5232</v>
      </c>
      <c r="I839" s="195"/>
      <c r="J839" s="197"/>
      <c r="K839" s="53"/>
    </row>
    <row r="840" spans="1:11" ht="65.099999999999994" customHeight="1" x14ac:dyDescent="0.25">
      <c r="A840" s="191">
        <v>831</v>
      </c>
      <c r="B840" s="192"/>
      <c r="C840" s="192"/>
      <c r="D840" s="192"/>
      <c r="E840" s="53" t="s">
        <v>3063</v>
      </c>
      <c r="F840" s="193" t="s">
        <v>3361</v>
      </c>
      <c r="G840" s="193" t="s">
        <v>3363</v>
      </c>
      <c r="H840" s="194">
        <v>5232</v>
      </c>
      <c r="I840" s="195"/>
      <c r="J840" s="197"/>
      <c r="K840" s="53"/>
    </row>
    <row r="841" spans="1:11" ht="65.099999999999994" customHeight="1" x14ac:dyDescent="0.25">
      <c r="A841" s="191">
        <v>832</v>
      </c>
      <c r="B841" s="192"/>
      <c r="C841" s="192"/>
      <c r="D841" s="192"/>
      <c r="E841" s="53" t="s">
        <v>3064</v>
      </c>
      <c r="F841" s="193" t="s">
        <v>3361</v>
      </c>
      <c r="G841" s="193" t="s">
        <v>3363</v>
      </c>
      <c r="H841" s="194">
        <v>5232</v>
      </c>
      <c r="I841" s="195"/>
      <c r="J841" s="197"/>
      <c r="K841" s="53"/>
    </row>
    <row r="842" spans="1:11" ht="65.099999999999994" customHeight="1" x14ac:dyDescent="0.25">
      <c r="A842" s="191">
        <v>833</v>
      </c>
      <c r="B842" s="192"/>
      <c r="C842" s="192"/>
      <c r="D842" s="192"/>
      <c r="E842" s="53" t="s">
        <v>3065</v>
      </c>
      <c r="F842" s="193" t="s">
        <v>3361</v>
      </c>
      <c r="G842" s="193" t="s">
        <v>3363</v>
      </c>
      <c r="H842" s="194">
        <v>5232</v>
      </c>
      <c r="I842" s="195"/>
      <c r="J842" s="197"/>
      <c r="K842" s="53"/>
    </row>
    <row r="843" spans="1:11" ht="65.099999999999994" customHeight="1" x14ac:dyDescent="0.25">
      <c r="A843" s="191">
        <v>834</v>
      </c>
      <c r="B843" s="192"/>
      <c r="C843" s="192"/>
      <c r="D843" s="192"/>
      <c r="E843" s="53" t="s">
        <v>3066</v>
      </c>
      <c r="F843" s="193" t="s">
        <v>3361</v>
      </c>
      <c r="G843" s="193" t="s">
        <v>3363</v>
      </c>
      <c r="H843" s="194">
        <v>5232</v>
      </c>
      <c r="I843" s="195"/>
      <c r="J843" s="197"/>
      <c r="K843" s="53"/>
    </row>
    <row r="844" spans="1:11" ht="65.099999999999994" customHeight="1" x14ac:dyDescent="0.25">
      <c r="A844" s="191">
        <v>835</v>
      </c>
      <c r="B844" s="192"/>
      <c r="C844" s="192"/>
      <c r="D844" s="192"/>
      <c r="E844" s="53" t="s">
        <v>3067</v>
      </c>
      <c r="F844" s="193" t="s">
        <v>3361</v>
      </c>
      <c r="G844" s="193" t="s">
        <v>3363</v>
      </c>
      <c r="H844" s="194">
        <v>5232</v>
      </c>
      <c r="I844" s="195"/>
      <c r="J844" s="197"/>
      <c r="K844" s="53"/>
    </row>
    <row r="845" spans="1:11" ht="65.099999999999994" customHeight="1" x14ac:dyDescent="0.25">
      <c r="A845" s="191">
        <v>836</v>
      </c>
      <c r="B845" s="192"/>
      <c r="C845" s="192"/>
      <c r="D845" s="192"/>
      <c r="E845" s="53" t="s">
        <v>3068</v>
      </c>
      <c r="F845" s="193" t="s">
        <v>3361</v>
      </c>
      <c r="G845" s="193" t="s">
        <v>3363</v>
      </c>
      <c r="H845" s="194">
        <v>5232</v>
      </c>
      <c r="I845" s="195"/>
      <c r="J845" s="197"/>
      <c r="K845" s="53"/>
    </row>
    <row r="846" spans="1:11" ht="65.099999999999994" customHeight="1" x14ac:dyDescent="0.25">
      <c r="A846" s="191">
        <v>837</v>
      </c>
      <c r="B846" s="192"/>
      <c r="C846" s="192"/>
      <c r="D846" s="192"/>
      <c r="E846" s="53" t="s">
        <v>3069</v>
      </c>
      <c r="F846" s="193" t="s">
        <v>3361</v>
      </c>
      <c r="G846" s="193" t="s">
        <v>3363</v>
      </c>
      <c r="H846" s="194">
        <v>5232</v>
      </c>
      <c r="I846" s="195"/>
      <c r="J846" s="197"/>
      <c r="K846" s="53"/>
    </row>
    <row r="847" spans="1:11" ht="65.099999999999994" customHeight="1" x14ac:dyDescent="0.25">
      <c r="A847" s="191">
        <v>838</v>
      </c>
      <c r="B847" s="192"/>
      <c r="C847" s="192"/>
      <c r="D847" s="192"/>
      <c r="E847" s="53" t="s">
        <v>3070</v>
      </c>
      <c r="F847" s="193" t="s">
        <v>3361</v>
      </c>
      <c r="G847" s="193" t="s">
        <v>3363</v>
      </c>
      <c r="H847" s="194">
        <v>5232</v>
      </c>
      <c r="I847" s="195"/>
      <c r="J847" s="197"/>
      <c r="K847" s="53"/>
    </row>
    <row r="848" spans="1:11" ht="65.099999999999994" customHeight="1" x14ac:dyDescent="0.25">
      <c r="A848" s="191">
        <v>839</v>
      </c>
      <c r="B848" s="192"/>
      <c r="C848" s="192"/>
      <c r="D848" s="192"/>
      <c r="E848" s="53" t="s">
        <v>3071</v>
      </c>
      <c r="F848" s="193" t="s">
        <v>3361</v>
      </c>
      <c r="G848" s="193" t="s">
        <v>3363</v>
      </c>
      <c r="H848" s="194">
        <v>5232</v>
      </c>
      <c r="I848" s="195"/>
      <c r="J848" s="197"/>
      <c r="K848" s="53"/>
    </row>
    <row r="849" spans="1:11" ht="65.099999999999994" customHeight="1" x14ac:dyDescent="0.25">
      <c r="A849" s="191">
        <v>840</v>
      </c>
      <c r="B849" s="192"/>
      <c r="C849" s="192"/>
      <c r="D849" s="192"/>
      <c r="E849" s="53" t="s">
        <v>3072</v>
      </c>
      <c r="F849" s="193" t="s">
        <v>3361</v>
      </c>
      <c r="G849" s="193" t="s">
        <v>3363</v>
      </c>
      <c r="H849" s="194">
        <v>5232</v>
      </c>
      <c r="I849" s="195"/>
      <c r="J849" s="197"/>
      <c r="K849" s="53"/>
    </row>
    <row r="850" spans="1:11" ht="65.099999999999994" customHeight="1" x14ac:dyDescent="0.25">
      <c r="A850" s="191">
        <v>841</v>
      </c>
      <c r="B850" s="192"/>
      <c r="C850" s="192"/>
      <c r="D850" s="192"/>
      <c r="E850" s="53" t="s">
        <v>3073</v>
      </c>
      <c r="F850" s="193" t="s">
        <v>3361</v>
      </c>
      <c r="G850" s="193" t="s">
        <v>3363</v>
      </c>
      <c r="H850" s="194">
        <v>5232</v>
      </c>
      <c r="I850" s="195"/>
      <c r="J850" s="197"/>
      <c r="K850" s="53"/>
    </row>
    <row r="851" spans="1:11" ht="65.099999999999994" customHeight="1" x14ac:dyDescent="0.25">
      <c r="A851" s="191">
        <v>842</v>
      </c>
      <c r="B851" s="192"/>
      <c r="C851" s="192"/>
      <c r="D851" s="192"/>
      <c r="E851" s="53" t="s">
        <v>3074</v>
      </c>
      <c r="F851" s="193" t="s">
        <v>3361</v>
      </c>
      <c r="G851" s="193" t="s">
        <v>3363</v>
      </c>
      <c r="H851" s="194">
        <v>5232</v>
      </c>
      <c r="I851" s="195"/>
      <c r="J851" s="197"/>
      <c r="K851" s="53"/>
    </row>
    <row r="852" spans="1:11" ht="65.099999999999994" customHeight="1" x14ac:dyDescent="0.25">
      <c r="A852" s="191">
        <v>843</v>
      </c>
      <c r="B852" s="192"/>
      <c r="C852" s="192"/>
      <c r="D852" s="192"/>
      <c r="E852" s="53" t="s">
        <v>3075</v>
      </c>
      <c r="F852" s="193" t="s">
        <v>3361</v>
      </c>
      <c r="G852" s="193" t="s">
        <v>3363</v>
      </c>
      <c r="H852" s="194">
        <v>5232</v>
      </c>
      <c r="I852" s="195"/>
      <c r="J852" s="197"/>
      <c r="K852" s="53"/>
    </row>
    <row r="853" spans="1:11" ht="65.099999999999994" customHeight="1" x14ac:dyDescent="0.25">
      <c r="A853" s="191">
        <v>844</v>
      </c>
      <c r="B853" s="192"/>
      <c r="C853" s="192"/>
      <c r="D853" s="192"/>
      <c r="E853" s="53" t="s">
        <v>3076</v>
      </c>
      <c r="F853" s="193" t="s">
        <v>3361</v>
      </c>
      <c r="G853" s="193" t="s">
        <v>3363</v>
      </c>
      <c r="H853" s="194">
        <v>5232</v>
      </c>
      <c r="I853" s="195"/>
      <c r="J853" s="197"/>
      <c r="K853" s="53"/>
    </row>
    <row r="854" spans="1:11" ht="65.099999999999994" customHeight="1" x14ac:dyDescent="0.25">
      <c r="A854" s="191">
        <v>845</v>
      </c>
      <c r="B854" s="192"/>
      <c r="C854" s="192"/>
      <c r="D854" s="192"/>
      <c r="E854" s="53" t="s">
        <v>3077</v>
      </c>
      <c r="F854" s="193" t="s">
        <v>3361</v>
      </c>
      <c r="G854" s="193" t="s">
        <v>3363</v>
      </c>
      <c r="H854" s="194">
        <v>5232</v>
      </c>
      <c r="I854" s="195"/>
      <c r="J854" s="197"/>
      <c r="K854" s="53"/>
    </row>
    <row r="855" spans="1:11" ht="65.099999999999994" customHeight="1" x14ac:dyDescent="0.25">
      <c r="A855" s="191">
        <v>846</v>
      </c>
      <c r="B855" s="192"/>
      <c r="C855" s="192"/>
      <c r="D855" s="192"/>
      <c r="E855" s="53" t="s">
        <v>3078</v>
      </c>
      <c r="F855" s="193" t="s">
        <v>3361</v>
      </c>
      <c r="G855" s="193" t="s">
        <v>3363</v>
      </c>
      <c r="H855" s="194">
        <v>5232</v>
      </c>
      <c r="I855" s="195"/>
      <c r="J855" s="197"/>
      <c r="K855" s="53"/>
    </row>
    <row r="856" spans="1:11" ht="65.099999999999994" customHeight="1" x14ac:dyDescent="0.25">
      <c r="A856" s="191">
        <v>847</v>
      </c>
      <c r="B856" s="192"/>
      <c r="C856" s="192"/>
      <c r="D856" s="192"/>
      <c r="E856" s="53" t="s">
        <v>3079</v>
      </c>
      <c r="F856" s="193" t="s">
        <v>3361</v>
      </c>
      <c r="G856" s="193" t="s">
        <v>3363</v>
      </c>
      <c r="H856" s="194">
        <v>5232</v>
      </c>
      <c r="I856" s="195"/>
      <c r="J856" s="197"/>
      <c r="K856" s="53"/>
    </row>
    <row r="857" spans="1:11" ht="65.099999999999994" customHeight="1" x14ac:dyDescent="0.25">
      <c r="A857" s="191">
        <v>848</v>
      </c>
      <c r="B857" s="192"/>
      <c r="C857" s="192"/>
      <c r="D857" s="192"/>
      <c r="E857" s="53" t="s">
        <v>3080</v>
      </c>
      <c r="F857" s="193" t="s">
        <v>3361</v>
      </c>
      <c r="G857" s="193" t="s">
        <v>3363</v>
      </c>
      <c r="H857" s="194">
        <v>5232</v>
      </c>
      <c r="I857" s="195"/>
      <c r="J857" s="197"/>
      <c r="K857" s="53"/>
    </row>
    <row r="858" spans="1:11" ht="65.099999999999994" customHeight="1" x14ac:dyDescent="0.25">
      <c r="A858" s="191">
        <v>849</v>
      </c>
      <c r="B858" s="192"/>
      <c r="C858" s="192"/>
      <c r="D858" s="192"/>
      <c r="E858" s="53" t="s">
        <v>3081</v>
      </c>
      <c r="F858" s="193" t="s">
        <v>3361</v>
      </c>
      <c r="G858" s="193" t="s">
        <v>3363</v>
      </c>
      <c r="H858" s="194">
        <v>5232</v>
      </c>
      <c r="I858" s="195"/>
      <c r="J858" s="197"/>
      <c r="K858" s="53"/>
    </row>
    <row r="859" spans="1:11" ht="65.099999999999994" customHeight="1" x14ac:dyDescent="0.25">
      <c r="A859" s="191">
        <v>850</v>
      </c>
      <c r="B859" s="192"/>
      <c r="C859" s="192"/>
      <c r="D859" s="192"/>
      <c r="E859" s="53" t="s">
        <v>3082</v>
      </c>
      <c r="F859" s="193" t="s">
        <v>3361</v>
      </c>
      <c r="G859" s="193" t="s">
        <v>3363</v>
      </c>
      <c r="H859" s="194">
        <v>5232</v>
      </c>
      <c r="I859" s="195"/>
      <c r="J859" s="197"/>
      <c r="K859" s="53"/>
    </row>
    <row r="860" spans="1:11" ht="65.099999999999994" customHeight="1" x14ac:dyDescent="0.25">
      <c r="A860" s="191">
        <v>851</v>
      </c>
      <c r="B860" s="192"/>
      <c r="C860" s="192"/>
      <c r="D860" s="192"/>
      <c r="E860" s="53" t="s">
        <v>3083</v>
      </c>
      <c r="F860" s="193" t="s">
        <v>3361</v>
      </c>
      <c r="G860" s="193" t="s">
        <v>3363</v>
      </c>
      <c r="H860" s="194">
        <v>5232</v>
      </c>
      <c r="I860" s="195"/>
      <c r="J860" s="197"/>
      <c r="K860" s="53"/>
    </row>
    <row r="861" spans="1:11" ht="65.099999999999994" customHeight="1" x14ac:dyDescent="0.25">
      <c r="A861" s="191">
        <v>852</v>
      </c>
      <c r="B861" s="192"/>
      <c r="C861" s="192"/>
      <c r="D861" s="192"/>
      <c r="E861" s="53" t="s">
        <v>3084</v>
      </c>
      <c r="F861" s="193" t="s">
        <v>3361</v>
      </c>
      <c r="G861" s="193" t="s">
        <v>3363</v>
      </c>
      <c r="H861" s="194">
        <v>5232</v>
      </c>
      <c r="I861" s="195"/>
      <c r="J861" s="197"/>
      <c r="K861" s="53"/>
    </row>
    <row r="862" spans="1:11" ht="65.099999999999994" customHeight="1" x14ac:dyDescent="0.25">
      <c r="A862" s="191">
        <v>853</v>
      </c>
      <c r="B862" s="192"/>
      <c r="C862" s="192"/>
      <c r="D862" s="192"/>
      <c r="E862" s="53" t="s">
        <v>3085</v>
      </c>
      <c r="F862" s="193" t="s">
        <v>3361</v>
      </c>
      <c r="G862" s="193" t="s">
        <v>3363</v>
      </c>
      <c r="H862" s="194">
        <v>5232</v>
      </c>
      <c r="I862" s="195"/>
      <c r="J862" s="197"/>
      <c r="K862" s="53"/>
    </row>
    <row r="863" spans="1:11" ht="65.099999999999994" customHeight="1" x14ac:dyDescent="0.25">
      <c r="A863" s="191">
        <v>854</v>
      </c>
      <c r="B863" s="192"/>
      <c r="C863" s="192"/>
      <c r="D863" s="192"/>
      <c r="E863" s="53" t="s">
        <v>3086</v>
      </c>
      <c r="F863" s="193" t="s">
        <v>3361</v>
      </c>
      <c r="G863" s="193" t="s">
        <v>3363</v>
      </c>
      <c r="H863" s="194">
        <v>5232</v>
      </c>
      <c r="I863" s="195"/>
      <c r="J863" s="197"/>
      <c r="K863" s="53"/>
    </row>
    <row r="864" spans="1:11" ht="65.099999999999994" customHeight="1" x14ac:dyDescent="0.25">
      <c r="A864" s="191">
        <v>855</v>
      </c>
      <c r="B864" s="192"/>
      <c r="C864" s="192"/>
      <c r="D864" s="192"/>
      <c r="E864" s="53" t="s">
        <v>3087</v>
      </c>
      <c r="F864" s="193" t="s">
        <v>3361</v>
      </c>
      <c r="G864" s="193" t="s">
        <v>3363</v>
      </c>
      <c r="H864" s="194">
        <v>5232</v>
      </c>
      <c r="I864" s="195"/>
      <c r="J864" s="197"/>
      <c r="K864" s="53"/>
    </row>
    <row r="865" spans="1:11" ht="65.099999999999994" customHeight="1" x14ac:dyDescent="0.25">
      <c r="A865" s="191">
        <v>856</v>
      </c>
      <c r="B865" s="192"/>
      <c r="C865" s="192"/>
      <c r="D865" s="192"/>
      <c r="E865" s="53" t="s">
        <v>3088</v>
      </c>
      <c r="F865" s="193" t="s">
        <v>3361</v>
      </c>
      <c r="G865" s="193" t="s">
        <v>3363</v>
      </c>
      <c r="H865" s="194">
        <v>5232</v>
      </c>
      <c r="I865" s="195"/>
      <c r="J865" s="197"/>
      <c r="K865" s="53"/>
    </row>
    <row r="866" spans="1:11" ht="65.099999999999994" customHeight="1" x14ac:dyDescent="0.25">
      <c r="A866" s="191">
        <v>857</v>
      </c>
      <c r="B866" s="192"/>
      <c r="C866" s="192"/>
      <c r="D866" s="192"/>
      <c r="E866" s="53" t="s">
        <v>3089</v>
      </c>
      <c r="F866" s="193" t="s">
        <v>3361</v>
      </c>
      <c r="G866" s="193" t="s">
        <v>3363</v>
      </c>
      <c r="H866" s="194">
        <v>5232</v>
      </c>
      <c r="I866" s="195"/>
      <c r="J866" s="197"/>
      <c r="K866" s="53"/>
    </row>
    <row r="867" spans="1:11" ht="65.099999999999994" customHeight="1" x14ac:dyDescent="0.25">
      <c r="A867" s="191">
        <v>858</v>
      </c>
      <c r="B867" s="192"/>
      <c r="C867" s="192"/>
      <c r="D867" s="192"/>
      <c r="E867" s="53" t="s">
        <v>3090</v>
      </c>
      <c r="F867" s="193" t="s">
        <v>3361</v>
      </c>
      <c r="G867" s="193" t="s">
        <v>3363</v>
      </c>
      <c r="H867" s="194">
        <v>5232</v>
      </c>
      <c r="I867" s="195"/>
      <c r="J867" s="197"/>
      <c r="K867" s="53"/>
    </row>
    <row r="868" spans="1:11" ht="65.099999999999994" customHeight="1" x14ac:dyDescent="0.25">
      <c r="A868" s="191">
        <v>859</v>
      </c>
      <c r="B868" s="192"/>
      <c r="C868" s="192"/>
      <c r="D868" s="192"/>
      <c r="E868" s="53" t="s">
        <v>3091</v>
      </c>
      <c r="F868" s="193" t="s">
        <v>3361</v>
      </c>
      <c r="G868" s="193" t="s">
        <v>3363</v>
      </c>
      <c r="H868" s="194">
        <v>5232</v>
      </c>
      <c r="I868" s="195"/>
      <c r="J868" s="197"/>
      <c r="K868" s="53"/>
    </row>
    <row r="869" spans="1:11" ht="65.099999999999994" customHeight="1" x14ac:dyDescent="0.25">
      <c r="A869" s="191">
        <v>860</v>
      </c>
      <c r="B869" s="192"/>
      <c r="C869" s="192"/>
      <c r="D869" s="192"/>
      <c r="E869" s="53" t="s">
        <v>3092</v>
      </c>
      <c r="F869" s="193" t="s">
        <v>3361</v>
      </c>
      <c r="G869" s="193" t="s">
        <v>3363</v>
      </c>
      <c r="H869" s="194">
        <v>5232</v>
      </c>
      <c r="I869" s="195"/>
      <c r="J869" s="197"/>
      <c r="K869" s="53"/>
    </row>
    <row r="870" spans="1:11" ht="65.099999999999994" customHeight="1" x14ac:dyDescent="0.25">
      <c r="A870" s="191">
        <v>861</v>
      </c>
      <c r="B870" s="192"/>
      <c r="C870" s="192"/>
      <c r="D870" s="192"/>
      <c r="E870" s="53" t="s">
        <v>3093</v>
      </c>
      <c r="F870" s="193" t="s">
        <v>3361</v>
      </c>
      <c r="G870" s="193" t="s">
        <v>3363</v>
      </c>
      <c r="H870" s="194">
        <v>5232</v>
      </c>
      <c r="I870" s="195"/>
      <c r="J870" s="197"/>
      <c r="K870" s="53"/>
    </row>
    <row r="871" spans="1:11" ht="65.099999999999994" customHeight="1" x14ac:dyDescent="0.25">
      <c r="A871" s="191">
        <v>862</v>
      </c>
      <c r="B871" s="192"/>
      <c r="C871" s="192"/>
      <c r="D871" s="192"/>
      <c r="E871" s="53" t="s">
        <v>3094</v>
      </c>
      <c r="F871" s="193" t="s">
        <v>3361</v>
      </c>
      <c r="G871" s="193" t="s">
        <v>3363</v>
      </c>
      <c r="H871" s="194">
        <v>5232</v>
      </c>
      <c r="I871" s="195"/>
      <c r="J871" s="197"/>
      <c r="K871" s="53"/>
    </row>
    <row r="872" spans="1:11" ht="65.099999999999994" customHeight="1" x14ac:dyDescent="0.25">
      <c r="A872" s="191">
        <v>863</v>
      </c>
      <c r="B872" s="192"/>
      <c r="C872" s="192"/>
      <c r="D872" s="192"/>
      <c r="E872" s="53" t="s">
        <v>3095</v>
      </c>
      <c r="F872" s="193" t="s">
        <v>3361</v>
      </c>
      <c r="G872" s="193" t="s">
        <v>3363</v>
      </c>
      <c r="H872" s="194">
        <v>5232</v>
      </c>
      <c r="I872" s="195"/>
      <c r="J872" s="197"/>
      <c r="K872" s="53"/>
    </row>
    <row r="873" spans="1:11" ht="65.099999999999994" customHeight="1" x14ac:dyDescent="0.25">
      <c r="A873" s="191">
        <v>864</v>
      </c>
      <c r="B873" s="192"/>
      <c r="C873" s="192"/>
      <c r="D873" s="192"/>
      <c r="E873" s="53" t="s">
        <v>3096</v>
      </c>
      <c r="F873" s="193" t="s">
        <v>3361</v>
      </c>
      <c r="G873" s="193" t="s">
        <v>3363</v>
      </c>
      <c r="H873" s="194">
        <v>5232</v>
      </c>
      <c r="I873" s="195"/>
      <c r="J873" s="197"/>
      <c r="K873" s="53"/>
    </row>
    <row r="874" spans="1:11" ht="65.099999999999994" customHeight="1" x14ac:dyDescent="0.25">
      <c r="A874" s="191">
        <v>865</v>
      </c>
      <c r="B874" s="192"/>
      <c r="C874" s="192"/>
      <c r="D874" s="192"/>
      <c r="E874" s="53" t="s">
        <v>3097</v>
      </c>
      <c r="F874" s="193" t="s">
        <v>3361</v>
      </c>
      <c r="G874" s="193" t="s">
        <v>3363</v>
      </c>
      <c r="H874" s="194">
        <v>5232</v>
      </c>
      <c r="I874" s="195"/>
      <c r="J874" s="197"/>
      <c r="K874" s="53"/>
    </row>
    <row r="875" spans="1:11" ht="65.099999999999994" customHeight="1" x14ac:dyDescent="0.25">
      <c r="A875" s="191">
        <v>866</v>
      </c>
      <c r="B875" s="192"/>
      <c r="C875" s="192"/>
      <c r="D875" s="192"/>
      <c r="E875" s="53" t="s">
        <v>3098</v>
      </c>
      <c r="F875" s="193" t="s">
        <v>3361</v>
      </c>
      <c r="G875" s="193" t="s">
        <v>3363</v>
      </c>
      <c r="H875" s="194">
        <v>5232</v>
      </c>
      <c r="I875" s="195"/>
      <c r="J875" s="197"/>
      <c r="K875" s="53"/>
    </row>
    <row r="876" spans="1:11" ht="65.099999999999994" customHeight="1" x14ac:dyDescent="0.25">
      <c r="A876" s="191">
        <v>867</v>
      </c>
      <c r="B876" s="192"/>
      <c r="C876" s="192"/>
      <c r="D876" s="192"/>
      <c r="E876" s="53" t="s">
        <v>3099</v>
      </c>
      <c r="F876" s="193" t="s">
        <v>3361</v>
      </c>
      <c r="G876" s="193" t="s">
        <v>3363</v>
      </c>
      <c r="H876" s="194">
        <v>5232</v>
      </c>
      <c r="I876" s="195"/>
      <c r="J876" s="197"/>
      <c r="K876" s="53"/>
    </row>
    <row r="877" spans="1:11" ht="65.099999999999994" customHeight="1" x14ac:dyDescent="0.25">
      <c r="A877" s="191">
        <v>868</v>
      </c>
      <c r="B877" s="192"/>
      <c r="C877" s="192"/>
      <c r="D877" s="192"/>
      <c r="E877" s="53" t="s">
        <v>3100</v>
      </c>
      <c r="F877" s="193" t="s">
        <v>3361</v>
      </c>
      <c r="G877" s="193" t="s">
        <v>3363</v>
      </c>
      <c r="H877" s="194">
        <v>5232</v>
      </c>
      <c r="I877" s="195"/>
      <c r="J877" s="197"/>
      <c r="K877" s="53"/>
    </row>
    <row r="878" spans="1:11" ht="65.099999999999994" customHeight="1" x14ac:dyDescent="0.25">
      <c r="A878" s="191">
        <v>869</v>
      </c>
      <c r="B878" s="192"/>
      <c r="C878" s="192"/>
      <c r="D878" s="192"/>
      <c r="E878" s="53" t="s">
        <v>3101</v>
      </c>
      <c r="F878" s="193" t="s">
        <v>3361</v>
      </c>
      <c r="G878" s="193" t="s">
        <v>3363</v>
      </c>
      <c r="H878" s="194">
        <v>5232</v>
      </c>
      <c r="I878" s="195"/>
      <c r="J878" s="197"/>
      <c r="K878" s="53"/>
    </row>
    <row r="879" spans="1:11" ht="65.099999999999994" customHeight="1" x14ac:dyDescent="0.25">
      <c r="A879" s="191">
        <v>870</v>
      </c>
      <c r="B879" s="192"/>
      <c r="C879" s="192"/>
      <c r="D879" s="192"/>
      <c r="E879" s="53" t="s">
        <v>3102</v>
      </c>
      <c r="F879" s="193" t="s">
        <v>3361</v>
      </c>
      <c r="G879" s="193" t="s">
        <v>3363</v>
      </c>
      <c r="H879" s="194">
        <v>5232</v>
      </c>
      <c r="I879" s="195"/>
      <c r="J879" s="197"/>
      <c r="K879" s="53"/>
    </row>
    <row r="880" spans="1:11" ht="65.099999999999994" customHeight="1" x14ac:dyDescent="0.25">
      <c r="A880" s="191">
        <v>871</v>
      </c>
      <c r="B880" s="192"/>
      <c r="C880" s="192"/>
      <c r="D880" s="192"/>
      <c r="E880" s="53" t="s">
        <v>3103</v>
      </c>
      <c r="F880" s="193" t="s">
        <v>3361</v>
      </c>
      <c r="G880" s="193" t="s">
        <v>3363</v>
      </c>
      <c r="H880" s="194">
        <v>5232</v>
      </c>
      <c r="I880" s="195"/>
      <c r="J880" s="197"/>
      <c r="K880" s="53"/>
    </row>
    <row r="881" spans="1:11" ht="65.099999999999994" customHeight="1" x14ac:dyDescent="0.25">
      <c r="A881" s="191">
        <v>872</v>
      </c>
      <c r="B881" s="192"/>
      <c r="C881" s="192"/>
      <c r="D881" s="192"/>
      <c r="E881" s="53" t="s">
        <v>3104</v>
      </c>
      <c r="F881" s="193" t="s">
        <v>3361</v>
      </c>
      <c r="G881" s="193" t="s">
        <v>3363</v>
      </c>
      <c r="H881" s="194">
        <v>5232</v>
      </c>
      <c r="I881" s="195"/>
      <c r="J881" s="197"/>
      <c r="K881" s="53"/>
    </row>
    <row r="882" spans="1:11" ht="65.099999999999994" customHeight="1" x14ac:dyDescent="0.25">
      <c r="A882" s="191">
        <v>873</v>
      </c>
      <c r="B882" s="192"/>
      <c r="C882" s="192"/>
      <c r="D882" s="192"/>
      <c r="E882" s="53" t="s">
        <v>3105</v>
      </c>
      <c r="F882" s="193" t="s">
        <v>3361</v>
      </c>
      <c r="G882" s="193" t="s">
        <v>3363</v>
      </c>
      <c r="H882" s="194">
        <v>5232</v>
      </c>
      <c r="I882" s="195"/>
      <c r="J882" s="197"/>
      <c r="K882" s="53"/>
    </row>
    <row r="883" spans="1:11" ht="65.099999999999994" customHeight="1" x14ac:dyDescent="0.25">
      <c r="A883" s="191">
        <v>874</v>
      </c>
      <c r="B883" s="192"/>
      <c r="C883" s="192"/>
      <c r="D883" s="192"/>
      <c r="E883" s="53" t="s">
        <v>3106</v>
      </c>
      <c r="F883" s="193" t="s">
        <v>3361</v>
      </c>
      <c r="G883" s="193" t="s">
        <v>3363</v>
      </c>
      <c r="H883" s="194">
        <v>5232</v>
      </c>
      <c r="I883" s="195"/>
      <c r="J883" s="197"/>
      <c r="K883" s="53"/>
    </row>
    <row r="884" spans="1:11" ht="65.099999999999994" customHeight="1" x14ac:dyDescent="0.25">
      <c r="A884" s="191">
        <v>875</v>
      </c>
      <c r="B884" s="192"/>
      <c r="C884" s="192"/>
      <c r="D884" s="192"/>
      <c r="E884" s="53" t="s">
        <v>3107</v>
      </c>
      <c r="F884" s="193" t="s">
        <v>3361</v>
      </c>
      <c r="G884" s="193" t="s">
        <v>3363</v>
      </c>
      <c r="H884" s="194">
        <v>5232</v>
      </c>
      <c r="I884" s="195"/>
      <c r="J884" s="197"/>
      <c r="K884" s="53"/>
    </row>
    <row r="885" spans="1:11" ht="65.099999999999994" customHeight="1" x14ac:dyDescent="0.25">
      <c r="A885" s="191">
        <v>876</v>
      </c>
      <c r="B885" s="192"/>
      <c r="C885" s="192"/>
      <c r="D885" s="192"/>
      <c r="E885" s="53" t="s">
        <v>3108</v>
      </c>
      <c r="F885" s="193" t="s">
        <v>3361</v>
      </c>
      <c r="G885" s="193" t="s">
        <v>3363</v>
      </c>
      <c r="H885" s="194">
        <v>5232</v>
      </c>
      <c r="I885" s="195"/>
      <c r="J885" s="197"/>
      <c r="K885" s="53"/>
    </row>
    <row r="886" spans="1:11" ht="65.099999999999994" customHeight="1" x14ac:dyDescent="0.25">
      <c r="A886" s="191">
        <v>877</v>
      </c>
      <c r="B886" s="192"/>
      <c r="C886" s="192"/>
      <c r="D886" s="192"/>
      <c r="E886" s="53" t="s">
        <v>3109</v>
      </c>
      <c r="F886" s="193" t="s">
        <v>3361</v>
      </c>
      <c r="G886" s="193" t="s">
        <v>3363</v>
      </c>
      <c r="H886" s="194">
        <v>5232</v>
      </c>
      <c r="I886" s="195"/>
      <c r="J886" s="197"/>
      <c r="K886" s="53"/>
    </row>
    <row r="887" spans="1:11" ht="65.099999999999994" customHeight="1" x14ac:dyDescent="0.25">
      <c r="A887" s="191">
        <v>878</v>
      </c>
      <c r="B887" s="192"/>
      <c r="C887" s="192"/>
      <c r="D887" s="192"/>
      <c r="E887" s="53" t="s">
        <v>3110</v>
      </c>
      <c r="F887" s="193" t="s">
        <v>3361</v>
      </c>
      <c r="G887" s="193" t="s">
        <v>3363</v>
      </c>
      <c r="H887" s="194">
        <v>5232</v>
      </c>
      <c r="I887" s="195"/>
      <c r="J887" s="197"/>
      <c r="K887" s="53"/>
    </row>
    <row r="888" spans="1:11" ht="65.099999999999994" customHeight="1" x14ac:dyDescent="0.25">
      <c r="A888" s="191">
        <v>879</v>
      </c>
      <c r="B888" s="192"/>
      <c r="C888" s="192"/>
      <c r="D888" s="192"/>
      <c r="E888" s="53" t="s">
        <v>3111</v>
      </c>
      <c r="F888" s="193" t="s">
        <v>3361</v>
      </c>
      <c r="G888" s="193" t="s">
        <v>3363</v>
      </c>
      <c r="H888" s="194">
        <v>5232</v>
      </c>
      <c r="I888" s="195"/>
      <c r="J888" s="197"/>
      <c r="K888" s="53"/>
    </row>
    <row r="889" spans="1:11" ht="65.099999999999994" customHeight="1" x14ac:dyDescent="0.25">
      <c r="A889" s="191">
        <v>880</v>
      </c>
      <c r="B889" s="192"/>
      <c r="C889" s="192"/>
      <c r="D889" s="192"/>
      <c r="E889" s="53" t="s">
        <v>3112</v>
      </c>
      <c r="F889" s="193" t="s">
        <v>3361</v>
      </c>
      <c r="G889" s="193" t="s">
        <v>3363</v>
      </c>
      <c r="H889" s="194">
        <v>5232</v>
      </c>
      <c r="I889" s="195"/>
      <c r="J889" s="197"/>
      <c r="K889" s="53"/>
    </row>
    <row r="890" spans="1:11" ht="65.099999999999994" customHeight="1" x14ac:dyDescent="0.25">
      <c r="A890" s="191">
        <v>881</v>
      </c>
      <c r="B890" s="192"/>
      <c r="C890" s="192"/>
      <c r="D890" s="192"/>
      <c r="E890" s="53" t="s">
        <v>3113</v>
      </c>
      <c r="F890" s="193" t="s">
        <v>3361</v>
      </c>
      <c r="G890" s="193" t="s">
        <v>3363</v>
      </c>
      <c r="H890" s="194">
        <v>5232</v>
      </c>
      <c r="I890" s="195"/>
      <c r="J890" s="197"/>
      <c r="K890" s="53"/>
    </row>
    <row r="891" spans="1:11" ht="65.099999999999994" customHeight="1" x14ac:dyDescent="0.25">
      <c r="A891" s="191">
        <v>882</v>
      </c>
      <c r="B891" s="192"/>
      <c r="C891" s="192"/>
      <c r="D891" s="192"/>
      <c r="E891" s="53" t="s">
        <v>3114</v>
      </c>
      <c r="F891" s="193" t="s">
        <v>3361</v>
      </c>
      <c r="G891" s="193" t="s">
        <v>3363</v>
      </c>
      <c r="H891" s="194">
        <v>5232</v>
      </c>
      <c r="I891" s="195"/>
      <c r="J891" s="197"/>
      <c r="K891" s="53"/>
    </row>
    <row r="892" spans="1:11" ht="65.099999999999994" customHeight="1" x14ac:dyDescent="0.25">
      <c r="A892" s="191">
        <v>883</v>
      </c>
      <c r="B892" s="192"/>
      <c r="C892" s="192"/>
      <c r="D892" s="192"/>
      <c r="E892" s="53" t="s">
        <v>3115</v>
      </c>
      <c r="F892" s="193" t="s">
        <v>3361</v>
      </c>
      <c r="G892" s="193" t="s">
        <v>3363</v>
      </c>
      <c r="H892" s="194">
        <v>5232</v>
      </c>
      <c r="I892" s="195"/>
      <c r="J892" s="197"/>
      <c r="K892" s="53"/>
    </row>
    <row r="893" spans="1:11" ht="65.099999999999994" customHeight="1" x14ac:dyDescent="0.25">
      <c r="A893" s="191">
        <v>884</v>
      </c>
      <c r="B893" s="192"/>
      <c r="C893" s="192"/>
      <c r="D893" s="192"/>
      <c r="E893" s="53" t="s">
        <v>3116</v>
      </c>
      <c r="F893" s="193" t="s">
        <v>3361</v>
      </c>
      <c r="G893" s="193" t="s">
        <v>3363</v>
      </c>
      <c r="H893" s="194">
        <v>5232</v>
      </c>
      <c r="I893" s="195"/>
      <c r="J893" s="197"/>
      <c r="K893" s="53"/>
    </row>
    <row r="894" spans="1:11" ht="65.099999999999994" customHeight="1" x14ac:dyDescent="0.25">
      <c r="A894" s="191">
        <v>885</v>
      </c>
      <c r="B894" s="192"/>
      <c r="C894" s="192"/>
      <c r="D894" s="192"/>
      <c r="E894" s="53" t="s">
        <v>3117</v>
      </c>
      <c r="F894" s="193" t="s">
        <v>3361</v>
      </c>
      <c r="G894" s="193" t="s">
        <v>3363</v>
      </c>
      <c r="H894" s="194">
        <v>5232</v>
      </c>
      <c r="I894" s="195"/>
      <c r="J894" s="197"/>
      <c r="K894" s="53"/>
    </row>
    <row r="895" spans="1:11" ht="65.099999999999994" customHeight="1" x14ac:dyDescent="0.25">
      <c r="A895" s="191">
        <v>886</v>
      </c>
      <c r="B895" s="192"/>
      <c r="C895" s="192"/>
      <c r="D895" s="192"/>
      <c r="E895" s="53" t="s">
        <v>3118</v>
      </c>
      <c r="F895" s="193" t="s">
        <v>3361</v>
      </c>
      <c r="G895" s="193" t="s">
        <v>3363</v>
      </c>
      <c r="H895" s="194">
        <v>5232</v>
      </c>
      <c r="I895" s="195"/>
      <c r="J895" s="197"/>
      <c r="K895" s="53"/>
    </row>
    <row r="896" spans="1:11" ht="65.099999999999994" customHeight="1" x14ac:dyDescent="0.25">
      <c r="A896" s="191">
        <v>887</v>
      </c>
      <c r="B896" s="192"/>
      <c r="C896" s="192"/>
      <c r="D896" s="192"/>
      <c r="E896" s="53" t="s">
        <v>3119</v>
      </c>
      <c r="F896" s="193" t="s">
        <v>3361</v>
      </c>
      <c r="G896" s="193" t="s">
        <v>3363</v>
      </c>
      <c r="H896" s="194">
        <v>5232</v>
      </c>
      <c r="I896" s="195"/>
      <c r="J896" s="197"/>
      <c r="K896" s="53"/>
    </row>
    <row r="897" spans="1:11" ht="65.099999999999994" customHeight="1" x14ac:dyDescent="0.25">
      <c r="A897" s="191">
        <v>888</v>
      </c>
      <c r="B897" s="192"/>
      <c r="C897" s="192"/>
      <c r="D897" s="192"/>
      <c r="E897" s="53" t="s">
        <v>3120</v>
      </c>
      <c r="F897" s="193" t="s">
        <v>3361</v>
      </c>
      <c r="G897" s="193" t="s">
        <v>3363</v>
      </c>
      <c r="H897" s="194">
        <v>5232</v>
      </c>
      <c r="I897" s="195"/>
      <c r="J897" s="197"/>
      <c r="K897" s="53"/>
    </row>
    <row r="898" spans="1:11" ht="65.099999999999994" customHeight="1" x14ac:dyDescent="0.25">
      <c r="A898" s="191">
        <v>889</v>
      </c>
      <c r="B898" s="192"/>
      <c r="C898" s="192"/>
      <c r="D898" s="192"/>
      <c r="E898" s="53" t="s">
        <v>3121</v>
      </c>
      <c r="F898" s="193" t="s">
        <v>3361</v>
      </c>
      <c r="G898" s="193" t="s">
        <v>3363</v>
      </c>
      <c r="H898" s="194">
        <v>5232</v>
      </c>
      <c r="I898" s="195"/>
      <c r="J898" s="197"/>
      <c r="K898" s="53"/>
    </row>
    <row r="899" spans="1:11" ht="65.099999999999994" customHeight="1" x14ac:dyDescent="0.25">
      <c r="A899" s="191">
        <v>890</v>
      </c>
      <c r="B899" s="192"/>
      <c r="C899" s="192"/>
      <c r="D899" s="192"/>
      <c r="E899" s="53" t="s">
        <v>3122</v>
      </c>
      <c r="F899" s="193" t="s">
        <v>3361</v>
      </c>
      <c r="G899" s="193" t="s">
        <v>3363</v>
      </c>
      <c r="H899" s="194">
        <v>5232</v>
      </c>
      <c r="I899" s="195"/>
      <c r="J899" s="197"/>
      <c r="K899" s="53"/>
    </row>
    <row r="900" spans="1:11" ht="65.099999999999994" customHeight="1" x14ac:dyDescent="0.25">
      <c r="A900" s="191">
        <v>891</v>
      </c>
      <c r="B900" s="192"/>
      <c r="C900" s="192"/>
      <c r="D900" s="192"/>
      <c r="E900" s="53" t="s">
        <v>3123</v>
      </c>
      <c r="F900" s="193" t="s">
        <v>3361</v>
      </c>
      <c r="G900" s="193" t="s">
        <v>3363</v>
      </c>
      <c r="H900" s="194">
        <v>5232</v>
      </c>
      <c r="I900" s="195"/>
      <c r="J900" s="197"/>
      <c r="K900" s="53"/>
    </row>
    <row r="901" spans="1:11" ht="65.099999999999994" customHeight="1" x14ac:dyDescent="0.25">
      <c r="A901" s="191">
        <v>892</v>
      </c>
      <c r="B901" s="192"/>
      <c r="C901" s="192"/>
      <c r="D901" s="192"/>
      <c r="E901" s="53" t="s">
        <v>3124</v>
      </c>
      <c r="F901" s="193" t="s">
        <v>3361</v>
      </c>
      <c r="G901" s="193" t="s">
        <v>3363</v>
      </c>
      <c r="H901" s="194">
        <v>5232</v>
      </c>
      <c r="I901" s="195"/>
      <c r="J901" s="197"/>
      <c r="K901" s="53"/>
    </row>
    <row r="902" spans="1:11" ht="65.099999999999994" customHeight="1" x14ac:dyDescent="0.25">
      <c r="A902" s="191">
        <v>893</v>
      </c>
      <c r="B902" s="192"/>
      <c r="C902" s="192"/>
      <c r="D902" s="192"/>
      <c r="E902" s="53" t="s">
        <v>3125</v>
      </c>
      <c r="F902" s="193" t="s">
        <v>3361</v>
      </c>
      <c r="G902" s="193" t="s">
        <v>3363</v>
      </c>
      <c r="H902" s="194">
        <v>5232</v>
      </c>
      <c r="I902" s="195"/>
      <c r="J902" s="197"/>
      <c r="K902" s="53"/>
    </row>
    <row r="903" spans="1:11" ht="65.099999999999994" customHeight="1" x14ac:dyDescent="0.25">
      <c r="A903" s="191">
        <v>894</v>
      </c>
      <c r="B903" s="192"/>
      <c r="C903" s="192"/>
      <c r="D903" s="192"/>
      <c r="E903" s="53" t="s">
        <v>3126</v>
      </c>
      <c r="F903" s="193" t="s">
        <v>3361</v>
      </c>
      <c r="G903" s="193" t="s">
        <v>3363</v>
      </c>
      <c r="H903" s="194">
        <v>5232</v>
      </c>
      <c r="I903" s="195"/>
      <c r="J903" s="197"/>
      <c r="K903" s="53"/>
    </row>
    <row r="904" spans="1:11" ht="65.099999999999994" customHeight="1" x14ac:dyDescent="0.25">
      <c r="A904" s="191">
        <v>895</v>
      </c>
      <c r="B904" s="192"/>
      <c r="C904" s="192"/>
      <c r="D904" s="192"/>
      <c r="E904" s="53" t="s">
        <v>3127</v>
      </c>
      <c r="F904" s="193" t="s">
        <v>3361</v>
      </c>
      <c r="G904" s="193" t="s">
        <v>3363</v>
      </c>
      <c r="H904" s="194">
        <v>5232</v>
      </c>
      <c r="I904" s="195"/>
      <c r="J904" s="197"/>
      <c r="K904" s="53"/>
    </row>
    <row r="905" spans="1:11" ht="65.099999999999994" customHeight="1" x14ac:dyDescent="0.25">
      <c r="A905" s="191">
        <v>896</v>
      </c>
      <c r="B905" s="192"/>
      <c r="C905" s="192"/>
      <c r="D905" s="192"/>
      <c r="E905" s="53" t="s">
        <v>3128</v>
      </c>
      <c r="F905" s="193" t="s">
        <v>3361</v>
      </c>
      <c r="G905" s="193" t="s">
        <v>3363</v>
      </c>
      <c r="H905" s="194">
        <v>5232</v>
      </c>
      <c r="I905" s="195"/>
      <c r="J905" s="197"/>
      <c r="K905" s="53"/>
    </row>
    <row r="906" spans="1:11" ht="65.099999999999994" customHeight="1" x14ac:dyDescent="0.25">
      <c r="A906" s="191">
        <v>897</v>
      </c>
      <c r="B906" s="192"/>
      <c r="C906" s="192"/>
      <c r="D906" s="192"/>
      <c r="E906" s="53" t="s">
        <v>3129</v>
      </c>
      <c r="F906" s="193" t="s">
        <v>3361</v>
      </c>
      <c r="G906" s="193" t="s">
        <v>3363</v>
      </c>
      <c r="H906" s="194">
        <v>5232</v>
      </c>
      <c r="I906" s="195"/>
      <c r="J906" s="197"/>
      <c r="K906" s="53"/>
    </row>
    <row r="907" spans="1:11" ht="65.099999999999994" customHeight="1" x14ac:dyDescent="0.25">
      <c r="A907" s="191">
        <v>898</v>
      </c>
      <c r="B907" s="192"/>
      <c r="C907" s="192"/>
      <c r="D907" s="192"/>
      <c r="E907" s="53" t="s">
        <v>3130</v>
      </c>
      <c r="F907" s="193" t="s">
        <v>3361</v>
      </c>
      <c r="G907" s="193" t="s">
        <v>3363</v>
      </c>
      <c r="H907" s="194">
        <v>5232</v>
      </c>
      <c r="I907" s="195"/>
      <c r="J907" s="197"/>
      <c r="K907" s="53"/>
    </row>
    <row r="908" spans="1:11" ht="65.099999999999994" customHeight="1" x14ac:dyDescent="0.25">
      <c r="A908" s="191">
        <v>899</v>
      </c>
      <c r="B908" s="192"/>
      <c r="C908" s="192"/>
      <c r="D908" s="192"/>
      <c r="E908" s="53" t="s">
        <v>3131</v>
      </c>
      <c r="F908" s="193" t="s">
        <v>3361</v>
      </c>
      <c r="G908" s="193" t="s">
        <v>3363</v>
      </c>
      <c r="H908" s="194">
        <v>5232</v>
      </c>
      <c r="I908" s="195"/>
      <c r="J908" s="197"/>
      <c r="K908" s="53"/>
    </row>
    <row r="909" spans="1:11" ht="65.099999999999994" customHeight="1" x14ac:dyDescent="0.25">
      <c r="A909" s="191">
        <v>900</v>
      </c>
      <c r="B909" s="192"/>
      <c r="C909" s="192"/>
      <c r="D909" s="192"/>
      <c r="E909" s="53" t="s">
        <v>3132</v>
      </c>
      <c r="F909" s="193" t="s">
        <v>3361</v>
      </c>
      <c r="G909" s="193" t="s">
        <v>3363</v>
      </c>
      <c r="H909" s="194">
        <v>5232</v>
      </c>
      <c r="I909" s="195"/>
      <c r="J909" s="197"/>
      <c r="K909" s="53"/>
    </row>
    <row r="910" spans="1:11" ht="65.099999999999994" customHeight="1" x14ac:dyDescent="0.25">
      <c r="A910" s="191">
        <v>901</v>
      </c>
      <c r="B910" s="192"/>
      <c r="C910" s="192"/>
      <c r="D910" s="192"/>
      <c r="E910" s="53" t="s">
        <v>3133</v>
      </c>
      <c r="F910" s="193" t="s">
        <v>3361</v>
      </c>
      <c r="G910" s="193" t="s">
        <v>3363</v>
      </c>
      <c r="H910" s="194">
        <v>5232</v>
      </c>
      <c r="I910" s="195"/>
      <c r="J910" s="197"/>
      <c r="K910" s="53"/>
    </row>
    <row r="911" spans="1:11" ht="65.099999999999994" customHeight="1" x14ac:dyDescent="0.25">
      <c r="A911" s="191">
        <v>902</v>
      </c>
      <c r="B911" s="192"/>
      <c r="C911" s="192"/>
      <c r="D911" s="192"/>
      <c r="E911" s="53" t="s">
        <v>3134</v>
      </c>
      <c r="F911" s="193" t="s">
        <v>3361</v>
      </c>
      <c r="G911" s="193" t="s">
        <v>3363</v>
      </c>
      <c r="H911" s="194">
        <v>5232</v>
      </c>
      <c r="I911" s="195"/>
      <c r="J911" s="197"/>
      <c r="K911" s="53"/>
    </row>
    <row r="912" spans="1:11" ht="65.099999999999994" customHeight="1" x14ac:dyDescent="0.25">
      <c r="A912" s="191">
        <v>903</v>
      </c>
      <c r="B912" s="192"/>
      <c r="C912" s="192"/>
      <c r="D912" s="192"/>
      <c r="E912" s="53" t="s">
        <v>3135</v>
      </c>
      <c r="F912" s="193" t="s">
        <v>3361</v>
      </c>
      <c r="G912" s="193" t="s">
        <v>3363</v>
      </c>
      <c r="H912" s="194">
        <v>5232</v>
      </c>
      <c r="I912" s="195"/>
      <c r="J912" s="197"/>
      <c r="K912" s="53"/>
    </row>
    <row r="913" spans="1:11" ht="65.099999999999994" customHeight="1" x14ac:dyDescent="0.25">
      <c r="A913" s="191">
        <v>904</v>
      </c>
      <c r="B913" s="192"/>
      <c r="C913" s="192"/>
      <c r="D913" s="192"/>
      <c r="E913" s="53" t="s">
        <v>3136</v>
      </c>
      <c r="F913" s="193" t="s">
        <v>3361</v>
      </c>
      <c r="G913" s="193" t="s">
        <v>3363</v>
      </c>
      <c r="H913" s="194">
        <v>5232</v>
      </c>
      <c r="I913" s="195"/>
      <c r="J913" s="197"/>
      <c r="K913" s="53"/>
    </row>
    <row r="914" spans="1:11" ht="65.099999999999994" customHeight="1" x14ac:dyDescent="0.25">
      <c r="A914" s="191">
        <v>905</v>
      </c>
      <c r="B914" s="192"/>
      <c r="C914" s="192"/>
      <c r="D914" s="192"/>
      <c r="E914" s="53" t="s">
        <v>3137</v>
      </c>
      <c r="F914" s="193" t="s">
        <v>3361</v>
      </c>
      <c r="G914" s="193" t="s">
        <v>3363</v>
      </c>
      <c r="H914" s="194">
        <v>5232</v>
      </c>
      <c r="I914" s="195"/>
      <c r="J914" s="197"/>
      <c r="K914" s="53"/>
    </row>
    <row r="915" spans="1:11" ht="65.099999999999994" customHeight="1" x14ac:dyDescent="0.25">
      <c r="A915" s="191">
        <v>906</v>
      </c>
      <c r="B915" s="192"/>
      <c r="C915" s="192"/>
      <c r="D915" s="192"/>
      <c r="E915" s="53" t="s">
        <v>3138</v>
      </c>
      <c r="F915" s="193" t="s">
        <v>3361</v>
      </c>
      <c r="G915" s="193" t="s">
        <v>3363</v>
      </c>
      <c r="H915" s="194">
        <v>5232</v>
      </c>
      <c r="I915" s="195"/>
      <c r="J915" s="197"/>
      <c r="K915" s="53"/>
    </row>
    <row r="916" spans="1:11" ht="65.099999999999994" customHeight="1" x14ac:dyDescent="0.25">
      <c r="A916" s="191">
        <v>907</v>
      </c>
      <c r="B916" s="192"/>
      <c r="C916" s="192"/>
      <c r="D916" s="192"/>
      <c r="E916" s="53" t="s">
        <v>3139</v>
      </c>
      <c r="F916" s="193" t="s">
        <v>3361</v>
      </c>
      <c r="G916" s="193" t="s">
        <v>3363</v>
      </c>
      <c r="H916" s="194">
        <v>5232</v>
      </c>
      <c r="I916" s="195"/>
      <c r="J916" s="197"/>
      <c r="K916" s="53"/>
    </row>
    <row r="917" spans="1:11" ht="65.099999999999994" customHeight="1" x14ac:dyDescent="0.25">
      <c r="A917" s="191">
        <v>908</v>
      </c>
      <c r="B917" s="192"/>
      <c r="C917" s="192"/>
      <c r="D917" s="192"/>
      <c r="E917" s="53" t="s">
        <v>3140</v>
      </c>
      <c r="F917" s="193" t="s">
        <v>3361</v>
      </c>
      <c r="G917" s="193" t="s">
        <v>3363</v>
      </c>
      <c r="H917" s="194">
        <v>5232</v>
      </c>
      <c r="I917" s="195"/>
      <c r="J917" s="197"/>
      <c r="K917" s="53"/>
    </row>
    <row r="918" spans="1:11" ht="65.099999999999994" customHeight="1" x14ac:dyDescent="0.25">
      <c r="A918" s="191">
        <v>909</v>
      </c>
      <c r="B918" s="192"/>
      <c r="C918" s="192"/>
      <c r="D918" s="192"/>
      <c r="E918" s="53" t="s">
        <v>3141</v>
      </c>
      <c r="F918" s="193" t="s">
        <v>3361</v>
      </c>
      <c r="G918" s="193" t="s">
        <v>3363</v>
      </c>
      <c r="H918" s="194">
        <v>5232</v>
      </c>
      <c r="I918" s="195"/>
      <c r="J918" s="197"/>
      <c r="K918" s="53"/>
    </row>
    <row r="919" spans="1:11" ht="65.099999999999994" customHeight="1" x14ac:dyDescent="0.25">
      <c r="A919" s="191">
        <v>910</v>
      </c>
      <c r="B919" s="192"/>
      <c r="C919" s="192"/>
      <c r="D919" s="192"/>
      <c r="E919" s="53" t="s">
        <v>3142</v>
      </c>
      <c r="F919" s="193" t="s">
        <v>3361</v>
      </c>
      <c r="G919" s="193" t="s">
        <v>3363</v>
      </c>
      <c r="H919" s="194">
        <v>5232</v>
      </c>
      <c r="I919" s="195"/>
      <c r="J919" s="197"/>
      <c r="K919" s="53"/>
    </row>
    <row r="920" spans="1:11" ht="65.099999999999994" customHeight="1" x14ac:dyDescent="0.25">
      <c r="A920" s="191">
        <v>911</v>
      </c>
      <c r="B920" s="192"/>
      <c r="C920" s="192"/>
      <c r="D920" s="192"/>
      <c r="E920" s="53" t="s">
        <v>3143</v>
      </c>
      <c r="F920" s="193" t="s">
        <v>3361</v>
      </c>
      <c r="G920" s="193" t="s">
        <v>3363</v>
      </c>
      <c r="H920" s="194">
        <v>5232</v>
      </c>
      <c r="I920" s="195"/>
      <c r="J920" s="197"/>
      <c r="K920" s="53"/>
    </row>
    <row r="921" spans="1:11" ht="65.099999999999994" customHeight="1" x14ac:dyDescent="0.25">
      <c r="A921" s="191">
        <v>912</v>
      </c>
      <c r="B921" s="192"/>
      <c r="C921" s="192"/>
      <c r="D921" s="192"/>
      <c r="E921" s="53" t="s">
        <v>3144</v>
      </c>
      <c r="F921" s="193" t="s">
        <v>3361</v>
      </c>
      <c r="G921" s="193" t="s">
        <v>3363</v>
      </c>
      <c r="H921" s="194">
        <v>5232</v>
      </c>
      <c r="I921" s="195"/>
      <c r="J921" s="197"/>
      <c r="K921" s="53"/>
    </row>
    <row r="922" spans="1:11" ht="65.099999999999994" customHeight="1" x14ac:dyDescent="0.25">
      <c r="A922" s="191">
        <v>913</v>
      </c>
      <c r="B922" s="192"/>
      <c r="C922" s="192"/>
      <c r="D922" s="192"/>
      <c r="E922" s="53" t="s">
        <v>3145</v>
      </c>
      <c r="F922" s="193" t="s">
        <v>3361</v>
      </c>
      <c r="G922" s="193" t="s">
        <v>3363</v>
      </c>
      <c r="H922" s="194">
        <v>5232</v>
      </c>
      <c r="I922" s="195"/>
      <c r="J922" s="197"/>
      <c r="K922" s="53"/>
    </row>
    <row r="923" spans="1:11" ht="65.099999999999994" customHeight="1" x14ac:dyDescent="0.25">
      <c r="A923" s="191">
        <v>914</v>
      </c>
      <c r="B923" s="192"/>
      <c r="C923" s="192"/>
      <c r="D923" s="192"/>
      <c r="E923" s="53" t="s">
        <v>3146</v>
      </c>
      <c r="F923" s="193" t="s">
        <v>3361</v>
      </c>
      <c r="G923" s="193" t="s">
        <v>3363</v>
      </c>
      <c r="H923" s="194">
        <v>5232</v>
      </c>
      <c r="I923" s="195"/>
      <c r="J923" s="197"/>
      <c r="K923" s="53"/>
    </row>
    <row r="924" spans="1:11" ht="65.099999999999994" customHeight="1" x14ac:dyDescent="0.25">
      <c r="A924" s="191">
        <v>915</v>
      </c>
      <c r="B924" s="192"/>
      <c r="C924" s="192"/>
      <c r="D924" s="192"/>
      <c r="E924" s="53" t="s">
        <v>3147</v>
      </c>
      <c r="F924" s="193" t="s">
        <v>3361</v>
      </c>
      <c r="G924" s="193" t="s">
        <v>3363</v>
      </c>
      <c r="H924" s="194">
        <v>5232</v>
      </c>
      <c r="I924" s="195"/>
      <c r="J924" s="197"/>
      <c r="K924" s="53"/>
    </row>
    <row r="925" spans="1:11" ht="65.099999999999994" customHeight="1" x14ac:dyDescent="0.25">
      <c r="A925" s="191">
        <v>916</v>
      </c>
      <c r="B925" s="192"/>
      <c r="C925" s="192"/>
      <c r="D925" s="192"/>
      <c r="E925" s="53" t="s">
        <v>3148</v>
      </c>
      <c r="F925" s="193" t="s">
        <v>3361</v>
      </c>
      <c r="G925" s="193" t="s">
        <v>3363</v>
      </c>
      <c r="H925" s="194">
        <v>5232</v>
      </c>
      <c r="I925" s="195"/>
      <c r="J925" s="197"/>
      <c r="K925" s="53"/>
    </row>
    <row r="926" spans="1:11" ht="65.099999999999994" customHeight="1" x14ac:dyDescent="0.25">
      <c r="A926" s="191">
        <v>917</v>
      </c>
      <c r="B926" s="192"/>
      <c r="C926" s="192"/>
      <c r="D926" s="192"/>
      <c r="E926" s="53" t="s">
        <v>3149</v>
      </c>
      <c r="F926" s="193" t="s">
        <v>3361</v>
      </c>
      <c r="G926" s="193" t="s">
        <v>3363</v>
      </c>
      <c r="H926" s="194">
        <v>5232</v>
      </c>
      <c r="I926" s="195"/>
      <c r="J926" s="197"/>
      <c r="K926" s="53"/>
    </row>
    <row r="927" spans="1:11" ht="65.099999999999994" customHeight="1" x14ac:dyDescent="0.25">
      <c r="A927" s="191">
        <v>918</v>
      </c>
      <c r="B927" s="192"/>
      <c r="C927" s="192"/>
      <c r="D927" s="192"/>
      <c r="E927" s="53" t="s">
        <v>3150</v>
      </c>
      <c r="F927" s="193" t="s">
        <v>3361</v>
      </c>
      <c r="G927" s="193" t="s">
        <v>3363</v>
      </c>
      <c r="H927" s="194">
        <v>5232</v>
      </c>
      <c r="I927" s="195"/>
      <c r="J927" s="197"/>
      <c r="K927" s="53"/>
    </row>
    <row r="928" spans="1:11" ht="65.099999999999994" customHeight="1" x14ac:dyDescent="0.25">
      <c r="A928" s="191">
        <v>919</v>
      </c>
      <c r="B928" s="192"/>
      <c r="C928" s="192"/>
      <c r="D928" s="192"/>
      <c r="E928" s="53" t="s">
        <v>3151</v>
      </c>
      <c r="F928" s="193" t="s">
        <v>3361</v>
      </c>
      <c r="G928" s="193" t="s">
        <v>3363</v>
      </c>
      <c r="H928" s="194">
        <v>5232</v>
      </c>
      <c r="I928" s="195"/>
      <c r="J928" s="197"/>
      <c r="K928" s="53"/>
    </row>
    <row r="929" spans="1:11" ht="65.099999999999994" customHeight="1" x14ac:dyDescent="0.25">
      <c r="A929" s="191">
        <v>920</v>
      </c>
      <c r="B929" s="192"/>
      <c r="C929" s="192"/>
      <c r="D929" s="192"/>
      <c r="E929" s="53" t="s">
        <v>3152</v>
      </c>
      <c r="F929" s="193" t="s">
        <v>3361</v>
      </c>
      <c r="G929" s="193" t="s">
        <v>3363</v>
      </c>
      <c r="H929" s="194">
        <v>5232</v>
      </c>
      <c r="I929" s="195"/>
      <c r="J929" s="197"/>
      <c r="K929" s="53"/>
    </row>
    <row r="930" spans="1:11" ht="65.099999999999994" customHeight="1" x14ac:dyDescent="0.25">
      <c r="A930" s="191">
        <v>921</v>
      </c>
      <c r="B930" s="192"/>
      <c r="C930" s="192"/>
      <c r="D930" s="192"/>
      <c r="E930" s="53" t="s">
        <v>3153</v>
      </c>
      <c r="F930" s="193" t="s">
        <v>3361</v>
      </c>
      <c r="G930" s="193" t="s">
        <v>3363</v>
      </c>
      <c r="H930" s="194">
        <v>5232</v>
      </c>
      <c r="I930" s="195"/>
      <c r="J930" s="197"/>
      <c r="K930" s="53"/>
    </row>
    <row r="931" spans="1:11" ht="65.099999999999994" customHeight="1" x14ac:dyDescent="0.25">
      <c r="A931" s="191">
        <v>922</v>
      </c>
      <c r="B931" s="192"/>
      <c r="C931" s="192"/>
      <c r="D931" s="192"/>
      <c r="E931" s="53" t="s">
        <v>3154</v>
      </c>
      <c r="F931" s="193" t="s">
        <v>3361</v>
      </c>
      <c r="G931" s="193" t="s">
        <v>3363</v>
      </c>
      <c r="H931" s="194">
        <v>5232</v>
      </c>
      <c r="I931" s="195"/>
      <c r="J931" s="197"/>
      <c r="K931" s="53"/>
    </row>
    <row r="932" spans="1:11" ht="65.099999999999994" customHeight="1" x14ac:dyDescent="0.25">
      <c r="A932" s="191">
        <v>923</v>
      </c>
      <c r="B932" s="192"/>
      <c r="C932" s="192"/>
      <c r="D932" s="192"/>
      <c r="E932" s="53" t="s">
        <v>3155</v>
      </c>
      <c r="F932" s="193" t="s">
        <v>3361</v>
      </c>
      <c r="G932" s="193" t="s">
        <v>3363</v>
      </c>
      <c r="H932" s="194">
        <v>5232</v>
      </c>
      <c r="I932" s="195"/>
      <c r="J932" s="197"/>
      <c r="K932" s="53"/>
    </row>
    <row r="933" spans="1:11" ht="65.099999999999994" customHeight="1" x14ac:dyDescent="0.25">
      <c r="A933" s="191">
        <v>924</v>
      </c>
      <c r="B933" s="192"/>
      <c r="C933" s="192"/>
      <c r="D933" s="192"/>
      <c r="E933" s="53" t="s">
        <v>3156</v>
      </c>
      <c r="F933" s="193" t="s">
        <v>3361</v>
      </c>
      <c r="G933" s="193" t="s">
        <v>3363</v>
      </c>
      <c r="H933" s="194">
        <v>5232</v>
      </c>
      <c r="I933" s="195"/>
      <c r="J933" s="197"/>
      <c r="K933" s="53"/>
    </row>
    <row r="934" spans="1:11" ht="65.099999999999994" customHeight="1" x14ac:dyDescent="0.25">
      <c r="A934" s="191">
        <v>925</v>
      </c>
      <c r="B934" s="192"/>
      <c r="C934" s="192"/>
      <c r="D934" s="192"/>
      <c r="E934" s="53" t="s">
        <v>3157</v>
      </c>
      <c r="F934" s="193" t="s">
        <v>3361</v>
      </c>
      <c r="G934" s="193" t="s">
        <v>3363</v>
      </c>
      <c r="H934" s="194">
        <v>5232</v>
      </c>
      <c r="I934" s="195"/>
      <c r="J934" s="197"/>
      <c r="K934" s="53"/>
    </row>
    <row r="935" spans="1:11" ht="65.099999999999994" customHeight="1" x14ac:dyDescent="0.25">
      <c r="A935" s="191">
        <v>926</v>
      </c>
      <c r="B935" s="192"/>
      <c r="C935" s="192"/>
      <c r="D935" s="192"/>
      <c r="E935" s="53" t="s">
        <v>3158</v>
      </c>
      <c r="F935" s="193" t="s">
        <v>3361</v>
      </c>
      <c r="G935" s="193" t="s">
        <v>3363</v>
      </c>
      <c r="H935" s="194">
        <v>5232</v>
      </c>
      <c r="I935" s="195"/>
      <c r="J935" s="197"/>
      <c r="K935" s="53"/>
    </row>
    <row r="936" spans="1:11" ht="65.099999999999994" customHeight="1" x14ac:dyDescent="0.25">
      <c r="A936" s="191">
        <v>927</v>
      </c>
      <c r="B936" s="192"/>
      <c r="C936" s="192"/>
      <c r="D936" s="192"/>
      <c r="E936" s="53" t="s">
        <v>3159</v>
      </c>
      <c r="F936" s="193" t="s">
        <v>3361</v>
      </c>
      <c r="G936" s="193" t="s">
        <v>3363</v>
      </c>
      <c r="H936" s="194">
        <v>5232</v>
      </c>
      <c r="I936" s="195"/>
      <c r="J936" s="197"/>
      <c r="K936" s="53"/>
    </row>
    <row r="937" spans="1:11" ht="65.099999999999994" customHeight="1" x14ac:dyDescent="0.25">
      <c r="A937" s="191">
        <v>928</v>
      </c>
      <c r="B937" s="192"/>
      <c r="C937" s="192"/>
      <c r="D937" s="192"/>
      <c r="E937" s="53" t="s">
        <v>3160</v>
      </c>
      <c r="F937" s="193" t="s">
        <v>3361</v>
      </c>
      <c r="G937" s="193" t="s">
        <v>3363</v>
      </c>
      <c r="H937" s="194">
        <v>5232</v>
      </c>
      <c r="I937" s="195"/>
      <c r="J937" s="197"/>
      <c r="K937" s="53"/>
    </row>
    <row r="938" spans="1:11" ht="65.099999999999994" customHeight="1" x14ac:dyDescent="0.25">
      <c r="A938" s="191">
        <v>929</v>
      </c>
      <c r="B938" s="192"/>
      <c r="C938" s="192"/>
      <c r="D938" s="192"/>
      <c r="E938" s="53" t="s">
        <v>3161</v>
      </c>
      <c r="F938" s="193" t="s">
        <v>3361</v>
      </c>
      <c r="G938" s="193" t="s">
        <v>3363</v>
      </c>
      <c r="H938" s="194">
        <v>5232</v>
      </c>
      <c r="I938" s="195"/>
      <c r="J938" s="197"/>
      <c r="K938" s="53"/>
    </row>
    <row r="939" spans="1:11" ht="65.099999999999994" customHeight="1" x14ac:dyDescent="0.25">
      <c r="A939" s="191">
        <v>930</v>
      </c>
      <c r="B939" s="192"/>
      <c r="C939" s="192"/>
      <c r="D939" s="192"/>
      <c r="E939" s="53" t="s">
        <v>3162</v>
      </c>
      <c r="F939" s="193" t="s">
        <v>3361</v>
      </c>
      <c r="G939" s="193" t="s">
        <v>3363</v>
      </c>
      <c r="H939" s="194">
        <v>5232</v>
      </c>
      <c r="I939" s="195"/>
      <c r="J939" s="197"/>
      <c r="K939" s="53"/>
    </row>
    <row r="940" spans="1:11" ht="65.099999999999994" customHeight="1" x14ac:dyDescent="0.25">
      <c r="A940" s="191">
        <v>931</v>
      </c>
      <c r="B940" s="192"/>
      <c r="C940" s="192"/>
      <c r="D940" s="192"/>
      <c r="E940" s="53" t="s">
        <v>3163</v>
      </c>
      <c r="F940" s="193" t="s">
        <v>3361</v>
      </c>
      <c r="G940" s="193" t="s">
        <v>3363</v>
      </c>
      <c r="H940" s="194">
        <v>5232</v>
      </c>
      <c r="I940" s="195"/>
      <c r="J940" s="197"/>
      <c r="K940" s="53"/>
    </row>
    <row r="941" spans="1:11" ht="65.099999999999994" customHeight="1" x14ac:dyDescent="0.25">
      <c r="A941" s="191">
        <v>932</v>
      </c>
      <c r="B941" s="192"/>
      <c r="C941" s="192"/>
      <c r="D941" s="192"/>
      <c r="E941" s="53" t="s">
        <v>3164</v>
      </c>
      <c r="F941" s="193" t="s">
        <v>3361</v>
      </c>
      <c r="G941" s="193" t="s">
        <v>3363</v>
      </c>
      <c r="H941" s="194">
        <v>5232</v>
      </c>
      <c r="I941" s="195"/>
      <c r="J941" s="197"/>
      <c r="K941" s="53"/>
    </row>
    <row r="942" spans="1:11" ht="65.099999999999994" customHeight="1" x14ac:dyDescent="0.25">
      <c r="A942" s="191">
        <v>933</v>
      </c>
      <c r="B942" s="192"/>
      <c r="C942" s="192"/>
      <c r="D942" s="192"/>
      <c r="E942" s="53" t="s">
        <v>3165</v>
      </c>
      <c r="F942" s="193" t="s">
        <v>3361</v>
      </c>
      <c r="G942" s="193" t="s">
        <v>3363</v>
      </c>
      <c r="H942" s="194">
        <v>5232</v>
      </c>
      <c r="I942" s="195"/>
      <c r="J942" s="197"/>
      <c r="K942" s="53"/>
    </row>
    <row r="943" spans="1:11" ht="65.099999999999994" customHeight="1" x14ac:dyDescent="0.25">
      <c r="A943" s="191">
        <v>934</v>
      </c>
      <c r="B943" s="192"/>
      <c r="C943" s="192"/>
      <c r="D943" s="192"/>
      <c r="E943" s="53" t="s">
        <v>3166</v>
      </c>
      <c r="F943" s="193" t="s">
        <v>3361</v>
      </c>
      <c r="G943" s="193" t="s">
        <v>3363</v>
      </c>
      <c r="H943" s="194">
        <v>5232</v>
      </c>
      <c r="I943" s="195"/>
      <c r="J943" s="197"/>
      <c r="K943" s="53"/>
    </row>
    <row r="944" spans="1:11" ht="65.099999999999994" customHeight="1" x14ac:dyDescent="0.25">
      <c r="A944" s="191">
        <v>935</v>
      </c>
      <c r="B944" s="192"/>
      <c r="C944" s="192"/>
      <c r="D944" s="192"/>
      <c r="E944" s="53" t="s">
        <v>3167</v>
      </c>
      <c r="F944" s="193" t="s">
        <v>3361</v>
      </c>
      <c r="G944" s="193" t="s">
        <v>3363</v>
      </c>
      <c r="H944" s="194">
        <v>5232</v>
      </c>
      <c r="I944" s="195"/>
      <c r="J944" s="197"/>
      <c r="K944" s="53"/>
    </row>
    <row r="945" spans="1:11" ht="65.099999999999994" customHeight="1" x14ac:dyDescent="0.25">
      <c r="A945" s="191">
        <v>936</v>
      </c>
      <c r="B945" s="192"/>
      <c r="C945" s="192"/>
      <c r="D945" s="192"/>
      <c r="E945" s="53" t="s">
        <v>3168</v>
      </c>
      <c r="F945" s="193" t="s">
        <v>3361</v>
      </c>
      <c r="G945" s="193" t="s">
        <v>3363</v>
      </c>
      <c r="H945" s="194">
        <v>5232</v>
      </c>
      <c r="I945" s="195"/>
      <c r="J945" s="197"/>
      <c r="K945" s="53"/>
    </row>
    <row r="946" spans="1:11" ht="65.099999999999994" customHeight="1" x14ac:dyDescent="0.25">
      <c r="A946" s="191">
        <v>937</v>
      </c>
      <c r="B946" s="192"/>
      <c r="C946" s="192"/>
      <c r="D946" s="192"/>
      <c r="E946" s="53" t="s">
        <v>3169</v>
      </c>
      <c r="F946" s="193" t="s">
        <v>3361</v>
      </c>
      <c r="G946" s="193" t="s">
        <v>3363</v>
      </c>
      <c r="H946" s="194">
        <v>5232</v>
      </c>
      <c r="I946" s="195"/>
      <c r="J946" s="197"/>
      <c r="K946" s="53"/>
    </row>
    <row r="947" spans="1:11" ht="65.099999999999994" customHeight="1" x14ac:dyDescent="0.25">
      <c r="A947" s="191">
        <v>938</v>
      </c>
      <c r="B947" s="192"/>
      <c r="C947" s="192"/>
      <c r="D947" s="192"/>
      <c r="E947" s="53" t="s">
        <v>3170</v>
      </c>
      <c r="F947" s="193" t="s">
        <v>3361</v>
      </c>
      <c r="G947" s="193" t="s">
        <v>3363</v>
      </c>
      <c r="H947" s="194">
        <v>5232</v>
      </c>
      <c r="I947" s="195"/>
      <c r="J947" s="197"/>
      <c r="K947" s="53"/>
    </row>
    <row r="948" spans="1:11" ht="65.099999999999994" customHeight="1" x14ac:dyDescent="0.25">
      <c r="A948" s="191">
        <v>939</v>
      </c>
      <c r="B948" s="192"/>
      <c r="C948" s="192"/>
      <c r="D948" s="192"/>
      <c r="E948" s="53" t="s">
        <v>3171</v>
      </c>
      <c r="F948" s="193" t="s">
        <v>3361</v>
      </c>
      <c r="G948" s="193" t="s">
        <v>3363</v>
      </c>
      <c r="H948" s="194">
        <v>5232</v>
      </c>
      <c r="I948" s="195"/>
      <c r="J948" s="197"/>
      <c r="K948" s="53"/>
    </row>
    <row r="949" spans="1:11" ht="65.099999999999994" customHeight="1" x14ac:dyDescent="0.25">
      <c r="A949" s="191">
        <v>940</v>
      </c>
      <c r="B949" s="192"/>
      <c r="C949" s="192"/>
      <c r="D949" s="192"/>
      <c r="E949" s="53" t="s">
        <v>3172</v>
      </c>
      <c r="F949" s="193" t="s">
        <v>3361</v>
      </c>
      <c r="G949" s="193" t="s">
        <v>3363</v>
      </c>
      <c r="H949" s="194">
        <v>5232</v>
      </c>
      <c r="I949" s="195"/>
      <c r="J949" s="197"/>
      <c r="K949" s="53"/>
    </row>
    <row r="950" spans="1:11" ht="65.099999999999994" customHeight="1" x14ac:dyDescent="0.25">
      <c r="A950" s="191">
        <v>941</v>
      </c>
      <c r="B950" s="192"/>
      <c r="C950" s="192"/>
      <c r="D950" s="192"/>
      <c r="E950" s="53" t="s">
        <v>3173</v>
      </c>
      <c r="F950" s="193" t="s">
        <v>3361</v>
      </c>
      <c r="G950" s="193" t="s">
        <v>3363</v>
      </c>
      <c r="H950" s="194">
        <v>5232</v>
      </c>
      <c r="I950" s="195"/>
      <c r="J950" s="197"/>
      <c r="K950" s="53"/>
    </row>
    <row r="951" spans="1:11" ht="65.099999999999994" customHeight="1" x14ac:dyDescent="0.25">
      <c r="A951" s="191">
        <v>942</v>
      </c>
      <c r="B951" s="192"/>
      <c r="C951" s="192"/>
      <c r="D951" s="192"/>
      <c r="E951" s="53" t="s">
        <v>3174</v>
      </c>
      <c r="F951" s="193" t="s">
        <v>3361</v>
      </c>
      <c r="G951" s="193" t="s">
        <v>3363</v>
      </c>
      <c r="H951" s="194">
        <v>5232</v>
      </c>
      <c r="I951" s="195"/>
      <c r="J951" s="197"/>
      <c r="K951" s="53"/>
    </row>
    <row r="952" spans="1:11" ht="65.099999999999994" customHeight="1" x14ac:dyDescent="0.25">
      <c r="A952" s="191">
        <v>943</v>
      </c>
      <c r="B952" s="192"/>
      <c r="C952" s="192"/>
      <c r="D952" s="192"/>
      <c r="E952" s="53" t="s">
        <v>3175</v>
      </c>
      <c r="F952" s="193" t="s">
        <v>3361</v>
      </c>
      <c r="G952" s="193" t="s">
        <v>3363</v>
      </c>
      <c r="H952" s="194">
        <v>5232</v>
      </c>
      <c r="I952" s="195"/>
      <c r="J952" s="197"/>
      <c r="K952" s="53"/>
    </row>
    <row r="953" spans="1:11" ht="65.099999999999994" customHeight="1" x14ac:dyDescent="0.25">
      <c r="A953" s="191">
        <v>944</v>
      </c>
      <c r="B953" s="192"/>
      <c r="C953" s="192"/>
      <c r="D953" s="192"/>
      <c r="E953" s="53" t="s">
        <v>3176</v>
      </c>
      <c r="F953" s="193" t="s">
        <v>3361</v>
      </c>
      <c r="G953" s="193" t="s">
        <v>3363</v>
      </c>
      <c r="H953" s="194">
        <v>5232</v>
      </c>
      <c r="I953" s="195"/>
      <c r="J953" s="197"/>
      <c r="K953" s="53"/>
    </row>
    <row r="954" spans="1:11" ht="65.099999999999994" customHeight="1" x14ac:dyDescent="0.25">
      <c r="A954" s="191">
        <v>945</v>
      </c>
      <c r="B954" s="192"/>
      <c r="C954" s="192"/>
      <c r="D954" s="192"/>
      <c r="E954" s="53" t="s">
        <v>3177</v>
      </c>
      <c r="F954" s="193" t="s">
        <v>3361</v>
      </c>
      <c r="G954" s="193" t="s">
        <v>3363</v>
      </c>
      <c r="H954" s="194">
        <v>5232</v>
      </c>
      <c r="I954" s="195"/>
      <c r="J954" s="197"/>
      <c r="K954" s="53"/>
    </row>
    <row r="955" spans="1:11" ht="65.099999999999994" customHeight="1" x14ac:dyDescent="0.25">
      <c r="A955" s="191">
        <v>946</v>
      </c>
      <c r="B955" s="192"/>
      <c r="C955" s="192"/>
      <c r="D955" s="192"/>
      <c r="E955" s="53" t="s">
        <v>3178</v>
      </c>
      <c r="F955" s="193" t="s">
        <v>3361</v>
      </c>
      <c r="G955" s="193" t="s">
        <v>3363</v>
      </c>
      <c r="H955" s="194">
        <v>5232</v>
      </c>
      <c r="I955" s="195"/>
      <c r="J955" s="197"/>
      <c r="K955" s="53"/>
    </row>
    <row r="956" spans="1:11" ht="65.099999999999994" customHeight="1" x14ac:dyDescent="0.25">
      <c r="A956" s="191">
        <v>947</v>
      </c>
      <c r="B956" s="192"/>
      <c r="C956" s="192"/>
      <c r="D956" s="192"/>
      <c r="E956" s="53" t="s">
        <v>3179</v>
      </c>
      <c r="F956" s="193" t="s">
        <v>3361</v>
      </c>
      <c r="G956" s="193" t="s">
        <v>3363</v>
      </c>
      <c r="H956" s="194">
        <v>5232</v>
      </c>
      <c r="I956" s="195"/>
      <c r="J956" s="197"/>
      <c r="K956" s="53"/>
    </row>
    <row r="957" spans="1:11" ht="65.099999999999994" customHeight="1" x14ac:dyDescent="0.25">
      <c r="A957" s="191">
        <v>948</v>
      </c>
      <c r="B957" s="192"/>
      <c r="C957" s="192"/>
      <c r="D957" s="192"/>
      <c r="E957" s="53" t="s">
        <v>3180</v>
      </c>
      <c r="F957" s="193" t="s">
        <v>3361</v>
      </c>
      <c r="G957" s="193" t="s">
        <v>3363</v>
      </c>
      <c r="H957" s="194">
        <v>5232</v>
      </c>
      <c r="I957" s="195"/>
      <c r="J957" s="197"/>
      <c r="K957" s="53"/>
    </row>
    <row r="958" spans="1:11" ht="65.099999999999994" customHeight="1" x14ac:dyDescent="0.25">
      <c r="A958" s="191">
        <v>949</v>
      </c>
      <c r="B958" s="192"/>
      <c r="C958" s="192"/>
      <c r="D958" s="192"/>
      <c r="E958" s="53" t="s">
        <v>3181</v>
      </c>
      <c r="F958" s="193" t="s">
        <v>3361</v>
      </c>
      <c r="G958" s="193" t="s">
        <v>3363</v>
      </c>
      <c r="H958" s="194">
        <v>5232</v>
      </c>
      <c r="I958" s="195"/>
      <c r="J958" s="197"/>
      <c r="K958" s="53"/>
    </row>
    <row r="959" spans="1:11" ht="65.099999999999994" customHeight="1" x14ac:dyDescent="0.25">
      <c r="A959" s="191">
        <v>950</v>
      </c>
      <c r="B959" s="192"/>
      <c r="C959" s="192"/>
      <c r="D959" s="192"/>
      <c r="E959" s="53" t="s">
        <v>3182</v>
      </c>
      <c r="F959" s="193" t="s">
        <v>3361</v>
      </c>
      <c r="G959" s="193" t="s">
        <v>3363</v>
      </c>
      <c r="H959" s="194">
        <v>5232</v>
      </c>
      <c r="I959" s="195"/>
      <c r="J959" s="197"/>
      <c r="K959" s="53"/>
    </row>
    <row r="960" spans="1:11" ht="65.099999999999994" customHeight="1" x14ac:dyDescent="0.25">
      <c r="A960" s="191">
        <v>951</v>
      </c>
      <c r="B960" s="192"/>
      <c r="C960" s="192"/>
      <c r="D960" s="192"/>
      <c r="E960" s="53" t="s">
        <v>3183</v>
      </c>
      <c r="F960" s="193" t="s">
        <v>3361</v>
      </c>
      <c r="G960" s="193" t="s">
        <v>3363</v>
      </c>
      <c r="H960" s="194">
        <v>5232</v>
      </c>
      <c r="I960" s="195"/>
      <c r="J960" s="197"/>
      <c r="K960" s="53"/>
    </row>
    <row r="961" spans="1:11" ht="65.099999999999994" customHeight="1" x14ac:dyDescent="0.25">
      <c r="A961" s="191">
        <v>952</v>
      </c>
      <c r="B961" s="192"/>
      <c r="C961" s="192"/>
      <c r="D961" s="192"/>
      <c r="E961" s="53" t="s">
        <v>3184</v>
      </c>
      <c r="F961" s="193" t="s">
        <v>3361</v>
      </c>
      <c r="G961" s="193" t="s">
        <v>3363</v>
      </c>
      <c r="H961" s="194">
        <v>5232</v>
      </c>
      <c r="I961" s="195"/>
      <c r="J961" s="197"/>
      <c r="K961" s="53"/>
    </row>
    <row r="962" spans="1:11" ht="65.099999999999994" customHeight="1" x14ac:dyDescent="0.25">
      <c r="A962" s="191">
        <v>953</v>
      </c>
      <c r="B962" s="192"/>
      <c r="C962" s="192"/>
      <c r="D962" s="192"/>
      <c r="E962" s="53" t="s">
        <v>3185</v>
      </c>
      <c r="F962" s="193" t="s">
        <v>3361</v>
      </c>
      <c r="G962" s="193" t="s">
        <v>3363</v>
      </c>
      <c r="H962" s="194">
        <v>5232</v>
      </c>
      <c r="I962" s="195"/>
      <c r="J962" s="197"/>
      <c r="K962" s="53"/>
    </row>
    <row r="963" spans="1:11" ht="65.099999999999994" customHeight="1" x14ac:dyDescent="0.25">
      <c r="A963" s="191">
        <v>954</v>
      </c>
      <c r="B963" s="192"/>
      <c r="C963" s="192"/>
      <c r="D963" s="192"/>
      <c r="E963" s="53" t="s">
        <v>3186</v>
      </c>
      <c r="F963" s="193" t="s">
        <v>3361</v>
      </c>
      <c r="G963" s="193" t="s">
        <v>3363</v>
      </c>
      <c r="H963" s="194">
        <v>5232</v>
      </c>
      <c r="I963" s="195"/>
      <c r="J963" s="197"/>
      <c r="K963" s="53"/>
    </row>
    <row r="964" spans="1:11" ht="65.099999999999994" customHeight="1" x14ac:dyDescent="0.25">
      <c r="A964" s="191">
        <v>955</v>
      </c>
      <c r="B964" s="192"/>
      <c r="C964" s="192"/>
      <c r="D964" s="192"/>
      <c r="E964" s="53" t="s">
        <v>3187</v>
      </c>
      <c r="F964" s="193" t="s">
        <v>3361</v>
      </c>
      <c r="G964" s="193" t="s">
        <v>3363</v>
      </c>
      <c r="H964" s="194">
        <v>5232</v>
      </c>
      <c r="I964" s="195"/>
      <c r="J964" s="197"/>
      <c r="K964" s="53"/>
    </row>
    <row r="965" spans="1:11" ht="65.099999999999994" customHeight="1" x14ac:dyDescent="0.25">
      <c r="A965" s="191">
        <v>956</v>
      </c>
      <c r="B965" s="192"/>
      <c r="C965" s="192"/>
      <c r="D965" s="192"/>
      <c r="E965" s="53" t="s">
        <v>3188</v>
      </c>
      <c r="F965" s="193" t="s">
        <v>3361</v>
      </c>
      <c r="G965" s="193" t="s">
        <v>3363</v>
      </c>
      <c r="H965" s="194">
        <v>5232</v>
      </c>
      <c r="I965" s="195"/>
      <c r="J965" s="197"/>
      <c r="K965" s="53"/>
    </row>
    <row r="966" spans="1:11" ht="65.099999999999994" customHeight="1" x14ac:dyDescent="0.25">
      <c r="A966" s="191">
        <v>957</v>
      </c>
      <c r="B966" s="192"/>
      <c r="C966" s="192"/>
      <c r="D966" s="192"/>
      <c r="E966" s="53" t="s">
        <v>3189</v>
      </c>
      <c r="F966" s="193" t="s">
        <v>3361</v>
      </c>
      <c r="G966" s="193" t="s">
        <v>3363</v>
      </c>
      <c r="H966" s="194">
        <v>5232</v>
      </c>
      <c r="I966" s="195"/>
      <c r="J966" s="197"/>
      <c r="K966" s="53"/>
    </row>
    <row r="967" spans="1:11" ht="65.099999999999994" customHeight="1" x14ac:dyDescent="0.25">
      <c r="A967" s="191">
        <v>958</v>
      </c>
      <c r="B967" s="192"/>
      <c r="C967" s="192"/>
      <c r="D967" s="192"/>
      <c r="E967" s="53" t="s">
        <v>3190</v>
      </c>
      <c r="F967" s="193" t="s">
        <v>3361</v>
      </c>
      <c r="G967" s="193" t="s">
        <v>3363</v>
      </c>
      <c r="H967" s="194">
        <v>5232</v>
      </c>
      <c r="I967" s="195"/>
      <c r="J967" s="197"/>
      <c r="K967" s="53"/>
    </row>
    <row r="968" spans="1:11" ht="65.099999999999994" customHeight="1" x14ac:dyDescent="0.25">
      <c r="A968" s="191">
        <v>959</v>
      </c>
      <c r="B968" s="192"/>
      <c r="C968" s="192"/>
      <c r="D968" s="192"/>
      <c r="E968" s="53" t="s">
        <v>3191</v>
      </c>
      <c r="F968" s="193" t="s">
        <v>3361</v>
      </c>
      <c r="G968" s="193" t="s">
        <v>3363</v>
      </c>
      <c r="H968" s="194">
        <v>5232</v>
      </c>
      <c r="I968" s="195"/>
      <c r="J968" s="197"/>
      <c r="K968" s="53"/>
    </row>
    <row r="969" spans="1:11" ht="65.099999999999994" customHeight="1" x14ac:dyDescent="0.25">
      <c r="A969" s="191">
        <v>960</v>
      </c>
      <c r="B969" s="192"/>
      <c r="C969" s="192"/>
      <c r="D969" s="192"/>
      <c r="E969" s="53" t="s">
        <v>3192</v>
      </c>
      <c r="F969" s="193" t="s">
        <v>3361</v>
      </c>
      <c r="G969" s="193" t="s">
        <v>3363</v>
      </c>
      <c r="H969" s="194">
        <v>5232</v>
      </c>
      <c r="I969" s="195"/>
      <c r="J969" s="197"/>
      <c r="K969" s="53"/>
    </row>
    <row r="970" spans="1:11" ht="65.099999999999994" customHeight="1" x14ac:dyDescent="0.25">
      <c r="A970" s="191">
        <v>961</v>
      </c>
      <c r="B970" s="192"/>
      <c r="C970" s="192"/>
      <c r="D970" s="192"/>
      <c r="E970" s="53" t="s">
        <v>3193</v>
      </c>
      <c r="F970" s="193" t="s">
        <v>3361</v>
      </c>
      <c r="G970" s="193" t="s">
        <v>3363</v>
      </c>
      <c r="H970" s="194">
        <v>5232</v>
      </c>
      <c r="I970" s="195"/>
      <c r="J970" s="197"/>
      <c r="K970" s="53"/>
    </row>
    <row r="971" spans="1:11" ht="65.099999999999994" customHeight="1" x14ac:dyDescent="0.25">
      <c r="A971" s="191">
        <v>962</v>
      </c>
      <c r="B971" s="192"/>
      <c r="C971" s="192"/>
      <c r="D971" s="192"/>
      <c r="E971" s="53" t="s">
        <v>3194</v>
      </c>
      <c r="F971" s="193" t="s">
        <v>3361</v>
      </c>
      <c r="G971" s="193" t="s">
        <v>3363</v>
      </c>
      <c r="H971" s="194">
        <v>5232</v>
      </c>
      <c r="I971" s="195"/>
      <c r="J971" s="197"/>
      <c r="K971" s="53"/>
    </row>
    <row r="972" spans="1:11" ht="65.099999999999994" customHeight="1" x14ac:dyDescent="0.25">
      <c r="A972" s="191">
        <v>963</v>
      </c>
      <c r="B972" s="192"/>
      <c r="C972" s="192"/>
      <c r="D972" s="192"/>
      <c r="E972" s="53" t="s">
        <v>3195</v>
      </c>
      <c r="F972" s="193" t="s">
        <v>3361</v>
      </c>
      <c r="G972" s="193" t="s">
        <v>3363</v>
      </c>
      <c r="H972" s="194">
        <v>5232</v>
      </c>
      <c r="I972" s="195"/>
      <c r="J972" s="197"/>
      <c r="K972" s="53"/>
    </row>
    <row r="973" spans="1:11" ht="65.099999999999994" customHeight="1" x14ac:dyDescent="0.25">
      <c r="A973" s="191">
        <v>964</v>
      </c>
      <c r="B973" s="192"/>
      <c r="C973" s="192"/>
      <c r="D973" s="192"/>
      <c r="E973" s="53" t="s">
        <v>3196</v>
      </c>
      <c r="F973" s="193" t="s">
        <v>3361</v>
      </c>
      <c r="G973" s="193" t="s">
        <v>3363</v>
      </c>
      <c r="H973" s="194">
        <v>5232</v>
      </c>
      <c r="I973" s="195"/>
      <c r="J973" s="197"/>
      <c r="K973" s="53"/>
    </row>
    <row r="974" spans="1:11" ht="65.099999999999994" customHeight="1" x14ac:dyDescent="0.25">
      <c r="A974" s="191">
        <v>965</v>
      </c>
      <c r="B974" s="192"/>
      <c r="C974" s="192"/>
      <c r="D974" s="192"/>
      <c r="E974" s="53" t="s">
        <v>3197</v>
      </c>
      <c r="F974" s="193" t="s">
        <v>3361</v>
      </c>
      <c r="G974" s="193" t="s">
        <v>3363</v>
      </c>
      <c r="H974" s="194">
        <v>5232</v>
      </c>
      <c r="I974" s="195"/>
      <c r="J974" s="197"/>
      <c r="K974" s="53"/>
    </row>
    <row r="975" spans="1:11" ht="65.099999999999994" customHeight="1" x14ac:dyDescent="0.25">
      <c r="A975" s="191">
        <v>966</v>
      </c>
      <c r="B975" s="192"/>
      <c r="C975" s="192"/>
      <c r="D975" s="192"/>
      <c r="E975" s="53" t="s">
        <v>3198</v>
      </c>
      <c r="F975" s="193" t="s">
        <v>3361</v>
      </c>
      <c r="G975" s="193" t="s">
        <v>3363</v>
      </c>
      <c r="H975" s="194">
        <v>5232</v>
      </c>
      <c r="I975" s="195"/>
      <c r="J975" s="197"/>
      <c r="K975" s="53"/>
    </row>
    <row r="976" spans="1:11" ht="65.099999999999994" customHeight="1" x14ac:dyDescent="0.25">
      <c r="A976" s="191">
        <v>967</v>
      </c>
      <c r="B976" s="192"/>
      <c r="C976" s="192"/>
      <c r="D976" s="192"/>
      <c r="E976" s="53" t="s">
        <v>3199</v>
      </c>
      <c r="F976" s="193" t="s">
        <v>3361</v>
      </c>
      <c r="G976" s="193" t="s">
        <v>3363</v>
      </c>
      <c r="H976" s="194">
        <v>5232</v>
      </c>
      <c r="I976" s="195"/>
      <c r="J976" s="197"/>
      <c r="K976" s="53"/>
    </row>
    <row r="977" spans="1:11" ht="65.099999999999994" customHeight="1" x14ac:dyDescent="0.25">
      <c r="A977" s="191">
        <v>968</v>
      </c>
      <c r="B977" s="192"/>
      <c r="C977" s="192"/>
      <c r="D977" s="192"/>
      <c r="E977" s="53" t="s">
        <v>3200</v>
      </c>
      <c r="F977" s="193" t="s">
        <v>3361</v>
      </c>
      <c r="G977" s="193" t="s">
        <v>3363</v>
      </c>
      <c r="H977" s="194">
        <v>5232</v>
      </c>
      <c r="I977" s="195"/>
      <c r="J977" s="197"/>
      <c r="K977" s="53"/>
    </row>
    <row r="978" spans="1:11" ht="65.099999999999994" customHeight="1" x14ac:dyDescent="0.25">
      <c r="A978" s="191">
        <v>969</v>
      </c>
      <c r="B978" s="192"/>
      <c r="C978" s="192"/>
      <c r="D978" s="192"/>
      <c r="E978" s="53" t="s">
        <v>3201</v>
      </c>
      <c r="F978" s="193" t="s">
        <v>3361</v>
      </c>
      <c r="G978" s="193" t="s">
        <v>3363</v>
      </c>
      <c r="H978" s="194">
        <v>5232</v>
      </c>
      <c r="I978" s="195"/>
      <c r="J978" s="197"/>
      <c r="K978" s="53"/>
    </row>
    <row r="979" spans="1:11" ht="65.099999999999994" customHeight="1" x14ac:dyDescent="0.25">
      <c r="A979" s="191">
        <v>970</v>
      </c>
      <c r="B979" s="192"/>
      <c r="C979" s="192"/>
      <c r="D979" s="192"/>
      <c r="E979" s="53" t="s">
        <v>3202</v>
      </c>
      <c r="F979" s="193" t="s">
        <v>3361</v>
      </c>
      <c r="G979" s="193" t="s">
        <v>3363</v>
      </c>
      <c r="H979" s="194">
        <v>5232</v>
      </c>
      <c r="I979" s="195"/>
      <c r="J979" s="197"/>
      <c r="K979" s="53"/>
    </row>
    <row r="980" spans="1:11" ht="65.099999999999994" customHeight="1" x14ac:dyDescent="0.25">
      <c r="A980" s="191">
        <v>971</v>
      </c>
      <c r="B980" s="192"/>
      <c r="C980" s="192"/>
      <c r="D980" s="192"/>
      <c r="E980" s="53" t="s">
        <v>3203</v>
      </c>
      <c r="F980" s="193" t="s">
        <v>3361</v>
      </c>
      <c r="G980" s="193" t="s">
        <v>3363</v>
      </c>
      <c r="H980" s="194">
        <v>5232</v>
      </c>
      <c r="I980" s="195"/>
      <c r="J980" s="197"/>
      <c r="K980" s="53"/>
    </row>
    <row r="981" spans="1:11" ht="65.099999999999994" customHeight="1" x14ac:dyDescent="0.25">
      <c r="A981" s="191">
        <v>972</v>
      </c>
      <c r="B981" s="192"/>
      <c r="C981" s="192"/>
      <c r="D981" s="192"/>
      <c r="E981" s="53" t="s">
        <v>3204</v>
      </c>
      <c r="F981" s="193" t="s">
        <v>3361</v>
      </c>
      <c r="G981" s="193" t="s">
        <v>3363</v>
      </c>
      <c r="H981" s="194">
        <v>5232</v>
      </c>
      <c r="I981" s="195"/>
      <c r="J981" s="197"/>
      <c r="K981" s="53"/>
    </row>
    <row r="982" spans="1:11" ht="65.099999999999994" customHeight="1" x14ac:dyDescent="0.25">
      <c r="A982" s="191">
        <v>973</v>
      </c>
      <c r="B982" s="192"/>
      <c r="C982" s="192"/>
      <c r="D982" s="192"/>
      <c r="E982" s="53" t="s">
        <v>3205</v>
      </c>
      <c r="F982" s="193" t="s">
        <v>3361</v>
      </c>
      <c r="G982" s="193" t="s">
        <v>3363</v>
      </c>
      <c r="H982" s="194">
        <v>5232</v>
      </c>
      <c r="I982" s="195"/>
      <c r="J982" s="197"/>
      <c r="K982" s="53"/>
    </row>
    <row r="983" spans="1:11" ht="65.099999999999994" customHeight="1" x14ac:dyDescent="0.25">
      <c r="A983" s="191">
        <v>974</v>
      </c>
      <c r="B983" s="192"/>
      <c r="C983" s="192"/>
      <c r="D983" s="192"/>
      <c r="E983" s="53" t="s">
        <v>3206</v>
      </c>
      <c r="F983" s="193" t="s">
        <v>2228</v>
      </c>
      <c r="G983" s="193" t="s">
        <v>3363</v>
      </c>
      <c r="H983" s="194">
        <v>5232</v>
      </c>
      <c r="I983" s="195"/>
      <c r="J983" s="197"/>
      <c r="K983" s="53"/>
    </row>
    <row r="984" spans="1:11" ht="65.099999999999994" customHeight="1" x14ac:dyDescent="0.25">
      <c r="A984" s="191">
        <v>975</v>
      </c>
      <c r="B984" s="192"/>
      <c r="C984" s="192"/>
      <c r="D984" s="192"/>
      <c r="E984" s="53" t="s">
        <v>3207</v>
      </c>
      <c r="F984" s="193" t="s">
        <v>2228</v>
      </c>
      <c r="G984" s="193" t="s">
        <v>3363</v>
      </c>
      <c r="H984" s="194">
        <v>5232</v>
      </c>
      <c r="I984" s="195"/>
      <c r="J984" s="197"/>
      <c r="K984" s="53"/>
    </row>
    <row r="985" spans="1:11" ht="65.099999999999994" customHeight="1" x14ac:dyDescent="0.25">
      <c r="A985" s="191">
        <v>976</v>
      </c>
      <c r="B985" s="192"/>
      <c r="C985" s="192"/>
      <c r="D985" s="192"/>
      <c r="E985" s="53" t="s">
        <v>3208</v>
      </c>
      <c r="F985" s="193" t="s">
        <v>2228</v>
      </c>
      <c r="G985" s="193" t="s">
        <v>3363</v>
      </c>
      <c r="H985" s="194">
        <v>5232</v>
      </c>
      <c r="I985" s="195"/>
      <c r="J985" s="197"/>
      <c r="K985" s="53"/>
    </row>
    <row r="986" spans="1:11" ht="65.099999999999994" customHeight="1" x14ac:dyDescent="0.25">
      <c r="A986" s="191">
        <v>977</v>
      </c>
      <c r="B986" s="192"/>
      <c r="C986" s="192"/>
      <c r="D986" s="192"/>
      <c r="E986" s="53" t="s">
        <v>3209</v>
      </c>
      <c r="F986" s="193" t="s">
        <v>2228</v>
      </c>
      <c r="G986" s="193" t="s">
        <v>3363</v>
      </c>
      <c r="H986" s="194">
        <v>5232</v>
      </c>
      <c r="I986" s="195"/>
      <c r="J986" s="197"/>
      <c r="K986" s="53"/>
    </row>
    <row r="987" spans="1:11" ht="65.099999999999994" customHeight="1" x14ac:dyDescent="0.25">
      <c r="A987" s="191">
        <v>978</v>
      </c>
      <c r="B987" s="192"/>
      <c r="C987" s="192"/>
      <c r="D987" s="192"/>
      <c r="E987" s="53" t="s">
        <v>3210</v>
      </c>
      <c r="F987" s="193" t="s">
        <v>2228</v>
      </c>
      <c r="G987" s="193" t="s">
        <v>3363</v>
      </c>
      <c r="H987" s="194">
        <v>5232</v>
      </c>
      <c r="I987" s="195"/>
      <c r="J987" s="197"/>
      <c r="K987" s="53"/>
    </row>
    <row r="988" spans="1:11" ht="65.099999999999994" customHeight="1" x14ac:dyDescent="0.25">
      <c r="A988" s="191">
        <v>979</v>
      </c>
      <c r="B988" s="192"/>
      <c r="C988" s="192"/>
      <c r="D988" s="192"/>
      <c r="E988" s="53" t="s">
        <v>3211</v>
      </c>
      <c r="F988" s="193" t="s">
        <v>2228</v>
      </c>
      <c r="G988" s="193" t="s">
        <v>3363</v>
      </c>
      <c r="H988" s="194">
        <v>5232</v>
      </c>
      <c r="I988" s="195"/>
      <c r="J988" s="197"/>
      <c r="K988" s="53"/>
    </row>
    <row r="989" spans="1:11" ht="65.099999999999994" customHeight="1" x14ac:dyDescent="0.25">
      <c r="A989" s="191">
        <v>980</v>
      </c>
      <c r="B989" s="192"/>
      <c r="C989" s="192"/>
      <c r="D989" s="192"/>
      <c r="E989" s="53" t="s">
        <v>3212</v>
      </c>
      <c r="F989" s="193" t="s">
        <v>2228</v>
      </c>
      <c r="G989" s="193" t="s">
        <v>3363</v>
      </c>
      <c r="H989" s="194">
        <v>5232</v>
      </c>
      <c r="I989" s="195"/>
      <c r="J989" s="197"/>
      <c r="K989" s="53"/>
    </row>
    <row r="990" spans="1:11" ht="65.099999999999994" customHeight="1" x14ac:dyDescent="0.25">
      <c r="A990" s="191">
        <v>981</v>
      </c>
      <c r="B990" s="192"/>
      <c r="C990" s="192"/>
      <c r="D990" s="192"/>
      <c r="E990" s="53" t="s">
        <v>3213</v>
      </c>
      <c r="F990" s="193" t="s">
        <v>2228</v>
      </c>
      <c r="G990" s="193" t="s">
        <v>3363</v>
      </c>
      <c r="H990" s="194">
        <v>5232</v>
      </c>
      <c r="I990" s="195"/>
      <c r="J990" s="197"/>
      <c r="K990" s="53"/>
    </row>
    <row r="991" spans="1:11" ht="65.099999999999994" customHeight="1" x14ac:dyDescent="0.25">
      <c r="A991" s="191">
        <v>982</v>
      </c>
      <c r="B991" s="192"/>
      <c r="C991" s="192"/>
      <c r="D991" s="192"/>
      <c r="E991" s="53" t="s">
        <v>3214</v>
      </c>
      <c r="F991" s="193" t="s">
        <v>2228</v>
      </c>
      <c r="G991" s="193" t="s">
        <v>3363</v>
      </c>
      <c r="H991" s="194">
        <v>5232</v>
      </c>
      <c r="I991" s="195"/>
      <c r="J991" s="197"/>
      <c r="K991" s="53"/>
    </row>
    <row r="992" spans="1:11" ht="65.099999999999994" customHeight="1" x14ac:dyDescent="0.25">
      <c r="A992" s="191">
        <v>983</v>
      </c>
      <c r="B992" s="192"/>
      <c r="C992" s="192"/>
      <c r="D992" s="192"/>
      <c r="E992" s="53" t="s">
        <v>3215</v>
      </c>
      <c r="F992" s="193" t="s">
        <v>2228</v>
      </c>
      <c r="G992" s="193" t="s">
        <v>3363</v>
      </c>
      <c r="H992" s="194">
        <v>5232</v>
      </c>
      <c r="I992" s="195"/>
      <c r="J992" s="197"/>
      <c r="K992" s="53"/>
    </row>
    <row r="993" spans="1:11" ht="65.099999999999994" customHeight="1" x14ac:dyDescent="0.25">
      <c r="A993" s="191">
        <v>984</v>
      </c>
      <c r="B993" s="192"/>
      <c r="C993" s="192"/>
      <c r="D993" s="192"/>
      <c r="E993" s="53" t="s">
        <v>3216</v>
      </c>
      <c r="F993" s="193" t="s">
        <v>2228</v>
      </c>
      <c r="G993" s="193" t="s">
        <v>3363</v>
      </c>
      <c r="H993" s="194">
        <v>5232</v>
      </c>
      <c r="I993" s="195"/>
      <c r="J993" s="197"/>
      <c r="K993" s="53"/>
    </row>
    <row r="994" spans="1:11" ht="65.099999999999994" customHeight="1" x14ac:dyDescent="0.25">
      <c r="A994" s="191">
        <v>985</v>
      </c>
      <c r="B994" s="192"/>
      <c r="C994" s="192"/>
      <c r="D994" s="192"/>
      <c r="E994" s="53" t="s">
        <v>3217</v>
      </c>
      <c r="F994" s="193" t="s">
        <v>2228</v>
      </c>
      <c r="G994" s="193" t="s">
        <v>3363</v>
      </c>
      <c r="H994" s="194">
        <v>5232</v>
      </c>
      <c r="I994" s="195"/>
      <c r="J994" s="197"/>
      <c r="K994" s="53"/>
    </row>
    <row r="995" spans="1:11" ht="65.099999999999994" customHeight="1" x14ac:dyDescent="0.25">
      <c r="A995" s="191">
        <v>986</v>
      </c>
      <c r="B995" s="192"/>
      <c r="C995" s="192"/>
      <c r="D995" s="192"/>
      <c r="E995" s="53" t="s">
        <v>3218</v>
      </c>
      <c r="F995" s="193" t="s">
        <v>2228</v>
      </c>
      <c r="G995" s="193" t="s">
        <v>3363</v>
      </c>
      <c r="H995" s="194">
        <v>5232</v>
      </c>
      <c r="I995" s="195"/>
      <c r="J995" s="197"/>
      <c r="K995" s="53"/>
    </row>
    <row r="996" spans="1:11" ht="65.099999999999994" customHeight="1" x14ac:dyDescent="0.25">
      <c r="A996" s="191">
        <v>987</v>
      </c>
      <c r="B996" s="192"/>
      <c r="C996" s="192"/>
      <c r="D996" s="192"/>
      <c r="E996" s="53" t="s">
        <v>3219</v>
      </c>
      <c r="F996" s="193" t="s">
        <v>2228</v>
      </c>
      <c r="G996" s="193" t="s">
        <v>3363</v>
      </c>
      <c r="H996" s="194">
        <v>5232</v>
      </c>
      <c r="I996" s="195"/>
      <c r="J996" s="197"/>
      <c r="K996" s="53"/>
    </row>
    <row r="997" spans="1:11" ht="65.099999999999994" customHeight="1" x14ac:dyDescent="0.25">
      <c r="A997" s="191">
        <v>988</v>
      </c>
      <c r="B997" s="192"/>
      <c r="C997" s="192"/>
      <c r="D997" s="192"/>
      <c r="E997" s="53" t="s">
        <v>3220</v>
      </c>
      <c r="F997" s="193" t="s">
        <v>2228</v>
      </c>
      <c r="G997" s="193" t="s">
        <v>3363</v>
      </c>
      <c r="H997" s="194">
        <v>5232</v>
      </c>
      <c r="I997" s="195"/>
      <c r="J997" s="197"/>
      <c r="K997" s="53"/>
    </row>
    <row r="998" spans="1:11" ht="65.099999999999994" customHeight="1" x14ac:dyDescent="0.25">
      <c r="A998" s="191">
        <v>989</v>
      </c>
      <c r="B998" s="192"/>
      <c r="C998" s="192"/>
      <c r="D998" s="192"/>
      <c r="E998" s="53" t="s">
        <v>3221</v>
      </c>
      <c r="F998" s="193" t="s">
        <v>2228</v>
      </c>
      <c r="G998" s="193" t="s">
        <v>3363</v>
      </c>
      <c r="H998" s="194">
        <v>5232</v>
      </c>
      <c r="I998" s="195"/>
      <c r="J998" s="197"/>
      <c r="K998" s="53"/>
    </row>
    <row r="999" spans="1:11" ht="65.099999999999994" customHeight="1" x14ac:dyDescent="0.25">
      <c r="A999" s="191">
        <v>990</v>
      </c>
      <c r="B999" s="192"/>
      <c r="C999" s="192"/>
      <c r="D999" s="192"/>
      <c r="E999" s="53" t="s">
        <v>3222</v>
      </c>
      <c r="F999" s="193" t="s">
        <v>2228</v>
      </c>
      <c r="G999" s="193" t="s">
        <v>3363</v>
      </c>
      <c r="H999" s="194">
        <v>5232</v>
      </c>
      <c r="I999" s="195"/>
      <c r="J999" s="197"/>
      <c r="K999" s="53"/>
    </row>
    <row r="1000" spans="1:11" ht="65.099999999999994" customHeight="1" x14ac:dyDescent="0.25">
      <c r="A1000" s="191">
        <v>991</v>
      </c>
      <c r="B1000" s="192"/>
      <c r="C1000" s="192"/>
      <c r="D1000" s="192"/>
      <c r="E1000" s="53" t="s">
        <v>3223</v>
      </c>
      <c r="F1000" s="193" t="s">
        <v>2228</v>
      </c>
      <c r="G1000" s="193" t="s">
        <v>3363</v>
      </c>
      <c r="H1000" s="194">
        <v>5232</v>
      </c>
      <c r="I1000" s="195"/>
      <c r="J1000" s="197"/>
      <c r="K1000" s="53"/>
    </row>
    <row r="1001" spans="1:11" ht="65.099999999999994" customHeight="1" x14ac:dyDescent="0.25">
      <c r="A1001" s="191">
        <v>992</v>
      </c>
      <c r="B1001" s="192"/>
      <c r="C1001" s="192"/>
      <c r="D1001" s="192"/>
      <c r="E1001" s="53" t="s">
        <v>3224</v>
      </c>
      <c r="F1001" s="193" t="s">
        <v>2228</v>
      </c>
      <c r="G1001" s="193" t="s">
        <v>3363</v>
      </c>
      <c r="H1001" s="194">
        <v>5232</v>
      </c>
      <c r="I1001" s="195"/>
      <c r="J1001" s="197"/>
      <c r="K1001" s="53"/>
    </row>
    <row r="1002" spans="1:11" ht="65.099999999999994" customHeight="1" x14ac:dyDescent="0.25">
      <c r="A1002" s="191">
        <v>993</v>
      </c>
      <c r="B1002" s="192"/>
      <c r="C1002" s="192"/>
      <c r="D1002" s="192"/>
      <c r="E1002" s="53" t="s">
        <v>3225</v>
      </c>
      <c r="F1002" s="193" t="s">
        <v>2228</v>
      </c>
      <c r="G1002" s="193" t="s">
        <v>3363</v>
      </c>
      <c r="H1002" s="194">
        <v>5232</v>
      </c>
      <c r="I1002" s="195"/>
      <c r="J1002" s="197"/>
      <c r="K1002" s="53"/>
    </row>
    <row r="1003" spans="1:11" ht="65.099999999999994" customHeight="1" x14ac:dyDescent="0.25">
      <c r="A1003" s="191">
        <v>994</v>
      </c>
      <c r="B1003" s="192"/>
      <c r="C1003" s="192"/>
      <c r="D1003" s="192"/>
      <c r="E1003" s="53" t="s">
        <v>3226</v>
      </c>
      <c r="F1003" s="193" t="s">
        <v>2228</v>
      </c>
      <c r="G1003" s="193" t="s">
        <v>3363</v>
      </c>
      <c r="H1003" s="194">
        <v>5232</v>
      </c>
      <c r="I1003" s="195"/>
      <c r="J1003" s="197"/>
      <c r="K1003" s="53"/>
    </row>
    <row r="1004" spans="1:11" ht="65.099999999999994" customHeight="1" x14ac:dyDescent="0.25">
      <c r="A1004" s="191">
        <v>995</v>
      </c>
      <c r="B1004" s="192"/>
      <c r="C1004" s="192"/>
      <c r="D1004" s="192"/>
      <c r="E1004" s="53" t="s">
        <v>3227</v>
      </c>
      <c r="F1004" s="193" t="s">
        <v>2228</v>
      </c>
      <c r="G1004" s="193" t="s">
        <v>3363</v>
      </c>
      <c r="H1004" s="194">
        <v>5232</v>
      </c>
      <c r="I1004" s="195"/>
      <c r="J1004" s="197"/>
      <c r="K1004" s="53"/>
    </row>
    <row r="1005" spans="1:11" ht="65.099999999999994" customHeight="1" x14ac:dyDescent="0.25">
      <c r="A1005" s="191">
        <v>996</v>
      </c>
      <c r="B1005" s="192"/>
      <c r="C1005" s="192"/>
      <c r="D1005" s="192"/>
      <c r="E1005" s="53" t="s">
        <v>3228</v>
      </c>
      <c r="F1005" s="193" t="s">
        <v>2228</v>
      </c>
      <c r="G1005" s="193" t="s">
        <v>3363</v>
      </c>
      <c r="H1005" s="194">
        <v>5232</v>
      </c>
      <c r="I1005" s="195"/>
      <c r="J1005" s="197"/>
      <c r="K1005" s="53"/>
    </row>
    <row r="1006" spans="1:11" ht="65.099999999999994" customHeight="1" x14ac:dyDescent="0.25">
      <c r="A1006" s="191">
        <v>997</v>
      </c>
      <c r="B1006" s="192"/>
      <c r="C1006" s="192"/>
      <c r="D1006" s="192"/>
      <c r="E1006" s="53" t="s">
        <v>3229</v>
      </c>
      <c r="F1006" s="193" t="s">
        <v>2228</v>
      </c>
      <c r="G1006" s="193" t="s">
        <v>3363</v>
      </c>
      <c r="H1006" s="194">
        <v>5232</v>
      </c>
      <c r="I1006" s="195"/>
      <c r="J1006" s="197"/>
      <c r="K1006" s="53"/>
    </row>
    <row r="1007" spans="1:11" ht="65.099999999999994" customHeight="1" x14ac:dyDescent="0.25">
      <c r="A1007" s="191">
        <v>998</v>
      </c>
      <c r="B1007" s="192"/>
      <c r="C1007" s="192"/>
      <c r="D1007" s="192"/>
      <c r="E1007" s="53" t="s">
        <v>3230</v>
      </c>
      <c r="F1007" s="193" t="s">
        <v>2228</v>
      </c>
      <c r="G1007" s="193" t="s">
        <v>3363</v>
      </c>
      <c r="H1007" s="194">
        <v>5232</v>
      </c>
      <c r="I1007" s="195"/>
      <c r="J1007" s="197"/>
      <c r="K1007" s="53"/>
    </row>
    <row r="1008" spans="1:11" ht="65.099999999999994" customHeight="1" x14ac:dyDescent="0.25">
      <c r="A1008" s="191">
        <v>999</v>
      </c>
      <c r="B1008" s="192"/>
      <c r="C1008" s="192"/>
      <c r="D1008" s="192"/>
      <c r="E1008" s="53" t="s">
        <v>3231</v>
      </c>
      <c r="F1008" s="193" t="s">
        <v>2228</v>
      </c>
      <c r="G1008" s="193" t="s">
        <v>3363</v>
      </c>
      <c r="H1008" s="194">
        <v>5232</v>
      </c>
      <c r="I1008" s="195"/>
      <c r="J1008" s="197"/>
      <c r="K1008" s="53"/>
    </row>
    <row r="1009" spans="1:11" ht="65.099999999999994" customHeight="1" x14ac:dyDescent="0.25">
      <c r="A1009" s="191">
        <v>1000</v>
      </c>
      <c r="B1009" s="192"/>
      <c r="C1009" s="192"/>
      <c r="D1009" s="192"/>
      <c r="E1009" s="53" t="s">
        <v>3232</v>
      </c>
      <c r="F1009" s="193" t="s">
        <v>2228</v>
      </c>
      <c r="G1009" s="193" t="s">
        <v>3363</v>
      </c>
      <c r="H1009" s="194">
        <v>5232</v>
      </c>
      <c r="I1009" s="195"/>
      <c r="J1009" s="197"/>
      <c r="K1009" s="53"/>
    </row>
    <row r="1010" spans="1:11" ht="65.099999999999994" customHeight="1" x14ac:dyDescent="0.25">
      <c r="A1010" s="191">
        <v>1001</v>
      </c>
      <c r="B1010" s="192"/>
      <c r="C1010" s="192"/>
      <c r="D1010" s="192"/>
      <c r="E1010" s="53" t="s">
        <v>3233</v>
      </c>
      <c r="F1010" s="193" t="s">
        <v>2228</v>
      </c>
      <c r="G1010" s="193" t="s">
        <v>3363</v>
      </c>
      <c r="H1010" s="194">
        <v>5232</v>
      </c>
      <c r="I1010" s="195"/>
      <c r="J1010" s="197"/>
      <c r="K1010" s="53"/>
    </row>
    <row r="1011" spans="1:11" ht="65.099999999999994" customHeight="1" x14ac:dyDescent="0.25">
      <c r="A1011" s="191">
        <v>1002</v>
      </c>
      <c r="B1011" s="192"/>
      <c r="C1011" s="192"/>
      <c r="D1011" s="192"/>
      <c r="E1011" s="53" t="s">
        <v>3234</v>
      </c>
      <c r="F1011" s="193" t="s">
        <v>2228</v>
      </c>
      <c r="G1011" s="193" t="s">
        <v>3363</v>
      </c>
      <c r="H1011" s="194">
        <v>5232</v>
      </c>
      <c r="I1011" s="195"/>
      <c r="J1011" s="197"/>
      <c r="K1011" s="53"/>
    </row>
    <row r="1012" spans="1:11" ht="65.099999999999994" customHeight="1" x14ac:dyDescent="0.25">
      <c r="A1012" s="191">
        <v>1003</v>
      </c>
      <c r="B1012" s="192"/>
      <c r="C1012" s="192"/>
      <c r="D1012" s="192"/>
      <c r="E1012" s="53" t="s">
        <v>3235</v>
      </c>
      <c r="F1012" s="193" t="s">
        <v>2228</v>
      </c>
      <c r="G1012" s="193" t="s">
        <v>3363</v>
      </c>
      <c r="H1012" s="194">
        <v>5232</v>
      </c>
      <c r="I1012" s="195"/>
      <c r="J1012" s="197"/>
      <c r="K1012" s="53"/>
    </row>
    <row r="1013" spans="1:11" ht="65.099999999999994" customHeight="1" x14ac:dyDescent="0.25">
      <c r="A1013" s="191">
        <v>1004</v>
      </c>
      <c r="B1013" s="192"/>
      <c r="C1013" s="192"/>
      <c r="D1013" s="192"/>
      <c r="E1013" s="53" t="s">
        <v>3236</v>
      </c>
      <c r="F1013" s="193" t="s">
        <v>2228</v>
      </c>
      <c r="G1013" s="193" t="s">
        <v>3363</v>
      </c>
      <c r="H1013" s="194">
        <v>5232</v>
      </c>
      <c r="I1013" s="195"/>
      <c r="J1013" s="197"/>
      <c r="K1013" s="53"/>
    </row>
    <row r="1014" spans="1:11" ht="65.099999999999994" customHeight="1" x14ac:dyDescent="0.25">
      <c r="A1014" s="191">
        <v>1005</v>
      </c>
      <c r="B1014" s="192"/>
      <c r="C1014" s="192"/>
      <c r="D1014" s="192"/>
      <c r="E1014" s="53" t="s">
        <v>3237</v>
      </c>
      <c r="F1014" s="193" t="s">
        <v>2228</v>
      </c>
      <c r="G1014" s="193" t="s">
        <v>3363</v>
      </c>
      <c r="H1014" s="194">
        <v>5232</v>
      </c>
      <c r="I1014" s="195"/>
      <c r="J1014" s="197"/>
      <c r="K1014" s="53"/>
    </row>
    <row r="1015" spans="1:11" ht="65.099999999999994" customHeight="1" x14ac:dyDescent="0.25">
      <c r="A1015" s="191">
        <v>1006</v>
      </c>
      <c r="B1015" s="192"/>
      <c r="C1015" s="192"/>
      <c r="D1015" s="192"/>
      <c r="E1015" s="53" t="s">
        <v>3238</v>
      </c>
      <c r="F1015" s="193" t="s">
        <v>2228</v>
      </c>
      <c r="G1015" s="193" t="s">
        <v>3363</v>
      </c>
      <c r="H1015" s="194">
        <v>5232</v>
      </c>
      <c r="I1015" s="195"/>
      <c r="J1015" s="197"/>
      <c r="K1015" s="53"/>
    </row>
    <row r="1016" spans="1:11" ht="65.099999999999994" customHeight="1" x14ac:dyDescent="0.25">
      <c r="A1016" s="191">
        <v>1007</v>
      </c>
      <c r="B1016" s="192"/>
      <c r="C1016" s="192"/>
      <c r="D1016" s="192"/>
      <c r="E1016" s="53" t="s">
        <v>3239</v>
      </c>
      <c r="F1016" s="193" t="s">
        <v>2228</v>
      </c>
      <c r="G1016" s="193" t="s">
        <v>3363</v>
      </c>
      <c r="H1016" s="194">
        <v>5232</v>
      </c>
      <c r="I1016" s="195"/>
      <c r="J1016" s="197"/>
      <c r="K1016" s="53"/>
    </row>
    <row r="1017" spans="1:11" ht="65.099999999999994" customHeight="1" x14ac:dyDescent="0.25">
      <c r="A1017" s="191">
        <v>1008</v>
      </c>
      <c r="B1017" s="192"/>
      <c r="C1017" s="192"/>
      <c r="D1017" s="192"/>
      <c r="E1017" s="53" t="s">
        <v>3240</v>
      </c>
      <c r="F1017" s="193" t="s">
        <v>2228</v>
      </c>
      <c r="G1017" s="193" t="s">
        <v>3363</v>
      </c>
      <c r="H1017" s="194">
        <v>5232</v>
      </c>
      <c r="I1017" s="195"/>
      <c r="J1017" s="197"/>
      <c r="K1017" s="53"/>
    </row>
    <row r="1018" spans="1:11" ht="65.099999999999994" customHeight="1" x14ac:dyDescent="0.25">
      <c r="A1018" s="191">
        <v>1009</v>
      </c>
      <c r="B1018" s="192"/>
      <c r="C1018" s="192"/>
      <c r="D1018" s="192"/>
      <c r="E1018" s="53" t="s">
        <v>3241</v>
      </c>
      <c r="F1018" s="193" t="s">
        <v>2228</v>
      </c>
      <c r="G1018" s="193" t="s">
        <v>3363</v>
      </c>
      <c r="H1018" s="194">
        <v>5232</v>
      </c>
      <c r="I1018" s="195"/>
      <c r="J1018" s="197"/>
      <c r="K1018" s="53"/>
    </row>
    <row r="1019" spans="1:11" ht="65.099999999999994" customHeight="1" x14ac:dyDescent="0.25">
      <c r="A1019" s="191">
        <v>1010</v>
      </c>
      <c r="B1019" s="192"/>
      <c r="C1019" s="192"/>
      <c r="D1019" s="192"/>
      <c r="E1019" s="53" t="s">
        <v>3242</v>
      </c>
      <c r="F1019" s="193" t="s">
        <v>2228</v>
      </c>
      <c r="G1019" s="193" t="s">
        <v>3363</v>
      </c>
      <c r="H1019" s="194">
        <v>5232</v>
      </c>
      <c r="I1019" s="195"/>
      <c r="J1019" s="197"/>
      <c r="K1019" s="53"/>
    </row>
    <row r="1020" spans="1:11" ht="65.099999999999994" customHeight="1" x14ac:dyDescent="0.25">
      <c r="A1020" s="191">
        <v>1011</v>
      </c>
      <c r="B1020" s="192"/>
      <c r="C1020" s="192"/>
      <c r="D1020" s="192"/>
      <c r="E1020" s="53" t="s">
        <v>3243</v>
      </c>
      <c r="F1020" s="193" t="s">
        <v>2228</v>
      </c>
      <c r="G1020" s="193" t="s">
        <v>3363</v>
      </c>
      <c r="H1020" s="194">
        <v>5232</v>
      </c>
      <c r="I1020" s="195"/>
      <c r="J1020" s="197"/>
      <c r="K1020" s="53"/>
    </row>
    <row r="1021" spans="1:11" ht="65.099999999999994" customHeight="1" x14ac:dyDescent="0.25">
      <c r="A1021" s="191">
        <v>1012</v>
      </c>
      <c r="B1021" s="192"/>
      <c r="C1021" s="192"/>
      <c r="D1021" s="192"/>
      <c r="E1021" s="53" t="s">
        <v>3244</v>
      </c>
      <c r="F1021" s="193" t="s">
        <v>2228</v>
      </c>
      <c r="G1021" s="193" t="s">
        <v>3363</v>
      </c>
      <c r="H1021" s="194">
        <v>5232</v>
      </c>
      <c r="I1021" s="195"/>
      <c r="J1021" s="197"/>
      <c r="K1021" s="53"/>
    </row>
    <row r="1022" spans="1:11" ht="65.099999999999994" customHeight="1" x14ac:dyDescent="0.25">
      <c r="A1022" s="191">
        <v>1013</v>
      </c>
      <c r="B1022" s="192"/>
      <c r="C1022" s="192"/>
      <c r="D1022" s="192"/>
      <c r="E1022" s="53" t="s">
        <v>3245</v>
      </c>
      <c r="F1022" s="193" t="s">
        <v>2228</v>
      </c>
      <c r="G1022" s="193" t="s">
        <v>3363</v>
      </c>
      <c r="H1022" s="194">
        <v>5232</v>
      </c>
      <c r="I1022" s="195"/>
      <c r="J1022" s="197"/>
      <c r="K1022" s="53"/>
    </row>
    <row r="1023" spans="1:11" ht="65.099999999999994" customHeight="1" x14ac:dyDescent="0.25">
      <c r="A1023" s="191">
        <v>1014</v>
      </c>
      <c r="B1023" s="192"/>
      <c r="C1023" s="192"/>
      <c r="D1023" s="192"/>
      <c r="E1023" s="53" t="s">
        <v>3246</v>
      </c>
      <c r="F1023" s="193" t="s">
        <v>2228</v>
      </c>
      <c r="G1023" s="193" t="s">
        <v>3363</v>
      </c>
      <c r="H1023" s="194">
        <v>5232</v>
      </c>
      <c r="I1023" s="195"/>
      <c r="J1023" s="197"/>
      <c r="K1023" s="53"/>
    </row>
    <row r="1024" spans="1:11" ht="65.099999999999994" customHeight="1" x14ac:dyDescent="0.25">
      <c r="A1024" s="191">
        <v>1015</v>
      </c>
      <c r="B1024" s="192"/>
      <c r="C1024" s="192"/>
      <c r="D1024" s="192"/>
      <c r="E1024" s="53" t="s">
        <v>3247</v>
      </c>
      <c r="F1024" s="193" t="s">
        <v>2228</v>
      </c>
      <c r="G1024" s="193" t="s">
        <v>3363</v>
      </c>
      <c r="H1024" s="194">
        <v>5232</v>
      </c>
      <c r="I1024" s="195"/>
      <c r="J1024" s="197"/>
      <c r="K1024" s="53"/>
    </row>
    <row r="1025" spans="1:11" ht="65.099999999999994" customHeight="1" x14ac:dyDescent="0.25">
      <c r="A1025" s="191">
        <v>1016</v>
      </c>
      <c r="B1025" s="192"/>
      <c r="C1025" s="192"/>
      <c r="D1025" s="192"/>
      <c r="E1025" s="53" t="s">
        <v>3248</v>
      </c>
      <c r="F1025" s="193" t="s">
        <v>2228</v>
      </c>
      <c r="G1025" s="193" t="s">
        <v>3363</v>
      </c>
      <c r="H1025" s="194">
        <v>5232</v>
      </c>
      <c r="I1025" s="195"/>
      <c r="J1025" s="197"/>
      <c r="K1025" s="53"/>
    </row>
    <row r="1026" spans="1:11" ht="65.099999999999994" customHeight="1" x14ac:dyDescent="0.25">
      <c r="A1026" s="191">
        <v>1017</v>
      </c>
      <c r="B1026" s="192"/>
      <c r="C1026" s="192"/>
      <c r="D1026" s="192"/>
      <c r="E1026" s="53" t="s">
        <v>3249</v>
      </c>
      <c r="F1026" s="193" t="s">
        <v>2228</v>
      </c>
      <c r="G1026" s="193" t="s">
        <v>3363</v>
      </c>
      <c r="H1026" s="194">
        <v>5232</v>
      </c>
      <c r="I1026" s="195"/>
      <c r="J1026" s="197"/>
      <c r="K1026" s="53"/>
    </row>
    <row r="1027" spans="1:11" ht="65.099999999999994" customHeight="1" x14ac:dyDescent="0.25">
      <c r="A1027" s="191">
        <v>1018</v>
      </c>
      <c r="B1027" s="192"/>
      <c r="C1027" s="192"/>
      <c r="D1027" s="192"/>
      <c r="E1027" s="53" t="s">
        <v>3250</v>
      </c>
      <c r="F1027" s="193" t="s">
        <v>2228</v>
      </c>
      <c r="G1027" s="193" t="s">
        <v>3363</v>
      </c>
      <c r="H1027" s="194">
        <v>5232</v>
      </c>
      <c r="I1027" s="195"/>
      <c r="J1027" s="197"/>
      <c r="K1027" s="53"/>
    </row>
    <row r="1028" spans="1:11" ht="65.099999999999994" customHeight="1" x14ac:dyDescent="0.25">
      <c r="A1028" s="191">
        <v>1019</v>
      </c>
      <c r="B1028" s="192"/>
      <c r="C1028" s="192"/>
      <c r="D1028" s="192"/>
      <c r="E1028" s="53" t="s">
        <v>3251</v>
      </c>
      <c r="F1028" s="193" t="s">
        <v>2228</v>
      </c>
      <c r="G1028" s="193" t="s">
        <v>3363</v>
      </c>
      <c r="H1028" s="194">
        <v>5232</v>
      </c>
      <c r="I1028" s="195"/>
      <c r="J1028" s="197"/>
      <c r="K1028" s="53"/>
    </row>
    <row r="1029" spans="1:11" ht="65.099999999999994" customHeight="1" x14ac:dyDescent="0.25">
      <c r="A1029" s="191">
        <v>1020</v>
      </c>
      <c r="B1029" s="192"/>
      <c r="C1029" s="192"/>
      <c r="D1029" s="192"/>
      <c r="E1029" s="53" t="s">
        <v>3252</v>
      </c>
      <c r="F1029" s="193" t="s">
        <v>2228</v>
      </c>
      <c r="G1029" s="193" t="s">
        <v>3363</v>
      </c>
      <c r="H1029" s="194">
        <v>5232</v>
      </c>
      <c r="I1029" s="195"/>
      <c r="J1029" s="197"/>
      <c r="K1029" s="53"/>
    </row>
    <row r="1030" spans="1:11" ht="65.099999999999994" customHeight="1" x14ac:dyDescent="0.25">
      <c r="A1030" s="191">
        <v>1021</v>
      </c>
      <c r="B1030" s="192"/>
      <c r="C1030" s="192"/>
      <c r="D1030" s="192"/>
      <c r="E1030" s="53" t="s">
        <v>3253</v>
      </c>
      <c r="F1030" s="193" t="s">
        <v>2228</v>
      </c>
      <c r="G1030" s="193" t="s">
        <v>3363</v>
      </c>
      <c r="H1030" s="194">
        <v>5232</v>
      </c>
      <c r="I1030" s="195"/>
      <c r="J1030" s="197"/>
      <c r="K1030" s="53"/>
    </row>
    <row r="1031" spans="1:11" ht="65.099999999999994" customHeight="1" x14ac:dyDescent="0.25">
      <c r="A1031" s="191">
        <v>1022</v>
      </c>
      <c r="B1031" s="192"/>
      <c r="C1031" s="192"/>
      <c r="D1031" s="192"/>
      <c r="E1031" s="53" t="s">
        <v>3254</v>
      </c>
      <c r="F1031" s="193" t="s">
        <v>2228</v>
      </c>
      <c r="G1031" s="193" t="s">
        <v>3363</v>
      </c>
      <c r="H1031" s="194">
        <v>5232</v>
      </c>
      <c r="I1031" s="195"/>
      <c r="J1031" s="197"/>
      <c r="K1031" s="53"/>
    </row>
    <row r="1032" spans="1:11" ht="65.099999999999994" customHeight="1" x14ac:dyDescent="0.25">
      <c r="A1032" s="191">
        <v>1023</v>
      </c>
      <c r="B1032" s="192"/>
      <c r="C1032" s="192"/>
      <c r="D1032" s="192"/>
      <c r="E1032" s="53" t="s">
        <v>3255</v>
      </c>
      <c r="F1032" s="193" t="s">
        <v>2228</v>
      </c>
      <c r="G1032" s="193" t="s">
        <v>3363</v>
      </c>
      <c r="H1032" s="194">
        <v>5232</v>
      </c>
      <c r="I1032" s="195"/>
      <c r="J1032" s="197"/>
      <c r="K1032" s="53"/>
    </row>
    <row r="1033" spans="1:11" ht="65.099999999999994" customHeight="1" x14ac:dyDescent="0.25">
      <c r="A1033" s="191">
        <v>1024</v>
      </c>
      <c r="B1033" s="192"/>
      <c r="C1033" s="192"/>
      <c r="D1033" s="192"/>
      <c r="E1033" s="53" t="s">
        <v>3256</v>
      </c>
      <c r="F1033" s="193" t="s">
        <v>2228</v>
      </c>
      <c r="G1033" s="193" t="s">
        <v>3363</v>
      </c>
      <c r="H1033" s="194">
        <v>5232</v>
      </c>
      <c r="I1033" s="195"/>
      <c r="J1033" s="197"/>
      <c r="K1033" s="53"/>
    </row>
    <row r="1034" spans="1:11" ht="65.099999999999994" customHeight="1" x14ac:dyDescent="0.25">
      <c r="A1034" s="191">
        <v>1025</v>
      </c>
      <c r="B1034" s="192"/>
      <c r="C1034" s="192"/>
      <c r="D1034" s="192"/>
      <c r="E1034" s="53" t="s">
        <v>3257</v>
      </c>
      <c r="F1034" s="193" t="s">
        <v>2228</v>
      </c>
      <c r="G1034" s="193" t="s">
        <v>3363</v>
      </c>
      <c r="H1034" s="194">
        <v>5232</v>
      </c>
      <c r="I1034" s="195"/>
      <c r="J1034" s="197"/>
      <c r="K1034" s="53"/>
    </row>
    <row r="1035" spans="1:11" ht="65.099999999999994" customHeight="1" x14ac:dyDescent="0.25">
      <c r="A1035" s="191">
        <v>1026</v>
      </c>
      <c r="B1035" s="192"/>
      <c r="C1035" s="192"/>
      <c r="D1035" s="192"/>
      <c r="E1035" s="53" t="s">
        <v>3258</v>
      </c>
      <c r="F1035" s="193" t="s">
        <v>2228</v>
      </c>
      <c r="G1035" s="193" t="s">
        <v>3363</v>
      </c>
      <c r="H1035" s="194">
        <v>5232</v>
      </c>
      <c r="I1035" s="195"/>
      <c r="J1035" s="197"/>
      <c r="K1035" s="53"/>
    </row>
    <row r="1036" spans="1:11" ht="65.099999999999994" customHeight="1" x14ac:dyDescent="0.25">
      <c r="A1036" s="191">
        <v>1027</v>
      </c>
      <c r="B1036" s="192"/>
      <c r="C1036" s="192"/>
      <c r="D1036" s="192"/>
      <c r="E1036" s="53" t="s">
        <v>3259</v>
      </c>
      <c r="F1036" s="193" t="s">
        <v>2228</v>
      </c>
      <c r="G1036" s="193" t="s">
        <v>3363</v>
      </c>
      <c r="H1036" s="194">
        <v>5232</v>
      </c>
      <c r="I1036" s="195"/>
      <c r="J1036" s="197"/>
      <c r="K1036" s="53"/>
    </row>
    <row r="1037" spans="1:11" ht="65.099999999999994" customHeight="1" x14ac:dyDescent="0.25">
      <c r="A1037" s="191">
        <v>1028</v>
      </c>
      <c r="B1037" s="192"/>
      <c r="C1037" s="192"/>
      <c r="D1037" s="192"/>
      <c r="E1037" s="53" t="s">
        <v>3260</v>
      </c>
      <c r="F1037" s="193" t="s">
        <v>2228</v>
      </c>
      <c r="G1037" s="193" t="s">
        <v>3363</v>
      </c>
      <c r="H1037" s="194">
        <v>5232</v>
      </c>
      <c r="I1037" s="195"/>
      <c r="J1037" s="197"/>
      <c r="K1037" s="53"/>
    </row>
    <row r="1038" spans="1:11" ht="65.099999999999994" customHeight="1" x14ac:dyDescent="0.25">
      <c r="A1038" s="191">
        <v>1029</v>
      </c>
      <c r="B1038" s="192"/>
      <c r="C1038" s="192"/>
      <c r="D1038" s="192"/>
      <c r="E1038" s="53" t="s">
        <v>3261</v>
      </c>
      <c r="F1038" s="193" t="s">
        <v>2228</v>
      </c>
      <c r="G1038" s="193" t="s">
        <v>3363</v>
      </c>
      <c r="H1038" s="194">
        <v>5232</v>
      </c>
      <c r="I1038" s="195"/>
      <c r="J1038" s="197"/>
      <c r="K1038" s="53"/>
    </row>
    <row r="1039" spans="1:11" ht="65.099999999999994" customHeight="1" x14ac:dyDescent="0.25">
      <c r="A1039" s="191">
        <v>1030</v>
      </c>
      <c r="B1039" s="192"/>
      <c r="C1039" s="192"/>
      <c r="D1039" s="192"/>
      <c r="E1039" s="53" t="s">
        <v>3262</v>
      </c>
      <c r="F1039" s="193" t="s">
        <v>2228</v>
      </c>
      <c r="G1039" s="193" t="s">
        <v>3363</v>
      </c>
      <c r="H1039" s="194">
        <v>5232</v>
      </c>
      <c r="I1039" s="195"/>
      <c r="J1039" s="197"/>
      <c r="K1039" s="53"/>
    </row>
    <row r="1040" spans="1:11" ht="65.099999999999994" customHeight="1" x14ac:dyDescent="0.25">
      <c r="A1040" s="191">
        <v>1031</v>
      </c>
      <c r="B1040" s="192"/>
      <c r="C1040" s="192"/>
      <c r="D1040" s="192"/>
      <c r="E1040" s="53" t="s">
        <v>3263</v>
      </c>
      <c r="F1040" s="193" t="s">
        <v>2228</v>
      </c>
      <c r="G1040" s="193" t="s">
        <v>3363</v>
      </c>
      <c r="H1040" s="194">
        <v>5232</v>
      </c>
      <c r="I1040" s="195"/>
      <c r="J1040" s="197"/>
      <c r="K1040" s="53"/>
    </row>
    <row r="1041" spans="1:11" ht="65.099999999999994" customHeight="1" x14ac:dyDescent="0.25">
      <c r="A1041" s="191">
        <v>1032</v>
      </c>
      <c r="B1041" s="192"/>
      <c r="C1041" s="192"/>
      <c r="D1041" s="192"/>
      <c r="E1041" s="53" t="s">
        <v>3264</v>
      </c>
      <c r="F1041" s="193" t="s">
        <v>2228</v>
      </c>
      <c r="G1041" s="193" t="s">
        <v>3363</v>
      </c>
      <c r="H1041" s="194">
        <v>5232</v>
      </c>
      <c r="I1041" s="195"/>
      <c r="J1041" s="197"/>
      <c r="K1041" s="53"/>
    </row>
    <row r="1042" spans="1:11" ht="65.099999999999994" customHeight="1" x14ac:dyDescent="0.25">
      <c r="A1042" s="191">
        <v>1033</v>
      </c>
      <c r="B1042" s="192"/>
      <c r="C1042" s="192"/>
      <c r="D1042" s="192"/>
      <c r="E1042" s="53" t="s">
        <v>3265</v>
      </c>
      <c r="F1042" s="193" t="s">
        <v>2228</v>
      </c>
      <c r="G1042" s="193" t="s">
        <v>3363</v>
      </c>
      <c r="H1042" s="194">
        <v>5232</v>
      </c>
      <c r="I1042" s="195"/>
      <c r="J1042" s="197"/>
      <c r="K1042" s="53"/>
    </row>
    <row r="1043" spans="1:11" ht="65.099999999999994" customHeight="1" x14ac:dyDescent="0.25">
      <c r="A1043" s="191">
        <v>1034</v>
      </c>
      <c r="B1043" s="192"/>
      <c r="C1043" s="192"/>
      <c r="D1043" s="192"/>
      <c r="E1043" s="53" t="s">
        <v>3266</v>
      </c>
      <c r="F1043" s="193" t="s">
        <v>2228</v>
      </c>
      <c r="G1043" s="193" t="s">
        <v>3363</v>
      </c>
      <c r="H1043" s="194">
        <v>5232</v>
      </c>
      <c r="I1043" s="195"/>
      <c r="J1043" s="197"/>
      <c r="K1043" s="53"/>
    </row>
    <row r="1044" spans="1:11" ht="65.099999999999994" customHeight="1" x14ac:dyDescent="0.25">
      <c r="A1044" s="191">
        <v>1035</v>
      </c>
      <c r="B1044" s="192"/>
      <c r="C1044" s="192"/>
      <c r="D1044" s="192"/>
      <c r="E1044" s="53" t="s">
        <v>3267</v>
      </c>
      <c r="F1044" s="193" t="s">
        <v>2228</v>
      </c>
      <c r="G1044" s="193" t="s">
        <v>3363</v>
      </c>
      <c r="H1044" s="194">
        <v>5232</v>
      </c>
      <c r="I1044" s="195"/>
      <c r="J1044" s="197"/>
      <c r="K1044" s="53"/>
    </row>
    <row r="1045" spans="1:11" ht="65.099999999999994" customHeight="1" x14ac:dyDescent="0.25">
      <c r="A1045" s="191">
        <v>1036</v>
      </c>
      <c r="B1045" s="192"/>
      <c r="C1045" s="192"/>
      <c r="D1045" s="192"/>
      <c r="E1045" s="53" t="s">
        <v>3268</v>
      </c>
      <c r="F1045" s="193" t="s">
        <v>2228</v>
      </c>
      <c r="G1045" s="193" t="s">
        <v>3363</v>
      </c>
      <c r="H1045" s="194">
        <v>5232</v>
      </c>
      <c r="I1045" s="195"/>
      <c r="J1045" s="197"/>
      <c r="K1045" s="53"/>
    </row>
    <row r="1046" spans="1:11" ht="65.099999999999994" customHeight="1" x14ac:dyDescent="0.25">
      <c r="A1046" s="191">
        <v>1037</v>
      </c>
      <c r="B1046" s="192"/>
      <c r="C1046" s="192"/>
      <c r="D1046" s="192"/>
      <c r="E1046" s="53" t="s">
        <v>3269</v>
      </c>
      <c r="F1046" s="193" t="s">
        <v>2228</v>
      </c>
      <c r="G1046" s="193" t="s">
        <v>3363</v>
      </c>
      <c r="H1046" s="194">
        <v>5232</v>
      </c>
      <c r="I1046" s="195"/>
      <c r="J1046" s="197"/>
      <c r="K1046" s="53"/>
    </row>
    <row r="1047" spans="1:11" ht="65.099999999999994" customHeight="1" x14ac:dyDescent="0.25">
      <c r="A1047" s="191">
        <v>1038</v>
      </c>
      <c r="B1047" s="192"/>
      <c r="C1047" s="192"/>
      <c r="D1047" s="192"/>
      <c r="E1047" s="53" t="s">
        <v>3270</v>
      </c>
      <c r="F1047" s="193" t="s">
        <v>2228</v>
      </c>
      <c r="G1047" s="193" t="s">
        <v>3363</v>
      </c>
      <c r="H1047" s="194">
        <v>5232</v>
      </c>
      <c r="I1047" s="195"/>
      <c r="J1047" s="197"/>
      <c r="K1047" s="53"/>
    </row>
    <row r="1048" spans="1:11" ht="65.099999999999994" customHeight="1" x14ac:dyDescent="0.25">
      <c r="A1048" s="191">
        <v>1039</v>
      </c>
      <c r="B1048" s="192"/>
      <c r="C1048" s="192"/>
      <c r="D1048" s="192"/>
      <c r="E1048" s="53" t="s">
        <v>3271</v>
      </c>
      <c r="F1048" s="193" t="s">
        <v>2228</v>
      </c>
      <c r="G1048" s="193" t="s">
        <v>3363</v>
      </c>
      <c r="H1048" s="194">
        <v>5232</v>
      </c>
      <c r="I1048" s="195"/>
      <c r="J1048" s="197"/>
      <c r="K1048" s="53"/>
    </row>
    <row r="1049" spans="1:11" ht="65.099999999999994" customHeight="1" x14ac:dyDescent="0.25">
      <c r="A1049" s="191">
        <v>1040</v>
      </c>
      <c r="B1049" s="192"/>
      <c r="C1049" s="192"/>
      <c r="D1049" s="192"/>
      <c r="E1049" s="53" t="s">
        <v>3272</v>
      </c>
      <c r="F1049" s="193" t="s">
        <v>2228</v>
      </c>
      <c r="G1049" s="193" t="s">
        <v>3363</v>
      </c>
      <c r="H1049" s="194">
        <v>5232</v>
      </c>
      <c r="I1049" s="195"/>
      <c r="J1049" s="197"/>
      <c r="K1049" s="53"/>
    </row>
    <row r="1050" spans="1:11" ht="65.099999999999994" customHeight="1" x14ac:dyDescent="0.25">
      <c r="A1050" s="191">
        <v>1041</v>
      </c>
      <c r="B1050" s="192"/>
      <c r="C1050" s="192"/>
      <c r="D1050" s="192"/>
      <c r="E1050" s="53" t="s">
        <v>3273</v>
      </c>
      <c r="F1050" s="193" t="s">
        <v>2228</v>
      </c>
      <c r="G1050" s="193" t="s">
        <v>3363</v>
      </c>
      <c r="H1050" s="194">
        <v>5232</v>
      </c>
      <c r="I1050" s="195"/>
      <c r="J1050" s="197"/>
      <c r="K1050" s="53"/>
    </row>
    <row r="1051" spans="1:11" ht="65.099999999999994" customHeight="1" x14ac:dyDescent="0.25">
      <c r="A1051" s="191">
        <v>1042</v>
      </c>
      <c r="B1051" s="192"/>
      <c r="C1051" s="192"/>
      <c r="D1051" s="192"/>
      <c r="E1051" s="53" t="s">
        <v>3274</v>
      </c>
      <c r="F1051" s="193" t="s">
        <v>2228</v>
      </c>
      <c r="G1051" s="193" t="s">
        <v>3363</v>
      </c>
      <c r="H1051" s="194">
        <v>5232</v>
      </c>
      <c r="I1051" s="195"/>
      <c r="J1051" s="197"/>
      <c r="K1051" s="53"/>
    </row>
    <row r="1052" spans="1:11" ht="65.099999999999994" customHeight="1" x14ac:dyDescent="0.25">
      <c r="A1052" s="191">
        <v>1043</v>
      </c>
      <c r="B1052" s="192"/>
      <c r="C1052" s="192"/>
      <c r="D1052" s="192"/>
      <c r="E1052" s="53" t="s">
        <v>3275</v>
      </c>
      <c r="F1052" s="193" t="s">
        <v>2228</v>
      </c>
      <c r="G1052" s="193" t="s">
        <v>3363</v>
      </c>
      <c r="H1052" s="194">
        <v>5232</v>
      </c>
      <c r="I1052" s="195"/>
      <c r="J1052" s="197"/>
      <c r="K1052" s="53"/>
    </row>
    <row r="1053" spans="1:11" ht="65.099999999999994" customHeight="1" x14ac:dyDescent="0.25">
      <c r="A1053" s="191">
        <v>1044</v>
      </c>
      <c r="B1053" s="192"/>
      <c r="C1053" s="192"/>
      <c r="D1053" s="192"/>
      <c r="E1053" s="53" t="s">
        <v>3276</v>
      </c>
      <c r="F1053" s="193" t="s">
        <v>2228</v>
      </c>
      <c r="G1053" s="193" t="s">
        <v>3363</v>
      </c>
      <c r="H1053" s="194">
        <v>5232</v>
      </c>
      <c r="I1053" s="195"/>
      <c r="J1053" s="197"/>
      <c r="K1053" s="53"/>
    </row>
    <row r="1054" spans="1:11" ht="65.099999999999994" customHeight="1" x14ac:dyDescent="0.25">
      <c r="A1054" s="191">
        <v>1045</v>
      </c>
      <c r="B1054" s="192"/>
      <c r="C1054" s="192"/>
      <c r="D1054" s="192"/>
      <c r="E1054" s="53" t="s">
        <v>3277</v>
      </c>
      <c r="F1054" s="193" t="s">
        <v>2228</v>
      </c>
      <c r="G1054" s="193" t="s">
        <v>3363</v>
      </c>
      <c r="H1054" s="194">
        <v>5232</v>
      </c>
      <c r="I1054" s="195"/>
      <c r="J1054" s="197"/>
      <c r="K1054" s="53"/>
    </row>
    <row r="1055" spans="1:11" ht="65.099999999999994" customHeight="1" x14ac:dyDescent="0.25">
      <c r="A1055" s="191">
        <v>1046</v>
      </c>
      <c r="B1055" s="192"/>
      <c r="C1055" s="192"/>
      <c r="D1055" s="192"/>
      <c r="E1055" s="53" t="s">
        <v>3278</v>
      </c>
      <c r="F1055" s="193" t="s">
        <v>2228</v>
      </c>
      <c r="G1055" s="193" t="s">
        <v>3363</v>
      </c>
      <c r="H1055" s="194">
        <v>5232</v>
      </c>
      <c r="I1055" s="195"/>
      <c r="J1055" s="197"/>
      <c r="K1055" s="53"/>
    </row>
    <row r="1056" spans="1:11" ht="65.099999999999994" customHeight="1" x14ac:dyDescent="0.25">
      <c r="A1056" s="191">
        <v>1047</v>
      </c>
      <c r="B1056" s="192"/>
      <c r="C1056" s="192"/>
      <c r="D1056" s="192"/>
      <c r="E1056" s="53" t="s">
        <v>3279</v>
      </c>
      <c r="F1056" s="193" t="s">
        <v>2228</v>
      </c>
      <c r="G1056" s="193" t="s">
        <v>3363</v>
      </c>
      <c r="H1056" s="194">
        <v>5232</v>
      </c>
      <c r="I1056" s="195"/>
      <c r="J1056" s="197"/>
      <c r="K1056" s="53"/>
    </row>
    <row r="1057" spans="1:11" ht="65.099999999999994" customHeight="1" x14ac:dyDescent="0.25">
      <c r="A1057" s="191">
        <v>1048</v>
      </c>
      <c r="B1057" s="192"/>
      <c r="C1057" s="192"/>
      <c r="D1057" s="192"/>
      <c r="E1057" s="53" t="s">
        <v>3280</v>
      </c>
      <c r="F1057" s="193" t="s">
        <v>2228</v>
      </c>
      <c r="G1057" s="193" t="s">
        <v>3363</v>
      </c>
      <c r="H1057" s="194">
        <v>5232</v>
      </c>
      <c r="I1057" s="195"/>
      <c r="J1057" s="197"/>
      <c r="K1057" s="53"/>
    </row>
    <row r="1058" spans="1:11" ht="65.099999999999994" customHeight="1" x14ac:dyDescent="0.25">
      <c r="A1058" s="191">
        <v>1049</v>
      </c>
      <c r="B1058" s="192"/>
      <c r="C1058" s="192"/>
      <c r="D1058" s="192"/>
      <c r="E1058" s="53" t="s">
        <v>3281</v>
      </c>
      <c r="F1058" s="193" t="s">
        <v>2228</v>
      </c>
      <c r="G1058" s="193" t="s">
        <v>3363</v>
      </c>
      <c r="H1058" s="194">
        <v>5232</v>
      </c>
      <c r="I1058" s="195"/>
      <c r="J1058" s="197"/>
      <c r="K1058" s="53"/>
    </row>
    <row r="1059" spans="1:11" ht="65.099999999999994" customHeight="1" x14ac:dyDescent="0.25">
      <c r="A1059" s="191">
        <v>1050</v>
      </c>
      <c r="B1059" s="192"/>
      <c r="C1059" s="192"/>
      <c r="D1059" s="192"/>
      <c r="E1059" s="53" t="s">
        <v>3282</v>
      </c>
      <c r="F1059" s="193" t="s">
        <v>2228</v>
      </c>
      <c r="G1059" s="193" t="s">
        <v>3363</v>
      </c>
      <c r="H1059" s="194">
        <v>5232</v>
      </c>
      <c r="I1059" s="195"/>
      <c r="J1059" s="197"/>
      <c r="K1059" s="53"/>
    </row>
    <row r="1060" spans="1:11" ht="65.099999999999994" customHeight="1" x14ac:dyDescent="0.25">
      <c r="A1060" s="191">
        <v>1051</v>
      </c>
      <c r="B1060" s="192"/>
      <c r="C1060" s="192"/>
      <c r="D1060" s="192"/>
      <c r="E1060" s="53" t="s">
        <v>3283</v>
      </c>
      <c r="F1060" s="193" t="s">
        <v>2228</v>
      </c>
      <c r="G1060" s="193" t="s">
        <v>3363</v>
      </c>
      <c r="H1060" s="194">
        <v>5232</v>
      </c>
      <c r="I1060" s="195"/>
      <c r="J1060" s="197"/>
      <c r="K1060" s="53"/>
    </row>
    <row r="1061" spans="1:11" ht="65.099999999999994" customHeight="1" x14ac:dyDescent="0.25">
      <c r="A1061" s="191">
        <v>1052</v>
      </c>
      <c r="B1061" s="192"/>
      <c r="C1061" s="192"/>
      <c r="D1061" s="192"/>
      <c r="E1061" s="53" t="s">
        <v>3284</v>
      </c>
      <c r="F1061" s="193" t="s">
        <v>2228</v>
      </c>
      <c r="G1061" s="193" t="s">
        <v>3363</v>
      </c>
      <c r="H1061" s="194">
        <v>5232</v>
      </c>
      <c r="I1061" s="195"/>
      <c r="J1061" s="197"/>
      <c r="K1061" s="53"/>
    </row>
    <row r="1062" spans="1:11" ht="65.099999999999994" customHeight="1" x14ac:dyDescent="0.25">
      <c r="A1062" s="191">
        <v>1053</v>
      </c>
      <c r="B1062" s="192"/>
      <c r="C1062" s="192"/>
      <c r="D1062" s="192"/>
      <c r="E1062" s="53" t="s">
        <v>3285</v>
      </c>
      <c r="F1062" s="193" t="s">
        <v>2228</v>
      </c>
      <c r="G1062" s="193" t="s">
        <v>3363</v>
      </c>
      <c r="H1062" s="194">
        <v>5232</v>
      </c>
      <c r="I1062" s="195"/>
      <c r="J1062" s="197"/>
      <c r="K1062" s="53"/>
    </row>
    <row r="1063" spans="1:11" ht="65.099999999999994" customHeight="1" x14ac:dyDescent="0.25">
      <c r="A1063" s="191">
        <v>1054</v>
      </c>
      <c r="B1063" s="192"/>
      <c r="C1063" s="192"/>
      <c r="D1063" s="192"/>
      <c r="E1063" s="53" t="s">
        <v>3286</v>
      </c>
      <c r="F1063" s="193" t="s">
        <v>3362</v>
      </c>
      <c r="G1063" s="193" t="s">
        <v>3363</v>
      </c>
      <c r="H1063" s="194">
        <v>5232</v>
      </c>
      <c r="I1063" s="195"/>
      <c r="J1063" s="197"/>
      <c r="K1063" s="53"/>
    </row>
    <row r="1064" spans="1:11" ht="65.099999999999994" customHeight="1" x14ac:dyDescent="0.25">
      <c r="A1064" s="191">
        <v>1055</v>
      </c>
      <c r="B1064" s="192"/>
      <c r="C1064" s="192"/>
      <c r="D1064" s="192"/>
      <c r="E1064" s="53" t="s">
        <v>3287</v>
      </c>
      <c r="F1064" s="193" t="s">
        <v>3362</v>
      </c>
      <c r="G1064" s="193" t="s">
        <v>3363</v>
      </c>
      <c r="H1064" s="194">
        <v>5232</v>
      </c>
      <c r="I1064" s="195"/>
      <c r="J1064" s="197"/>
      <c r="K1064" s="53"/>
    </row>
    <row r="1065" spans="1:11" ht="65.099999999999994" customHeight="1" x14ac:dyDescent="0.25">
      <c r="A1065" s="191">
        <v>1056</v>
      </c>
      <c r="B1065" s="192"/>
      <c r="C1065" s="192"/>
      <c r="D1065" s="192"/>
      <c r="E1065" s="53" t="s">
        <v>3288</v>
      </c>
      <c r="F1065" s="193" t="s">
        <v>3362</v>
      </c>
      <c r="G1065" s="193" t="s">
        <v>3363</v>
      </c>
      <c r="H1065" s="194">
        <v>5232</v>
      </c>
      <c r="I1065" s="195"/>
      <c r="J1065" s="197"/>
      <c r="K1065" s="53"/>
    </row>
    <row r="1066" spans="1:11" ht="65.099999999999994" customHeight="1" x14ac:dyDescent="0.25">
      <c r="A1066" s="191">
        <v>1057</v>
      </c>
      <c r="B1066" s="192"/>
      <c r="C1066" s="192"/>
      <c r="D1066" s="192"/>
      <c r="E1066" s="53" t="s">
        <v>3289</v>
      </c>
      <c r="F1066" s="193" t="s">
        <v>3362</v>
      </c>
      <c r="G1066" s="193" t="s">
        <v>3363</v>
      </c>
      <c r="H1066" s="194">
        <v>5232</v>
      </c>
      <c r="I1066" s="195"/>
      <c r="J1066" s="197"/>
      <c r="K1066" s="53"/>
    </row>
    <row r="1067" spans="1:11" ht="65.099999999999994" customHeight="1" x14ac:dyDescent="0.25">
      <c r="A1067" s="191">
        <v>1058</v>
      </c>
      <c r="B1067" s="192"/>
      <c r="C1067" s="192"/>
      <c r="D1067" s="192"/>
      <c r="E1067" s="53" t="s">
        <v>3290</v>
      </c>
      <c r="F1067" s="193" t="s">
        <v>3362</v>
      </c>
      <c r="G1067" s="193" t="s">
        <v>3363</v>
      </c>
      <c r="H1067" s="194">
        <v>5232</v>
      </c>
      <c r="I1067" s="195"/>
      <c r="J1067" s="197"/>
      <c r="K1067" s="53"/>
    </row>
    <row r="1068" spans="1:11" ht="65.099999999999994" customHeight="1" x14ac:dyDescent="0.25">
      <c r="A1068" s="191">
        <v>1059</v>
      </c>
      <c r="B1068" s="192"/>
      <c r="C1068" s="192"/>
      <c r="D1068" s="192"/>
      <c r="E1068" s="53" t="s">
        <v>3291</v>
      </c>
      <c r="F1068" s="193" t="s">
        <v>3362</v>
      </c>
      <c r="G1068" s="193" t="s">
        <v>3363</v>
      </c>
      <c r="H1068" s="194">
        <v>5232</v>
      </c>
      <c r="I1068" s="195"/>
      <c r="J1068" s="197"/>
      <c r="K1068" s="53"/>
    </row>
    <row r="1069" spans="1:11" ht="65.099999999999994" customHeight="1" x14ac:dyDescent="0.25">
      <c r="A1069" s="191">
        <v>1060</v>
      </c>
      <c r="B1069" s="192"/>
      <c r="C1069" s="192"/>
      <c r="D1069" s="192"/>
      <c r="E1069" s="53" t="s">
        <v>3292</v>
      </c>
      <c r="F1069" s="193" t="s">
        <v>3362</v>
      </c>
      <c r="G1069" s="193" t="s">
        <v>3363</v>
      </c>
      <c r="H1069" s="194">
        <v>5232</v>
      </c>
      <c r="I1069" s="195"/>
      <c r="J1069" s="197"/>
      <c r="K1069" s="53"/>
    </row>
    <row r="1070" spans="1:11" ht="65.099999999999994" customHeight="1" x14ac:dyDescent="0.25">
      <c r="A1070" s="191">
        <v>1061</v>
      </c>
      <c r="B1070" s="192"/>
      <c r="C1070" s="192"/>
      <c r="D1070" s="192"/>
      <c r="E1070" s="53" t="s">
        <v>3293</v>
      </c>
      <c r="F1070" s="193" t="s">
        <v>3362</v>
      </c>
      <c r="G1070" s="193" t="s">
        <v>3363</v>
      </c>
      <c r="H1070" s="194">
        <v>5232</v>
      </c>
      <c r="I1070" s="195"/>
      <c r="J1070" s="197"/>
      <c r="K1070" s="53"/>
    </row>
    <row r="1071" spans="1:11" ht="65.099999999999994" customHeight="1" x14ac:dyDescent="0.25">
      <c r="A1071" s="191">
        <v>1062</v>
      </c>
      <c r="B1071" s="192"/>
      <c r="C1071" s="192"/>
      <c r="D1071" s="192"/>
      <c r="E1071" s="53" t="s">
        <v>3294</v>
      </c>
      <c r="F1071" s="193" t="s">
        <v>3362</v>
      </c>
      <c r="G1071" s="193" t="s">
        <v>3363</v>
      </c>
      <c r="H1071" s="194">
        <v>5232</v>
      </c>
      <c r="I1071" s="195"/>
      <c r="J1071" s="197"/>
      <c r="K1071" s="53"/>
    </row>
    <row r="1072" spans="1:11" ht="65.099999999999994" customHeight="1" x14ac:dyDescent="0.25">
      <c r="A1072" s="191">
        <v>1063</v>
      </c>
      <c r="B1072" s="192"/>
      <c r="C1072" s="192"/>
      <c r="D1072" s="192"/>
      <c r="E1072" s="53" t="s">
        <v>3295</v>
      </c>
      <c r="F1072" s="193" t="s">
        <v>3362</v>
      </c>
      <c r="G1072" s="193" t="s">
        <v>3363</v>
      </c>
      <c r="H1072" s="194">
        <v>5232</v>
      </c>
      <c r="I1072" s="195"/>
      <c r="J1072" s="197"/>
      <c r="K1072" s="53"/>
    </row>
    <row r="1073" spans="1:11" ht="65.099999999999994" customHeight="1" x14ac:dyDescent="0.25">
      <c r="A1073" s="191">
        <v>1064</v>
      </c>
      <c r="B1073" s="192"/>
      <c r="C1073" s="192"/>
      <c r="D1073" s="192"/>
      <c r="E1073" s="53" t="s">
        <v>3296</v>
      </c>
      <c r="F1073" s="193" t="s">
        <v>3362</v>
      </c>
      <c r="G1073" s="193" t="s">
        <v>3363</v>
      </c>
      <c r="H1073" s="194">
        <v>5232</v>
      </c>
      <c r="I1073" s="195"/>
      <c r="J1073" s="197"/>
      <c r="K1073" s="53"/>
    </row>
    <row r="1074" spans="1:11" ht="65.099999999999994" customHeight="1" x14ac:dyDescent="0.25">
      <c r="A1074" s="191">
        <v>1065</v>
      </c>
      <c r="B1074" s="192"/>
      <c r="C1074" s="192"/>
      <c r="D1074" s="192"/>
      <c r="E1074" s="53" t="s">
        <v>3297</v>
      </c>
      <c r="F1074" s="193" t="s">
        <v>3362</v>
      </c>
      <c r="G1074" s="193" t="s">
        <v>3363</v>
      </c>
      <c r="H1074" s="194">
        <v>5232</v>
      </c>
      <c r="I1074" s="195"/>
      <c r="J1074" s="197"/>
      <c r="K1074" s="53"/>
    </row>
    <row r="1075" spans="1:11" ht="65.099999999999994" customHeight="1" x14ac:dyDescent="0.25">
      <c r="A1075" s="191">
        <v>1066</v>
      </c>
      <c r="B1075" s="192"/>
      <c r="C1075" s="192"/>
      <c r="D1075" s="192"/>
      <c r="E1075" s="53" t="s">
        <v>3298</v>
      </c>
      <c r="F1075" s="193" t="s">
        <v>3362</v>
      </c>
      <c r="G1075" s="193" t="s">
        <v>3363</v>
      </c>
      <c r="H1075" s="194">
        <v>5232</v>
      </c>
      <c r="I1075" s="195"/>
      <c r="J1075" s="197"/>
      <c r="K1075" s="53"/>
    </row>
    <row r="1076" spans="1:11" ht="65.099999999999994" customHeight="1" x14ac:dyDescent="0.25">
      <c r="A1076" s="191">
        <v>1067</v>
      </c>
      <c r="B1076" s="192"/>
      <c r="C1076" s="192"/>
      <c r="D1076" s="192"/>
      <c r="E1076" s="53" t="s">
        <v>3299</v>
      </c>
      <c r="F1076" s="193" t="s">
        <v>3362</v>
      </c>
      <c r="G1076" s="193" t="s">
        <v>3363</v>
      </c>
      <c r="H1076" s="194">
        <v>5232</v>
      </c>
      <c r="I1076" s="195"/>
      <c r="J1076" s="197"/>
      <c r="K1076" s="53"/>
    </row>
    <row r="1077" spans="1:11" ht="65.099999999999994" customHeight="1" x14ac:dyDescent="0.25">
      <c r="A1077" s="191">
        <v>1068</v>
      </c>
      <c r="B1077" s="192"/>
      <c r="C1077" s="192"/>
      <c r="D1077" s="192"/>
      <c r="E1077" s="53" t="s">
        <v>3300</v>
      </c>
      <c r="F1077" s="193" t="s">
        <v>3362</v>
      </c>
      <c r="G1077" s="193" t="s">
        <v>3363</v>
      </c>
      <c r="H1077" s="194">
        <v>5232</v>
      </c>
      <c r="I1077" s="195"/>
      <c r="J1077" s="197"/>
      <c r="K1077" s="53"/>
    </row>
    <row r="1078" spans="1:11" ht="65.099999999999994" customHeight="1" x14ac:dyDescent="0.25">
      <c r="A1078" s="191">
        <v>1069</v>
      </c>
      <c r="B1078" s="192"/>
      <c r="C1078" s="192"/>
      <c r="D1078" s="192"/>
      <c r="E1078" s="53" t="s">
        <v>3301</v>
      </c>
      <c r="F1078" s="193" t="s">
        <v>3362</v>
      </c>
      <c r="G1078" s="193" t="s">
        <v>3363</v>
      </c>
      <c r="H1078" s="194">
        <v>5232</v>
      </c>
      <c r="I1078" s="195"/>
      <c r="J1078" s="197"/>
      <c r="K1078" s="53"/>
    </row>
    <row r="1079" spans="1:11" ht="65.099999999999994" customHeight="1" x14ac:dyDescent="0.25">
      <c r="A1079" s="191">
        <v>1070</v>
      </c>
      <c r="B1079" s="192"/>
      <c r="C1079" s="192"/>
      <c r="D1079" s="192"/>
      <c r="E1079" s="53" t="s">
        <v>3302</v>
      </c>
      <c r="F1079" s="193" t="s">
        <v>3362</v>
      </c>
      <c r="G1079" s="193" t="s">
        <v>3363</v>
      </c>
      <c r="H1079" s="194">
        <v>5232</v>
      </c>
      <c r="I1079" s="195"/>
      <c r="J1079" s="197"/>
      <c r="K1079" s="53"/>
    </row>
    <row r="1080" spans="1:11" ht="65.099999999999994" customHeight="1" x14ac:dyDescent="0.25">
      <c r="A1080" s="191">
        <v>1071</v>
      </c>
      <c r="B1080" s="192"/>
      <c r="C1080" s="192"/>
      <c r="D1080" s="192"/>
      <c r="E1080" s="53" t="s">
        <v>3303</v>
      </c>
      <c r="F1080" s="193" t="s">
        <v>3362</v>
      </c>
      <c r="G1080" s="193" t="s">
        <v>3363</v>
      </c>
      <c r="H1080" s="194">
        <v>5232</v>
      </c>
      <c r="I1080" s="195"/>
      <c r="J1080" s="197"/>
      <c r="K1080" s="53"/>
    </row>
    <row r="1081" spans="1:11" ht="65.099999999999994" customHeight="1" x14ac:dyDescent="0.25">
      <c r="A1081" s="191">
        <v>1072</v>
      </c>
      <c r="B1081" s="192"/>
      <c r="C1081" s="192"/>
      <c r="D1081" s="192"/>
      <c r="E1081" s="53" t="s">
        <v>3304</v>
      </c>
      <c r="F1081" s="193" t="s">
        <v>3362</v>
      </c>
      <c r="G1081" s="193" t="s">
        <v>3363</v>
      </c>
      <c r="H1081" s="194">
        <v>5232</v>
      </c>
      <c r="I1081" s="195"/>
      <c r="J1081" s="197"/>
      <c r="K1081" s="53"/>
    </row>
    <row r="1082" spans="1:11" ht="65.099999999999994" customHeight="1" x14ac:dyDescent="0.25">
      <c r="A1082" s="191">
        <v>1073</v>
      </c>
      <c r="B1082" s="192"/>
      <c r="C1082" s="192"/>
      <c r="D1082" s="192"/>
      <c r="E1082" s="53" t="s">
        <v>3305</v>
      </c>
      <c r="F1082" s="193" t="s">
        <v>3362</v>
      </c>
      <c r="G1082" s="193" t="s">
        <v>3363</v>
      </c>
      <c r="H1082" s="194">
        <v>5232</v>
      </c>
      <c r="I1082" s="195"/>
      <c r="J1082" s="197"/>
      <c r="K1082" s="53"/>
    </row>
    <row r="1083" spans="1:11" ht="65.099999999999994" customHeight="1" x14ac:dyDescent="0.25">
      <c r="A1083" s="191">
        <v>1074</v>
      </c>
      <c r="B1083" s="192"/>
      <c r="C1083" s="192"/>
      <c r="D1083" s="192"/>
      <c r="E1083" s="53" t="s">
        <v>3306</v>
      </c>
      <c r="F1083" s="193" t="s">
        <v>3362</v>
      </c>
      <c r="G1083" s="193" t="s">
        <v>3363</v>
      </c>
      <c r="H1083" s="194">
        <v>5232</v>
      </c>
      <c r="I1083" s="195"/>
      <c r="J1083" s="197"/>
      <c r="K1083" s="53"/>
    </row>
    <row r="1084" spans="1:11" ht="65.099999999999994" customHeight="1" x14ac:dyDescent="0.25">
      <c r="A1084" s="191">
        <v>1075</v>
      </c>
      <c r="B1084" s="192"/>
      <c r="C1084" s="192"/>
      <c r="D1084" s="192"/>
      <c r="E1084" s="53" t="s">
        <v>3307</v>
      </c>
      <c r="F1084" s="193" t="s">
        <v>3362</v>
      </c>
      <c r="G1084" s="193" t="s">
        <v>3363</v>
      </c>
      <c r="H1084" s="194">
        <v>5232</v>
      </c>
      <c r="I1084" s="195"/>
      <c r="J1084" s="197"/>
      <c r="K1084" s="53"/>
    </row>
    <row r="1085" spans="1:11" ht="65.099999999999994" customHeight="1" x14ac:dyDescent="0.25">
      <c r="A1085" s="191">
        <v>1076</v>
      </c>
      <c r="B1085" s="192"/>
      <c r="C1085" s="192"/>
      <c r="D1085" s="192"/>
      <c r="E1085" s="53" t="s">
        <v>3308</v>
      </c>
      <c r="F1085" s="193" t="s">
        <v>3362</v>
      </c>
      <c r="G1085" s="193" t="s">
        <v>3363</v>
      </c>
      <c r="H1085" s="194">
        <v>5232</v>
      </c>
      <c r="I1085" s="195"/>
      <c r="J1085" s="197"/>
      <c r="K1085" s="53"/>
    </row>
    <row r="1086" spans="1:11" ht="65.099999999999994" customHeight="1" x14ac:dyDescent="0.25">
      <c r="A1086" s="191">
        <v>1077</v>
      </c>
      <c r="B1086" s="192"/>
      <c r="C1086" s="192"/>
      <c r="D1086" s="192"/>
      <c r="E1086" s="53" t="s">
        <v>3309</v>
      </c>
      <c r="F1086" s="193" t="s">
        <v>3362</v>
      </c>
      <c r="G1086" s="193" t="s">
        <v>3363</v>
      </c>
      <c r="H1086" s="194">
        <v>5232</v>
      </c>
      <c r="I1086" s="195"/>
      <c r="J1086" s="197"/>
      <c r="K1086" s="53"/>
    </row>
    <row r="1087" spans="1:11" ht="65.099999999999994" customHeight="1" x14ac:dyDescent="0.25">
      <c r="A1087" s="191">
        <v>1078</v>
      </c>
      <c r="B1087" s="192"/>
      <c r="C1087" s="192"/>
      <c r="D1087" s="192"/>
      <c r="E1087" s="53" t="s">
        <v>3310</v>
      </c>
      <c r="F1087" s="193" t="s">
        <v>3362</v>
      </c>
      <c r="G1087" s="193" t="s">
        <v>3363</v>
      </c>
      <c r="H1087" s="194">
        <v>5232</v>
      </c>
      <c r="I1087" s="195"/>
      <c r="J1087" s="197"/>
      <c r="K1087" s="53"/>
    </row>
    <row r="1088" spans="1:11" ht="65.099999999999994" customHeight="1" x14ac:dyDescent="0.25">
      <c r="A1088" s="191">
        <v>1079</v>
      </c>
      <c r="B1088" s="192"/>
      <c r="C1088" s="192"/>
      <c r="D1088" s="192"/>
      <c r="E1088" s="53" t="s">
        <v>3311</v>
      </c>
      <c r="F1088" s="193" t="s">
        <v>3362</v>
      </c>
      <c r="G1088" s="193" t="s">
        <v>3363</v>
      </c>
      <c r="H1088" s="194">
        <v>5232</v>
      </c>
      <c r="I1088" s="195"/>
      <c r="J1088" s="197"/>
      <c r="K1088" s="53"/>
    </row>
    <row r="1089" spans="1:11" ht="65.099999999999994" customHeight="1" x14ac:dyDescent="0.25">
      <c r="A1089" s="191">
        <v>1080</v>
      </c>
      <c r="B1089" s="192"/>
      <c r="C1089" s="192"/>
      <c r="D1089" s="192"/>
      <c r="E1089" s="53" t="s">
        <v>3312</v>
      </c>
      <c r="F1089" s="193" t="s">
        <v>3362</v>
      </c>
      <c r="G1089" s="193" t="s">
        <v>3363</v>
      </c>
      <c r="H1089" s="194">
        <v>5232</v>
      </c>
      <c r="I1089" s="195"/>
      <c r="J1089" s="197"/>
      <c r="K1089" s="53"/>
    </row>
    <row r="1090" spans="1:11" ht="65.099999999999994" customHeight="1" x14ac:dyDescent="0.25">
      <c r="A1090" s="191">
        <v>1081</v>
      </c>
      <c r="B1090" s="192"/>
      <c r="C1090" s="192"/>
      <c r="D1090" s="192"/>
      <c r="E1090" s="53" t="s">
        <v>3313</v>
      </c>
      <c r="F1090" s="193" t="s">
        <v>3362</v>
      </c>
      <c r="G1090" s="193" t="s">
        <v>3363</v>
      </c>
      <c r="H1090" s="194">
        <v>5232</v>
      </c>
      <c r="I1090" s="195"/>
      <c r="J1090" s="197"/>
      <c r="K1090" s="53"/>
    </row>
    <row r="1091" spans="1:11" ht="65.099999999999994" customHeight="1" x14ac:dyDescent="0.25">
      <c r="A1091" s="191">
        <v>1082</v>
      </c>
      <c r="B1091" s="192"/>
      <c r="C1091" s="192"/>
      <c r="D1091" s="192"/>
      <c r="E1091" s="53" t="s">
        <v>3314</v>
      </c>
      <c r="F1091" s="193" t="s">
        <v>3362</v>
      </c>
      <c r="G1091" s="193" t="s">
        <v>3363</v>
      </c>
      <c r="H1091" s="194">
        <v>5232</v>
      </c>
      <c r="I1091" s="195"/>
      <c r="J1091" s="197"/>
      <c r="K1091" s="53"/>
    </row>
    <row r="1092" spans="1:11" ht="65.099999999999994" customHeight="1" x14ac:dyDescent="0.25">
      <c r="A1092" s="191">
        <v>1083</v>
      </c>
      <c r="B1092" s="192"/>
      <c r="C1092" s="192"/>
      <c r="D1092" s="192"/>
      <c r="E1092" s="53" t="s">
        <v>3315</v>
      </c>
      <c r="F1092" s="193" t="s">
        <v>3362</v>
      </c>
      <c r="G1092" s="193" t="s">
        <v>3363</v>
      </c>
      <c r="H1092" s="194">
        <v>5232</v>
      </c>
      <c r="I1092" s="195"/>
      <c r="J1092" s="197"/>
      <c r="K1092" s="53"/>
    </row>
    <row r="1093" spans="1:11" ht="65.099999999999994" customHeight="1" x14ac:dyDescent="0.25">
      <c r="A1093" s="191">
        <v>1084</v>
      </c>
      <c r="B1093" s="192"/>
      <c r="C1093" s="192"/>
      <c r="D1093" s="192"/>
      <c r="E1093" s="53" t="s">
        <v>3316</v>
      </c>
      <c r="F1093" s="193" t="s">
        <v>3362</v>
      </c>
      <c r="G1093" s="193" t="s">
        <v>3363</v>
      </c>
      <c r="H1093" s="194">
        <v>5232</v>
      </c>
      <c r="I1093" s="195"/>
      <c r="J1093" s="197"/>
      <c r="K1093" s="53"/>
    </row>
    <row r="1094" spans="1:11" ht="65.099999999999994" customHeight="1" x14ac:dyDescent="0.25">
      <c r="A1094" s="191">
        <v>1085</v>
      </c>
      <c r="B1094" s="192"/>
      <c r="C1094" s="192"/>
      <c r="D1094" s="192"/>
      <c r="E1094" s="53" t="s">
        <v>3317</v>
      </c>
      <c r="F1094" s="193" t="s">
        <v>3362</v>
      </c>
      <c r="G1094" s="193" t="s">
        <v>3363</v>
      </c>
      <c r="H1094" s="194">
        <v>5232</v>
      </c>
      <c r="I1094" s="195"/>
      <c r="J1094" s="197"/>
      <c r="K1094" s="53"/>
    </row>
    <row r="1095" spans="1:11" ht="65.099999999999994" customHeight="1" x14ac:dyDescent="0.25">
      <c r="A1095" s="191">
        <v>1086</v>
      </c>
      <c r="B1095" s="192"/>
      <c r="C1095" s="192"/>
      <c r="D1095" s="192"/>
      <c r="E1095" s="53" t="s">
        <v>3318</v>
      </c>
      <c r="F1095" s="193" t="s">
        <v>3362</v>
      </c>
      <c r="G1095" s="193" t="s">
        <v>3363</v>
      </c>
      <c r="H1095" s="194">
        <v>5232</v>
      </c>
      <c r="I1095" s="195"/>
      <c r="J1095" s="197"/>
      <c r="K1095" s="53"/>
    </row>
    <row r="1096" spans="1:11" ht="65.099999999999994" customHeight="1" x14ac:dyDescent="0.25">
      <c r="A1096" s="191">
        <v>1087</v>
      </c>
      <c r="B1096" s="192"/>
      <c r="C1096" s="192"/>
      <c r="D1096" s="192"/>
      <c r="E1096" s="53" t="s">
        <v>3319</v>
      </c>
      <c r="F1096" s="193" t="s">
        <v>3362</v>
      </c>
      <c r="G1096" s="193" t="s">
        <v>3363</v>
      </c>
      <c r="H1096" s="194">
        <v>5232</v>
      </c>
      <c r="I1096" s="195"/>
      <c r="J1096" s="197"/>
      <c r="K1096" s="53"/>
    </row>
    <row r="1097" spans="1:11" ht="65.099999999999994" customHeight="1" x14ac:dyDescent="0.25">
      <c r="A1097" s="191">
        <v>1088</v>
      </c>
      <c r="B1097" s="192"/>
      <c r="C1097" s="192"/>
      <c r="D1097" s="192"/>
      <c r="E1097" s="53" t="s">
        <v>3320</v>
      </c>
      <c r="F1097" s="193" t="s">
        <v>3362</v>
      </c>
      <c r="G1097" s="193" t="s">
        <v>3363</v>
      </c>
      <c r="H1097" s="194">
        <v>5232</v>
      </c>
      <c r="I1097" s="195"/>
      <c r="J1097" s="197"/>
      <c r="K1097" s="53"/>
    </row>
    <row r="1098" spans="1:11" ht="65.099999999999994" customHeight="1" x14ac:dyDescent="0.25">
      <c r="A1098" s="191">
        <v>1089</v>
      </c>
      <c r="B1098" s="192"/>
      <c r="C1098" s="192"/>
      <c r="D1098" s="192"/>
      <c r="E1098" s="53" t="s">
        <v>3321</v>
      </c>
      <c r="F1098" s="193" t="s">
        <v>3362</v>
      </c>
      <c r="G1098" s="193" t="s">
        <v>3363</v>
      </c>
      <c r="H1098" s="194">
        <v>5232</v>
      </c>
      <c r="I1098" s="195"/>
      <c r="J1098" s="197"/>
      <c r="K1098" s="53"/>
    </row>
    <row r="1099" spans="1:11" ht="65.099999999999994" customHeight="1" x14ac:dyDescent="0.25">
      <c r="A1099" s="191">
        <v>1090</v>
      </c>
      <c r="B1099" s="192"/>
      <c r="C1099" s="192"/>
      <c r="D1099" s="192"/>
      <c r="E1099" s="53" t="s">
        <v>3322</v>
      </c>
      <c r="F1099" s="193" t="s">
        <v>3362</v>
      </c>
      <c r="G1099" s="193" t="s">
        <v>3363</v>
      </c>
      <c r="H1099" s="194">
        <v>5232</v>
      </c>
      <c r="I1099" s="195"/>
      <c r="J1099" s="197"/>
      <c r="K1099" s="53"/>
    </row>
    <row r="1100" spans="1:11" ht="65.099999999999994" customHeight="1" x14ac:dyDescent="0.25">
      <c r="A1100" s="191">
        <v>1091</v>
      </c>
      <c r="B1100" s="192"/>
      <c r="C1100" s="192"/>
      <c r="D1100" s="192"/>
      <c r="E1100" s="53" t="s">
        <v>3323</v>
      </c>
      <c r="F1100" s="193" t="s">
        <v>3362</v>
      </c>
      <c r="G1100" s="193" t="s">
        <v>3363</v>
      </c>
      <c r="H1100" s="194">
        <v>5232</v>
      </c>
      <c r="I1100" s="195"/>
      <c r="J1100" s="197"/>
      <c r="K1100" s="53"/>
    </row>
    <row r="1101" spans="1:11" ht="65.099999999999994" customHeight="1" x14ac:dyDescent="0.25">
      <c r="A1101" s="191">
        <v>1092</v>
      </c>
      <c r="B1101" s="192"/>
      <c r="C1101" s="192"/>
      <c r="D1101" s="192"/>
      <c r="E1101" s="53" t="s">
        <v>3324</v>
      </c>
      <c r="F1101" s="193" t="s">
        <v>3362</v>
      </c>
      <c r="G1101" s="193" t="s">
        <v>3363</v>
      </c>
      <c r="H1101" s="194">
        <v>5232</v>
      </c>
      <c r="I1101" s="195"/>
      <c r="J1101" s="197"/>
      <c r="K1101" s="53"/>
    </row>
    <row r="1102" spans="1:11" ht="65.099999999999994" customHeight="1" x14ac:dyDescent="0.25">
      <c r="A1102" s="191">
        <v>1093</v>
      </c>
      <c r="B1102" s="192"/>
      <c r="C1102" s="192"/>
      <c r="D1102" s="192"/>
      <c r="E1102" s="53" t="s">
        <v>3325</v>
      </c>
      <c r="F1102" s="193" t="s">
        <v>3362</v>
      </c>
      <c r="G1102" s="193" t="s">
        <v>3363</v>
      </c>
      <c r="H1102" s="194">
        <v>5232</v>
      </c>
      <c r="I1102" s="195"/>
      <c r="J1102" s="197"/>
      <c r="K1102" s="53"/>
    </row>
    <row r="1103" spans="1:11" ht="65.099999999999994" customHeight="1" x14ac:dyDescent="0.25">
      <c r="A1103" s="191">
        <v>1094</v>
      </c>
      <c r="B1103" s="192"/>
      <c r="C1103" s="192"/>
      <c r="D1103" s="192"/>
      <c r="E1103" s="53" t="s">
        <v>3326</v>
      </c>
      <c r="F1103" s="193" t="s">
        <v>3362</v>
      </c>
      <c r="G1103" s="193" t="s">
        <v>3363</v>
      </c>
      <c r="H1103" s="194">
        <v>5232</v>
      </c>
      <c r="I1103" s="195"/>
      <c r="J1103" s="197"/>
      <c r="K1103" s="53"/>
    </row>
    <row r="1104" spans="1:11" ht="65.099999999999994" customHeight="1" x14ac:dyDescent="0.25">
      <c r="A1104" s="191">
        <v>1095</v>
      </c>
      <c r="B1104" s="192"/>
      <c r="C1104" s="192"/>
      <c r="D1104" s="192"/>
      <c r="E1104" s="53" t="s">
        <v>3327</v>
      </c>
      <c r="F1104" s="193" t="s">
        <v>3362</v>
      </c>
      <c r="G1104" s="193" t="s">
        <v>3363</v>
      </c>
      <c r="H1104" s="194">
        <v>5232</v>
      </c>
      <c r="I1104" s="195"/>
      <c r="J1104" s="197"/>
      <c r="K1104" s="53"/>
    </row>
    <row r="1105" spans="1:11" ht="65.099999999999994" customHeight="1" x14ac:dyDescent="0.25">
      <c r="A1105" s="191">
        <v>1096</v>
      </c>
      <c r="B1105" s="192"/>
      <c r="C1105" s="192"/>
      <c r="D1105" s="192"/>
      <c r="E1105" s="53" t="s">
        <v>3328</v>
      </c>
      <c r="F1105" s="193" t="s">
        <v>3362</v>
      </c>
      <c r="G1105" s="193" t="s">
        <v>3363</v>
      </c>
      <c r="H1105" s="194">
        <v>5232</v>
      </c>
      <c r="I1105" s="195"/>
      <c r="J1105" s="197"/>
      <c r="K1105" s="53"/>
    </row>
    <row r="1106" spans="1:11" ht="65.099999999999994" customHeight="1" x14ac:dyDescent="0.25">
      <c r="A1106" s="191">
        <v>1097</v>
      </c>
      <c r="B1106" s="192"/>
      <c r="C1106" s="192"/>
      <c r="D1106" s="192"/>
      <c r="E1106" s="53" t="s">
        <v>3329</v>
      </c>
      <c r="F1106" s="193" t="s">
        <v>3362</v>
      </c>
      <c r="G1106" s="193" t="s">
        <v>3363</v>
      </c>
      <c r="H1106" s="194">
        <v>5232</v>
      </c>
      <c r="I1106" s="195"/>
      <c r="J1106" s="197"/>
      <c r="K1106" s="53"/>
    </row>
    <row r="1107" spans="1:11" ht="65.099999999999994" customHeight="1" x14ac:dyDescent="0.25">
      <c r="A1107" s="191">
        <v>1098</v>
      </c>
      <c r="B1107" s="192"/>
      <c r="C1107" s="192"/>
      <c r="D1107" s="192"/>
      <c r="E1107" s="53" t="s">
        <v>3330</v>
      </c>
      <c r="F1107" s="193" t="s">
        <v>3362</v>
      </c>
      <c r="G1107" s="193" t="s">
        <v>3363</v>
      </c>
      <c r="H1107" s="194">
        <v>5232</v>
      </c>
      <c r="I1107" s="195"/>
      <c r="J1107" s="197"/>
      <c r="K1107" s="53"/>
    </row>
    <row r="1108" spans="1:11" ht="65.099999999999994" customHeight="1" x14ac:dyDescent="0.25">
      <c r="A1108" s="191">
        <v>1099</v>
      </c>
      <c r="B1108" s="192"/>
      <c r="C1108" s="192"/>
      <c r="D1108" s="192"/>
      <c r="E1108" s="53" t="s">
        <v>3331</v>
      </c>
      <c r="F1108" s="193" t="s">
        <v>3362</v>
      </c>
      <c r="G1108" s="193" t="s">
        <v>3363</v>
      </c>
      <c r="H1108" s="194">
        <v>5232</v>
      </c>
      <c r="I1108" s="195"/>
      <c r="J1108" s="197"/>
      <c r="K1108" s="53"/>
    </row>
    <row r="1109" spans="1:11" ht="65.099999999999994" customHeight="1" x14ac:dyDescent="0.25">
      <c r="A1109" s="191">
        <v>1100</v>
      </c>
      <c r="B1109" s="192"/>
      <c r="C1109" s="192"/>
      <c r="D1109" s="192"/>
      <c r="E1109" s="53" t="s">
        <v>3332</v>
      </c>
      <c r="F1109" s="193" t="s">
        <v>3362</v>
      </c>
      <c r="G1109" s="193" t="s">
        <v>3363</v>
      </c>
      <c r="H1109" s="194">
        <v>5232</v>
      </c>
      <c r="I1109" s="195"/>
      <c r="J1109" s="197"/>
      <c r="K1109" s="53"/>
    </row>
    <row r="1110" spans="1:11" ht="65.099999999999994" customHeight="1" x14ac:dyDescent="0.25">
      <c r="A1110" s="191">
        <v>1101</v>
      </c>
      <c r="B1110" s="192"/>
      <c r="C1110" s="192"/>
      <c r="D1110" s="192"/>
      <c r="E1110" s="53" t="s">
        <v>3333</v>
      </c>
      <c r="F1110" s="193" t="s">
        <v>3362</v>
      </c>
      <c r="G1110" s="193" t="s">
        <v>3363</v>
      </c>
      <c r="H1110" s="194">
        <v>5232</v>
      </c>
      <c r="I1110" s="195"/>
      <c r="J1110" s="197"/>
      <c r="K1110" s="53"/>
    </row>
    <row r="1111" spans="1:11" ht="65.099999999999994" customHeight="1" x14ac:dyDescent="0.25">
      <c r="A1111" s="191">
        <v>1102</v>
      </c>
      <c r="B1111" s="192"/>
      <c r="C1111" s="192"/>
      <c r="D1111" s="192"/>
      <c r="E1111" s="53" t="s">
        <v>3334</v>
      </c>
      <c r="F1111" s="193" t="s">
        <v>3362</v>
      </c>
      <c r="G1111" s="193" t="s">
        <v>3363</v>
      </c>
      <c r="H1111" s="194">
        <v>5232</v>
      </c>
      <c r="I1111" s="195"/>
      <c r="J1111" s="197"/>
      <c r="K1111" s="53"/>
    </row>
    <row r="1112" spans="1:11" ht="65.099999999999994" customHeight="1" x14ac:dyDescent="0.25">
      <c r="A1112" s="191">
        <v>1103</v>
      </c>
      <c r="B1112" s="192"/>
      <c r="C1112" s="192"/>
      <c r="D1112" s="192"/>
      <c r="E1112" s="53" t="s">
        <v>3335</v>
      </c>
      <c r="F1112" s="193" t="s">
        <v>3362</v>
      </c>
      <c r="G1112" s="193" t="s">
        <v>3363</v>
      </c>
      <c r="H1112" s="194">
        <v>5232</v>
      </c>
      <c r="I1112" s="195"/>
      <c r="J1112" s="197"/>
      <c r="K1112" s="53"/>
    </row>
    <row r="1113" spans="1:11" ht="65.099999999999994" customHeight="1" x14ac:dyDescent="0.25">
      <c r="A1113" s="191">
        <v>1104</v>
      </c>
      <c r="B1113" s="192"/>
      <c r="C1113" s="192"/>
      <c r="D1113" s="192"/>
      <c r="E1113" s="53" t="s">
        <v>3336</v>
      </c>
      <c r="F1113" s="193" t="s">
        <v>3362</v>
      </c>
      <c r="G1113" s="193" t="s">
        <v>3363</v>
      </c>
      <c r="H1113" s="194">
        <v>5232</v>
      </c>
      <c r="I1113" s="195"/>
      <c r="J1113" s="197"/>
      <c r="K1113" s="53"/>
    </row>
    <row r="1114" spans="1:11" ht="65.099999999999994" customHeight="1" x14ac:dyDescent="0.25">
      <c r="A1114" s="191">
        <v>1105</v>
      </c>
      <c r="B1114" s="192"/>
      <c r="C1114" s="192"/>
      <c r="D1114" s="192"/>
      <c r="E1114" s="53" t="s">
        <v>3337</v>
      </c>
      <c r="F1114" s="193" t="s">
        <v>3362</v>
      </c>
      <c r="G1114" s="193" t="s">
        <v>3363</v>
      </c>
      <c r="H1114" s="194">
        <v>5232</v>
      </c>
      <c r="I1114" s="195"/>
      <c r="J1114" s="197"/>
      <c r="K1114" s="53"/>
    </row>
    <row r="1115" spans="1:11" ht="65.099999999999994" customHeight="1" x14ac:dyDescent="0.25">
      <c r="A1115" s="191">
        <v>1106</v>
      </c>
      <c r="B1115" s="192"/>
      <c r="C1115" s="192"/>
      <c r="D1115" s="192"/>
      <c r="E1115" s="53" t="s">
        <v>3338</v>
      </c>
      <c r="F1115" s="193" t="s">
        <v>3362</v>
      </c>
      <c r="G1115" s="193" t="s">
        <v>3363</v>
      </c>
      <c r="H1115" s="194">
        <v>5232</v>
      </c>
      <c r="I1115" s="195"/>
      <c r="J1115" s="197"/>
      <c r="K1115" s="53"/>
    </row>
    <row r="1116" spans="1:11" ht="65.099999999999994" customHeight="1" x14ac:dyDescent="0.25">
      <c r="A1116" s="191">
        <v>1107</v>
      </c>
      <c r="B1116" s="192"/>
      <c r="C1116" s="192"/>
      <c r="D1116" s="192"/>
      <c r="E1116" s="53" t="s">
        <v>3339</v>
      </c>
      <c r="F1116" s="193" t="s">
        <v>3362</v>
      </c>
      <c r="G1116" s="193" t="s">
        <v>3363</v>
      </c>
      <c r="H1116" s="194">
        <v>5232</v>
      </c>
      <c r="I1116" s="195"/>
      <c r="J1116" s="197"/>
      <c r="K1116" s="53"/>
    </row>
    <row r="1117" spans="1:11" ht="65.099999999999994" customHeight="1" x14ac:dyDescent="0.25">
      <c r="A1117" s="191">
        <v>1108</v>
      </c>
      <c r="B1117" s="192"/>
      <c r="C1117" s="192"/>
      <c r="D1117" s="192"/>
      <c r="E1117" s="53" t="s">
        <v>3340</v>
      </c>
      <c r="F1117" s="193" t="s">
        <v>3362</v>
      </c>
      <c r="G1117" s="193" t="s">
        <v>3363</v>
      </c>
      <c r="H1117" s="194">
        <v>5232</v>
      </c>
      <c r="I1117" s="195"/>
      <c r="J1117" s="197"/>
      <c r="K1117" s="53"/>
    </row>
    <row r="1118" spans="1:11" ht="65.099999999999994" customHeight="1" x14ac:dyDescent="0.25">
      <c r="A1118" s="191">
        <v>1109</v>
      </c>
      <c r="B1118" s="192"/>
      <c r="C1118" s="192"/>
      <c r="D1118" s="192"/>
      <c r="E1118" s="53" t="s">
        <v>3341</v>
      </c>
      <c r="F1118" s="193" t="s">
        <v>3362</v>
      </c>
      <c r="G1118" s="193" t="s">
        <v>3363</v>
      </c>
      <c r="H1118" s="194">
        <v>5232</v>
      </c>
      <c r="I1118" s="195"/>
      <c r="J1118" s="197"/>
      <c r="K1118" s="53"/>
    </row>
    <row r="1119" spans="1:11" ht="65.099999999999994" customHeight="1" x14ac:dyDescent="0.25">
      <c r="A1119" s="191">
        <v>1110</v>
      </c>
      <c r="B1119" s="192"/>
      <c r="C1119" s="192"/>
      <c r="D1119" s="192"/>
      <c r="E1119" s="53" t="s">
        <v>3342</v>
      </c>
      <c r="F1119" s="193" t="s">
        <v>3362</v>
      </c>
      <c r="G1119" s="193" t="s">
        <v>3363</v>
      </c>
      <c r="H1119" s="194">
        <v>5232</v>
      </c>
      <c r="I1119" s="195"/>
      <c r="J1119" s="197"/>
      <c r="K1119" s="53"/>
    </row>
    <row r="1120" spans="1:11" ht="65.099999999999994" customHeight="1" x14ac:dyDescent="0.25">
      <c r="A1120" s="191">
        <v>1111</v>
      </c>
      <c r="B1120" s="192"/>
      <c r="C1120" s="192"/>
      <c r="D1120" s="192"/>
      <c r="E1120" s="53" t="s">
        <v>3343</v>
      </c>
      <c r="F1120" s="193" t="s">
        <v>3362</v>
      </c>
      <c r="G1120" s="193" t="s">
        <v>3363</v>
      </c>
      <c r="H1120" s="194">
        <v>5232</v>
      </c>
      <c r="I1120" s="195"/>
      <c r="J1120" s="197"/>
      <c r="K1120" s="53"/>
    </row>
    <row r="1121" spans="1:11" ht="65.099999999999994" customHeight="1" x14ac:dyDescent="0.25">
      <c r="A1121" s="191">
        <v>1112</v>
      </c>
      <c r="B1121" s="192"/>
      <c r="C1121" s="192"/>
      <c r="D1121" s="192"/>
      <c r="E1121" s="53" t="s">
        <v>3344</v>
      </c>
      <c r="F1121" s="193" t="s">
        <v>3362</v>
      </c>
      <c r="G1121" s="193" t="s">
        <v>3363</v>
      </c>
      <c r="H1121" s="194">
        <v>5232</v>
      </c>
      <c r="I1121" s="195"/>
      <c r="J1121" s="197"/>
      <c r="K1121" s="53"/>
    </row>
    <row r="1122" spans="1:11" ht="65.099999999999994" customHeight="1" x14ac:dyDescent="0.25">
      <c r="A1122" s="191">
        <v>1113</v>
      </c>
      <c r="B1122" s="192"/>
      <c r="C1122" s="192"/>
      <c r="D1122" s="192"/>
      <c r="E1122" s="53" t="s">
        <v>3345</v>
      </c>
      <c r="F1122" s="193" t="s">
        <v>3362</v>
      </c>
      <c r="G1122" s="193" t="s">
        <v>3363</v>
      </c>
      <c r="H1122" s="194">
        <v>5232</v>
      </c>
      <c r="I1122" s="195"/>
      <c r="J1122" s="197"/>
      <c r="K1122" s="53"/>
    </row>
    <row r="1123" spans="1:11" ht="65.099999999999994" customHeight="1" x14ac:dyDescent="0.25">
      <c r="A1123" s="191">
        <v>1114</v>
      </c>
      <c r="B1123" s="192"/>
      <c r="C1123" s="192"/>
      <c r="D1123" s="192"/>
      <c r="E1123" s="53" t="s">
        <v>3346</v>
      </c>
      <c r="F1123" s="193" t="s">
        <v>3362</v>
      </c>
      <c r="G1123" s="193" t="s">
        <v>3363</v>
      </c>
      <c r="H1123" s="194">
        <v>5232</v>
      </c>
      <c r="I1123" s="195"/>
      <c r="J1123" s="197"/>
      <c r="K1123" s="53"/>
    </row>
    <row r="1124" spans="1:11" ht="65.099999999999994" customHeight="1" x14ac:dyDescent="0.25">
      <c r="A1124" s="191">
        <v>1115</v>
      </c>
      <c r="B1124" s="192"/>
      <c r="C1124" s="192"/>
      <c r="D1124" s="192"/>
      <c r="E1124" s="53" t="s">
        <v>3347</v>
      </c>
      <c r="F1124" s="193" t="s">
        <v>3362</v>
      </c>
      <c r="G1124" s="193" t="s">
        <v>3363</v>
      </c>
      <c r="H1124" s="194">
        <v>5232</v>
      </c>
      <c r="I1124" s="195"/>
      <c r="J1124" s="197"/>
      <c r="K1124" s="53"/>
    </row>
    <row r="1125" spans="1:11" ht="65.099999999999994" customHeight="1" x14ac:dyDescent="0.25">
      <c r="A1125" s="191">
        <v>1116</v>
      </c>
      <c r="B1125" s="192"/>
      <c r="C1125" s="192"/>
      <c r="D1125" s="192"/>
      <c r="E1125" s="53" t="s">
        <v>3348</v>
      </c>
      <c r="F1125" s="193" t="s">
        <v>3362</v>
      </c>
      <c r="G1125" s="193" t="s">
        <v>3363</v>
      </c>
      <c r="H1125" s="194">
        <v>5232</v>
      </c>
      <c r="I1125" s="195"/>
      <c r="J1125" s="197"/>
      <c r="K1125" s="53"/>
    </row>
    <row r="1126" spans="1:11" ht="65.099999999999994" customHeight="1" x14ac:dyDescent="0.25">
      <c r="A1126" s="191">
        <v>1117</v>
      </c>
      <c r="B1126" s="192"/>
      <c r="C1126" s="192"/>
      <c r="D1126" s="192"/>
      <c r="E1126" s="53" t="s">
        <v>3349</v>
      </c>
      <c r="F1126" s="193" t="s">
        <v>3362</v>
      </c>
      <c r="G1126" s="193" t="s">
        <v>3363</v>
      </c>
      <c r="H1126" s="194">
        <v>5232</v>
      </c>
      <c r="I1126" s="195"/>
      <c r="J1126" s="197"/>
      <c r="K1126" s="53"/>
    </row>
    <row r="1127" spans="1:11" ht="65.099999999999994" customHeight="1" x14ac:dyDescent="0.25">
      <c r="A1127" s="191">
        <v>1118</v>
      </c>
      <c r="B1127" s="192"/>
      <c r="C1127" s="192"/>
      <c r="D1127" s="192"/>
      <c r="E1127" s="53" t="s">
        <v>3364</v>
      </c>
      <c r="F1127" s="193" t="s">
        <v>3350</v>
      </c>
      <c r="G1127" s="193" t="s">
        <v>3363</v>
      </c>
      <c r="H1127" s="194">
        <v>10137</v>
      </c>
      <c r="I1127" s="195"/>
      <c r="J1127" s="197"/>
      <c r="K1127" s="53"/>
    </row>
    <row r="1128" spans="1:11" ht="65.099999999999994" customHeight="1" x14ac:dyDescent="0.25">
      <c r="A1128" s="191">
        <v>1119</v>
      </c>
      <c r="B1128" s="192"/>
      <c r="C1128" s="192"/>
      <c r="D1128" s="192"/>
      <c r="E1128" s="53" t="s">
        <v>3365</v>
      </c>
      <c r="F1128" s="193" t="s">
        <v>3351</v>
      </c>
      <c r="G1128" s="193" t="s">
        <v>3363</v>
      </c>
      <c r="H1128" s="194">
        <v>10137</v>
      </c>
      <c r="I1128" s="195"/>
      <c r="J1128" s="197"/>
      <c r="K1128" s="53"/>
    </row>
    <row r="1129" spans="1:11" ht="65.099999999999994" customHeight="1" x14ac:dyDescent="0.25">
      <c r="A1129" s="191">
        <v>1120</v>
      </c>
      <c r="B1129" s="192"/>
      <c r="C1129" s="192"/>
      <c r="D1129" s="192"/>
      <c r="E1129" s="53" t="s">
        <v>3366</v>
      </c>
      <c r="F1129" s="193" t="s">
        <v>3352</v>
      </c>
      <c r="G1129" s="193" t="s">
        <v>3363</v>
      </c>
      <c r="H1129" s="194">
        <v>10137</v>
      </c>
      <c r="I1129" s="195"/>
      <c r="J1129" s="197"/>
      <c r="K1129" s="53"/>
    </row>
    <row r="1130" spans="1:11" ht="65.099999999999994" customHeight="1" x14ac:dyDescent="0.25">
      <c r="A1130" s="191">
        <v>1121</v>
      </c>
      <c r="B1130" s="192"/>
      <c r="C1130" s="192"/>
      <c r="D1130" s="192"/>
      <c r="E1130" s="53" t="s">
        <v>3367</v>
      </c>
      <c r="F1130" s="193" t="s">
        <v>3352</v>
      </c>
      <c r="G1130" s="193" t="s">
        <v>3363</v>
      </c>
      <c r="H1130" s="194">
        <v>10137</v>
      </c>
      <c r="I1130" s="195"/>
      <c r="J1130" s="197"/>
      <c r="K1130" s="53"/>
    </row>
    <row r="1131" spans="1:11" ht="65.099999999999994" customHeight="1" x14ac:dyDescent="0.25">
      <c r="A1131" s="191">
        <v>1122</v>
      </c>
      <c r="B1131" s="192"/>
      <c r="C1131" s="192"/>
      <c r="D1131" s="192"/>
      <c r="E1131" s="53" t="s">
        <v>3368</v>
      </c>
      <c r="F1131" s="193" t="s">
        <v>3356</v>
      </c>
      <c r="G1131" s="193" t="s">
        <v>3363</v>
      </c>
      <c r="H1131" s="194">
        <v>10137</v>
      </c>
      <c r="I1131" s="195"/>
      <c r="J1131" s="197"/>
      <c r="K1131" s="53"/>
    </row>
    <row r="1132" spans="1:11" ht="65.099999999999994" customHeight="1" x14ac:dyDescent="0.25">
      <c r="A1132" s="191">
        <v>1123</v>
      </c>
      <c r="B1132" s="192"/>
      <c r="C1132" s="192"/>
      <c r="D1132" s="192"/>
      <c r="E1132" s="53" t="s">
        <v>3369</v>
      </c>
      <c r="F1132" s="193" t="s">
        <v>3360</v>
      </c>
      <c r="G1132" s="193" t="s">
        <v>3363</v>
      </c>
      <c r="H1132" s="194">
        <v>10137</v>
      </c>
      <c r="I1132" s="195"/>
      <c r="J1132" s="197"/>
      <c r="K1132" s="53"/>
    </row>
    <row r="1133" spans="1:11" ht="65.099999999999994" customHeight="1" x14ac:dyDescent="0.25">
      <c r="A1133" s="191">
        <v>1124</v>
      </c>
      <c r="B1133" s="192"/>
      <c r="C1133" s="192"/>
      <c r="D1133" s="192"/>
      <c r="E1133" s="53" t="s">
        <v>3370</v>
      </c>
      <c r="F1133" s="193" t="s">
        <v>3360</v>
      </c>
      <c r="G1133" s="193" t="s">
        <v>3363</v>
      </c>
      <c r="H1133" s="194">
        <v>10137</v>
      </c>
      <c r="I1133" s="195"/>
      <c r="J1133" s="197"/>
      <c r="K1133" s="53"/>
    </row>
    <row r="1134" spans="1:11" ht="65.099999999999994" customHeight="1" x14ac:dyDescent="0.25">
      <c r="A1134" s="191">
        <v>1125</v>
      </c>
      <c r="B1134" s="192"/>
      <c r="C1134" s="192"/>
      <c r="D1134" s="192"/>
      <c r="E1134" s="53" t="s">
        <v>3371</v>
      </c>
      <c r="F1134" s="193" t="s">
        <v>3360</v>
      </c>
      <c r="G1134" s="193" t="s">
        <v>3363</v>
      </c>
      <c r="H1134" s="194">
        <v>10137</v>
      </c>
      <c r="I1134" s="195"/>
      <c r="J1134" s="197"/>
      <c r="K1134" s="53"/>
    </row>
    <row r="1135" spans="1:11" ht="65.099999999999994" customHeight="1" x14ac:dyDescent="0.25">
      <c r="A1135" s="191">
        <v>1126</v>
      </c>
      <c r="B1135" s="192"/>
      <c r="C1135" s="192"/>
      <c r="D1135" s="192"/>
      <c r="E1135" s="53" t="s">
        <v>3372</v>
      </c>
      <c r="F1135" s="193" t="s">
        <v>3360</v>
      </c>
      <c r="G1135" s="193" t="s">
        <v>3363</v>
      </c>
      <c r="H1135" s="194">
        <v>10137</v>
      </c>
      <c r="I1135" s="195"/>
      <c r="J1135" s="197"/>
      <c r="K1135" s="53"/>
    </row>
    <row r="1136" spans="1:11" ht="65.099999999999994" customHeight="1" x14ac:dyDescent="0.25">
      <c r="A1136" s="191">
        <v>1127</v>
      </c>
      <c r="B1136" s="192"/>
      <c r="C1136" s="192"/>
      <c r="D1136" s="192"/>
      <c r="E1136" s="53" t="s">
        <v>3373</v>
      </c>
      <c r="F1136" s="193" t="s">
        <v>3360</v>
      </c>
      <c r="G1136" s="193" t="s">
        <v>3363</v>
      </c>
      <c r="H1136" s="194">
        <v>10137</v>
      </c>
      <c r="I1136" s="195"/>
      <c r="J1136" s="197"/>
      <c r="K1136" s="53"/>
    </row>
    <row r="1137" spans="1:11" ht="65.099999999999994" customHeight="1" x14ac:dyDescent="0.25">
      <c r="A1137" s="191">
        <v>1128</v>
      </c>
      <c r="B1137" s="192"/>
      <c r="C1137" s="192"/>
      <c r="D1137" s="192"/>
      <c r="E1137" s="53" t="s">
        <v>3374</v>
      </c>
      <c r="F1137" s="193" t="s">
        <v>3361</v>
      </c>
      <c r="G1137" s="193" t="s">
        <v>3363</v>
      </c>
      <c r="H1137" s="194">
        <v>10137</v>
      </c>
      <c r="I1137" s="195"/>
      <c r="J1137" s="197"/>
      <c r="K1137" s="53"/>
    </row>
    <row r="1138" spans="1:11" ht="50.1" hidden="1" customHeight="1" x14ac:dyDescent="0.25">
      <c r="A1138" s="52"/>
      <c r="B1138" s="51"/>
      <c r="C1138" s="51"/>
      <c r="D1138" s="51"/>
      <c r="E1138" s="54"/>
      <c r="F1138" s="32"/>
      <c r="G1138" s="33"/>
      <c r="H1138" s="50"/>
      <c r="I1138" s="52"/>
      <c r="J1138" s="52"/>
      <c r="K1138" s="52"/>
    </row>
    <row r="1139" spans="1:11" ht="50.1" hidden="1" customHeight="1" x14ac:dyDescent="0.25">
      <c r="A1139" s="52"/>
      <c r="B1139" s="51"/>
      <c r="C1139" s="51"/>
      <c r="D1139" s="51"/>
      <c r="E1139" s="54"/>
      <c r="F1139" s="32"/>
      <c r="G1139" s="33"/>
      <c r="H1139" s="50"/>
      <c r="I1139" s="52"/>
      <c r="J1139" s="52"/>
      <c r="K1139" s="52"/>
    </row>
    <row r="1140" spans="1:11" ht="50.1" hidden="1" customHeight="1" x14ac:dyDescent="0.25">
      <c r="A1140" s="52"/>
      <c r="B1140" s="51"/>
      <c r="C1140" s="51"/>
      <c r="D1140" s="51"/>
      <c r="E1140" s="54"/>
      <c r="F1140" s="32"/>
      <c r="G1140" s="33"/>
      <c r="H1140" s="50"/>
      <c r="I1140" s="52"/>
      <c r="J1140" s="52"/>
      <c r="K1140" s="52"/>
    </row>
    <row r="1141" spans="1:11" ht="50.1" hidden="1" customHeight="1" x14ac:dyDescent="0.25">
      <c r="A1141" s="52"/>
      <c r="B1141" s="51"/>
      <c r="C1141" s="51"/>
      <c r="D1141" s="51"/>
      <c r="E1141" s="54"/>
      <c r="F1141" s="32"/>
      <c r="G1141" s="33"/>
      <c r="H1141" s="50"/>
      <c r="I1141" s="52"/>
      <c r="J1141" s="52"/>
      <c r="K1141" s="52"/>
    </row>
    <row r="1142" spans="1:11" ht="50.1" hidden="1" customHeight="1" x14ac:dyDescent="0.25">
      <c r="A1142" s="52"/>
      <c r="B1142" s="51"/>
      <c r="C1142" s="51"/>
      <c r="D1142" s="51"/>
      <c r="E1142" s="54"/>
      <c r="F1142" s="32"/>
      <c r="G1142" s="33"/>
      <c r="H1142" s="50"/>
      <c r="I1142" s="52"/>
      <c r="J1142" s="52"/>
      <c r="K1142" s="52"/>
    </row>
    <row r="1143" spans="1:11" ht="50.1" hidden="1" customHeight="1" x14ac:dyDescent="0.25">
      <c r="A1143" s="52"/>
      <c r="B1143" s="51"/>
      <c r="C1143" s="51"/>
      <c r="D1143" s="51"/>
      <c r="E1143" s="54"/>
      <c r="F1143" s="32"/>
      <c r="G1143" s="33"/>
      <c r="H1143" s="50"/>
      <c r="I1143" s="52"/>
      <c r="J1143" s="52"/>
      <c r="K1143" s="52"/>
    </row>
    <row r="1144" spans="1:11" ht="50.1" hidden="1" customHeight="1" x14ac:dyDescent="0.25">
      <c r="A1144" s="52"/>
      <c r="B1144" s="51"/>
      <c r="C1144" s="51"/>
      <c r="D1144" s="51"/>
      <c r="E1144" s="54"/>
      <c r="F1144" s="32"/>
      <c r="G1144" s="33"/>
      <c r="H1144" s="50"/>
      <c r="I1144" s="52"/>
      <c r="J1144" s="52"/>
      <c r="K1144" s="52"/>
    </row>
    <row r="1145" spans="1:11" ht="50.1" hidden="1" customHeight="1" x14ac:dyDescent="0.25">
      <c r="A1145" s="52"/>
      <c r="B1145" s="51"/>
      <c r="C1145" s="51"/>
      <c r="D1145" s="51"/>
      <c r="E1145" s="54"/>
      <c r="F1145" s="32"/>
      <c r="G1145" s="33"/>
      <c r="H1145" s="50"/>
      <c r="I1145" s="52"/>
      <c r="J1145" s="52"/>
      <c r="K1145" s="52"/>
    </row>
    <row r="1146" spans="1:11" ht="50.1" hidden="1" customHeight="1" x14ac:dyDescent="0.25">
      <c r="A1146" s="52"/>
      <c r="B1146" s="51"/>
      <c r="C1146" s="51"/>
      <c r="D1146" s="51"/>
      <c r="E1146" s="54"/>
      <c r="F1146" s="32"/>
      <c r="G1146" s="33"/>
      <c r="H1146" s="50"/>
      <c r="I1146" s="52"/>
      <c r="J1146" s="52"/>
      <c r="K1146" s="52"/>
    </row>
    <row r="1147" spans="1:11" ht="50.1" hidden="1" customHeight="1" x14ac:dyDescent="0.25">
      <c r="A1147" s="52"/>
      <c r="B1147" s="51"/>
      <c r="C1147" s="51"/>
      <c r="D1147" s="51"/>
      <c r="E1147" s="54"/>
      <c r="F1147" s="32"/>
      <c r="G1147" s="33"/>
      <c r="H1147" s="50"/>
      <c r="I1147" s="52"/>
      <c r="J1147" s="52"/>
      <c r="K1147" s="52"/>
    </row>
    <row r="1148" spans="1:11" ht="50.1" hidden="1" customHeight="1" x14ac:dyDescent="0.25">
      <c r="A1148" s="52"/>
      <c r="B1148" s="51"/>
      <c r="C1148" s="51"/>
      <c r="D1148" s="51"/>
      <c r="E1148" s="54"/>
      <c r="F1148" s="32"/>
      <c r="G1148" s="33"/>
      <c r="H1148" s="50"/>
      <c r="I1148" s="52"/>
      <c r="J1148" s="52"/>
      <c r="K1148" s="52"/>
    </row>
    <row r="1149" spans="1:11" ht="50.1" hidden="1" customHeight="1" x14ac:dyDescent="0.25">
      <c r="A1149" s="52"/>
      <c r="B1149" s="51"/>
      <c r="C1149" s="51"/>
      <c r="D1149" s="51"/>
      <c r="E1149" s="54"/>
      <c r="F1149" s="32"/>
      <c r="G1149" s="33"/>
      <c r="H1149" s="50"/>
      <c r="I1149" s="52"/>
      <c r="J1149" s="52"/>
      <c r="K1149" s="52"/>
    </row>
    <row r="1150" spans="1:11" ht="50.1" hidden="1" customHeight="1" x14ac:dyDescent="0.25">
      <c r="A1150" s="52"/>
      <c r="B1150" s="51"/>
      <c r="C1150" s="51"/>
      <c r="D1150" s="51"/>
      <c r="E1150" s="54"/>
      <c r="F1150" s="32"/>
      <c r="G1150" s="33"/>
      <c r="H1150" s="50"/>
      <c r="I1150" s="52"/>
      <c r="J1150" s="52"/>
      <c r="K1150" s="52"/>
    </row>
    <row r="1151" spans="1:11" ht="50.1" hidden="1" customHeight="1" x14ac:dyDescent="0.25">
      <c r="A1151" s="52"/>
      <c r="B1151" s="51"/>
      <c r="C1151" s="51"/>
      <c r="D1151" s="51"/>
      <c r="E1151" s="54"/>
      <c r="F1151" s="32"/>
      <c r="G1151" s="33"/>
      <c r="H1151" s="50"/>
      <c r="I1151" s="52"/>
      <c r="J1151" s="52"/>
      <c r="K1151" s="52"/>
    </row>
    <row r="1152" spans="1:11" ht="49.5" hidden="1" customHeight="1" x14ac:dyDescent="0.25">
      <c r="A1152" s="52"/>
      <c r="B1152" s="51"/>
      <c r="C1152" s="51"/>
      <c r="D1152" s="51"/>
      <c r="E1152" s="54"/>
      <c r="F1152" s="32"/>
      <c r="G1152" s="33"/>
      <c r="H1152" s="50"/>
      <c r="I1152" s="52"/>
      <c r="J1152" s="52"/>
      <c r="K1152" s="52"/>
    </row>
    <row r="1153" spans="1:11" ht="50.1" hidden="1" customHeight="1" x14ac:dyDescent="0.25">
      <c r="A1153" s="52"/>
      <c r="B1153" s="51"/>
      <c r="C1153" s="51"/>
      <c r="D1153" s="51"/>
      <c r="E1153" s="54"/>
      <c r="F1153" s="32"/>
      <c r="G1153" s="33"/>
      <c r="H1153" s="50"/>
      <c r="I1153" s="52"/>
      <c r="J1153" s="52"/>
      <c r="K1153" s="52"/>
    </row>
    <row r="1154" spans="1:11" ht="50.1" hidden="1" customHeight="1" x14ac:dyDescent="0.25">
      <c r="A1154" s="52"/>
      <c r="B1154" s="51"/>
      <c r="C1154" s="51"/>
      <c r="D1154" s="51"/>
      <c r="E1154" s="54"/>
      <c r="F1154" s="32"/>
      <c r="G1154" s="33"/>
      <c r="H1154" s="50"/>
      <c r="I1154" s="52"/>
      <c r="J1154" s="52"/>
      <c r="K1154" s="52"/>
    </row>
    <row r="1155" spans="1:11" ht="50.1" hidden="1" customHeight="1" x14ac:dyDescent="0.25">
      <c r="A1155" s="52"/>
      <c r="B1155" s="51"/>
      <c r="C1155" s="51"/>
      <c r="D1155" s="51"/>
      <c r="E1155" s="54"/>
      <c r="F1155" s="32"/>
      <c r="G1155" s="33"/>
      <c r="H1155" s="50"/>
      <c r="I1155" s="52"/>
      <c r="J1155" s="52"/>
      <c r="K1155" s="52"/>
    </row>
    <row r="1156" spans="1:11" ht="50.1" hidden="1" customHeight="1" x14ac:dyDescent="0.25">
      <c r="A1156" s="52"/>
      <c r="B1156" s="51"/>
      <c r="C1156" s="51"/>
      <c r="D1156" s="51"/>
      <c r="E1156" s="54"/>
      <c r="F1156" s="32"/>
      <c r="G1156" s="33"/>
      <c r="H1156" s="50"/>
      <c r="I1156" s="52"/>
      <c r="J1156" s="52"/>
      <c r="K1156" s="52"/>
    </row>
    <row r="1157" spans="1:11" ht="50.1" hidden="1" customHeight="1" x14ac:dyDescent="0.25">
      <c r="A1157" s="52"/>
      <c r="B1157" s="51"/>
      <c r="C1157" s="51"/>
      <c r="D1157" s="51"/>
      <c r="E1157" s="54"/>
      <c r="F1157" s="32"/>
      <c r="G1157" s="33"/>
      <c r="H1157" s="50"/>
      <c r="I1157" s="52"/>
      <c r="J1157" s="52"/>
      <c r="K1157" s="52"/>
    </row>
    <row r="1158" spans="1:11" ht="50.1" hidden="1" customHeight="1" x14ac:dyDescent="0.25">
      <c r="A1158" s="52"/>
      <c r="B1158" s="51"/>
      <c r="C1158" s="51"/>
      <c r="D1158" s="51"/>
      <c r="E1158" s="54"/>
      <c r="F1158" s="32"/>
      <c r="G1158" s="33"/>
      <c r="H1158" s="50"/>
      <c r="I1158" s="52"/>
      <c r="J1158" s="52"/>
      <c r="K1158" s="52"/>
    </row>
    <row r="1159" spans="1:11" ht="50.1" hidden="1" customHeight="1" x14ac:dyDescent="0.25">
      <c r="A1159" s="52"/>
      <c r="B1159" s="51"/>
      <c r="C1159" s="51"/>
      <c r="D1159" s="51"/>
      <c r="E1159" s="54"/>
      <c r="F1159" s="32"/>
      <c r="G1159" s="33"/>
      <c r="H1159" s="50"/>
      <c r="I1159" s="52"/>
      <c r="J1159" s="52"/>
      <c r="K1159" s="52"/>
    </row>
    <row r="1160" spans="1:11" ht="50.1" hidden="1" customHeight="1" x14ac:dyDescent="0.25">
      <c r="A1160" s="52"/>
      <c r="B1160" s="51"/>
      <c r="C1160" s="51"/>
      <c r="D1160" s="51"/>
      <c r="E1160" s="54"/>
      <c r="F1160" s="32"/>
      <c r="G1160" s="33"/>
      <c r="H1160" s="50"/>
      <c r="I1160" s="52"/>
      <c r="J1160" s="52"/>
      <c r="K1160" s="52"/>
    </row>
    <row r="1161" spans="1:11" ht="50.1" hidden="1" customHeight="1" x14ac:dyDescent="0.25">
      <c r="A1161" s="52"/>
      <c r="B1161" s="51"/>
      <c r="C1161" s="51"/>
      <c r="D1161" s="51"/>
      <c r="E1161" s="54"/>
      <c r="F1161" s="32"/>
      <c r="G1161" s="33"/>
      <c r="H1161" s="50"/>
      <c r="I1161" s="52"/>
      <c r="J1161" s="52"/>
      <c r="K1161" s="52"/>
    </row>
    <row r="1162" spans="1:11" ht="50.1" hidden="1" customHeight="1" x14ac:dyDescent="0.25">
      <c r="A1162" s="52"/>
      <c r="B1162" s="51"/>
      <c r="C1162" s="51"/>
      <c r="D1162" s="51"/>
      <c r="E1162" s="54"/>
      <c r="F1162" s="32"/>
      <c r="G1162" s="33"/>
      <c r="H1162" s="50"/>
      <c r="I1162" s="52"/>
      <c r="J1162" s="52"/>
      <c r="K1162" s="52"/>
    </row>
    <row r="1163" spans="1:11" ht="50.1" hidden="1" customHeight="1" x14ac:dyDescent="0.25">
      <c r="A1163" s="52"/>
      <c r="B1163" s="51"/>
      <c r="C1163" s="51"/>
      <c r="D1163" s="51"/>
      <c r="E1163" s="54"/>
      <c r="F1163" s="32"/>
      <c r="G1163" s="33"/>
      <c r="H1163" s="50"/>
      <c r="I1163" s="52"/>
      <c r="J1163" s="52"/>
      <c r="K1163" s="52"/>
    </row>
    <row r="1164" spans="1:11" ht="50.1" hidden="1" customHeight="1" x14ac:dyDescent="0.25">
      <c r="A1164" s="52"/>
      <c r="B1164" s="51"/>
      <c r="C1164" s="51"/>
      <c r="D1164" s="51"/>
      <c r="E1164" s="54"/>
      <c r="F1164" s="32"/>
      <c r="G1164" s="33"/>
      <c r="H1164" s="50"/>
      <c r="I1164" s="52"/>
      <c r="J1164" s="52"/>
      <c r="K1164" s="52"/>
    </row>
    <row r="1165" spans="1:11" ht="50.1" hidden="1" customHeight="1" x14ac:dyDescent="0.25">
      <c r="A1165" s="52"/>
      <c r="B1165" s="51"/>
      <c r="C1165" s="51"/>
      <c r="D1165" s="51"/>
      <c r="E1165" s="54"/>
      <c r="F1165" s="32"/>
      <c r="G1165" s="33"/>
      <c r="H1165" s="50"/>
      <c r="I1165" s="52"/>
      <c r="J1165" s="52"/>
      <c r="K1165" s="52"/>
    </row>
    <row r="1166" spans="1:11" ht="50.1" hidden="1" customHeight="1" x14ac:dyDescent="0.25">
      <c r="A1166" s="52"/>
      <c r="B1166" s="51"/>
      <c r="C1166" s="51"/>
      <c r="D1166" s="51"/>
      <c r="E1166" s="54"/>
      <c r="F1166" s="32"/>
      <c r="G1166" s="33"/>
      <c r="H1166" s="50"/>
      <c r="I1166" s="52"/>
      <c r="J1166" s="52"/>
      <c r="K1166" s="52"/>
    </row>
    <row r="1167" spans="1:11" ht="50.1" hidden="1" customHeight="1" x14ac:dyDescent="0.25">
      <c r="A1167" s="52"/>
      <c r="B1167" s="51"/>
      <c r="C1167" s="51"/>
      <c r="D1167" s="51"/>
      <c r="E1167" s="54"/>
      <c r="F1167" s="32"/>
      <c r="G1167" s="33"/>
      <c r="H1167" s="50"/>
      <c r="I1167" s="52"/>
      <c r="J1167" s="52"/>
      <c r="K1167" s="52"/>
    </row>
    <row r="1168" spans="1:11" ht="50.1" hidden="1" customHeight="1" x14ac:dyDescent="0.25">
      <c r="A1168" s="52"/>
      <c r="B1168" s="51"/>
      <c r="C1168" s="51"/>
      <c r="D1168" s="51"/>
      <c r="E1168" s="54"/>
      <c r="F1168" s="32"/>
      <c r="G1168" s="33"/>
      <c r="H1168" s="50"/>
      <c r="I1168" s="52"/>
      <c r="J1168" s="52"/>
      <c r="K1168" s="52"/>
    </row>
    <row r="1169" spans="1:11" ht="50.1" hidden="1" customHeight="1" x14ac:dyDescent="0.25">
      <c r="A1169" s="52"/>
      <c r="B1169" s="51"/>
      <c r="C1169" s="51"/>
      <c r="D1169" s="51"/>
      <c r="E1169" s="54"/>
      <c r="F1169" s="32"/>
      <c r="G1169" s="33"/>
      <c r="H1169" s="50"/>
      <c r="I1169" s="52"/>
      <c r="J1169" s="52"/>
      <c r="K1169" s="52"/>
    </row>
    <row r="1170" spans="1:11" ht="50.1" hidden="1" customHeight="1" x14ac:dyDescent="0.25">
      <c r="A1170" s="52"/>
      <c r="B1170" s="51"/>
      <c r="C1170" s="51"/>
      <c r="D1170" s="51"/>
      <c r="E1170" s="54"/>
      <c r="F1170" s="32"/>
      <c r="G1170" s="33"/>
      <c r="H1170" s="50"/>
      <c r="I1170" s="52"/>
      <c r="J1170" s="52"/>
      <c r="K1170" s="52"/>
    </row>
    <row r="1171" spans="1:11" ht="50.1" hidden="1" customHeight="1" x14ac:dyDescent="0.25">
      <c r="A1171" s="52"/>
      <c r="B1171" s="51"/>
      <c r="C1171" s="51"/>
      <c r="D1171" s="51"/>
      <c r="E1171" s="54"/>
      <c r="F1171" s="32"/>
      <c r="G1171" s="33"/>
      <c r="H1171" s="50"/>
      <c r="I1171" s="52"/>
      <c r="J1171" s="52"/>
      <c r="K1171" s="52"/>
    </row>
    <row r="1172" spans="1:11" ht="50.1" hidden="1" customHeight="1" x14ac:dyDescent="0.25">
      <c r="A1172" s="52"/>
      <c r="B1172" s="51"/>
      <c r="C1172" s="51"/>
      <c r="D1172" s="51"/>
      <c r="E1172" s="54"/>
      <c r="F1172" s="32"/>
      <c r="G1172" s="33"/>
      <c r="H1172" s="50"/>
      <c r="I1172" s="52"/>
      <c r="J1172" s="52"/>
      <c r="K1172" s="52"/>
    </row>
    <row r="1173" spans="1:11" ht="50.1" hidden="1" customHeight="1" x14ac:dyDescent="0.25">
      <c r="A1173" s="52"/>
      <c r="B1173" s="51"/>
      <c r="C1173" s="51"/>
      <c r="D1173" s="51"/>
      <c r="E1173" s="54"/>
      <c r="F1173" s="32"/>
      <c r="G1173" s="33"/>
      <c r="H1173" s="50"/>
      <c r="I1173" s="52"/>
      <c r="J1173" s="52"/>
      <c r="K1173" s="52"/>
    </row>
    <row r="1174" spans="1:11" ht="50.1" hidden="1" customHeight="1" x14ac:dyDescent="0.25">
      <c r="A1174" s="52"/>
      <c r="B1174" s="51"/>
      <c r="C1174" s="51"/>
      <c r="D1174" s="51"/>
      <c r="E1174" s="54"/>
      <c r="F1174" s="32"/>
      <c r="G1174" s="33"/>
      <c r="H1174" s="50"/>
      <c r="I1174" s="52"/>
      <c r="J1174" s="52"/>
      <c r="K1174" s="52"/>
    </row>
    <row r="1175" spans="1:11" ht="50.1" hidden="1" customHeight="1" x14ac:dyDescent="0.25">
      <c r="A1175" s="52"/>
      <c r="B1175" s="51"/>
      <c r="C1175" s="51"/>
      <c r="D1175" s="51"/>
      <c r="E1175" s="54"/>
      <c r="F1175" s="32"/>
      <c r="G1175" s="33"/>
      <c r="H1175" s="50"/>
      <c r="I1175" s="52"/>
      <c r="J1175" s="52"/>
      <c r="K1175" s="52"/>
    </row>
    <row r="1176" spans="1:11" ht="50.1" hidden="1" customHeight="1" x14ac:dyDescent="0.25">
      <c r="A1176" s="52"/>
      <c r="B1176" s="51"/>
      <c r="C1176" s="51"/>
      <c r="D1176" s="51"/>
      <c r="E1176" s="54"/>
      <c r="F1176" s="32"/>
      <c r="G1176" s="33"/>
      <c r="H1176" s="50"/>
      <c r="I1176" s="52"/>
      <c r="J1176" s="52"/>
      <c r="K1176" s="52"/>
    </row>
    <row r="1177" spans="1:11" ht="50.1" hidden="1" customHeight="1" x14ac:dyDescent="0.25">
      <c r="A1177" s="52"/>
      <c r="B1177" s="51"/>
      <c r="C1177" s="51"/>
      <c r="D1177" s="51"/>
      <c r="E1177" s="54"/>
      <c r="F1177" s="32"/>
      <c r="G1177" s="33"/>
      <c r="H1177" s="50"/>
      <c r="I1177" s="52"/>
      <c r="J1177" s="52"/>
      <c r="K1177" s="52"/>
    </row>
    <row r="1178" spans="1:11" ht="50.1" hidden="1" customHeight="1" x14ac:dyDescent="0.25">
      <c r="A1178" s="52"/>
      <c r="B1178" s="51"/>
      <c r="C1178" s="51"/>
      <c r="D1178" s="51"/>
      <c r="E1178" s="54"/>
      <c r="F1178" s="32"/>
      <c r="G1178" s="33"/>
      <c r="H1178" s="50"/>
      <c r="I1178" s="52"/>
      <c r="J1178" s="52"/>
      <c r="K1178" s="52"/>
    </row>
    <row r="1179" spans="1:11" ht="50.1" hidden="1" customHeight="1" x14ac:dyDescent="0.25">
      <c r="A1179" s="52"/>
      <c r="B1179" s="51"/>
      <c r="C1179" s="51"/>
      <c r="D1179" s="51"/>
      <c r="E1179" s="54"/>
      <c r="F1179" s="32"/>
      <c r="G1179" s="33"/>
      <c r="H1179" s="50"/>
      <c r="I1179" s="52"/>
      <c r="J1179" s="52"/>
      <c r="K1179" s="52"/>
    </row>
    <row r="1180" spans="1:11" ht="50.1" hidden="1" customHeight="1" x14ac:dyDescent="0.25">
      <c r="A1180" s="52"/>
      <c r="B1180" s="51"/>
      <c r="C1180" s="51"/>
      <c r="D1180" s="51"/>
      <c r="E1180" s="54"/>
      <c r="F1180" s="32"/>
      <c r="G1180" s="33"/>
      <c r="H1180" s="50"/>
      <c r="I1180" s="52"/>
      <c r="J1180" s="52"/>
      <c r="K1180" s="52"/>
    </row>
    <row r="1181" spans="1:11" ht="50.1" hidden="1" customHeight="1" x14ac:dyDescent="0.25">
      <c r="A1181" s="52"/>
      <c r="B1181" s="51"/>
      <c r="C1181" s="51"/>
      <c r="D1181" s="51"/>
      <c r="E1181" s="54"/>
      <c r="F1181" s="32"/>
      <c r="G1181" s="33"/>
      <c r="H1181" s="50"/>
      <c r="I1181" s="52"/>
      <c r="J1181" s="52"/>
      <c r="K1181" s="52"/>
    </row>
    <row r="1182" spans="1:11" ht="50.1" hidden="1" customHeight="1" x14ac:dyDescent="0.25">
      <c r="A1182" s="52"/>
      <c r="B1182" s="51"/>
      <c r="C1182" s="51"/>
      <c r="D1182" s="51"/>
      <c r="E1182" s="54"/>
      <c r="F1182" s="32"/>
      <c r="G1182" s="33"/>
      <c r="H1182" s="50"/>
      <c r="I1182" s="52"/>
      <c r="J1182" s="52"/>
      <c r="K1182" s="52"/>
    </row>
    <row r="1183" spans="1:11" ht="50.1" hidden="1" customHeight="1" x14ac:dyDescent="0.25">
      <c r="A1183" s="52"/>
      <c r="B1183" s="51"/>
      <c r="C1183" s="51"/>
      <c r="D1183" s="51"/>
      <c r="E1183" s="54"/>
      <c r="F1183" s="32"/>
      <c r="G1183" s="33"/>
      <c r="H1183" s="50"/>
      <c r="I1183" s="52"/>
      <c r="J1183" s="52"/>
      <c r="K1183" s="52"/>
    </row>
    <row r="1184" spans="1:11" ht="50.1" hidden="1" customHeight="1" x14ac:dyDescent="0.25">
      <c r="A1184" s="52"/>
      <c r="B1184" s="51"/>
      <c r="C1184" s="51"/>
      <c r="D1184" s="51"/>
      <c r="E1184" s="54"/>
      <c r="F1184" s="32"/>
      <c r="G1184" s="33"/>
      <c r="H1184" s="50"/>
      <c r="I1184" s="52"/>
      <c r="J1184" s="52"/>
      <c r="K1184" s="52"/>
    </row>
    <row r="1185" spans="1:11" ht="50.1" hidden="1" customHeight="1" x14ac:dyDescent="0.25">
      <c r="A1185" s="52"/>
      <c r="B1185" s="51"/>
      <c r="C1185" s="51"/>
      <c r="D1185" s="51"/>
      <c r="E1185" s="54"/>
      <c r="F1185" s="32"/>
      <c r="G1185" s="33"/>
      <c r="H1185" s="50"/>
      <c r="I1185" s="52"/>
      <c r="J1185" s="52"/>
      <c r="K1185" s="52"/>
    </row>
    <row r="1186" spans="1:11" ht="50.1" hidden="1" customHeight="1" x14ac:dyDescent="0.25">
      <c r="A1186" s="52"/>
      <c r="B1186" s="51"/>
      <c r="C1186" s="51"/>
      <c r="D1186" s="51"/>
      <c r="E1186" s="54"/>
      <c r="F1186" s="32"/>
      <c r="G1186" s="33"/>
      <c r="H1186" s="50"/>
      <c r="I1186" s="52"/>
      <c r="J1186" s="52"/>
      <c r="K1186" s="52"/>
    </row>
    <row r="1187" spans="1:11" ht="50.1" hidden="1" customHeight="1" x14ac:dyDescent="0.25">
      <c r="A1187" s="52"/>
      <c r="B1187" s="51"/>
      <c r="C1187" s="51"/>
      <c r="D1187" s="51"/>
      <c r="E1187" s="54"/>
      <c r="F1187" s="32"/>
      <c r="G1187" s="33"/>
      <c r="H1187" s="50"/>
      <c r="I1187" s="52"/>
      <c r="J1187" s="52"/>
      <c r="K1187" s="52"/>
    </row>
    <row r="1188" spans="1:11" ht="50.1" hidden="1" customHeight="1" x14ac:dyDescent="0.25">
      <c r="A1188" s="52"/>
      <c r="B1188" s="51"/>
      <c r="C1188" s="51"/>
      <c r="D1188" s="51"/>
      <c r="E1188" s="54"/>
      <c r="F1188" s="32"/>
      <c r="G1188" s="33"/>
      <c r="H1188" s="50"/>
      <c r="I1188" s="52"/>
      <c r="J1188" s="52"/>
      <c r="K1188" s="52"/>
    </row>
    <row r="1189" spans="1:11" ht="50.1" hidden="1" customHeight="1" x14ac:dyDescent="0.25">
      <c r="A1189" s="52"/>
      <c r="B1189" s="51"/>
      <c r="C1189" s="51"/>
      <c r="D1189" s="51"/>
      <c r="E1189" s="54"/>
      <c r="F1189" s="32"/>
      <c r="G1189" s="33"/>
      <c r="H1189" s="50"/>
      <c r="I1189" s="52"/>
      <c r="J1189" s="52"/>
      <c r="K1189" s="52"/>
    </row>
    <row r="1190" spans="1:11" ht="50.1" hidden="1" customHeight="1" x14ac:dyDescent="0.25">
      <c r="A1190" s="52"/>
      <c r="B1190" s="51"/>
      <c r="C1190" s="51"/>
      <c r="D1190" s="51"/>
      <c r="E1190" s="54"/>
      <c r="F1190" s="32"/>
      <c r="G1190" s="33"/>
      <c r="H1190" s="50"/>
      <c r="I1190" s="52"/>
      <c r="J1190" s="52"/>
      <c r="K1190" s="52"/>
    </row>
    <row r="1191" spans="1:11" ht="50.1" hidden="1" customHeight="1" x14ac:dyDescent="0.25">
      <c r="A1191" s="52"/>
      <c r="B1191" s="51"/>
      <c r="C1191" s="51"/>
      <c r="D1191" s="51"/>
      <c r="E1191" s="54"/>
      <c r="F1191" s="32"/>
      <c r="G1191" s="33"/>
      <c r="H1191" s="50"/>
      <c r="I1191" s="52"/>
      <c r="J1191" s="52"/>
      <c r="K1191" s="52"/>
    </row>
    <row r="1192" spans="1:11" ht="50.1" hidden="1" customHeight="1" x14ac:dyDescent="0.25">
      <c r="A1192" s="52"/>
      <c r="B1192" s="51"/>
      <c r="C1192" s="51"/>
      <c r="D1192" s="51"/>
      <c r="E1192" s="54"/>
      <c r="F1192" s="32"/>
      <c r="G1192" s="33"/>
      <c r="H1192" s="50"/>
      <c r="I1192" s="52"/>
      <c r="J1192" s="52"/>
      <c r="K1192" s="52"/>
    </row>
    <row r="1193" spans="1:11" ht="50.1" hidden="1" customHeight="1" x14ac:dyDescent="0.25">
      <c r="A1193" s="52"/>
      <c r="B1193" s="51"/>
      <c r="C1193" s="51"/>
      <c r="D1193" s="51"/>
      <c r="E1193" s="54"/>
      <c r="F1193" s="32"/>
      <c r="G1193" s="33"/>
      <c r="H1193" s="50"/>
      <c r="I1193" s="52"/>
      <c r="J1193" s="52"/>
      <c r="K1193" s="52"/>
    </row>
    <row r="1194" spans="1:11" ht="50.1" hidden="1" customHeight="1" x14ac:dyDescent="0.25">
      <c r="A1194" s="52"/>
      <c r="B1194" s="51"/>
      <c r="C1194" s="51"/>
      <c r="D1194" s="51"/>
      <c r="E1194" s="54"/>
      <c r="F1194" s="32"/>
      <c r="G1194" s="33"/>
      <c r="H1194" s="50"/>
      <c r="I1194" s="52"/>
      <c r="J1194" s="52"/>
      <c r="K1194" s="52"/>
    </row>
    <row r="1195" spans="1:11" ht="50.1" hidden="1" customHeight="1" x14ac:dyDescent="0.25">
      <c r="A1195" s="52"/>
      <c r="B1195" s="51"/>
      <c r="C1195" s="51"/>
      <c r="D1195" s="51"/>
      <c r="E1195" s="54"/>
      <c r="F1195" s="32"/>
      <c r="G1195" s="33"/>
      <c r="H1195" s="50"/>
      <c r="I1195" s="52"/>
      <c r="J1195" s="52"/>
      <c r="K1195" s="52"/>
    </row>
    <row r="1196" spans="1:11" ht="50.1" hidden="1" customHeight="1" x14ac:dyDescent="0.25">
      <c r="A1196" s="52"/>
      <c r="B1196" s="51"/>
      <c r="C1196" s="51"/>
      <c r="D1196" s="51"/>
      <c r="E1196" s="54"/>
      <c r="F1196" s="32"/>
      <c r="G1196" s="33"/>
      <c r="H1196" s="50"/>
      <c r="I1196" s="52"/>
      <c r="J1196" s="52"/>
      <c r="K1196" s="52"/>
    </row>
    <row r="1197" spans="1:11" ht="50.1" hidden="1" customHeight="1" x14ac:dyDescent="0.25">
      <c r="A1197" s="52"/>
      <c r="B1197" s="51"/>
      <c r="C1197" s="51"/>
      <c r="D1197" s="51"/>
      <c r="E1197" s="54"/>
      <c r="F1197" s="32"/>
      <c r="G1197" s="33"/>
      <c r="H1197" s="50"/>
      <c r="I1197" s="52"/>
      <c r="J1197" s="52"/>
      <c r="K1197" s="52"/>
    </row>
    <row r="1198" spans="1:11" ht="50.1" hidden="1" customHeight="1" x14ac:dyDescent="0.25">
      <c r="A1198" s="52"/>
      <c r="B1198" s="51"/>
      <c r="C1198" s="51"/>
      <c r="D1198" s="51"/>
      <c r="E1198" s="54"/>
      <c r="F1198" s="32"/>
      <c r="G1198" s="33"/>
      <c r="H1198" s="50"/>
      <c r="I1198" s="52"/>
      <c r="J1198" s="52"/>
      <c r="K1198" s="52"/>
    </row>
    <row r="1199" spans="1:11" ht="50.1" hidden="1" customHeight="1" x14ac:dyDescent="0.25">
      <c r="A1199" s="52"/>
      <c r="B1199" s="51"/>
      <c r="C1199" s="51"/>
      <c r="D1199" s="51"/>
      <c r="E1199" s="54"/>
      <c r="F1199" s="32"/>
      <c r="G1199" s="33"/>
      <c r="H1199" s="50"/>
      <c r="I1199" s="52"/>
      <c r="J1199" s="52"/>
      <c r="K1199" s="52"/>
    </row>
    <row r="1200" spans="1:11" ht="50.1" hidden="1" customHeight="1" x14ac:dyDescent="0.25">
      <c r="A1200" s="52"/>
      <c r="B1200" s="51"/>
      <c r="C1200" s="51"/>
      <c r="D1200" s="51"/>
      <c r="E1200" s="54"/>
      <c r="F1200" s="32"/>
      <c r="G1200" s="33"/>
      <c r="H1200" s="50"/>
      <c r="I1200" s="52"/>
      <c r="J1200" s="52"/>
      <c r="K1200" s="52"/>
    </row>
    <row r="1201" spans="1:11" ht="50.1" hidden="1" customHeight="1" x14ac:dyDescent="0.25">
      <c r="A1201" s="52"/>
      <c r="B1201" s="51"/>
      <c r="C1201" s="51"/>
      <c r="D1201" s="51"/>
      <c r="E1201" s="54"/>
      <c r="F1201" s="32"/>
      <c r="G1201" s="33"/>
      <c r="H1201" s="50"/>
      <c r="I1201" s="52"/>
      <c r="J1201" s="52"/>
      <c r="K1201" s="52"/>
    </row>
    <row r="1202" spans="1:11" ht="50.1" hidden="1" customHeight="1" x14ac:dyDescent="0.25">
      <c r="A1202" s="52"/>
      <c r="B1202" s="51"/>
      <c r="C1202" s="51"/>
      <c r="D1202" s="51"/>
      <c r="E1202" s="54"/>
      <c r="F1202" s="32"/>
      <c r="G1202" s="33"/>
      <c r="H1202" s="50"/>
      <c r="I1202" s="52"/>
      <c r="J1202" s="52"/>
      <c r="K1202" s="52"/>
    </row>
    <row r="1203" spans="1:11" ht="50.1" hidden="1" customHeight="1" x14ac:dyDescent="0.25">
      <c r="A1203" s="52"/>
      <c r="B1203" s="51"/>
      <c r="C1203" s="51"/>
      <c r="D1203" s="51"/>
      <c r="E1203" s="54"/>
      <c r="F1203" s="32"/>
      <c r="G1203" s="33"/>
      <c r="H1203" s="50"/>
      <c r="I1203" s="52"/>
      <c r="J1203" s="52"/>
      <c r="K1203" s="52"/>
    </row>
    <row r="1204" spans="1:11" ht="50.1" hidden="1" customHeight="1" x14ac:dyDescent="0.25">
      <c r="A1204" s="52"/>
      <c r="B1204" s="51"/>
      <c r="C1204" s="51"/>
      <c r="D1204" s="51"/>
      <c r="E1204" s="54"/>
      <c r="F1204" s="32"/>
      <c r="G1204" s="33"/>
      <c r="H1204" s="50"/>
      <c r="I1204" s="52"/>
      <c r="J1204" s="52"/>
      <c r="K1204" s="52"/>
    </row>
    <row r="1205" spans="1:11" ht="50.1" hidden="1" customHeight="1" x14ac:dyDescent="0.25">
      <c r="A1205" s="52"/>
      <c r="B1205" s="51"/>
      <c r="C1205" s="51"/>
      <c r="D1205" s="51"/>
      <c r="E1205" s="54"/>
      <c r="F1205" s="32"/>
      <c r="G1205" s="33"/>
      <c r="H1205" s="50"/>
      <c r="I1205" s="52"/>
      <c r="J1205" s="52"/>
      <c r="K1205" s="52"/>
    </row>
    <row r="1206" spans="1:11" ht="50.1" hidden="1" customHeight="1" x14ac:dyDescent="0.25">
      <c r="A1206" s="52"/>
      <c r="B1206" s="51"/>
      <c r="C1206" s="51"/>
      <c r="D1206" s="51"/>
      <c r="E1206" s="54"/>
      <c r="F1206" s="32"/>
      <c r="G1206" s="33"/>
      <c r="H1206" s="50"/>
      <c r="I1206" s="52"/>
      <c r="J1206" s="52"/>
      <c r="K1206" s="52"/>
    </row>
    <row r="1207" spans="1:11" ht="50.1" hidden="1" customHeight="1" x14ac:dyDescent="0.25">
      <c r="A1207" s="52"/>
      <c r="B1207" s="51"/>
      <c r="C1207" s="51"/>
      <c r="D1207" s="51"/>
      <c r="E1207" s="54"/>
      <c r="F1207" s="32"/>
      <c r="G1207" s="33"/>
      <c r="H1207" s="50"/>
      <c r="I1207" s="52"/>
      <c r="J1207" s="52"/>
      <c r="K1207" s="52"/>
    </row>
    <row r="1208" spans="1:11" ht="50.1" hidden="1" customHeight="1" x14ac:dyDescent="0.25">
      <c r="A1208" s="52"/>
      <c r="B1208" s="51"/>
      <c r="C1208" s="51"/>
      <c r="D1208" s="51"/>
      <c r="E1208" s="54"/>
      <c r="F1208" s="32"/>
      <c r="G1208" s="33"/>
      <c r="H1208" s="50"/>
      <c r="I1208" s="52"/>
      <c r="J1208" s="52"/>
      <c r="K1208" s="52"/>
    </row>
    <row r="1209" spans="1:11" ht="50.1" hidden="1" customHeight="1" x14ac:dyDescent="0.25">
      <c r="A1209" s="52"/>
      <c r="B1209" s="51"/>
      <c r="C1209" s="51"/>
      <c r="D1209" s="51"/>
      <c r="E1209" s="54"/>
      <c r="F1209" s="32"/>
      <c r="G1209" s="33"/>
      <c r="H1209" s="50"/>
      <c r="I1209" s="52"/>
      <c r="J1209" s="52"/>
      <c r="K1209" s="52"/>
    </row>
    <row r="1210" spans="1:11" ht="50.1" hidden="1" customHeight="1" x14ac:dyDescent="0.25">
      <c r="A1210" s="52"/>
      <c r="B1210" s="51"/>
      <c r="C1210" s="51"/>
      <c r="D1210" s="51"/>
      <c r="E1210" s="54"/>
      <c r="F1210" s="32"/>
      <c r="G1210" s="33"/>
      <c r="H1210" s="50"/>
      <c r="I1210" s="52"/>
      <c r="J1210" s="52"/>
      <c r="K1210" s="52"/>
    </row>
    <row r="1211" spans="1:11" ht="50.1" hidden="1" customHeight="1" x14ac:dyDescent="0.25">
      <c r="A1211" s="52"/>
      <c r="B1211" s="51"/>
      <c r="C1211" s="51"/>
      <c r="D1211" s="51"/>
      <c r="E1211" s="54"/>
      <c r="F1211" s="32"/>
      <c r="G1211" s="33"/>
      <c r="H1211" s="50"/>
      <c r="I1211" s="52"/>
      <c r="J1211" s="52"/>
      <c r="K1211" s="52"/>
    </row>
    <row r="1212" spans="1:11" ht="50.1" hidden="1" customHeight="1" x14ac:dyDescent="0.25">
      <c r="A1212" s="52"/>
      <c r="B1212" s="51"/>
      <c r="C1212" s="51"/>
      <c r="D1212" s="51"/>
      <c r="E1212" s="54"/>
      <c r="F1212" s="32"/>
      <c r="G1212" s="33"/>
      <c r="H1212" s="50"/>
      <c r="I1212" s="52"/>
      <c r="J1212" s="52"/>
      <c r="K1212" s="52"/>
    </row>
    <row r="1213" spans="1:11" ht="50.1" hidden="1" customHeight="1" x14ac:dyDescent="0.25">
      <c r="A1213" s="52"/>
      <c r="B1213" s="51"/>
      <c r="C1213" s="51"/>
      <c r="D1213" s="51"/>
      <c r="E1213" s="54"/>
      <c r="F1213" s="32"/>
      <c r="G1213" s="33"/>
      <c r="H1213" s="50"/>
      <c r="I1213" s="52"/>
      <c r="J1213" s="52"/>
      <c r="K1213" s="52"/>
    </row>
    <row r="1214" spans="1:11" ht="50.1" hidden="1" customHeight="1" x14ac:dyDescent="0.25">
      <c r="A1214" s="52"/>
      <c r="B1214" s="51"/>
      <c r="C1214" s="51"/>
      <c r="D1214" s="51"/>
      <c r="E1214" s="54"/>
      <c r="F1214" s="32"/>
      <c r="G1214" s="33"/>
      <c r="H1214" s="50"/>
      <c r="I1214" s="52"/>
      <c r="J1214" s="52"/>
      <c r="K1214" s="52"/>
    </row>
    <row r="1215" spans="1:11" ht="50.1" hidden="1" customHeight="1" x14ac:dyDescent="0.25">
      <c r="A1215" s="52"/>
      <c r="B1215" s="51"/>
      <c r="C1215" s="51"/>
      <c r="D1215" s="51"/>
      <c r="E1215" s="54"/>
      <c r="F1215" s="32"/>
      <c r="G1215" s="33"/>
      <c r="H1215" s="50"/>
      <c r="I1215" s="52"/>
      <c r="J1215" s="52"/>
      <c r="K1215" s="52"/>
    </row>
    <row r="1216" spans="1:11" ht="50.1" hidden="1" customHeight="1" x14ac:dyDescent="0.25">
      <c r="A1216" s="52"/>
      <c r="B1216" s="51"/>
      <c r="C1216" s="51"/>
      <c r="D1216" s="51"/>
      <c r="E1216" s="54"/>
      <c r="F1216" s="32"/>
      <c r="G1216" s="33"/>
      <c r="H1216" s="50"/>
      <c r="I1216" s="52"/>
      <c r="J1216" s="52"/>
      <c r="K1216" s="52"/>
    </row>
    <row r="1217" spans="1:11" ht="50.1" hidden="1" customHeight="1" x14ac:dyDescent="0.25">
      <c r="A1217" s="52"/>
      <c r="B1217" s="51"/>
      <c r="C1217" s="51"/>
      <c r="D1217" s="51"/>
      <c r="E1217" s="54"/>
      <c r="F1217" s="32"/>
      <c r="G1217" s="33"/>
      <c r="H1217" s="50"/>
      <c r="I1217" s="52"/>
      <c r="J1217" s="52"/>
      <c r="K1217" s="52"/>
    </row>
    <row r="1218" spans="1:11" ht="50.1" hidden="1" customHeight="1" x14ac:dyDescent="0.25">
      <c r="A1218" s="52"/>
      <c r="B1218" s="51"/>
      <c r="C1218" s="51"/>
      <c r="D1218" s="51"/>
      <c r="E1218" s="54"/>
      <c r="F1218" s="32"/>
      <c r="G1218" s="33"/>
      <c r="H1218" s="50"/>
      <c r="I1218" s="52"/>
      <c r="J1218" s="52"/>
      <c r="K1218" s="52"/>
    </row>
    <row r="1219" spans="1:11" ht="50.1" hidden="1" customHeight="1" x14ac:dyDescent="0.25">
      <c r="A1219" s="52"/>
      <c r="B1219" s="51"/>
      <c r="C1219" s="51"/>
      <c r="D1219" s="51"/>
      <c r="E1219" s="54"/>
      <c r="F1219" s="32"/>
      <c r="G1219" s="33"/>
      <c r="H1219" s="50"/>
      <c r="I1219" s="52"/>
      <c r="J1219" s="52"/>
      <c r="K1219" s="52"/>
    </row>
    <row r="1220" spans="1:11" ht="50.1" hidden="1" customHeight="1" x14ac:dyDescent="0.25">
      <c r="A1220" s="52"/>
      <c r="B1220" s="51"/>
      <c r="C1220" s="51"/>
      <c r="D1220" s="51"/>
      <c r="E1220" s="54"/>
      <c r="F1220" s="32"/>
      <c r="G1220" s="33"/>
      <c r="H1220" s="50"/>
      <c r="I1220" s="52"/>
      <c r="J1220" s="52"/>
      <c r="K1220" s="52"/>
    </row>
    <row r="1221" spans="1:11" ht="50.1" hidden="1" customHeight="1" x14ac:dyDescent="0.25">
      <c r="A1221" s="52"/>
      <c r="B1221" s="51"/>
      <c r="C1221" s="51"/>
      <c r="D1221" s="51"/>
      <c r="E1221" s="54"/>
      <c r="F1221" s="32"/>
      <c r="G1221" s="33"/>
      <c r="H1221" s="50"/>
      <c r="I1221" s="52"/>
      <c r="J1221" s="52"/>
      <c r="K1221" s="52"/>
    </row>
    <row r="1222" spans="1:11" ht="50.1" hidden="1" customHeight="1" x14ac:dyDescent="0.25">
      <c r="A1222" s="52"/>
      <c r="B1222" s="51"/>
      <c r="C1222" s="51"/>
      <c r="D1222" s="51"/>
      <c r="E1222" s="54"/>
      <c r="F1222" s="32"/>
      <c r="G1222" s="33"/>
      <c r="H1222" s="50"/>
      <c r="I1222" s="52"/>
      <c r="J1222" s="52"/>
      <c r="K1222" s="52"/>
    </row>
    <row r="1223" spans="1:11" ht="50.1" hidden="1" customHeight="1" x14ac:dyDescent="0.25">
      <c r="A1223" s="52"/>
      <c r="B1223" s="51"/>
      <c r="C1223" s="51"/>
      <c r="D1223" s="51"/>
      <c r="E1223" s="54"/>
      <c r="F1223" s="32"/>
      <c r="G1223" s="33"/>
      <c r="H1223" s="50"/>
      <c r="I1223" s="52"/>
      <c r="J1223" s="52"/>
      <c r="K1223" s="52"/>
    </row>
    <row r="1224" spans="1:11" ht="50.1" hidden="1" customHeight="1" x14ac:dyDescent="0.25">
      <c r="A1224" s="52"/>
      <c r="B1224" s="51"/>
      <c r="C1224" s="51"/>
      <c r="D1224" s="51"/>
      <c r="E1224" s="54"/>
      <c r="F1224" s="32"/>
      <c r="G1224" s="33"/>
      <c r="H1224" s="50"/>
      <c r="I1224" s="52"/>
      <c r="J1224" s="52"/>
      <c r="K1224" s="52"/>
    </row>
    <row r="1225" spans="1:11" ht="50.1" hidden="1" customHeight="1" x14ac:dyDescent="0.25">
      <c r="A1225" s="52"/>
      <c r="B1225" s="51"/>
      <c r="C1225" s="51"/>
      <c r="D1225" s="51"/>
      <c r="E1225" s="54"/>
      <c r="F1225" s="32"/>
      <c r="G1225" s="33"/>
      <c r="H1225" s="50"/>
      <c r="I1225" s="52"/>
      <c r="J1225" s="52"/>
      <c r="K1225" s="52"/>
    </row>
    <row r="1226" spans="1:11" ht="50.1" hidden="1" customHeight="1" x14ac:dyDescent="0.25">
      <c r="A1226" s="52"/>
      <c r="B1226" s="51"/>
      <c r="C1226" s="51"/>
      <c r="D1226" s="51"/>
      <c r="E1226" s="54"/>
      <c r="F1226" s="32"/>
      <c r="G1226" s="33"/>
      <c r="H1226" s="50"/>
      <c r="I1226" s="52"/>
      <c r="J1226" s="52"/>
      <c r="K1226" s="52"/>
    </row>
    <row r="1227" spans="1:11" ht="50.1" hidden="1" customHeight="1" x14ac:dyDescent="0.25">
      <c r="A1227" s="52"/>
      <c r="B1227" s="51"/>
      <c r="C1227" s="51"/>
      <c r="D1227" s="51"/>
      <c r="E1227" s="54"/>
      <c r="F1227" s="32"/>
      <c r="G1227" s="33"/>
      <c r="H1227" s="50"/>
      <c r="I1227" s="52"/>
      <c r="J1227" s="52"/>
      <c r="K1227" s="52"/>
    </row>
    <row r="1228" spans="1:11" ht="50.1" hidden="1" customHeight="1" x14ac:dyDescent="0.25">
      <c r="A1228" s="52"/>
      <c r="B1228" s="51"/>
      <c r="C1228" s="51"/>
      <c r="D1228" s="51"/>
      <c r="E1228" s="54"/>
      <c r="F1228" s="32"/>
      <c r="G1228" s="33"/>
      <c r="H1228" s="50"/>
      <c r="I1228" s="52"/>
      <c r="J1228" s="52"/>
      <c r="K1228" s="52"/>
    </row>
    <row r="1229" spans="1:11" ht="50.1" hidden="1" customHeight="1" x14ac:dyDescent="0.25">
      <c r="A1229" s="52"/>
      <c r="B1229" s="51"/>
      <c r="C1229" s="51"/>
      <c r="D1229" s="51"/>
      <c r="E1229" s="54"/>
      <c r="F1229" s="32"/>
      <c r="G1229" s="33"/>
      <c r="H1229" s="50"/>
      <c r="I1229" s="52"/>
      <c r="J1229" s="52"/>
      <c r="K1229" s="52"/>
    </row>
    <row r="1230" spans="1:11" ht="50.1" hidden="1" customHeight="1" x14ac:dyDescent="0.25">
      <c r="A1230" s="52"/>
      <c r="B1230" s="51"/>
      <c r="C1230" s="51"/>
      <c r="D1230" s="51"/>
      <c r="E1230" s="54"/>
      <c r="F1230" s="32"/>
      <c r="G1230" s="33"/>
      <c r="H1230" s="50"/>
      <c r="I1230" s="52"/>
      <c r="J1230" s="52"/>
      <c r="K1230" s="52"/>
    </row>
    <row r="1231" spans="1:11" ht="50.1" hidden="1" customHeight="1" x14ac:dyDescent="0.25">
      <c r="A1231" s="52"/>
      <c r="B1231" s="51"/>
      <c r="C1231" s="51"/>
      <c r="D1231" s="51"/>
      <c r="E1231" s="54"/>
      <c r="F1231" s="32"/>
      <c r="G1231" s="33"/>
      <c r="H1231" s="50"/>
      <c r="I1231" s="52"/>
      <c r="J1231" s="52"/>
      <c r="K1231" s="52"/>
    </row>
    <row r="1232" spans="1:11" ht="50.1" hidden="1" customHeight="1" x14ac:dyDescent="0.25">
      <c r="A1232" s="52"/>
      <c r="B1232" s="51"/>
      <c r="C1232" s="51"/>
      <c r="D1232" s="51"/>
      <c r="E1232" s="54"/>
      <c r="F1232" s="32"/>
      <c r="G1232" s="33"/>
      <c r="H1232" s="50"/>
      <c r="I1232" s="52"/>
      <c r="J1232" s="52"/>
      <c r="K1232" s="52"/>
    </row>
    <row r="1233" spans="1:11" ht="50.1" hidden="1" customHeight="1" x14ac:dyDescent="0.25">
      <c r="A1233" s="52"/>
      <c r="B1233" s="51"/>
      <c r="C1233" s="51"/>
      <c r="D1233" s="51"/>
      <c r="E1233" s="54"/>
      <c r="F1233" s="32"/>
      <c r="G1233" s="33"/>
      <c r="H1233" s="50"/>
      <c r="I1233" s="52"/>
      <c r="J1233" s="52"/>
      <c r="K1233" s="52"/>
    </row>
    <row r="1234" spans="1:11" ht="50.1" hidden="1" customHeight="1" x14ac:dyDescent="0.25">
      <c r="A1234" s="52"/>
      <c r="B1234" s="51"/>
      <c r="C1234" s="51"/>
      <c r="D1234" s="51"/>
      <c r="E1234" s="54"/>
      <c r="F1234" s="32"/>
      <c r="G1234" s="33"/>
      <c r="H1234" s="50"/>
      <c r="I1234" s="52"/>
      <c r="J1234" s="52"/>
      <c r="K1234" s="52"/>
    </row>
    <row r="1235" spans="1:11" ht="50.1" hidden="1" customHeight="1" x14ac:dyDescent="0.25">
      <c r="A1235" s="52"/>
      <c r="B1235" s="51"/>
      <c r="C1235" s="51"/>
      <c r="D1235" s="51"/>
      <c r="E1235" s="54"/>
      <c r="F1235" s="32"/>
      <c r="G1235" s="33"/>
      <c r="H1235" s="50"/>
      <c r="I1235" s="52"/>
      <c r="J1235" s="52"/>
      <c r="K1235" s="52"/>
    </row>
    <row r="1236" spans="1:11" ht="50.1" hidden="1" customHeight="1" x14ac:dyDescent="0.25">
      <c r="A1236" s="52"/>
      <c r="B1236" s="51"/>
      <c r="C1236" s="51"/>
      <c r="D1236" s="51"/>
      <c r="E1236" s="54"/>
      <c r="F1236" s="32"/>
      <c r="G1236" s="33"/>
      <c r="H1236" s="50"/>
      <c r="I1236" s="52"/>
      <c r="J1236" s="52"/>
      <c r="K1236" s="52"/>
    </row>
    <row r="1237" spans="1:11" ht="50.1" hidden="1" customHeight="1" x14ac:dyDescent="0.25">
      <c r="A1237" s="52"/>
      <c r="B1237" s="51"/>
      <c r="C1237" s="51"/>
      <c r="D1237" s="51"/>
      <c r="E1237" s="54"/>
      <c r="F1237" s="32"/>
      <c r="G1237" s="33"/>
      <c r="H1237" s="50"/>
      <c r="I1237" s="52"/>
      <c r="J1237" s="52"/>
      <c r="K1237" s="52"/>
    </row>
    <row r="1238" spans="1:11" ht="50.1" hidden="1" customHeight="1" x14ac:dyDescent="0.25">
      <c r="A1238" s="52"/>
      <c r="B1238" s="51"/>
      <c r="C1238" s="51"/>
      <c r="D1238" s="51"/>
      <c r="E1238" s="54"/>
      <c r="F1238" s="32"/>
      <c r="G1238" s="33"/>
      <c r="H1238" s="50"/>
      <c r="I1238" s="52"/>
      <c r="J1238" s="52"/>
      <c r="K1238" s="52"/>
    </row>
    <row r="1239" spans="1:11" ht="50.1" hidden="1" customHeight="1" x14ac:dyDescent="0.25">
      <c r="A1239" s="52"/>
      <c r="B1239" s="51"/>
      <c r="C1239" s="51"/>
      <c r="D1239" s="51"/>
      <c r="E1239" s="54"/>
      <c r="F1239" s="32"/>
      <c r="G1239" s="33"/>
      <c r="H1239" s="50"/>
      <c r="I1239" s="52"/>
      <c r="J1239" s="52"/>
      <c r="K1239" s="52"/>
    </row>
    <row r="1240" spans="1:11" ht="50.1" hidden="1" customHeight="1" x14ac:dyDescent="0.25">
      <c r="A1240" s="52"/>
      <c r="B1240" s="51"/>
      <c r="C1240" s="51"/>
      <c r="D1240" s="51"/>
      <c r="E1240" s="54"/>
      <c r="F1240" s="32"/>
      <c r="G1240" s="33"/>
      <c r="H1240" s="50"/>
      <c r="I1240" s="52"/>
      <c r="J1240" s="52"/>
      <c r="K1240" s="52"/>
    </row>
    <row r="1241" spans="1:11" ht="50.1" hidden="1" customHeight="1" x14ac:dyDescent="0.25">
      <c r="A1241" s="52"/>
      <c r="B1241" s="51"/>
      <c r="C1241" s="51"/>
      <c r="D1241" s="51"/>
      <c r="E1241" s="54"/>
      <c r="F1241" s="32"/>
      <c r="G1241" s="33"/>
      <c r="H1241" s="50"/>
      <c r="I1241" s="52"/>
      <c r="J1241" s="52"/>
      <c r="K1241" s="52"/>
    </row>
    <row r="1242" spans="1:11" ht="50.1" hidden="1" customHeight="1" x14ac:dyDescent="0.25">
      <c r="A1242" s="52"/>
      <c r="B1242" s="51"/>
      <c r="C1242" s="51"/>
      <c r="D1242" s="51"/>
      <c r="E1242" s="54"/>
      <c r="F1242" s="32"/>
      <c r="G1242" s="33"/>
      <c r="H1242" s="50"/>
      <c r="I1242" s="52"/>
      <c r="J1242" s="52"/>
      <c r="K1242" s="52"/>
    </row>
    <row r="1243" spans="1:11" ht="50.1" hidden="1" customHeight="1" x14ac:dyDescent="0.25">
      <c r="A1243" s="52"/>
      <c r="B1243" s="51"/>
      <c r="C1243" s="51"/>
      <c r="D1243" s="51"/>
      <c r="E1243" s="54"/>
      <c r="F1243" s="32"/>
      <c r="G1243" s="33"/>
      <c r="H1243" s="50"/>
      <c r="I1243" s="52"/>
      <c r="J1243" s="52"/>
      <c r="K1243" s="52"/>
    </row>
    <row r="1244" spans="1:11" ht="50.1" hidden="1" customHeight="1" x14ac:dyDescent="0.25">
      <c r="A1244" s="52"/>
      <c r="B1244" s="51"/>
      <c r="C1244" s="51"/>
      <c r="D1244" s="51"/>
      <c r="E1244" s="54"/>
      <c r="F1244" s="32"/>
      <c r="G1244" s="33"/>
      <c r="H1244" s="50"/>
      <c r="I1244" s="52"/>
      <c r="J1244" s="52"/>
      <c r="K1244" s="52"/>
    </row>
    <row r="1245" spans="1:11" ht="50.1" hidden="1" customHeight="1" x14ac:dyDescent="0.25">
      <c r="A1245" s="52"/>
      <c r="B1245" s="51"/>
      <c r="C1245" s="51"/>
      <c r="D1245" s="51"/>
      <c r="E1245" s="54"/>
      <c r="F1245" s="32"/>
      <c r="G1245" s="33"/>
      <c r="H1245" s="50"/>
      <c r="I1245" s="52"/>
      <c r="J1245" s="52"/>
      <c r="K1245" s="52"/>
    </row>
    <row r="1246" spans="1:11" ht="50.1" hidden="1" customHeight="1" x14ac:dyDescent="0.25">
      <c r="A1246" s="52"/>
      <c r="B1246" s="51"/>
      <c r="C1246" s="51"/>
      <c r="D1246" s="51"/>
      <c r="E1246" s="54"/>
      <c r="F1246" s="32"/>
      <c r="G1246" s="33"/>
      <c r="H1246" s="50"/>
      <c r="I1246" s="52"/>
      <c r="J1246" s="52"/>
      <c r="K1246" s="52"/>
    </row>
    <row r="1247" spans="1:11" ht="50.1" hidden="1" customHeight="1" x14ac:dyDescent="0.25">
      <c r="A1247" s="52"/>
      <c r="B1247" s="51"/>
      <c r="C1247" s="51"/>
      <c r="D1247" s="51"/>
      <c r="E1247" s="54"/>
      <c r="F1247" s="32"/>
      <c r="G1247" s="33"/>
      <c r="H1247" s="50"/>
      <c r="I1247" s="52"/>
      <c r="J1247" s="52"/>
      <c r="K1247" s="52"/>
    </row>
    <row r="1248" spans="1:11" ht="50.1" hidden="1" customHeight="1" x14ac:dyDescent="0.25">
      <c r="A1248" s="52"/>
      <c r="B1248" s="51"/>
      <c r="C1248" s="51"/>
      <c r="D1248" s="51"/>
      <c r="E1248" s="54"/>
      <c r="F1248" s="32"/>
      <c r="G1248" s="33"/>
      <c r="H1248" s="50"/>
      <c r="I1248" s="52"/>
      <c r="J1248" s="52"/>
      <c r="K1248" s="52"/>
    </row>
    <row r="1249" spans="1:11" ht="50.1" hidden="1" customHeight="1" x14ac:dyDescent="0.25">
      <c r="A1249" s="52"/>
      <c r="B1249" s="51"/>
      <c r="C1249" s="51"/>
      <c r="D1249" s="51"/>
      <c r="E1249" s="54"/>
      <c r="F1249" s="32"/>
      <c r="G1249" s="33"/>
      <c r="H1249" s="50"/>
      <c r="I1249" s="52"/>
      <c r="J1249" s="52"/>
      <c r="K1249" s="52"/>
    </row>
    <row r="1250" spans="1:11" ht="50.1" hidden="1" customHeight="1" x14ac:dyDescent="0.25">
      <c r="A1250" s="52"/>
      <c r="B1250" s="51"/>
      <c r="C1250" s="51"/>
      <c r="D1250" s="51"/>
      <c r="E1250" s="54"/>
      <c r="F1250" s="32"/>
      <c r="G1250" s="33"/>
      <c r="H1250" s="50"/>
      <c r="I1250" s="52"/>
      <c r="J1250" s="52"/>
      <c r="K1250" s="52"/>
    </row>
    <row r="1251" spans="1:11" ht="50.1" hidden="1" customHeight="1" x14ac:dyDescent="0.25">
      <c r="A1251" s="52"/>
      <c r="B1251" s="51"/>
      <c r="C1251" s="51"/>
      <c r="D1251" s="51"/>
      <c r="E1251" s="54"/>
      <c r="F1251" s="32"/>
      <c r="G1251" s="33"/>
      <c r="H1251" s="50"/>
      <c r="I1251" s="52"/>
      <c r="J1251" s="52"/>
      <c r="K1251" s="52"/>
    </row>
    <row r="1252" spans="1:11" ht="50.1" hidden="1" customHeight="1" x14ac:dyDescent="0.25">
      <c r="A1252" s="52"/>
      <c r="B1252" s="51"/>
      <c r="C1252" s="51"/>
      <c r="D1252" s="51"/>
      <c r="E1252" s="54"/>
      <c r="F1252" s="32"/>
      <c r="G1252" s="33"/>
      <c r="H1252" s="50"/>
      <c r="I1252" s="52"/>
      <c r="J1252" s="52"/>
      <c r="K1252" s="52"/>
    </row>
    <row r="1253" spans="1:11" ht="50.1" hidden="1" customHeight="1" x14ac:dyDescent="0.25">
      <c r="A1253" s="52"/>
      <c r="B1253" s="51"/>
      <c r="C1253" s="51"/>
      <c r="D1253" s="51"/>
      <c r="E1253" s="54"/>
      <c r="F1253" s="32"/>
      <c r="G1253" s="33"/>
      <c r="H1253" s="50"/>
      <c r="I1253" s="52"/>
      <c r="J1253" s="52"/>
      <c r="K1253" s="52"/>
    </row>
    <row r="1254" spans="1:11" ht="50.1" hidden="1" customHeight="1" x14ac:dyDescent="0.25">
      <c r="A1254" s="52"/>
      <c r="B1254" s="51"/>
      <c r="C1254" s="51"/>
      <c r="D1254" s="51"/>
      <c r="E1254" s="54"/>
      <c r="F1254" s="32"/>
      <c r="G1254" s="33"/>
      <c r="H1254" s="50"/>
      <c r="I1254" s="52"/>
      <c r="J1254" s="52"/>
      <c r="K1254" s="52"/>
    </row>
    <row r="1255" spans="1:11" ht="50.1" hidden="1" customHeight="1" x14ac:dyDescent="0.25">
      <c r="A1255" s="52"/>
      <c r="B1255" s="51"/>
      <c r="C1255" s="51"/>
      <c r="D1255" s="51"/>
      <c r="E1255" s="54"/>
      <c r="F1255" s="32"/>
      <c r="G1255" s="33"/>
      <c r="H1255" s="50"/>
      <c r="I1255" s="52"/>
      <c r="J1255" s="52"/>
      <c r="K1255" s="52"/>
    </row>
    <row r="1256" spans="1:11" ht="50.1" hidden="1" customHeight="1" x14ac:dyDescent="0.25">
      <c r="A1256" s="52"/>
      <c r="B1256" s="51"/>
      <c r="C1256" s="51"/>
      <c r="D1256" s="51"/>
      <c r="E1256" s="54"/>
      <c r="F1256" s="32"/>
      <c r="G1256" s="33"/>
      <c r="H1256" s="50"/>
      <c r="I1256" s="52"/>
      <c r="J1256" s="52"/>
      <c r="K1256" s="52"/>
    </row>
    <row r="1257" spans="1:11" ht="50.1" hidden="1" customHeight="1" x14ac:dyDescent="0.25">
      <c r="A1257" s="52"/>
      <c r="B1257" s="51"/>
      <c r="C1257" s="51"/>
      <c r="D1257" s="51"/>
      <c r="E1257" s="54"/>
      <c r="F1257" s="32"/>
      <c r="G1257" s="33"/>
      <c r="H1257" s="50"/>
      <c r="I1257" s="52"/>
      <c r="J1257" s="52"/>
      <c r="K1257" s="52"/>
    </row>
    <row r="1258" spans="1:11" ht="50.1" hidden="1" customHeight="1" x14ac:dyDescent="0.25">
      <c r="A1258" s="52"/>
      <c r="B1258" s="51"/>
      <c r="C1258" s="51"/>
      <c r="D1258" s="51"/>
      <c r="E1258" s="54"/>
      <c r="F1258" s="32"/>
      <c r="G1258" s="33"/>
      <c r="H1258" s="50"/>
      <c r="I1258" s="52"/>
      <c r="J1258" s="52"/>
      <c r="K1258" s="52"/>
    </row>
    <row r="1259" spans="1:11" ht="50.1" hidden="1" customHeight="1" x14ac:dyDescent="0.25">
      <c r="A1259" s="52"/>
      <c r="B1259" s="51"/>
      <c r="C1259" s="51"/>
      <c r="D1259" s="51"/>
      <c r="E1259" s="54"/>
      <c r="F1259" s="32"/>
      <c r="G1259" s="33"/>
      <c r="H1259" s="50"/>
      <c r="I1259" s="52"/>
      <c r="J1259" s="52"/>
      <c r="K1259" s="52"/>
    </row>
    <row r="1260" spans="1:11" ht="50.1" hidden="1" customHeight="1" x14ac:dyDescent="0.25">
      <c r="A1260" s="52"/>
      <c r="B1260" s="51"/>
      <c r="C1260" s="51"/>
      <c r="D1260" s="51"/>
      <c r="E1260" s="54"/>
      <c r="F1260" s="32"/>
      <c r="G1260" s="33"/>
      <c r="H1260" s="50"/>
      <c r="I1260" s="52"/>
      <c r="J1260" s="52"/>
      <c r="K1260" s="52"/>
    </row>
    <row r="1261" spans="1:11" ht="50.1" hidden="1" customHeight="1" x14ac:dyDescent="0.25">
      <c r="A1261" s="52"/>
      <c r="B1261" s="51"/>
      <c r="C1261" s="51"/>
      <c r="D1261" s="51"/>
      <c r="E1261" s="54"/>
      <c r="F1261" s="32"/>
      <c r="G1261" s="33"/>
      <c r="H1261" s="50"/>
      <c r="I1261" s="52"/>
      <c r="J1261" s="52"/>
      <c r="K1261" s="52"/>
    </row>
    <row r="1262" spans="1:11" ht="50.1" hidden="1" customHeight="1" x14ac:dyDescent="0.25">
      <c r="A1262" s="52"/>
      <c r="B1262" s="51"/>
      <c r="C1262" s="51"/>
      <c r="D1262" s="51"/>
      <c r="E1262" s="54"/>
      <c r="F1262" s="32"/>
      <c r="G1262" s="33"/>
      <c r="H1262" s="50"/>
      <c r="I1262" s="52"/>
      <c r="J1262" s="52"/>
      <c r="K1262" s="52"/>
    </row>
    <row r="1263" spans="1:11" ht="50.1" hidden="1" customHeight="1" x14ac:dyDescent="0.25">
      <c r="A1263" s="52"/>
      <c r="B1263" s="51"/>
      <c r="C1263" s="51"/>
      <c r="D1263" s="51"/>
      <c r="E1263" s="54"/>
      <c r="F1263" s="32"/>
      <c r="G1263" s="33"/>
      <c r="H1263" s="50"/>
      <c r="I1263" s="52"/>
      <c r="J1263" s="52"/>
      <c r="K1263" s="52"/>
    </row>
    <row r="1264" spans="1:11" ht="50.1" hidden="1" customHeight="1" x14ac:dyDescent="0.25">
      <c r="A1264" s="52"/>
      <c r="B1264" s="51"/>
      <c r="C1264" s="51"/>
      <c r="D1264" s="51"/>
      <c r="E1264" s="54"/>
      <c r="F1264" s="32"/>
      <c r="G1264" s="33"/>
      <c r="H1264" s="50"/>
      <c r="I1264" s="52"/>
      <c r="J1264" s="52"/>
      <c r="K1264" s="52"/>
    </row>
    <row r="1265" spans="1:11" ht="50.1" hidden="1" customHeight="1" x14ac:dyDescent="0.25">
      <c r="A1265" s="52"/>
      <c r="B1265" s="51"/>
      <c r="C1265" s="51"/>
      <c r="D1265" s="51"/>
      <c r="E1265" s="54"/>
      <c r="F1265" s="32"/>
      <c r="G1265" s="33"/>
      <c r="H1265" s="50"/>
      <c r="I1265" s="52"/>
      <c r="J1265" s="52"/>
      <c r="K1265" s="52"/>
    </row>
    <row r="1266" spans="1:11" ht="50.1" hidden="1" customHeight="1" x14ac:dyDescent="0.25">
      <c r="A1266" s="52"/>
      <c r="B1266" s="51"/>
      <c r="C1266" s="51"/>
      <c r="D1266" s="51"/>
      <c r="E1266" s="54"/>
      <c r="F1266" s="32"/>
      <c r="G1266" s="33"/>
      <c r="H1266" s="50"/>
      <c r="I1266" s="52"/>
      <c r="J1266" s="52"/>
      <c r="K1266" s="52"/>
    </row>
    <row r="1267" spans="1:11" ht="50.1" hidden="1" customHeight="1" x14ac:dyDescent="0.25">
      <c r="A1267" s="52"/>
      <c r="B1267" s="51"/>
      <c r="C1267" s="51"/>
      <c r="D1267" s="51"/>
      <c r="E1267" s="54"/>
      <c r="F1267" s="32"/>
      <c r="G1267" s="33"/>
      <c r="H1267" s="50"/>
      <c r="I1267" s="52"/>
      <c r="J1267" s="52"/>
      <c r="K1267" s="52"/>
    </row>
    <row r="1268" spans="1:11" ht="50.1" hidden="1" customHeight="1" x14ac:dyDescent="0.25">
      <c r="A1268" s="52"/>
      <c r="B1268" s="51"/>
      <c r="C1268" s="51"/>
      <c r="D1268" s="51"/>
      <c r="E1268" s="54"/>
      <c r="F1268" s="32"/>
      <c r="G1268" s="33"/>
      <c r="H1268" s="50"/>
      <c r="I1268" s="52"/>
      <c r="J1268" s="52"/>
      <c r="K1268" s="52"/>
    </row>
    <row r="1269" spans="1:11" ht="50.1" hidden="1" customHeight="1" x14ac:dyDescent="0.25">
      <c r="A1269" s="52"/>
      <c r="B1269" s="51"/>
      <c r="C1269" s="51"/>
      <c r="D1269" s="51"/>
      <c r="E1269" s="54"/>
      <c r="F1269" s="32"/>
      <c r="G1269" s="33"/>
      <c r="H1269" s="50"/>
      <c r="I1269" s="52"/>
      <c r="J1269" s="52"/>
      <c r="K1269" s="52"/>
    </row>
    <row r="1270" spans="1:11" ht="50.1" hidden="1" customHeight="1" x14ac:dyDescent="0.25">
      <c r="A1270" s="52"/>
      <c r="B1270" s="51"/>
      <c r="C1270" s="51"/>
      <c r="D1270" s="51"/>
      <c r="E1270" s="54"/>
      <c r="F1270" s="32"/>
      <c r="G1270" s="33"/>
      <c r="H1270" s="50"/>
      <c r="I1270" s="52"/>
      <c r="J1270" s="52"/>
      <c r="K1270" s="52"/>
    </row>
    <row r="1271" spans="1:11" ht="50.1" hidden="1" customHeight="1" x14ac:dyDescent="0.25">
      <c r="A1271" s="52"/>
      <c r="B1271" s="51"/>
      <c r="C1271" s="51"/>
      <c r="D1271" s="51"/>
      <c r="E1271" s="54"/>
      <c r="F1271" s="32"/>
      <c r="G1271" s="33"/>
      <c r="H1271" s="50"/>
      <c r="I1271" s="52"/>
      <c r="J1271" s="52"/>
      <c r="K1271" s="52"/>
    </row>
    <row r="1272" spans="1:11" ht="50.1" hidden="1" customHeight="1" x14ac:dyDescent="0.25">
      <c r="A1272" s="52"/>
      <c r="B1272" s="51"/>
      <c r="C1272" s="51"/>
      <c r="D1272" s="51"/>
      <c r="E1272" s="54"/>
      <c r="F1272" s="32"/>
      <c r="G1272" s="33"/>
      <c r="H1272" s="50"/>
      <c r="I1272" s="52"/>
      <c r="J1272" s="52"/>
      <c r="K1272" s="52"/>
    </row>
    <row r="1273" spans="1:11" ht="50.1" hidden="1" customHeight="1" x14ac:dyDescent="0.25">
      <c r="A1273" s="52"/>
      <c r="B1273" s="51"/>
      <c r="C1273" s="51"/>
      <c r="D1273" s="51"/>
      <c r="E1273" s="54"/>
      <c r="F1273" s="32"/>
      <c r="G1273" s="33"/>
      <c r="H1273" s="50"/>
      <c r="I1273" s="52"/>
      <c r="J1273" s="52"/>
      <c r="K1273" s="52"/>
    </row>
    <row r="1274" spans="1:11" ht="50.1" hidden="1" customHeight="1" x14ac:dyDescent="0.25">
      <c r="A1274" s="52"/>
      <c r="B1274" s="51"/>
      <c r="C1274" s="51"/>
      <c r="D1274" s="51"/>
      <c r="E1274" s="54"/>
      <c r="F1274" s="32"/>
      <c r="G1274" s="33"/>
      <c r="H1274" s="50"/>
      <c r="I1274" s="52"/>
      <c r="J1274" s="52"/>
      <c r="K1274" s="52"/>
    </row>
    <row r="1275" spans="1:11" ht="50.1" hidden="1" customHeight="1" x14ac:dyDescent="0.25">
      <c r="A1275" s="52"/>
      <c r="B1275" s="51"/>
      <c r="C1275" s="51"/>
      <c r="D1275" s="51"/>
      <c r="E1275" s="54"/>
      <c r="F1275" s="32"/>
      <c r="G1275" s="33"/>
      <c r="H1275" s="50"/>
      <c r="I1275" s="52"/>
      <c r="J1275" s="52"/>
      <c r="K1275" s="52"/>
    </row>
    <row r="1276" spans="1:11" ht="50.1" hidden="1" customHeight="1" x14ac:dyDescent="0.25">
      <c r="A1276" s="52"/>
      <c r="B1276" s="51"/>
      <c r="C1276" s="51"/>
      <c r="D1276" s="51"/>
      <c r="E1276" s="54"/>
      <c r="F1276" s="32"/>
      <c r="G1276" s="33"/>
      <c r="H1276" s="50"/>
      <c r="I1276" s="52"/>
      <c r="J1276" s="52"/>
      <c r="K1276" s="52"/>
    </row>
    <row r="1277" spans="1:11" ht="50.1" hidden="1" customHeight="1" x14ac:dyDescent="0.25">
      <c r="A1277" s="52"/>
      <c r="B1277" s="51"/>
      <c r="C1277" s="51"/>
      <c r="D1277" s="51"/>
      <c r="E1277" s="54"/>
      <c r="F1277" s="32"/>
      <c r="G1277" s="33"/>
      <c r="H1277" s="50"/>
      <c r="I1277" s="52"/>
      <c r="J1277" s="52"/>
      <c r="K1277" s="52"/>
    </row>
    <row r="1278" spans="1:11" ht="50.1" hidden="1" customHeight="1" x14ac:dyDescent="0.25">
      <c r="A1278" s="52"/>
      <c r="B1278" s="51"/>
      <c r="C1278" s="51"/>
      <c r="D1278" s="51"/>
      <c r="E1278" s="54"/>
      <c r="F1278" s="32"/>
      <c r="G1278" s="33"/>
      <c r="H1278" s="50"/>
      <c r="I1278" s="52"/>
      <c r="J1278" s="52"/>
      <c r="K1278" s="52"/>
    </row>
    <row r="1279" spans="1:11" ht="50.1" hidden="1" customHeight="1" x14ac:dyDescent="0.25">
      <c r="A1279" s="52"/>
      <c r="B1279" s="51"/>
      <c r="C1279" s="51"/>
      <c r="D1279" s="51"/>
      <c r="E1279" s="54"/>
      <c r="F1279" s="32"/>
      <c r="G1279" s="33"/>
      <c r="H1279" s="50"/>
      <c r="I1279" s="52"/>
      <c r="J1279" s="52"/>
      <c r="K1279" s="52"/>
    </row>
    <row r="1280" spans="1:11" ht="50.1" hidden="1" customHeight="1" x14ac:dyDescent="0.25">
      <c r="A1280" s="52"/>
      <c r="B1280" s="51"/>
      <c r="C1280" s="51"/>
      <c r="D1280" s="51"/>
      <c r="E1280" s="54"/>
      <c r="F1280" s="32"/>
      <c r="G1280" s="33"/>
      <c r="H1280" s="50"/>
      <c r="I1280" s="52"/>
      <c r="J1280" s="52"/>
      <c r="K1280" s="52"/>
    </row>
    <row r="1281" spans="1:11" ht="50.1" hidden="1" customHeight="1" x14ac:dyDescent="0.25">
      <c r="A1281" s="52"/>
      <c r="B1281" s="51"/>
      <c r="C1281" s="51"/>
      <c r="D1281" s="51"/>
      <c r="E1281" s="54"/>
      <c r="F1281" s="32"/>
      <c r="G1281" s="33"/>
      <c r="H1281" s="50"/>
      <c r="I1281" s="52"/>
      <c r="J1281" s="52"/>
      <c r="K1281" s="52"/>
    </row>
    <row r="1282" spans="1:11" ht="50.1" hidden="1" customHeight="1" x14ac:dyDescent="0.25">
      <c r="A1282" s="52"/>
      <c r="B1282" s="51"/>
      <c r="C1282" s="51"/>
      <c r="D1282" s="51"/>
      <c r="E1282" s="54"/>
      <c r="F1282" s="32"/>
      <c r="G1282" s="33"/>
      <c r="H1282" s="50"/>
      <c r="I1282" s="52"/>
      <c r="J1282" s="52"/>
      <c r="K1282" s="52"/>
    </row>
    <row r="1283" spans="1:11" ht="50.1" hidden="1" customHeight="1" x14ac:dyDescent="0.25">
      <c r="A1283" s="52"/>
      <c r="B1283" s="51"/>
      <c r="C1283" s="51"/>
      <c r="D1283" s="51"/>
      <c r="E1283" s="54"/>
      <c r="F1283" s="32"/>
      <c r="G1283" s="33"/>
      <c r="H1283" s="50"/>
      <c r="I1283" s="52"/>
      <c r="J1283" s="52"/>
      <c r="K1283" s="52"/>
    </row>
    <row r="1284" spans="1:11" ht="50.1" hidden="1" customHeight="1" x14ac:dyDescent="0.25">
      <c r="A1284" s="52"/>
      <c r="B1284" s="51"/>
      <c r="C1284" s="51"/>
      <c r="D1284" s="51"/>
      <c r="E1284" s="54"/>
      <c r="F1284" s="32"/>
      <c r="G1284" s="33"/>
      <c r="H1284" s="50"/>
      <c r="I1284" s="52"/>
      <c r="J1284" s="52"/>
      <c r="K1284" s="52"/>
    </row>
    <row r="1285" spans="1:11" ht="50.1" hidden="1" customHeight="1" x14ac:dyDescent="0.25">
      <c r="A1285" s="52"/>
      <c r="B1285" s="51"/>
      <c r="C1285" s="51"/>
      <c r="D1285" s="51"/>
      <c r="E1285" s="54"/>
      <c r="F1285" s="32"/>
      <c r="G1285" s="33"/>
      <c r="H1285" s="50"/>
      <c r="I1285" s="52"/>
      <c r="J1285" s="52"/>
      <c r="K1285" s="52"/>
    </row>
    <row r="1286" spans="1:11" ht="50.1" hidden="1" customHeight="1" x14ac:dyDescent="0.25">
      <c r="A1286" s="52"/>
      <c r="B1286" s="51"/>
      <c r="C1286" s="51"/>
      <c r="D1286" s="51"/>
      <c r="E1286" s="54"/>
      <c r="F1286" s="32"/>
      <c r="G1286" s="33"/>
      <c r="H1286" s="50"/>
      <c r="I1286" s="52"/>
      <c r="J1286" s="52"/>
      <c r="K1286" s="52"/>
    </row>
    <row r="1287" spans="1:11" ht="50.1" hidden="1" customHeight="1" x14ac:dyDescent="0.25">
      <c r="A1287" s="52"/>
      <c r="B1287" s="51"/>
      <c r="C1287" s="51"/>
      <c r="D1287" s="51"/>
      <c r="E1287" s="54"/>
      <c r="F1287" s="32"/>
      <c r="G1287" s="33"/>
      <c r="H1287" s="50"/>
      <c r="I1287" s="52"/>
      <c r="J1287" s="52"/>
      <c r="K1287" s="52"/>
    </row>
    <row r="1288" spans="1:11" ht="50.1" hidden="1" customHeight="1" x14ac:dyDescent="0.25">
      <c r="A1288" s="52"/>
      <c r="B1288" s="51"/>
      <c r="C1288" s="51"/>
      <c r="D1288" s="51"/>
      <c r="E1288" s="54"/>
      <c r="F1288" s="32"/>
      <c r="G1288" s="33"/>
      <c r="H1288" s="50"/>
      <c r="I1288" s="52"/>
      <c r="J1288" s="52"/>
      <c r="K1288" s="52"/>
    </row>
    <row r="1289" spans="1:11" ht="50.1" hidden="1" customHeight="1" x14ac:dyDescent="0.25">
      <c r="A1289" s="52"/>
      <c r="B1289" s="51"/>
      <c r="C1289" s="51"/>
      <c r="D1289" s="51"/>
      <c r="E1289" s="54"/>
      <c r="F1289" s="32"/>
      <c r="G1289" s="33"/>
      <c r="H1289" s="50"/>
      <c r="I1289" s="52"/>
      <c r="J1289" s="52"/>
      <c r="K1289" s="52"/>
    </row>
    <row r="1290" spans="1:11" ht="50.1" hidden="1" customHeight="1" x14ac:dyDescent="0.25">
      <c r="A1290" s="52"/>
      <c r="B1290" s="51"/>
      <c r="C1290" s="51"/>
      <c r="D1290" s="51"/>
      <c r="E1290" s="54"/>
      <c r="F1290" s="32"/>
      <c r="G1290" s="33"/>
      <c r="H1290" s="50"/>
      <c r="I1290" s="52"/>
      <c r="J1290" s="52"/>
      <c r="K1290" s="52"/>
    </row>
    <row r="1291" spans="1:11" ht="50.1" hidden="1" customHeight="1" x14ac:dyDescent="0.25">
      <c r="A1291" s="52"/>
      <c r="B1291" s="51"/>
      <c r="C1291" s="51"/>
      <c r="D1291" s="51"/>
      <c r="E1291" s="54"/>
      <c r="F1291" s="32"/>
      <c r="G1291" s="33"/>
      <c r="H1291" s="50"/>
      <c r="I1291" s="52"/>
      <c r="J1291" s="52"/>
      <c r="K1291" s="52"/>
    </row>
    <row r="1292" spans="1:11" ht="50.1" hidden="1" customHeight="1" x14ac:dyDescent="0.25">
      <c r="A1292" s="52"/>
      <c r="B1292" s="51"/>
      <c r="C1292" s="51"/>
      <c r="D1292" s="51"/>
      <c r="E1292" s="54"/>
      <c r="F1292" s="32"/>
      <c r="G1292" s="33"/>
      <c r="H1292" s="50"/>
      <c r="I1292" s="52"/>
      <c r="J1292" s="52"/>
      <c r="K1292" s="52"/>
    </row>
    <row r="1293" spans="1:11" ht="50.1" hidden="1" customHeight="1" x14ac:dyDescent="0.25">
      <c r="A1293" s="52"/>
      <c r="B1293" s="51"/>
      <c r="C1293" s="51"/>
      <c r="D1293" s="51"/>
      <c r="E1293" s="54"/>
      <c r="F1293" s="32"/>
      <c r="G1293" s="33"/>
      <c r="H1293" s="50"/>
      <c r="I1293" s="52"/>
      <c r="J1293" s="52"/>
      <c r="K1293" s="52"/>
    </row>
    <row r="1294" spans="1:11" ht="50.1" hidden="1" customHeight="1" x14ac:dyDescent="0.25">
      <c r="A1294" s="52"/>
      <c r="B1294" s="51"/>
      <c r="C1294" s="51"/>
      <c r="D1294" s="51"/>
      <c r="E1294" s="54"/>
      <c r="F1294" s="32"/>
      <c r="G1294" s="33"/>
      <c r="H1294" s="50"/>
      <c r="I1294" s="52"/>
      <c r="J1294" s="52"/>
      <c r="K1294" s="52"/>
    </row>
    <row r="1295" spans="1:11" ht="50.1" hidden="1" customHeight="1" x14ac:dyDescent="0.25">
      <c r="A1295" s="52"/>
      <c r="B1295" s="51"/>
      <c r="C1295" s="51"/>
      <c r="D1295" s="51"/>
      <c r="E1295" s="54"/>
      <c r="F1295" s="32"/>
      <c r="G1295" s="33"/>
      <c r="H1295" s="50"/>
      <c r="I1295" s="52"/>
      <c r="J1295" s="52"/>
      <c r="K1295" s="52"/>
    </row>
    <row r="1296" spans="1:11" ht="50.1" hidden="1" customHeight="1" x14ac:dyDescent="0.25">
      <c r="A1296" s="52"/>
      <c r="B1296" s="51"/>
      <c r="C1296" s="51"/>
      <c r="D1296" s="51"/>
      <c r="E1296" s="54"/>
      <c r="F1296" s="32"/>
      <c r="G1296" s="33"/>
      <c r="H1296" s="50"/>
      <c r="I1296" s="52"/>
      <c r="J1296" s="52"/>
      <c r="K1296" s="52"/>
    </row>
    <row r="1297" spans="1:11" ht="50.1" hidden="1" customHeight="1" x14ac:dyDescent="0.25">
      <c r="A1297" s="52"/>
      <c r="B1297" s="51"/>
      <c r="C1297" s="51"/>
      <c r="D1297" s="51"/>
      <c r="E1297" s="54"/>
      <c r="F1297" s="32"/>
      <c r="G1297" s="33"/>
      <c r="H1297" s="50"/>
      <c r="I1297" s="52"/>
      <c r="J1297" s="52"/>
      <c r="K1297" s="52"/>
    </row>
    <row r="1298" spans="1:11" ht="50.1" hidden="1" customHeight="1" x14ac:dyDescent="0.25">
      <c r="A1298" s="52"/>
      <c r="B1298" s="51"/>
      <c r="C1298" s="51"/>
      <c r="D1298" s="51"/>
      <c r="E1298" s="54"/>
      <c r="F1298" s="32"/>
      <c r="G1298" s="33"/>
      <c r="H1298" s="50"/>
      <c r="I1298" s="52"/>
      <c r="J1298" s="52"/>
      <c r="K1298" s="52"/>
    </row>
    <row r="1299" spans="1:11" ht="50.1" hidden="1" customHeight="1" x14ac:dyDescent="0.25">
      <c r="A1299" s="52"/>
      <c r="B1299" s="51"/>
      <c r="C1299" s="51"/>
      <c r="D1299" s="51"/>
      <c r="E1299" s="54"/>
      <c r="F1299" s="32"/>
      <c r="G1299" s="33"/>
      <c r="H1299" s="50"/>
      <c r="I1299" s="52"/>
      <c r="J1299" s="52"/>
      <c r="K1299" s="52"/>
    </row>
    <row r="1300" spans="1:11" ht="50.1" hidden="1" customHeight="1" x14ac:dyDescent="0.25">
      <c r="A1300" s="52"/>
      <c r="B1300" s="51"/>
      <c r="C1300" s="51"/>
      <c r="D1300" s="51"/>
      <c r="E1300" s="54"/>
      <c r="F1300" s="32"/>
      <c r="G1300" s="33"/>
      <c r="H1300" s="50"/>
      <c r="I1300" s="52"/>
      <c r="J1300" s="52"/>
      <c r="K1300" s="52"/>
    </row>
    <row r="1301" spans="1:11" ht="50.1" hidden="1" customHeight="1" x14ac:dyDescent="0.25">
      <c r="A1301" s="52"/>
      <c r="B1301" s="51"/>
      <c r="C1301" s="51"/>
      <c r="D1301" s="51"/>
      <c r="E1301" s="54"/>
      <c r="F1301" s="32"/>
      <c r="G1301" s="33"/>
      <c r="H1301" s="50"/>
      <c r="I1301" s="52"/>
      <c r="J1301" s="52"/>
      <c r="K1301" s="52"/>
    </row>
    <row r="1302" spans="1:11" ht="50.1" hidden="1" customHeight="1" x14ac:dyDescent="0.25">
      <c r="A1302" s="52"/>
      <c r="B1302" s="51"/>
      <c r="C1302" s="51"/>
      <c r="D1302" s="51"/>
      <c r="E1302" s="54"/>
      <c r="F1302" s="32"/>
      <c r="G1302" s="33"/>
      <c r="H1302" s="50"/>
      <c r="I1302" s="52"/>
      <c r="J1302" s="52"/>
      <c r="K1302" s="52"/>
    </row>
    <row r="1303" spans="1:11" ht="50.1" hidden="1" customHeight="1" x14ac:dyDescent="0.25">
      <c r="A1303" s="52"/>
      <c r="B1303" s="51"/>
      <c r="C1303" s="51"/>
      <c r="D1303" s="51"/>
      <c r="E1303" s="54"/>
      <c r="F1303" s="32"/>
      <c r="G1303" s="33"/>
      <c r="H1303" s="50"/>
      <c r="I1303" s="52"/>
      <c r="J1303" s="52"/>
      <c r="K1303" s="52"/>
    </row>
    <row r="1304" spans="1:11" ht="50.1" hidden="1" customHeight="1" x14ac:dyDescent="0.25">
      <c r="A1304" s="52"/>
      <c r="B1304" s="51"/>
      <c r="C1304" s="51"/>
      <c r="D1304" s="51"/>
      <c r="E1304" s="54"/>
      <c r="F1304" s="32"/>
      <c r="G1304" s="33"/>
      <c r="H1304" s="50"/>
      <c r="I1304" s="52"/>
      <c r="J1304" s="52"/>
      <c r="K1304" s="52"/>
    </row>
    <row r="1305" spans="1:11" ht="50.1" hidden="1" customHeight="1" x14ac:dyDescent="0.25">
      <c r="A1305" s="52"/>
      <c r="B1305" s="51"/>
      <c r="C1305" s="51"/>
      <c r="D1305" s="51"/>
      <c r="E1305" s="54"/>
      <c r="F1305" s="32"/>
      <c r="G1305" s="33"/>
      <c r="H1305" s="50"/>
      <c r="I1305" s="52"/>
      <c r="J1305" s="52"/>
      <c r="K1305" s="52"/>
    </row>
    <row r="1306" spans="1:11" ht="50.1" hidden="1" customHeight="1" x14ac:dyDescent="0.25">
      <c r="A1306" s="52"/>
      <c r="B1306" s="51"/>
      <c r="C1306" s="51"/>
      <c r="D1306" s="51"/>
      <c r="E1306" s="54"/>
      <c r="F1306" s="32"/>
      <c r="G1306" s="33"/>
      <c r="H1306" s="50"/>
      <c r="I1306" s="52"/>
      <c r="J1306" s="52"/>
      <c r="K1306" s="52"/>
    </row>
    <row r="1307" spans="1:11" ht="50.1" hidden="1" customHeight="1" x14ac:dyDescent="0.25">
      <c r="A1307" s="52"/>
      <c r="B1307" s="51"/>
      <c r="C1307" s="51"/>
      <c r="D1307" s="51"/>
      <c r="E1307" s="54"/>
      <c r="F1307" s="32"/>
      <c r="G1307" s="33"/>
      <c r="H1307" s="50"/>
      <c r="I1307" s="52"/>
      <c r="J1307" s="52"/>
      <c r="K1307" s="52"/>
    </row>
    <row r="1308" spans="1:11" ht="50.1" hidden="1" customHeight="1" x14ac:dyDescent="0.25">
      <c r="A1308" s="52"/>
      <c r="B1308" s="51"/>
      <c r="C1308" s="51"/>
      <c r="D1308" s="51"/>
      <c r="E1308" s="54"/>
      <c r="F1308" s="32"/>
      <c r="G1308" s="33"/>
      <c r="H1308" s="50"/>
      <c r="I1308" s="52"/>
      <c r="J1308" s="52"/>
      <c r="K1308" s="52"/>
    </row>
    <row r="1309" spans="1:11" ht="50.1" hidden="1" customHeight="1" x14ac:dyDescent="0.25">
      <c r="A1309" s="52"/>
      <c r="B1309" s="51"/>
      <c r="C1309" s="51"/>
      <c r="D1309" s="51"/>
      <c r="E1309" s="54"/>
      <c r="F1309" s="32"/>
      <c r="G1309" s="33"/>
      <c r="H1309" s="50"/>
      <c r="I1309" s="52"/>
      <c r="J1309" s="52"/>
      <c r="K1309" s="52"/>
    </row>
    <row r="1310" spans="1:11" ht="50.1" hidden="1" customHeight="1" x14ac:dyDescent="0.25">
      <c r="A1310" s="52"/>
      <c r="B1310" s="51"/>
      <c r="C1310" s="51"/>
      <c r="D1310" s="51"/>
      <c r="E1310" s="54"/>
      <c r="F1310" s="32"/>
      <c r="G1310" s="33"/>
      <c r="H1310" s="50"/>
      <c r="I1310" s="52"/>
      <c r="J1310" s="52"/>
      <c r="K1310" s="52"/>
    </row>
    <row r="1311" spans="1:11" ht="50.1" hidden="1" customHeight="1" x14ac:dyDescent="0.25">
      <c r="A1311" s="52"/>
      <c r="B1311" s="51"/>
      <c r="C1311" s="51"/>
      <c r="D1311" s="51"/>
      <c r="E1311" s="54"/>
      <c r="F1311" s="32"/>
      <c r="G1311" s="33"/>
      <c r="H1311" s="50"/>
      <c r="I1311" s="52"/>
      <c r="J1311" s="52"/>
      <c r="K1311" s="52"/>
    </row>
    <row r="1312" spans="1:11" ht="50.1" hidden="1" customHeight="1" x14ac:dyDescent="0.25">
      <c r="A1312" s="52"/>
      <c r="B1312" s="51"/>
      <c r="C1312" s="51"/>
      <c r="D1312" s="51"/>
      <c r="E1312" s="54"/>
      <c r="F1312" s="32"/>
      <c r="G1312" s="33"/>
      <c r="H1312" s="50"/>
      <c r="I1312" s="52"/>
      <c r="J1312" s="52"/>
      <c r="K1312" s="52"/>
    </row>
    <row r="1313" spans="1:11" ht="50.1" hidden="1" customHeight="1" x14ac:dyDescent="0.25">
      <c r="A1313" s="52"/>
      <c r="B1313" s="51"/>
      <c r="C1313" s="51"/>
      <c r="D1313" s="51"/>
      <c r="E1313" s="54"/>
      <c r="F1313" s="32"/>
      <c r="G1313" s="33"/>
      <c r="H1313" s="50"/>
      <c r="I1313" s="52"/>
      <c r="J1313" s="52"/>
      <c r="K1313" s="52"/>
    </row>
    <row r="1314" spans="1:11" ht="50.1" hidden="1" customHeight="1" x14ac:dyDescent="0.25">
      <c r="A1314" s="52"/>
      <c r="B1314" s="51"/>
      <c r="C1314" s="51"/>
      <c r="D1314" s="51"/>
      <c r="E1314" s="54"/>
      <c r="F1314" s="32"/>
      <c r="G1314" s="33"/>
      <c r="H1314" s="50"/>
      <c r="I1314" s="52"/>
      <c r="J1314" s="52"/>
      <c r="K1314" s="52"/>
    </row>
    <row r="1315" spans="1:11" ht="50.1" hidden="1" customHeight="1" x14ac:dyDescent="0.25">
      <c r="A1315" s="52"/>
      <c r="B1315" s="51"/>
      <c r="C1315" s="51"/>
      <c r="D1315" s="51"/>
      <c r="E1315" s="54"/>
      <c r="F1315" s="32"/>
      <c r="G1315" s="33"/>
      <c r="H1315" s="50"/>
      <c r="I1315" s="52"/>
      <c r="J1315" s="52"/>
      <c r="K1315" s="52"/>
    </row>
    <row r="1316" spans="1:11" ht="50.1" hidden="1" customHeight="1" x14ac:dyDescent="0.25">
      <c r="A1316" s="52"/>
      <c r="B1316" s="51"/>
      <c r="C1316" s="51"/>
      <c r="D1316" s="51"/>
      <c r="E1316" s="54"/>
      <c r="F1316" s="32"/>
      <c r="G1316" s="33"/>
      <c r="H1316" s="50"/>
      <c r="I1316" s="52"/>
      <c r="J1316" s="52"/>
      <c r="K1316" s="52"/>
    </row>
    <row r="1317" spans="1:11" ht="50.1" hidden="1" customHeight="1" x14ac:dyDescent="0.25">
      <c r="A1317" s="52"/>
      <c r="B1317" s="51"/>
      <c r="C1317" s="51"/>
      <c r="D1317" s="51"/>
      <c r="E1317" s="54"/>
      <c r="F1317" s="32"/>
      <c r="G1317" s="33"/>
      <c r="H1317" s="50"/>
      <c r="I1317" s="52"/>
      <c r="J1317" s="52"/>
      <c r="K1317" s="52"/>
    </row>
    <row r="1318" spans="1:11" ht="50.1" hidden="1" customHeight="1" x14ac:dyDescent="0.25">
      <c r="A1318" s="52"/>
      <c r="B1318" s="51"/>
      <c r="C1318" s="51"/>
      <c r="D1318" s="51"/>
      <c r="E1318" s="54"/>
      <c r="F1318" s="32"/>
      <c r="G1318" s="33"/>
      <c r="H1318" s="50"/>
      <c r="I1318" s="52"/>
      <c r="J1318" s="52"/>
      <c r="K1318" s="52"/>
    </row>
    <row r="1319" spans="1:11" ht="50.1" hidden="1" customHeight="1" x14ac:dyDescent="0.25">
      <c r="A1319" s="52"/>
      <c r="B1319" s="51"/>
      <c r="C1319" s="51"/>
      <c r="D1319" s="51"/>
      <c r="E1319" s="54"/>
      <c r="F1319" s="32"/>
      <c r="G1319" s="33"/>
      <c r="H1319" s="50"/>
      <c r="I1319" s="52"/>
      <c r="J1319" s="52"/>
      <c r="K1319" s="52"/>
    </row>
    <row r="1320" spans="1:11" s="52" customFormat="1" ht="50.1" hidden="1" customHeight="1" x14ac:dyDescent="0.25">
      <c r="B1320" s="51"/>
      <c r="C1320" s="51"/>
      <c r="D1320" s="51"/>
      <c r="E1320" s="49"/>
      <c r="F1320" s="32"/>
      <c r="G1320" s="33"/>
      <c r="H1320" s="50"/>
    </row>
    <row r="1321" spans="1:11" s="52" customFormat="1" ht="50.1" hidden="1" customHeight="1" x14ac:dyDescent="0.25">
      <c r="B1321" s="51"/>
      <c r="C1321" s="51"/>
      <c r="D1321" s="51"/>
      <c r="E1321" s="49"/>
      <c r="F1321" s="32"/>
      <c r="G1321" s="33"/>
      <c r="H1321" s="50"/>
    </row>
    <row r="1322" spans="1:11" s="52" customFormat="1" ht="50.1" hidden="1" customHeight="1" x14ac:dyDescent="0.25">
      <c r="B1322" s="51"/>
      <c r="C1322" s="51"/>
      <c r="D1322" s="51"/>
      <c r="E1322" s="49"/>
      <c r="F1322" s="32"/>
      <c r="G1322" s="33"/>
      <c r="H1322" s="50"/>
    </row>
    <row r="1323" spans="1:11" s="52" customFormat="1" ht="50.1" hidden="1" customHeight="1" x14ac:dyDescent="0.25">
      <c r="B1323" s="51"/>
      <c r="C1323" s="51"/>
      <c r="D1323" s="51"/>
      <c r="E1323" s="49"/>
      <c r="F1323" s="32"/>
      <c r="G1323" s="33"/>
      <c r="H1323" s="50"/>
    </row>
    <row r="1324" spans="1:11" s="52" customFormat="1" ht="50.1" hidden="1" customHeight="1" x14ac:dyDescent="0.25">
      <c r="B1324" s="51"/>
      <c r="C1324" s="51"/>
      <c r="D1324" s="51"/>
      <c r="E1324" s="49"/>
      <c r="F1324" s="32"/>
      <c r="G1324" s="33"/>
      <c r="H1324" s="50"/>
    </row>
    <row r="1325" spans="1:11" s="52" customFormat="1" ht="50.1" hidden="1" customHeight="1" x14ac:dyDescent="0.25">
      <c r="B1325" s="51"/>
      <c r="C1325" s="51"/>
      <c r="D1325" s="51"/>
      <c r="E1325" s="49"/>
      <c r="F1325" s="32"/>
      <c r="G1325" s="33"/>
      <c r="H1325" s="50"/>
    </row>
    <row r="1326" spans="1:11" s="52" customFormat="1" ht="50.1" hidden="1" customHeight="1" x14ac:dyDescent="0.25">
      <c r="B1326" s="51"/>
      <c r="C1326" s="51"/>
      <c r="D1326" s="51"/>
      <c r="E1326" s="49"/>
      <c r="F1326" s="32"/>
      <c r="G1326" s="33"/>
      <c r="H1326" s="50"/>
    </row>
    <row r="1327" spans="1:11" s="52" customFormat="1" ht="50.1" hidden="1" customHeight="1" x14ac:dyDescent="0.25">
      <c r="B1327" s="51"/>
      <c r="C1327" s="51"/>
      <c r="D1327" s="51"/>
      <c r="E1327" s="49"/>
      <c r="F1327" s="32"/>
      <c r="G1327" s="33"/>
      <c r="H1327" s="50"/>
    </row>
    <row r="1328" spans="1:11" s="52" customFormat="1" ht="50.1" hidden="1" customHeight="1" x14ac:dyDescent="0.25">
      <c r="B1328" s="51"/>
      <c r="C1328" s="51"/>
      <c r="D1328" s="51"/>
      <c r="E1328" s="49"/>
      <c r="F1328" s="32"/>
      <c r="G1328" s="33"/>
      <c r="H1328" s="50"/>
    </row>
    <row r="1329" spans="2:8" s="52" customFormat="1" ht="50.1" hidden="1" customHeight="1" x14ac:dyDescent="0.25">
      <c r="B1329" s="51"/>
      <c r="C1329" s="51"/>
      <c r="D1329" s="51"/>
      <c r="E1329" s="49"/>
      <c r="F1329" s="32"/>
      <c r="G1329" s="33"/>
      <c r="H1329" s="50"/>
    </row>
    <row r="1330" spans="2:8" s="52" customFormat="1" ht="50.1" hidden="1" customHeight="1" x14ac:dyDescent="0.25">
      <c r="B1330" s="51"/>
      <c r="C1330" s="51"/>
      <c r="D1330" s="51"/>
      <c r="E1330" s="49"/>
      <c r="F1330" s="32"/>
      <c r="G1330" s="33"/>
      <c r="H1330" s="50"/>
    </row>
    <row r="1331" spans="2:8" s="52" customFormat="1" ht="50.1" hidden="1" customHeight="1" x14ac:dyDescent="0.25">
      <c r="B1331" s="51"/>
      <c r="C1331" s="51"/>
      <c r="D1331" s="51"/>
      <c r="E1331" s="49"/>
      <c r="F1331" s="32"/>
      <c r="G1331" s="33"/>
      <c r="H1331" s="50"/>
    </row>
    <row r="1332" spans="2:8" s="52" customFormat="1" ht="50.1" hidden="1" customHeight="1" x14ac:dyDescent="0.25">
      <c r="B1332" s="51"/>
      <c r="C1332" s="51"/>
      <c r="D1332" s="51"/>
      <c r="E1332" s="49"/>
      <c r="F1332" s="32"/>
      <c r="G1332" s="33"/>
      <c r="H1332" s="50"/>
    </row>
    <row r="1333" spans="2:8" s="52" customFormat="1" ht="50.1" hidden="1" customHeight="1" x14ac:dyDescent="0.25">
      <c r="B1333" s="51"/>
      <c r="C1333" s="51"/>
      <c r="D1333" s="51"/>
      <c r="E1333" s="49"/>
      <c r="F1333" s="32"/>
      <c r="G1333" s="33"/>
      <c r="H1333" s="50"/>
    </row>
    <row r="1334" spans="2:8" s="52" customFormat="1" ht="50.1" hidden="1" customHeight="1" x14ac:dyDescent="0.25">
      <c r="B1334" s="51"/>
      <c r="C1334" s="51"/>
      <c r="D1334" s="51"/>
      <c r="E1334" s="49"/>
      <c r="F1334" s="32"/>
      <c r="G1334" s="33"/>
      <c r="H1334" s="50"/>
    </row>
    <row r="1335" spans="2:8" s="52" customFormat="1" ht="50.1" hidden="1" customHeight="1" x14ac:dyDescent="0.25">
      <c r="B1335" s="51"/>
      <c r="C1335" s="51"/>
      <c r="D1335" s="51"/>
      <c r="E1335" s="49"/>
      <c r="F1335" s="32"/>
      <c r="G1335" s="33"/>
      <c r="H1335" s="50"/>
    </row>
    <row r="1336" spans="2:8" s="52" customFormat="1" ht="50.1" hidden="1" customHeight="1" x14ac:dyDescent="0.25">
      <c r="B1336" s="51"/>
      <c r="C1336" s="51"/>
      <c r="D1336" s="51"/>
      <c r="E1336" s="49"/>
      <c r="F1336" s="32"/>
      <c r="G1336" s="33"/>
      <c r="H1336" s="50"/>
    </row>
    <row r="1337" spans="2:8" s="52" customFormat="1" ht="50.1" hidden="1" customHeight="1" x14ac:dyDescent="0.25">
      <c r="B1337" s="51"/>
      <c r="C1337" s="51"/>
      <c r="D1337" s="51"/>
      <c r="E1337" s="49"/>
      <c r="F1337" s="32"/>
      <c r="G1337" s="33"/>
      <c r="H1337" s="50"/>
    </row>
    <row r="1338" spans="2:8" s="52" customFormat="1" ht="50.1" hidden="1" customHeight="1" x14ac:dyDescent="0.25">
      <c r="B1338" s="51"/>
      <c r="C1338" s="51"/>
      <c r="D1338" s="51"/>
      <c r="E1338" s="49"/>
      <c r="F1338" s="32"/>
      <c r="G1338" s="33"/>
      <c r="H1338" s="50"/>
    </row>
    <row r="1339" spans="2:8" s="52" customFormat="1" ht="50.1" hidden="1" customHeight="1" x14ac:dyDescent="0.25">
      <c r="B1339" s="51"/>
      <c r="C1339" s="51"/>
      <c r="D1339" s="51"/>
      <c r="E1339" s="49"/>
      <c r="F1339" s="32"/>
      <c r="G1339" s="33"/>
      <c r="H1339" s="50"/>
    </row>
    <row r="1340" spans="2:8" s="52" customFormat="1" ht="50.1" hidden="1" customHeight="1" x14ac:dyDescent="0.25">
      <c r="B1340" s="51"/>
      <c r="C1340" s="51"/>
      <c r="D1340" s="51"/>
      <c r="E1340" s="49"/>
      <c r="F1340" s="32"/>
      <c r="G1340" s="33"/>
      <c r="H1340" s="50"/>
    </row>
    <row r="1341" spans="2:8" s="52" customFormat="1" ht="50.1" hidden="1" customHeight="1" x14ac:dyDescent="0.25">
      <c r="B1341" s="51"/>
      <c r="C1341" s="51"/>
      <c r="D1341" s="51"/>
      <c r="E1341" s="49"/>
      <c r="F1341" s="32"/>
      <c r="G1341" s="33"/>
      <c r="H1341" s="50"/>
    </row>
    <row r="1342" spans="2:8" s="52" customFormat="1" ht="50.1" hidden="1" customHeight="1" x14ac:dyDescent="0.25">
      <c r="B1342" s="51"/>
      <c r="C1342" s="51"/>
      <c r="D1342" s="51"/>
      <c r="E1342" s="49"/>
      <c r="F1342" s="32"/>
      <c r="G1342" s="33"/>
      <c r="H1342" s="50"/>
    </row>
    <row r="1343" spans="2:8" s="52" customFormat="1" ht="50.1" hidden="1" customHeight="1" x14ac:dyDescent="0.25">
      <c r="B1343" s="51"/>
      <c r="C1343" s="51"/>
      <c r="D1343" s="51"/>
      <c r="E1343" s="49"/>
      <c r="F1343" s="32"/>
      <c r="G1343" s="33"/>
      <c r="H1343" s="50"/>
    </row>
    <row r="1344" spans="2:8" s="52" customFormat="1" ht="50.1" hidden="1" customHeight="1" x14ac:dyDescent="0.25">
      <c r="B1344" s="51"/>
      <c r="C1344" s="51"/>
      <c r="D1344" s="51"/>
      <c r="E1344" s="49"/>
      <c r="F1344" s="32"/>
      <c r="G1344" s="33"/>
      <c r="H1344" s="50"/>
    </row>
    <row r="1345" spans="2:8" s="52" customFormat="1" ht="50.1" hidden="1" customHeight="1" x14ac:dyDescent="0.25">
      <c r="B1345" s="51"/>
      <c r="C1345" s="51"/>
      <c r="D1345" s="51"/>
      <c r="E1345" s="49"/>
      <c r="F1345" s="32"/>
      <c r="G1345" s="33"/>
      <c r="H1345" s="50"/>
    </row>
    <row r="1346" spans="2:8" s="52" customFormat="1" ht="50.1" hidden="1" customHeight="1" x14ac:dyDescent="0.25">
      <c r="B1346" s="51"/>
      <c r="C1346" s="51"/>
      <c r="D1346" s="51"/>
      <c r="E1346" s="49"/>
      <c r="F1346" s="32"/>
      <c r="G1346" s="33"/>
      <c r="H1346" s="50"/>
    </row>
    <row r="1347" spans="2:8" s="52" customFormat="1" ht="50.1" hidden="1" customHeight="1" x14ac:dyDescent="0.25">
      <c r="B1347" s="51"/>
      <c r="C1347" s="51"/>
      <c r="D1347" s="51"/>
      <c r="E1347" s="49"/>
      <c r="F1347" s="32"/>
      <c r="G1347" s="33"/>
      <c r="H1347" s="50"/>
    </row>
    <row r="1348" spans="2:8" s="52" customFormat="1" ht="50.1" hidden="1" customHeight="1" x14ac:dyDescent="0.25">
      <c r="B1348" s="51"/>
      <c r="C1348" s="51"/>
      <c r="D1348" s="51"/>
      <c r="E1348" s="49"/>
      <c r="F1348" s="32"/>
      <c r="G1348" s="33"/>
      <c r="H1348" s="50"/>
    </row>
    <row r="1349" spans="2:8" s="52" customFormat="1" ht="50.1" hidden="1" customHeight="1" x14ac:dyDescent="0.25">
      <c r="B1349" s="51"/>
      <c r="C1349" s="51"/>
      <c r="D1349" s="51"/>
      <c r="E1349" s="49"/>
      <c r="F1349" s="32"/>
      <c r="G1349" s="33"/>
      <c r="H1349" s="50"/>
    </row>
    <row r="1350" spans="2:8" s="52" customFormat="1" ht="50.1" hidden="1" customHeight="1" x14ac:dyDescent="0.25">
      <c r="B1350" s="51"/>
      <c r="C1350" s="51"/>
      <c r="D1350" s="51"/>
      <c r="E1350" s="49"/>
      <c r="F1350" s="32"/>
      <c r="G1350" s="33"/>
      <c r="H1350" s="50"/>
    </row>
    <row r="1351" spans="2:8" s="52" customFormat="1" ht="50.1" hidden="1" customHeight="1" x14ac:dyDescent="0.25">
      <c r="B1351" s="51"/>
      <c r="C1351" s="51"/>
      <c r="D1351" s="51"/>
      <c r="E1351" s="49"/>
      <c r="F1351" s="32"/>
      <c r="G1351" s="33"/>
      <c r="H1351" s="50"/>
    </row>
    <row r="1352" spans="2:8" s="52" customFormat="1" ht="50.1" hidden="1" customHeight="1" x14ac:dyDescent="0.25">
      <c r="B1352" s="51"/>
      <c r="C1352" s="51"/>
      <c r="D1352" s="51"/>
      <c r="E1352" s="49"/>
      <c r="F1352" s="32"/>
      <c r="G1352" s="33"/>
      <c r="H1352" s="50"/>
    </row>
    <row r="1353" spans="2:8" s="52" customFormat="1" ht="50.1" hidden="1" customHeight="1" x14ac:dyDescent="0.25">
      <c r="B1353" s="51"/>
      <c r="C1353" s="51"/>
      <c r="D1353" s="51"/>
      <c r="E1353" s="49"/>
      <c r="F1353" s="32"/>
      <c r="G1353" s="33"/>
      <c r="H1353" s="50"/>
    </row>
    <row r="1354" spans="2:8" s="52" customFormat="1" ht="50.1" hidden="1" customHeight="1" x14ac:dyDescent="0.25">
      <c r="B1354" s="51"/>
      <c r="C1354" s="51"/>
      <c r="D1354" s="51"/>
      <c r="E1354" s="49"/>
      <c r="F1354" s="32"/>
      <c r="G1354" s="33"/>
      <c r="H1354" s="50"/>
    </row>
    <row r="1355" spans="2:8" s="52" customFormat="1" ht="50.1" hidden="1" customHeight="1" x14ac:dyDescent="0.25">
      <c r="B1355" s="51"/>
      <c r="C1355" s="51"/>
      <c r="D1355" s="51"/>
      <c r="E1355" s="49"/>
      <c r="F1355" s="32"/>
      <c r="G1355" s="33"/>
      <c r="H1355" s="50"/>
    </row>
    <row r="1356" spans="2:8" s="52" customFormat="1" ht="50.1" hidden="1" customHeight="1" x14ac:dyDescent="0.25">
      <c r="B1356" s="51"/>
      <c r="C1356" s="51"/>
      <c r="D1356" s="51"/>
      <c r="E1356" s="49"/>
      <c r="F1356" s="32"/>
      <c r="G1356" s="33"/>
      <c r="H1356" s="50"/>
    </row>
    <row r="1357" spans="2:8" s="52" customFormat="1" ht="50.1" hidden="1" customHeight="1" x14ac:dyDescent="0.25">
      <c r="B1357" s="51"/>
      <c r="C1357" s="51"/>
      <c r="D1357" s="51"/>
      <c r="E1357" s="49"/>
      <c r="F1357" s="32"/>
      <c r="G1357" s="33"/>
      <c r="H1357" s="50"/>
    </row>
    <row r="1358" spans="2:8" s="52" customFormat="1" ht="50.1" hidden="1" customHeight="1" x14ac:dyDescent="0.25">
      <c r="B1358" s="51"/>
      <c r="C1358" s="51"/>
      <c r="D1358" s="51"/>
      <c r="E1358" s="49"/>
      <c r="F1358" s="32"/>
      <c r="G1358" s="33"/>
      <c r="H1358" s="50"/>
    </row>
    <row r="1359" spans="2:8" s="52" customFormat="1" ht="50.1" hidden="1" customHeight="1" x14ac:dyDescent="0.25">
      <c r="B1359" s="51"/>
      <c r="C1359" s="51"/>
      <c r="D1359" s="51"/>
      <c r="E1359" s="49"/>
      <c r="F1359" s="32"/>
      <c r="G1359" s="33"/>
      <c r="H1359" s="50"/>
    </row>
    <row r="1360" spans="2:8" s="52" customFormat="1" ht="50.1" hidden="1" customHeight="1" x14ac:dyDescent="0.25">
      <c r="B1360" s="51"/>
      <c r="C1360" s="51"/>
      <c r="D1360" s="51"/>
      <c r="E1360" s="49"/>
      <c r="F1360" s="32"/>
      <c r="G1360" s="33"/>
      <c r="H1360" s="50"/>
    </row>
    <row r="1361" spans="2:8" s="52" customFormat="1" ht="50.1" hidden="1" customHeight="1" x14ac:dyDescent="0.25">
      <c r="B1361" s="51"/>
      <c r="C1361" s="51"/>
      <c r="D1361" s="51"/>
      <c r="E1361" s="49"/>
      <c r="F1361" s="32"/>
      <c r="G1361" s="33"/>
      <c r="H1361" s="50"/>
    </row>
    <row r="1362" spans="2:8" s="52" customFormat="1" ht="50.1" hidden="1" customHeight="1" x14ac:dyDescent="0.25">
      <c r="B1362" s="51"/>
      <c r="C1362" s="51"/>
      <c r="D1362" s="51"/>
      <c r="E1362" s="49"/>
      <c r="F1362" s="32"/>
      <c r="G1362" s="33"/>
      <c r="H1362" s="50"/>
    </row>
    <row r="1363" spans="2:8" s="52" customFormat="1" ht="50.1" hidden="1" customHeight="1" x14ac:dyDescent="0.25">
      <c r="B1363" s="51"/>
      <c r="C1363" s="51"/>
      <c r="D1363" s="51"/>
      <c r="E1363" s="49"/>
      <c r="F1363" s="32"/>
      <c r="G1363" s="33"/>
      <c r="H1363" s="50"/>
    </row>
    <row r="1364" spans="2:8" s="52" customFormat="1" ht="50.1" hidden="1" customHeight="1" x14ac:dyDescent="0.25">
      <c r="B1364" s="51"/>
      <c r="C1364" s="51"/>
      <c r="D1364" s="51"/>
      <c r="E1364" s="49"/>
      <c r="F1364" s="32"/>
      <c r="G1364" s="33"/>
      <c r="H1364" s="50"/>
    </row>
    <row r="1365" spans="2:8" s="52" customFormat="1" ht="50.1" hidden="1" customHeight="1" x14ac:dyDescent="0.25">
      <c r="B1365" s="51"/>
      <c r="C1365" s="51"/>
      <c r="D1365" s="51"/>
      <c r="E1365" s="49"/>
      <c r="F1365" s="32"/>
      <c r="G1365" s="33"/>
      <c r="H1365" s="50"/>
    </row>
    <row r="1366" spans="2:8" s="52" customFormat="1" ht="50.1" hidden="1" customHeight="1" x14ac:dyDescent="0.25">
      <c r="B1366" s="51"/>
      <c r="C1366" s="51"/>
      <c r="D1366" s="51"/>
      <c r="E1366" s="49"/>
      <c r="F1366" s="32"/>
      <c r="G1366" s="33"/>
      <c r="H1366" s="50"/>
    </row>
    <row r="1367" spans="2:8" s="52" customFormat="1" ht="50.1" hidden="1" customHeight="1" x14ac:dyDescent="0.25">
      <c r="B1367" s="51"/>
      <c r="C1367" s="51"/>
      <c r="D1367" s="51"/>
      <c r="E1367" s="49"/>
      <c r="F1367" s="32"/>
      <c r="G1367" s="33"/>
      <c r="H1367" s="50"/>
    </row>
    <row r="1368" spans="2:8" s="52" customFormat="1" ht="50.1" hidden="1" customHeight="1" x14ac:dyDescent="0.25">
      <c r="B1368" s="51"/>
      <c r="C1368" s="51"/>
      <c r="D1368" s="51"/>
      <c r="E1368" s="49"/>
      <c r="F1368" s="32"/>
      <c r="G1368" s="33"/>
      <c r="H1368" s="50"/>
    </row>
    <row r="1369" spans="2:8" s="52" customFormat="1" ht="50.1" hidden="1" customHeight="1" x14ac:dyDescent="0.25">
      <c r="B1369" s="51"/>
      <c r="C1369" s="51"/>
      <c r="D1369" s="51"/>
      <c r="E1369" s="49"/>
      <c r="F1369" s="32"/>
      <c r="G1369" s="33"/>
      <c r="H1369" s="50"/>
    </row>
    <row r="1370" spans="2:8" s="52" customFormat="1" ht="50.1" hidden="1" customHeight="1" x14ac:dyDescent="0.25">
      <c r="B1370" s="51"/>
      <c r="C1370" s="51"/>
      <c r="D1370" s="51"/>
      <c r="E1370" s="49"/>
      <c r="F1370" s="32"/>
      <c r="G1370" s="33"/>
      <c r="H1370" s="50"/>
    </row>
    <row r="1371" spans="2:8" s="52" customFormat="1" ht="50.1" hidden="1" customHeight="1" x14ac:dyDescent="0.25">
      <c r="B1371" s="51"/>
      <c r="C1371" s="51"/>
      <c r="D1371" s="51"/>
      <c r="E1371" s="49"/>
      <c r="F1371" s="32"/>
      <c r="G1371" s="33"/>
      <c r="H1371" s="50"/>
    </row>
    <row r="1372" spans="2:8" s="52" customFormat="1" ht="50.1" hidden="1" customHeight="1" x14ac:dyDescent="0.25">
      <c r="B1372" s="51"/>
      <c r="C1372" s="51"/>
      <c r="D1372" s="51"/>
      <c r="E1372" s="49"/>
      <c r="F1372" s="32"/>
      <c r="G1372" s="33"/>
      <c r="H1372" s="50"/>
    </row>
    <row r="1373" spans="2:8" s="52" customFormat="1" ht="50.1" hidden="1" customHeight="1" x14ac:dyDescent="0.25">
      <c r="B1373" s="51"/>
      <c r="C1373" s="51"/>
      <c r="D1373" s="51"/>
      <c r="E1373" s="49"/>
      <c r="F1373" s="32"/>
      <c r="G1373" s="33"/>
      <c r="H1373" s="50"/>
    </row>
    <row r="1374" spans="2:8" s="52" customFormat="1" ht="50.1" hidden="1" customHeight="1" x14ac:dyDescent="0.25">
      <c r="B1374" s="51"/>
      <c r="C1374" s="51"/>
      <c r="D1374" s="51"/>
      <c r="E1374" s="49"/>
      <c r="F1374" s="32"/>
      <c r="G1374" s="33"/>
      <c r="H1374" s="50"/>
    </row>
    <row r="1375" spans="2:8" s="52" customFormat="1" ht="50.1" hidden="1" customHeight="1" x14ac:dyDescent="0.25">
      <c r="B1375" s="51"/>
      <c r="C1375" s="51"/>
      <c r="D1375" s="51"/>
      <c r="E1375" s="49"/>
      <c r="F1375" s="32"/>
      <c r="G1375" s="33"/>
      <c r="H1375" s="50"/>
    </row>
    <row r="1376" spans="2:8" s="52" customFormat="1" ht="50.1" hidden="1" customHeight="1" x14ac:dyDescent="0.25">
      <c r="B1376" s="51"/>
      <c r="C1376" s="51"/>
      <c r="D1376" s="51"/>
      <c r="E1376" s="49"/>
      <c r="F1376" s="32"/>
      <c r="G1376" s="33"/>
      <c r="H1376" s="50"/>
    </row>
    <row r="1377" spans="2:8" s="52" customFormat="1" ht="50.1" hidden="1" customHeight="1" x14ac:dyDescent="0.25">
      <c r="B1377" s="51"/>
      <c r="C1377" s="51"/>
      <c r="D1377" s="51"/>
      <c r="E1377" s="49"/>
      <c r="F1377" s="32"/>
      <c r="G1377" s="33"/>
      <c r="H1377" s="50"/>
    </row>
    <row r="1378" spans="2:8" s="52" customFormat="1" ht="50.1" hidden="1" customHeight="1" x14ac:dyDescent="0.25">
      <c r="B1378" s="51"/>
      <c r="C1378" s="51"/>
      <c r="D1378" s="51"/>
      <c r="E1378" s="49"/>
      <c r="F1378" s="32"/>
      <c r="G1378" s="33"/>
      <c r="H1378" s="50"/>
    </row>
    <row r="1379" spans="2:8" s="52" customFormat="1" ht="50.1" hidden="1" customHeight="1" x14ac:dyDescent="0.25">
      <c r="B1379" s="51"/>
      <c r="C1379" s="51"/>
      <c r="D1379" s="51"/>
      <c r="E1379" s="49"/>
      <c r="F1379" s="32"/>
      <c r="G1379" s="33"/>
      <c r="H1379" s="50"/>
    </row>
    <row r="1380" spans="2:8" s="52" customFormat="1" ht="50.1" hidden="1" customHeight="1" x14ac:dyDescent="0.25">
      <c r="B1380" s="51"/>
      <c r="C1380" s="51"/>
      <c r="D1380" s="51"/>
      <c r="E1380" s="49"/>
      <c r="F1380" s="32"/>
      <c r="G1380" s="33"/>
      <c r="H1380" s="50"/>
    </row>
    <row r="1381" spans="2:8" s="52" customFormat="1" ht="50.1" hidden="1" customHeight="1" x14ac:dyDescent="0.25">
      <c r="B1381" s="51"/>
      <c r="C1381" s="51"/>
      <c r="D1381" s="51"/>
      <c r="E1381" s="49"/>
      <c r="F1381" s="32"/>
      <c r="G1381" s="33"/>
      <c r="H1381" s="50"/>
    </row>
    <row r="1382" spans="2:8" s="52" customFormat="1" ht="50.1" hidden="1" customHeight="1" x14ac:dyDescent="0.25">
      <c r="B1382" s="51"/>
      <c r="C1382" s="51"/>
      <c r="D1382" s="51"/>
      <c r="E1382" s="49"/>
      <c r="F1382" s="32"/>
      <c r="G1382" s="33"/>
      <c r="H1382" s="50"/>
    </row>
    <row r="1383" spans="2:8" s="52" customFormat="1" ht="50.1" hidden="1" customHeight="1" x14ac:dyDescent="0.25">
      <c r="B1383" s="51"/>
      <c r="C1383" s="51"/>
      <c r="D1383" s="51"/>
      <c r="E1383" s="49"/>
      <c r="F1383" s="32"/>
      <c r="G1383" s="33"/>
      <c r="H1383" s="50"/>
    </row>
    <row r="1384" spans="2:8" s="52" customFormat="1" ht="50.1" hidden="1" customHeight="1" x14ac:dyDescent="0.25">
      <c r="B1384" s="51"/>
      <c r="C1384" s="51"/>
      <c r="D1384" s="51"/>
      <c r="E1384" s="49"/>
      <c r="F1384" s="32"/>
      <c r="G1384" s="33"/>
      <c r="H1384" s="50"/>
    </row>
    <row r="1385" spans="2:8" s="52" customFormat="1" ht="50.1" hidden="1" customHeight="1" x14ac:dyDescent="0.25">
      <c r="B1385" s="51"/>
      <c r="C1385" s="51"/>
      <c r="D1385" s="51"/>
      <c r="E1385" s="49"/>
      <c r="F1385" s="32"/>
      <c r="G1385" s="33"/>
      <c r="H1385" s="50"/>
    </row>
    <row r="1386" spans="2:8" s="52" customFormat="1" ht="50.1" hidden="1" customHeight="1" x14ac:dyDescent="0.25">
      <c r="B1386" s="51"/>
      <c r="C1386" s="51"/>
      <c r="D1386" s="51"/>
      <c r="E1386" s="49"/>
      <c r="F1386" s="32"/>
      <c r="G1386" s="33"/>
      <c r="H1386" s="50"/>
    </row>
    <row r="1387" spans="2:8" s="52" customFormat="1" ht="50.1" hidden="1" customHeight="1" x14ac:dyDescent="0.25">
      <c r="B1387" s="51"/>
      <c r="C1387" s="51"/>
      <c r="D1387" s="51"/>
      <c r="E1387" s="49"/>
      <c r="F1387" s="32"/>
      <c r="G1387" s="33"/>
      <c r="H1387" s="50"/>
    </row>
    <row r="1388" spans="2:8" s="52" customFormat="1" ht="50.1" hidden="1" customHeight="1" x14ac:dyDescent="0.25">
      <c r="B1388" s="51"/>
      <c r="C1388" s="51"/>
      <c r="D1388" s="51"/>
      <c r="E1388" s="49"/>
      <c r="F1388" s="32"/>
      <c r="G1388" s="33"/>
      <c r="H1388" s="50"/>
    </row>
    <row r="1389" spans="2:8" s="52" customFormat="1" ht="50.1" hidden="1" customHeight="1" x14ac:dyDescent="0.25">
      <c r="B1389" s="51"/>
      <c r="C1389" s="51"/>
      <c r="D1389" s="51"/>
      <c r="E1389" s="49"/>
      <c r="F1389" s="32"/>
      <c r="G1389" s="33"/>
      <c r="H1389" s="50"/>
    </row>
    <row r="1390" spans="2:8" s="52" customFormat="1" ht="50.1" hidden="1" customHeight="1" x14ac:dyDescent="0.25">
      <c r="B1390" s="51"/>
      <c r="C1390" s="51"/>
      <c r="D1390" s="51"/>
      <c r="E1390" s="49"/>
      <c r="F1390" s="32"/>
      <c r="G1390" s="33"/>
      <c r="H1390" s="50"/>
    </row>
    <row r="1391" spans="2:8" s="52" customFormat="1" ht="50.1" hidden="1" customHeight="1" x14ac:dyDescent="0.25">
      <c r="B1391" s="51"/>
      <c r="C1391" s="51"/>
      <c r="D1391" s="51"/>
      <c r="E1391" s="49"/>
      <c r="F1391" s="32"/>
      <c r="G1391" s="33"/>
      <c r="H1391" s="50"/>
    </row>
    <row r="1392" spans="2:8" s="52" customFormat="1" ht="50.1" hidden="1" customHeight="1" x14ac:dyDescent="0.25">
      <c r="B1392" s="51"/>
      <c r="C1392" s="51"/>
      <c r="D1392" s="51"/>
      <c r="E1392" s="49"/>
      <c r="F1392" s="32"/>
      <c r="G1392" s="33"/>
      <c r="H1392" s="50"/>
    </row>
    <row r="1393" spans="2:8" s="52" customFormat="1" ht="50.1" hidden="1" customHeight="1" x14ac:dyDescent="0.25">
      <c r="B1393" s="51"/>
      <c r="C1393" s="51"/>
      <c r="D1393" s="51"/>
      <c r="E1393" s="49"/>
      <c r="F1393" s="32"/>
      <c r="G1393" s="33"/>
      <c r="H1393" s="50"/>
    </row>
    <row r="1394" spans="2:8" s="52" customFormat="1" ht="50.1" hidden="1" customHeight="1" x14ac:dyDescent="0.25">
      <c r="B1394" s="51"/>
      <c r="C1394" s="51"/>
      <c r="D1394" s="51"/>
      <c r="E1394" s="49"/>
      <c r="F1394" s="32"/>
      <c r="G1394" s="33"/>
      <c r="H1394" s="50"/>
    </row>
    <row r="1395" spans="2:8" s="52" customFormat="1" ht="50.1" hidden="1" customHeight="1" x14ac:dyDescent="0.25">
      <c r="B1395" s="51"/>
      <c r="C1395" s="51"/>
      <c r="D1395" s="51"/>
      <c r="E1395" s="49"/>
      <c r="F1395" s="32"/>
      <c r="G1395" s="33"/>
      <c r="H1395" s="50"/>
    </row>
    <row r="1396" spans="2:8" s="52" customFormat="1" ht="50.1" hidden="1" customHeight="1" x14ac:dyDescent="0.25">
      <c r="B1396" s="51"/>
      <c r="C1396" s="51"/>
      <c r="D1396" s="51"/>
      <c r="E1396" s="49"/>
      <c r="F1396" s="32"/>
      <c r="G1396" s="33"/>
      <c r="H1396" s="50"/>
    </row>
    <row r="1397" spans="2:8" s="52" customFormat="1" ht="50.1" hidden="1" customHeight="1" x14ac:dyDescent="0.25">
      <c r="B1397" s="51"/>
      <c r="C1397" s="51"/>
      <c r="D1397" s="51"/>
      <c r="E1397" s="49"/>
      <c r="F1397" s="32"/>
      <c r="G1397" s="33"/>
      <c r="H1397" s="50"/>
    </row>
    <row r="1398" spans="2:8" s="52" customFormat="1" ht="50.1" hidden="1" customHeight="1" x14ac:dyDescent="0.25">
      <c r="B1398" s="51"/>
      <c r="C1398" s="51"/>
      <c r="D1398" s="51"/>
      <c r="E1398" s="49"/>
      <c r="F1398" s="32"/>
      <c r="G1398" s="33"/>
      <c r="H1398" s="50"/>
    </row>
    <row r="1399" spans="2:8" s="52" customFormat="1" ht="50.1" hidden="1" customHeight="1" x14ac:dyDescent="0.25">
      <c r="B1399" s="51"/>
      <c r="C1399" s="51"/>
      <c r="D1399" s="51"/>
      <c r="E1399" s="49"/>
      <c r="F1399" s="32"/>
      <c r="G1399" s="33"/>
      <c r="H1399" s="50"/>
    </row>
    <row r="1400" spans="2:8" s="52" customFormat="1" ht="50.1" hidden="1" customHeight="1" x14ac:dyDescent="0.25">
      <c r="B1400" s="51"/>
      <c r="C1400" s="51"/>
      <c r="D1400" s="51"/>
      <c r="E1400" s="49"/>
      <c r="F1400" s="32"/>
      <c r="G1400" s="33"/>
      <c r="H1400" s="50"/>
    </row>
    <row r="1401" spans="2:8" s="52" customFormat="1" ht="50.1" hidden="1" customHeight="1" x14ac:dyDescent="0.25">
      <c r="B1401" s="51"/>
      <c r="C1401" s="51"/>
      <c r="D1401" s="51"/>
      <c r="E1401" s="49"/>
      <c r="F1401" s="32"/>
      <c r="G1401" s="33"/>
      <c r="H1401" s="50"/>
    </row>
    <row r="1402" spans="2:8" s="52" customFormat="1" ht="50.1" hidden="1" customHeight="1" x14ac:dyDescent="0.25">
      <c r="B1402" s="51"/>
      <c r="C1402" s="51"/>
      <c r="D1402" s="51"/>
      <c r="E1402" s="49"/>
      <c r="F1402" s="32"/>
      <c r="G1402" s="33"/>
      <c r="H1402" s="50"/>
    </row>
    <row r="1403" spans="2:8" s="52" customFormat="1" ht="50.1" hidden="1" customHeight="1" x14ac:dyDescent="0.25">
      <c r="B1403" s="51"/>
      <c r="C1403" s="51"/>
      <c r="D1403" s="51"/>
      <c r="E1403" s="49"/>
      <c r="F1403" s="32"/>
      <c r="G1403" s="33"/>
      <c r="H1403" s="50"/>
    </row>
    <row r="1404" spans="2:8" s="52" customFormat="1" ht="50.1" hidden="1" customHeight="1" x14ac:dyDescent="0.25">
      <c r="B1404" s="51"/>
      <c r="C1404" s="51"/>
      <c r="D1404" s="51"/>
      <c r="E1404" s="49"/>
      <c r="F1404" s="32"/>
      <c r="G1404" s="33"/>
      <c r="H1404" s="50"/>
    </row>
    <row r="1405" spans="2:8" s="52" customFormat="1" ht="50.1" hidden="1" customHeight="1" x14ac:dyDescent="0.25">
      <c r="B1405" s="51"/>
      <c r="C1405" s="51"/>
      <c r="D1405" s="51"/>
      <c r="E1405" s="49"/>
      <c r="F1405" s="32"/>
      <c r="G1405" s="33"/>
      <c r="H1405" s="50"/>
    </row>
    <row r="1406" spans="2:8" s="52" customFormat="1" ht="50.1" hidden="1" customHeight="1" x14ac:dyDescent="0.25">
      <c r="B1406" s="51"/>
      <c r="C1406" s="51"/>
      <c r="D1406" s="51"/>
      <c r="E1406" s="49"/>
      <c r="F1406" s="32"/>
      <c r="G1406" s="33"/>
      <c r="H1406" s="50"/>
    </row>
    <row r="1407" spans="2:8" s="52" customFormat="1" ht="50.1" hidden="1" customHeight="1" x14ac:dyDescent="0.25">
      <c r="B1407" s="51"/>
      <c r="C1407" s="51"/>
      <c r="D1407" s="51"/>
      <c r="E1407" s="49"/>
      <c r="F1407" s="32"/>
      <c r="G1407" s="33"/>
      <c r="H1407" s="50"/>
    </row>
    <row r="1408" spans="2:8" s="52" customFormat="1" ht="50.1" hidden="1" customHeight="1" x14ac:dyDescent="0.25">
      <c r="B1408" s="51"/>
      <c r="C1408" s="51"/>
      <c r="D1408" s="51"/>
      <c r="E1408" s="49"/>
      <c r="F1408" s="32"/>
      <c r="G1408" s="33"/>
      <c r="H1408" s="50"/>
    </row>
    <row r="1409" spans="2:8" s="52" customFormat="1" ht="50.1" hidden="1" customHeight="1" x14ac:dyDescent="0.25">
      <c r="B1409" s="51"/>
      <c r="C1409" s="51"/>
      <c r="D1409" s="51"/>
      <c r="E1409" s="49"/>
      <c r="F1409" s="32"/>
      <c r="G1409" s="33"/>
      <c r="H1409" s="50"/>
    </row>
    <row r="1410" spans="2:8" s="52" customFormat="1" ht="50.1" hidden="1" customHeight="1" x14ac:dyDescent="0.25">
      <c r="B1410" s="51"/>
      <c r="C1410" s="51"/>
      <c r="D1410" s="51"/>
      <c r="E1410" s="49"/>
      <c r="F1410" s="32"/>
      <c r="G1410" s="33"/>
      <c r="H1410" s="50"/>
    </row>
    <row r="1411" spans="2:8" s="52" customFormat="1" ht="50.1" hidden="1" customHeight="1" x14ac:dyDescent="0.25">
      <c r="B1411" s="51"/>
      <c r="C1411" s="51"/>
      <c r="D1411" s="51"/>
      <c r="E1411" s="49"/>
      <c r="F1411" s="32"/>
      <c r="G1411" s="33"/>
      <c r="H1411" s="50"/>
    </row>
    <row r="1412" spans="2:8" s="52" customFormat="1" ht="50.1" hidden="1" customHeight="1" x14ac:dyDescent="0.25">
      <c r="B1412" s="51"/>
      <c r="C1412" s="51"/>
      <c r="D1412" s="51"/>
      <c r="E1412" s="49"/>
      <c r="F1412" s="32"/>
      <c r="G1412" s="33"/>
      <c r="H1412" s="50"/>
    </row>
    <row r="1413" spans="2:8" s="52" customFormat="1" ht="50.1" hidden="1" customHeight="1" x14ac:dyDescent="0.25">
      <c r="B1413" s="51"/>
      <c r="C1413" s="51"/>
      <c r="D1413" s="51"/>
      <c r="E1413" s="49"/>
      <c r="F1413" s="32"/>
      <c r="G1413" s="33"/>
      <c r="H1413" s="50"/>
    </row>
    <row r="1414" spans="2:8" s="52" customFormat="1" ht="50.1" hidden="1" customHeight="1" x14ac:dyDescent="0.25">
      <c r="B1414" s="51"/>
      <c r="C1414" s="51"/>
      <c r="D1414" s="51"/>
      <c r="E1414" s="49"/>
      <c r="F1414" s="32"/>
      <c r="G1414" s="33"/>
      <c r="H1414" s="50"/>
    </row>
    <row r="1415" spans="2:8" s="52" customFormat="1" ht="50.1" hidden="1" customHeight="1" x14ac:dyDescent="0.25">
      <c r="B1415" s="51"/>
      <c r="C1415" s="51"/>
      <c r="D1415" s="51"/>
      <c r="E1415" s="49"/>
      <c r="F1415" s="32"/>
      <c r="G1415" s="33"/>
      <c r="H1415" s="50"/>
    </row>
    <row r="1416" spans="2:8" s="52" customFormat="1" ht="50.1" hidden="1" customHeight="1" x14ac:dyDescent="0.25">
      <c r="B1416" s="51"/>
      <c r="C1416" s="51"/>
      <c r="D1416" s="51"/>
      <c r="E1416" s="49"/>
      <c r="F1416" s="32"/>
      <c r="G1416" s="33"/>
      <c r="H1416" s="50"/>
    </row>
    <row r="1417" spans="2:8" s="52" customFormat="1" ht="50.1" hidden="1" customHeight="1" x14ac:dyDescent="0.25">
      <c r="B1417" s="51"/>
      <c r="C1417" s="51"/>
      <c r="D1417" s="51"/>
      <c r="E1417" s="49"/>
      <c r="F1417" s="32"/>
      <c r="G1417" s="33"/>
      <c r="H1417" s="50"/>
    </row>
    <row r="1418" spans="2:8" s="52" customFormat="1" ht="50.1" hidden="1" customHeight="1" x14ac:dyDescent="0.25">
      <c r="B1418" s="51"/>
      <c r="C1418" s="51"/>
      <c r="D1418" s="51"/>
      <c r="E1418" s="49"/>
      <c r="F1418" s="32"/>
      <c r="G1418" s="33"/>
      <c r="H1418" s="50"/>
    </row>
    <row r="1419" spans="2:8" s="52" customFormat="1" ht="50.1" hidden="1" customHeight="1" x14ac:dyDescent="0.25">
      <c r="B1419" s="51"/>
      <c r="C1419" s="51"/>
      <c r="D1419" s="51"/>
      <c r="E1419" s="49"/>
      <c r="F1419" s="32"/>
      <c r="G1419" s="33"/>
      <c r="H1419" s="50"/>
    </row>
    <row r="1420" spans="2:8" s="52" customFormat="1" ht="50.1" hidden="1" customHeight="1" x14ac:dyDescent="0.25">
      <c r="B1420" s="51"/>
      <c r="C1420" s="51"/>
      <c r="D1420" s="51"/>
      <c r="E1420" s="49"/>
      <c r="F1420" s="32"/>
      <c r="G1420" s="33"/>
      <c r="H1420" s="50"/>
    </row>
    <row r="1421" spans="2:8" s="52" customFormat="1" ht="50.1" hidden="1" customHeight="1" x14ac:dyDescent="0.25">
      <c r="B1421" s="51"/>
      <c r="C1421" s="51"/>
      <c r="D1421" s="51"/>
      <c r="E1421" s="49"/>
      <c r="F1421" s="32"/>
      <c r="G1421" s="33"/>
      <c r="H1421" s="50"/>
    </row>
    <row r="1422" spans="2:8" s="52" customFormat="1" ht="50.1" hidden="1" customHeight="1" x14ac:dyDescent="0.25">
      <c r="B1422" s="51"/>
      <c r="C1422" s="51"/>
      <c r="D1422" s="51"/>
      <c r="E1422" s="49"/>
      <c r="F1422" s="32"/>
      <c r="G1422" s="33"/>
      <c r="H1422" s="50"/>
    </row>
    <row r="1423" spans="2:8" s="52" customFormat="1" ht="50.1" hidden="1" customHeight="1" x14ac:dyDescent="0.25">
      <c r="B1423" s="51"/>
      <c r="C1423" s="51"/>
      <c r="D1423" s="51"/>
      <c r="E1423" s="49"/>
      <c r="F1423" s="32"/>
      <c r="G1423" s="33"/>
      <c r="H1423" s="50"/>
    </row>
    <row r="1424" spans="2:8" s="52" customFormat="1" ht="50.1" hidden="1" customHeight="1" x14ac:dyDescent="0.25">
      <c r="B1424" s="51"/>
      <c r="C1424" s="51"/>
      <c r="D1424" s="51"/>
      <c r="E1424" s="49"/>
      <c r="F1424" s="32"/>
      <c r="G1424" s="33"/>
      <c r="H1424" s="50"/>
    </row>
    <row r="1425" spans="2:8" s="52" customFormat="1" ht="50.1" hidden="1" customHeight="1" x14ac:dyDescent="0.25">
      <c r="B1425" s="51"/>
      <c r="C1425" s="51"/>
      <c r="D1425" s="51"/>
      <c r="E1425" s="49"/>
      <c r="F1425" s="32"/>
      <c r="G1425" s="33"/>
      <c r="H1425" s="50"/>
    </row>
    <row r="1426" spans="2:8" s="52" customFormat="1" ht="50.1" hidden="1" customHeight="1" x14ac:dyDescent="0.25">
      <c r="B1426" s="51"/>
      <c r="C1426" s="51"/>
      <c r="D1426" s="51"/>
      <c r="E1426" s="49"/>
      <c r="F1426" s="32"/>
      <c r="G1426" s="33"/>
      <c r="H1426" s="50"/>
    </row>
    <row r="1427" spans="2:8" s="52" customFormat="1" ht="50.1" hidden="1" customHeight="1" x14ac:dyDescent="0.25">
      <c r="B1427" s="51"/>
      <c r="C1427" s="51"/>
      <c r="D1427" s="51"/>
      <c r="E1427" s="49"/>
      <c r="F1427" s="32"/>
      <c r="G1427" s="33"/>
      <c r="H1427" s="50"/>
    </row>
    <row r="1428" spans="2:8" s="52" customFormat="1" ht="50.1" hidden="1" customHeight="1" x14ac:dyDescent="0.25">
      <c r="B1428" s="51"/>
      <c r="C1428" s="51"/>
      <c r="D1428" s="51"/>
      <c r="E1428" s="49"/>
      <c r="F1428" s="32"/>
      <c r="G1428" s="33"/>
      <c r="H1428" s="50"/>
    </row>
    <row r="1429" spans="2:8" s="52" customFormat="1" ht="50.1" hidden="1" customHeight="1" x14ac:dyDescent="0.25">
      <c r="B1429" s="51"/>
      <c r="C1429" s="51"/>
      <c r="D1429" s="51"/>
      <c r="E1429" s="49"/>
      <c r="F1429" s="32"/>
      <c r="G1429" s="33"/>
      <c r="H1429" s="50"/>
    </row>
    <row r="1430" spans="2:8" s="52" customFormat="1" ht="50.1" hidden="1" customHeight="1" x14ac:dyDescent="0.25">
      <c r="B1430" s="51"/>
      <c r="C1430" s="51"/>
      <c r="D1430" s="51"/>
      <c r="E1430" s="49"/>
      <c r="F1430" s="32"/>
      <c r="G1430" s="33"/>
      <c r="H1430" s="50"/>
    </row>
    <row r="1431" spans="2:8" s="52" customFormat="1" ht="50.1" hidden="1" customHeight="1" x14ac:dyDescent="0.25">
      <c r="B1431" s="51"/>
      <c r="C1431" s="51"/>
      <c r="D1431" s="51"/>
      <c r="E1431" s="49"/>
      <c r="F1431" s="32"/>
      <c r="G1431" s="33"/>
      <c r="H1431" s="50"/>
    </row>
    <row r="1432" spans="2:8" s="52" customFormat="1" ht="50.1" hidden="1" customHeight="1" x14ac:dyDescent="0.25">
      <c r="B1432" s="51"/>
      <c r="C1432" s="51"/>
      <c r="D1432" s="51"/>
      <c r="E1432" s="49"/>
      <c r="F1432" s="32"/>
      <c r="G1432" s="33"/>
      <c r="H1432" s="50"/>
    </row>
    <row r="1433" spans="2:8" s="52" customFormat="1" ht="50.1" hidden="1" customHeight="1" x14ac:dyDescent="0.25">
      <c r="B1433" s="51"/>
      <c r="C1433" s="51"/>
      <c r="D1433" s="51"/>
      <c r="E1433" s="49"/>
      <c r="F1433" s="32"/>
      <c r="G1433" s="33"/>
      <c r="H1433" s="50"/>
    </row>
    <row r="1434" spans="2:8" s="52" customFormat="1" ht="50.1" hidden="1" customHeight="1" x14ac:dyDescent="0.25">
      <c r="B1434" s="51"/>
      <c r="C1434" s="51"/>
      <c r="D1434" s="51"/>
      <c r="E1434" s="49"/>
      <c r="F1434" s="32"/>
      <c r="G1434" s="33"/>
      <c r="H1434" s="50"/>
    </row>
    <row r="1435" spans="2:8" s="52" customFormat="1" ht="50.1" hidden="1" customHeight="1" x14ac:dyDescent="0.25">
      <c r="B1435" s="51"/>
      <c r="C1435" s="51"/>
      <c r="D1435" s="51"/>
      <c r="E1435" s="49"/>
      <c r="F1435" s="32"/>
      <c r="G1435" s="33"/>
      <c r="H1435" s="50"/>
    </row>
    <row r="1436" spans="2:8" s="52" customFormat="1" ht="50.1" hidden="1" customHeight="1" x14ac:dyDescent="0.25">
      <c r="B1436" s="51"/>
      <c r="C1436" s="51"/>
      <c r="D1436" s="51"/>
      <c r="E1436" s="49"/>
      <c r="F1436" s="32"/>
      <c r="G1436" s="33"/>
      <c r="H1436" s="50"/>
    </row>
    <row r="1437" spans="2:8" s="52" customFormat="1" ht="50.1" hidden="1" customHeight="1" x14ac:dyDescent="0.25">
      <c r="B1437" s="51"/>
      <c r="C1437" s="51"/>
      <c r="D1437" s="51"/>
      <c r="E1437" s="49"/>
      <c r="F1437" s="32"/>
      <c r="G1437" s="33"/>
      <c r="H1437" s="50"/>
    </row>
    <row r="1438" spans="2:8" s="52" customFormat="1" ht="50.1" hidden="1" customHeight="1" x14ac:dyDescent="0.25">
      <c r="B1438" s="51"/>
      <c r="C1438" s="51"/>
      <c r="D1438" s="51"/>
      <c r="E1438" s="49"/>
      <c r="F1438" s="32"/>
      <c r="G1438" s="33"/>
      <c r="H1438" s="50"/>
    </row>
    <row r="1439" spans="2:8" s="52" customFormat="1" ht="50.1" hidden="1" customHeight="1" x14ac:dyDescent="0.25">
      <c r="B1439" s="51"/>
      <c r="C1439" s="51"/>
      <c r="D1439" s="51"/>
      <c r="E1439" s="49"/>
      <c r="F1439" s="32"/>
      <c r="G1439" s="33"/>
      <c r="H1439" s="50"/>
    </row>
    <row r="1440" spans="2:8" s="52" customFormat="1" ht="50.1" hidden="1" customHeight="1" x14ac:dyDescent="0.25">
      <c r="B1440" s="51"/>
      <c r="C1440" s="51"/>
      <c r="D1440" s="51"/>
      <c r="E1440" s="49"/>
      <c r="F1440" s="32"/>
      <c r="G1440" s="33"/>
      <c r="H1440" s="50"/>
    </row>
    <row r="1441" spans="2:8" s="52" customFormat="1" ht="50.1" hidden="1" customHeight="1" x14ac:dyDescent="0.25">
      <c r="B1441" s="51"/>
      <c r="C1441" s="51"/>
      <c r="D1441" s="51"/>
      <c r="E1441" s="49"/>
      <c r="F1441" s="32"/>
      <c r="G1441" s="33"/>
      <c r="H1441" s="50"/>
    </row>
    <row r="1442" spans="2:8" s="52" customFormat="1" ht="50.1" hidden="1" customHeight="1" x14ac:dyDescent="0.25">
      <c r="B1442" s="51"/>
      <c r="C1442" s="51"/>
      <c r="D1442" s="51"/>
      <c r="E1442" s="49"/>
      <c r="F1442" s="32"/>
      <c r="G1442" s="33"/>
      <c r="H1442" s="50"/>
    </row>
    <row r="1443" spans="2:8" s="52" customFormat="1" ht="50.1" hidden="1" customHeight="1" x14ac:dyDescent="0.25">
      <c r="B1443" s="51"/>
      <c r="C1443" s="51"/>
      <c r="D1443" s="51"/>
      <c r="E1443" s="49"/>
      <c r="F1443" s="32"/>
      <c r="G1443" s="33"/>
      <c r="H1443" s="50"/>
    </row>
    <row r="1444" spans="2:8" s="52" customFormat="1" ht="50.1" hidden="1" customHeight="1" x14ac:dyDescent="0.25">
      <c r="B1444" s="51"/>
      <c r="C1444" s="51"/>
      <c r="D1444" s="51"/>
      <c r="E1444" s="49"/>
      <c r="F1444" s="32"/>
      <c r="G1444" s="33"/>
      <c r="H1444" s="50"/>
    </row>
    <row r="1445" spans="2:8" s="52" customFormat="1" ht="50.1" hidden="1" customHeight="1" x14ac:dyDescent="0.25">
      <c r="B1445" s="51"/>
      <c r="C1445" s="51"/>
      <c r="D1445" s="51"/>
      <c r="E1445" s="49"/>
      <c r="F1445" s="32"/>
      <c r="G1445" s="33"/>
      <c r="H1445" s="50"/>
    </row>
    <row r="1446" spans="2:8" s="52" customFormat="1" ht="50.1" hidden="1" customHeight="1" x14ac:dyDescent="0.25">
      <c r="B1446" s="51"/>
      <c r="C1446" s="51"/>
      <c r="D1446" s="51"/>
      <c r="E1446" s="49"/>
      <c r="F1446" s="32"/>
      <c r="G1446" s="33"/>
      <c r="H1446" s="50"/>
    </row>
    <row r="1447" spans="2:8" s="52" customFormat="1" ht="50.1" hidden="1" customHeight="1" x14ac:dyDescent="0.25">
      <c r="B1447" s="51"/>
      <c r="C1447" s="51"/>
      <c r="D1447" s="51"/>
      <c r="E1447" s="49"/>
      <c r="F1447" s="32"/>
      <c r="G1447" s="33"/>
      <c r="H1447" s="50"/>
    </row>
    <row r="1448" spans="2:8" s="52" customFormat="1" ht="50.1" hidden="1" customHeight="1" x14ac:dyDescent="0.25">
      <c r="B1448" s="51"/>
      <c r="C1448" s="51"/>
      <c r="D1448" s="51"/>
      <c r="E1448" s="49"/>
      <c r="F1448" s="32"/>
      <c r="G1448" s="33"/>
      <c r="H1448" s="50"/>
    </row>
    <row r="1449" spans="2:8" s="52" customFormat="1" ht="50.1" hidden="1" customHeight="1" x14ac:dyDescent="0.25">
      <c r="B1449" s="51"/>
      <c r="C1449" s="51"/>
      <c r="D1449" s="51"/>
      <c r="E1449" s="49"/>
      <c r="F1449" s="32"/>
      <c r="G1449" s="33"/>
      <c r="H1449" s="50"/>
    </row>
    <row r="1450" spans="2:8" s="52" customFormat="1" ht="50.1" hidden="1" customHeight="1" x14ac:dyDescent="0.25">
      <c r="B1450" s="51"/>
      <c r="C1450" s="51"/>
      <c r="D1450" s="51"/>
      <c r="E1450" s="49"/>
      <c r="F1450" s="32"/>
      <c r="G1450" s="33"/>
      <c r="H1450" s="50"/>
    </row>
    <row r="1451" spans="2:8" s="52" customFormat="1" ht="50.1" hidden="1" customHeight="1" x14ac:dyDescent="0.25">
      <c r="B1451" s="51"/>
      <c r="C1451" s="51"/>
      <c r="D1451" s="51"/>
      <c r="E1451" s="49"/>
      <c r="F1451" s="32"/>
      <c r="G1451" s="33"/>
      <c r="H1451" s="50"/>
    </row>
    <row r="1452" spans="2:8" s="52" customFormat="1" ht="50.1" hidden="1" customHeight="1" x14ac:dyDescent="0.25">
      <c r="B1452" s="51"/>
      <c r="C1452" s="51"/>
      <c r="D1452" s="51"/>
      <c r="E1452" s="49"/>
      <c r="F1452" s="32"/>
      <c r="G1452" s="33"/>
      <c r="H1452" s="50"/>
    </row>
    <row r="1453" spans="2:8" s="52" customFormat="1" ht="50.1" hidden="1" customHeight="1" x14ac:dyDescent="0.25">
      <c r="B1453" s="51"/>
      <c r="C1453" s="51"/>
      <c r="D1453" s="51"/>
      <c r="E1453" s="49"/>
      <c r="F1453" s="32"/>
      <c r="G1453" s="33"/>
      <c r="H1453" s="50"/>
    </row>
    <row r="1454" spans="2:8" s="52" customFormat="1" ht="50.1" hidden="1" customHeight="1" x14ac:dyDescent="0.25">
      <c r="B1454" s="51"/>
      <c r="C1454" s="51"/>
      <c r="D1454" s="51"/>
      <c r="E1454" s="49"/>
      <c r="F1454" s="32"/>
      <c r="G1454" s="33"/>
      <c r="H1454" s="50"/>
    </row>
    <row r="1455" spans="2:8" s="52" customFormat="1" ht="50.1" hidden="1" customHeight="1" x14ac:dyDescent="0.25">
      <c r="B1455" s="51"/>
      <c r="C1455" s="51"/>
      <c r="D1455" s="51"/>
      <c r="E1455" s="49"/>
      <c r="F1455" s="32"/>
      <c r="G1455" s="33"/>
      <c r="H1455" s="50"/>
    </row>
    <row r="1456" spans="2:8" s="52" customFormat="1" ht="50.1" hidden="1" customHeight="1" x14ac:dyDescent="0.25">
      <c r="B1456" s="51"/>
      <c r="C1456" s="51"/>
      <c r="D1456" s="51"/>
      <c r="E1456" s="49"/>
      <c r="F1456" s="32"/>
      <c r="G1456" s="33"/>
      <c r="H1456" s="50"/>
    </row>
    <row r="1457" spans="2:8" s="52" customFormat="1" ht="50.1" hidden="1" customHeight="1" x14ac:dyDescent="0.25">
      <c r="B1457" s="51"/>
      <c r="C1457" s="51"/>
      <c r="D1457" s="51"/>
      <c r="E1457" s="49"/>
      <c r="F1457" s="32"/>
      <c r="G1457" s="33"/>
      <c r="H1457" s="50"/>
    </row>
    <row r="1458" spans="2:8" s="52" customFormat="1" ht="50.1" hidden="1" customHeight="1" x14ac:dyDescent="0.25">
      <c r="B1458" s="51"/>
      <c r="C1458" s="51"/>
      <c r="D1458" s="51"/>
      <c r="E1458" s="49"/>
      <c r="F1458" s="32"/>
      <c r="G1458" s="33"/>
      <c r="H1458" s="50"/>
    </row>
    <row r="1459" spans="2:8" s="52" customFormat="1" ht="50.1" hidden="1" customHeight="1" x14ac:dyDescent="0.25">
      <c r="B1459" s="51"/>
      <c r="C1459" s="51"/>
      <c r="D1459" s="51"/>
      <c r="E1459" s="49"/>
      <c r="F1459" s="32"/>
      <c r="G1459" s="33"/>
      <c r="H1459" s="50"/>
    </row>
    <row r="1460" spans="2:8" s="52" customFormat="1" ht="50.1" hidden="1" customHeight="1" x14ac:dyDescent="0.25">
      <c r="B1460" s="51"/>
      <c r="C1460" s="51"/>
      <c r="D1460" s="51"/>
      <c r="E1460" s="49"/>
      <c r="F1460" s="32"/>
      <c r="G1460" s="33"/>
      <c r="H1460" s="50"/>
    </row>
    <row r="1461" spans="2:8" s="52" customFormat="1" ht="50.1" hidden="1" customHeight="1" x14ac:dyDescent="0.25">
      <c r="B1461" s="51"/>
      <c r="C1461" s="51"/>
      <c r="D1461" s="51"/>
      <c r="E1461" s="49"/>
      <c r="F1461" s="32"/>
      <c r="G1461" s="33"/>
      <c r="H1461" s="50"/>
    </row>
    <row r="1462" spans="2:8" s="52" customFormat="1" ht="50.1" hidden="1" customHeight="1" x14ac:dyDescent="0.25">
      <c r="B1462" s="51"/>
      <c r="C1462" s="51"/>
      <c r="D1462" s="51"/>
      <c r="E1462" s="49"/>
      <c r="F1462" s="32"/>
      <c r="G1462" s="33"/>
      <c r="H1462" s="50"/>
    </row>
    <row r="1463" spans="2:8" s="52" customFormat="1" ht="50.1" hidden="1" customHeight="1" x14ac:dyDescent="0.25">
      <c r="B1463" s="51"/>
      <c r="C1463" s="51"/>
      <c r="D1463" s="51"/>
      <c r="E1463" s="49"/>
      <c r="F1463" s="32"/>
      <c r="G1463" s="33"/>
      <c r="H1463" s="50"/>
    </row>
    <row r="1464" spans="2:8" s="52" customFormat="1" ht="50.1" hidden="1" customHeight="1" x14ac:dyDescent="0.25">
      <c r="B1464" s="51"/>
      <c r="C1464" s="51"/>
      <c r="D1464" s="51"/>
      <c r="E1464" s="49"/>
      <c r="F1464" s="32"/>
      <c r="G1464" s="33"/>
      <c r="H1464" s="50"/>
    </row>
    <row r="1465" spans="2:8" s="52" customFormat="1" ht="50.1" hidden="1" customHeight="1" x14ac:dyDescent="0.25">
      <c r="B1465" s="51"/>
      <c r="C1465" s="51"/>
      <c r="D1465" s="51"/>
      <c r="E1465" s="49"/>
      <c r="F1465" s="32"/>
      <c r="G1465" s="33"/>
      <c r="H1465" s="50"/>
    </row>
    <row r="1466" spans="2:8" s="52" customFormat="1" ht="50.1" hidden="1" customHeight="1" x14ac:dyDescent="0.25">
      <c r="B1466" s="51"/>
      <c r="C1466" s="51"/>
      <c r="D1466" s="51"/>
      <c r="E1466" s="49"/>
      <c r="F1466" s="32"/>
      <c r="G1466" s="33"/>
      <c r="H1466" s="50"/>
    </row>
    <row r="1467" spans="2:8" s="52" customFormat="1" ht="50.1" hidden="1" customHeight="1" x14ac:dyDescent="0.25">
      <c r="B1467" s="51"/>
      <c r="C1467" s="51"/>
      <c r="D1467" s="51"/>
      <c r="E1467" s="49"/>
      <c r="F1467" s="32"/>
      <c r="G1467" s="33"/>
      <c r="H1467" s="50"/>
    </row>
    <row r="1468" spans="2:8" s="52" customFormat="1" ht="50.1" hidden="1" customHeight="1" x14ac:dyDescent="0.25">
      <c r="B1468" s="51"/>
      <c r="C1468" s="51"/>
      <c r="D1468" s="51"/>
      <c r="E1468" s="49"/>
      <c r="F1468" s="32"/>
      <c r="G1468" s="33"/>
      <c r="H1468" s="50"/>
    </row>
    <row r="1469" spans="2:8" s="52" customFormat="1" ht="50.1" hidden="1" customHeight="1" x14ac:dyDescent="0.25">
      <c r="B1469" s="51"/>
      <c r="C1469" s="51"/>
      <c r="D1469" s="51"/>
      <c r="E1469" s="49"/>
      <c r="F1469" s="32"/>
      <c r="G1469" s="33"/>
      <c r="H1469" s="50"/>
    </row>
    <row r="1470" spans="2:8" s="52" customFormat="1" ht="50.1" hidden="1" customHeight="1" x14ac:dyDescent="0.25">
      <c r="B1470" s="51"/>
      <c r="C1470" s="51"/>
      <c r="D1470" s="51"/>
      <c r="E1470" s="49"/>
      <c r="F1470" s="32"/>
      <c r="G1470" s="33"/>
      <c r="H1470" s="50"/>
    </row>
    <row r="1471" spans="2:8" s="52" customFormat="1" ht="50.1" hidden="1" customHeight="1" x14ac:dyDescent="0.25">
      <c r="B1471" s="51"/>
      <c r="C1471" s="51"/>
      <c r="D1471" s="51"/>
      <c r="E1471" s="49"/>
      <c r="F1471" s="32"/>
      <c r="G1471" s="33"/>
      <c r="H1471" s="50"/>
    </row>
    <row r="1472" spans="2:8" s="52" customFormat="1" ht="50.1" hidden="1" customHeight="1" x14ac:dyDescent="0.25">
      <c r="B1472" s="51"/>
      <c r="C1472" s="51"/>
      <c r="D1472" s="51"/>
      <c r="E1472" s="49"/>
      <c r="F1472" s="32"/>
      <c r="G1472" s="33"/>
      <c r="H1472" s="50"/>
    </row>
    <row r="1473" spans="2:8" s="52" customFormat="1" ht="50.1" hidden="1" customHeight="1" x14ac:dyDescent="0.25">
      <c r="B1473" s="51"/>
      <c r="C1473" s="51"/>
      <c r="D1473" s="51"/>
      <c r="E1473" s="49"/>
      <c r="F1473" s="32"/>
      <c r="G1473" s="33"/>
      <c r="H1473" s="50"/>
    </row>
    <row r="1474" spans="2:8" s="52" customFormat="1" ht="50.1" hidden="1" customHeight="1" x14ac:dyDescent="0.25">
      <c r="B1474" s="51"/>
      <c r="C1474" s="51"/>
      <c r="D1474" s="51"/>
      <c r="E1474" s="49"/>
      <c r="F1474" s="32"/>
      <c r="G1474" s="33"/>
      <c r="H1474" s="50"/>
    </row>
    <row r="1475" spans="2:8" s="52" customFormat="1" ht="50.1" hidden="1" customHeight="1" x14ac:dyDescent="0.25">
      <c r="B1475" s="51"/>
      <c r="C1475" s="51"/>
      <c r="D1475" s="51"/>
      <c r="E1475" s="49"/>
      <c r="F1475" s="32"/>
      <c r="G1475" s="33"/>
      <c r="H1475" s="50"/>
    </row>
    <row r="1476" spans="2:8" s="52" customFormat="1" ht="50.1" hidden="1" customHeight="1" x14ac:dyDescent="0.25">
      <c r="B1476" s="51"/>
      <c r="C1476" s="51"/>
      <c r="D1476" s="51"/>
      <c r="E1476" s="49"/>
      <c r="F1476" s="32"/>
      <c r="G1476" s="33"/>
      <c r="H1476" s="50"/>
    </row>
    <row r="1477" spans="2:8" s="52" customFormat="1" ht="50.1" hidden="1" customHeight="1" x14ac:dyDescent="0.25">
      <c r="B1477" s="51"/>
      <c r="C1477" s="51"/>
      <c r="D1477" s="51"/>
      <c r="E1477" s="49"/>
      <c r="F1477" s="32"/>
      <c r="G1477" s="33"/>
      <c r="H1477" s="50"/>
    </row>
    <row r="1478" spans="2:8" s="52" customFormat="1" ht="50.1" hidden="1" customHeight="1" x14ac:dyDescent="0.25">
      <c r="B1478" s="51"/>
      <c r="C1478" s="51"/>
      <c r="D1478" s="51"/>
      <c r="E1478" s="49"/>
      <c r="F1478" s="32"/>
      <c r="G1478" s="33"/>
      <c r="H1478" s="50"/>
    </row>
    <row r="1479" spans="2:8" s="52" customFormat="1" ht="50.1" hidden="1" customHeight="1" x14ac:dyDescent="0.25">
      <c r="B1479" s="51"/>
      <c r="C1479" s="51"/>
      <c r="D1479" s="51"/>
      <c r="E1479" s="49"/>
      <c r="F1479" s="32"/>
      <c r="G1479" s="33"/>
      <c r="H1479" s="50"/>
    </row>
    <row r="1480" spans="2:8" s="52" customFormat="1" ht="50.1" hidden="1" customHeight="1" x14ac:dyDescent="0.25">
      <c r="B1480" s="51"/>
      <c r="C1480" s="51"/>
      <c r="D1480" s="51"/>
      <c r="E1480" s="49"/>
      <c r="F1480" s="32"/>
      <c r="G1480" s="33"/>
      <c r="H1480" s="50"/>
    </row>
    <row r="1481" spans="2:8" s="52" customFormat="1" ht="50.1" hidden="1" customHeight="1" x14ac:dyDescent="0.25">
      <c r="B1481" s="51"/>
      <c r="C1481" s="51"/>
      <c r="D1481" s="51"/>
      <c r="E1481" s="49"/>
      <c r="F1481" s="32"/>
      <c r="G1481" s="33"/>
      <c r="H1481" s="50"/>
    </row>
    <row r="1482" spans="2:8" s="52" customFormat="1" ht="50.1" hidden="1" customHeight="1" x14ac:dyDescent="0.25">
      <c r="B1482" s="51"/>
      <c r="C1482" s="51"/>
      <c r="D1482" s="51"/>
      <c r="E1482" s="49"/>
      <c r="F1482" s="32"/>
      <c r="G1482" s="33"/>
      <c r="H1482" s="50"/>
    </row>
    <row r="1483" spans="2:8" s="52" customFormat="1" ht="50.1" hidden="1" customHeight="1" x14ac:dyDescent="0.25">
      <c r="B1483" s="51"/>
      <c r="C1483" s="51"/>
      <c r="D1483" s="51"/>
      <c r="E1483" s="49"/>
      <c r="F1483" s="32"/>
      <c r="G1483" s="33"/>
      <c r="H1483" s="50"/>
    </row>
    <row r="1484" spans="2:8" s="52" customFormat="1" ht="50.1" hidden="1" customHeight="1" x14ac:dyDescent="0.25">
      <c r="B1484" s="51"/>
      <c r="C1484" s="51"/>
      <c r="D1484" s="51"/>
      <c r="E1484" s="49"/>
      <c r="F1484" s="32"/>
      <c r="G1484" s="33"/>
      <c r="H1484" s="50"/>
    </row>
    <row r="1485" spans="2:8" s="52" customFormat="1" ht="50.1" hidden="1" customHeight="1" x14ac:dyDescent="0.25">
      <c r="B1485" s="51"/>
      <c r="C1485" s="51"/>
      <c r="D1485" s="51"/>
      <c r="E1485" s="49"/>
      <c r="F1485" s="32"/>
      <c r="G1485" s="33"/>
      <c r="H1485" s="50"/>
    </row>
    <row r="1486" spans="2:8" s="52" customFormat="1" ht="50.1" hidden="1" customHeight="1" x14ac:dyDescent="0.25">
      <c r="B1486" s="51"/>
      <c r="C1486" s="51"/>
      <c r="D1486" s="51"/>
      <c r="E1486" s="49"/>
      <c r="F1486" s="32"/>
      <c r="G1486" s="33"/>
      <c r="H1486" s="50"/>
    </row>
    <row r="1487" spans="2:8" s="52" customFormat="1" ht="50.1" hidden="1" customHeight="1" x14ac:dyDescent="0.25">
      <c r="B1487" s="51"/>
      <c r="C1487" s="51"/>
      <c r="D1487" s="51"/>
      <c r="E1487" s="49"/>
      <c r="F1487" s="32"/>
      <c r="G1487" s="33"/>
      <c r="H1487" s="50"/>
    </row>
    <row r="1488" spans="2:8" s="52" customFormat="1" ht="50.1" hidden="1" customHeight="1" x14ac:dyDescent="0.25">
      <c r="B1488" s="51"/>
      <c r="C1488" s="51"/>
      <c r="D1488" s="51"/>
      <c r="E1488" s="49"/>
      <c r="F1488" s="32"/>
      <c r="G1488" s="33"/>
      <c r="H1488" s="50"/>
    </row>
    <row r="1489" spans="2:8" s="52" customFormat="1" ht="50.1" hidden="1" customHeight="1" x14ac:dyDescent="0.25">
      <c r="B1489" s="51"/>
      <c r="C1489" s="51"/>
      <c r="D1489" s="51"/>
      <c r="E1489" s="49"/>
      <c r="F1489" s="32"/>
      <c r="G1489" s="33"/>
      <c r="H1489" s="50"/>
    </row>
    <row r="1490" spans="2:8" s="52" customFormat="1" ht="50.1" hidden="1" customHeight="1" x14ac:dyDescent="0.25">
      <c r="B1490" s="51"/>
      <c r="C1490" s="51"/>
      <c r="D1490" s="51"/>
      <c r="E1490" s="49"/>
      <c r="F1490" s="32"/>
      <c r="G1490" s="33"/>
      <c r="H1490" s="50"/>
    </row>
    <row r="1491" spans="2:8" s="52" customFormat="1" ht="50.1" hidden="1" customHeight="1" x14ac:dyDescent="0.25">
      <c r="B1491" s="51"/>
      <c r="C1491" s="51"/>
      <c r="D1491" s="51"/>
      <c r="E1491" s="49"/>
      <c r="F1491" s="32"/>
      <c r="G1491" s="33"/>
      <c r="H1491" s="50"/>
    </row>
    <row r="1492" spans="2:8" s="52" customFormat="1" ht="50.1" hidden="1" customHeight="1" x14ac:dyDescent="0.25">
      <c r="B1492" s="51"/>
      <c r="C1492" s="51"/>
      <c r="D1492" s="51"/>
      <c r="E1492" s="49"/>
      <c r="F1492" s="32"/>
      <c r="G1492" s="33"/>
      <c r="H1492" s="50"/>
    </row>
    <row r="1493" spans="2:8" s="52" customFormat="1" ht="50.1" hidden="1" customHeight="1" x14ac:dyDescent="0.25">
      <c r="B1493" s="51"/>
      <c r="C1493" s="51"/>
      <c r="D1493" s="51"/>
      <c r="E1493" s="49"/>
      <c r="F1493" s="32"/>
      <c r="G1493" s="33"/>
      <c r="H1493" s="50"/>
    </row>
    <row r="1494" spans="2:8" s="52" customFormat="1" ht="50.1" hidden="1" customHeight="1" x14ac:dyDescent="0.25">
      <c r="B1494" s="51"/>
      <c r="C1494" s="51"/>
      <c r="D1494" s="51"/>
      <c r="E1494" s="49"/>
      <c r="F1494" s="32"/>
      <c r="G1494" s="33"/>
      <c r="H1494" s="50"/>
    </row>
    <row r="1495" spans="2:8" s="52" customFormat="1" ht="50.1" hidden="1" customHeight="1" x14ac:dyDescent="0.25">
      <c r="B1495" s="51"/>
      <c r="C1495" s="51"/>
      <c r="D1495" s="51"/>
      <c r="E1495" s="49"/>
      <c r="F1495" s="32"/>
      <c r="G1495" s="33"/>
      <c r="H1495" s="50"/>
    </row>
    <row r="1496" spans="2:8" s="52" customFormat="1" ht="50.1" hidden="1" customHeight="1" x14ac:dyDescent="0.25">
      <c r="B1496" s="51"/>
      <c r="C1496" s="51"/>
      <c r="D1496" s="51"/>
      <c r="E1496" s="49"/>
      <c r="F1496" s="32"/>
      <c r="G1496" s="33"/>
      <c r="H1496" s="50"/>
    </row>
    <row r="1497" spans="2:8" s="52" customFormat="1" ht="50.1" hidden="1" customHeight="1" x14ac:dyDescent="0.25">
      <c r="B1497" s="51"/>
      <c r="C1497" s="51"/>
      <c r="D1497" s="51"/>
      <c r="E1497" s="49"/>
      <c r="F1497" s="32"/>
      <c r="G1497" s="33"/>
      <c r="H1497" s="50"/>
    </row>
    <row r="1498" spans="2:8" s="52" customFormat="1" ht="50.1" hidden="1" customHeight="1" x14ac:dyDescent="0.25">
      <c r="B1498" s="51"/>
      <c r="C1498" s="51"/>
      <c r="D1498" s="51"/>
      <c r="E1498" s="49"/>
      <c r="F1498" s="32"/>
      <c r="G1498" s="33"/>
      <c r="H1498" s="50"/>
    </row>
    <row r="1499" spans="2:8" s="52" customFormat="1" ht="50.1" hidden="1" customHeight="1" x14ac:dyDescent="0.25">
      <c r="B1499" s="51"/>
      <c r="C1499" s="51"/>
      <c r="D1499" s="51"/>
      <c r="E1499" s="49"/>
      <c r="F1499" s="32"/>
      <c r="G1499" s="33"/>
      <c r="H1499" s="50"/>
    </row>
    <row r="1500" spans="2:8" s="52" customFormat="1" ht="50.1" hidden="1" customHeight="1" x14ac:dyDescent="0.25">
      <c r="B1500" s="51"/>
      <c r="C1500" s="51"/>
      <c r="D1500" s="51"/>
      <c r="E1500" s="49"/>
      <c r="F1500" s="32"/>
      <c r="G1500" s="33"/>
      <c r="H1500" s="50"/>
    </row>
    <row r="1501" spans="2:8" s="52" customFormat="1" ht="50.1" hidden="1" customHeight="1" x14ac:dyDescent="0.25">
      <c r="B1501" s="51"/>
      <c r="C1501" s="51"/>
      <c r="D1501" s="51"/>
      <c r="E1501" s="49"/>
      <c r="F1501" s="32"/>
      <c r="G1501" s="33"/>
      <c r="H1501" s="50"/>
    </row>
    <row r="1502" spans="2:8" s="52" customFormat="1" ht="50.1" hidden="1" customHeight="1" x14ac:dyDescent="0.25">
      <c r="B1502" s="51"/>
      <c r="C1502" s="51"/>
      <c r="D1502" s="51"/>
      <c r="E1502" s="49"/>
      <c r="F1502" s="32"/>
      <c r="G1502" s="33"/>
      <c r="H1502" s="50"/>
    </row>
    <row r="1503" spans="2:8" s="52" customFormat="1" ht="50.1" hidden="1" customHeight="1" x14ac:dyDescent="0.25">
      <c r="B1503" s="51"/>
      <c r="C1503" s="51"/>
      <c r="D1503" s="51"/>
      <c r="E1503" s="49"/>
      <c r="F1503" s="32"/>
      <c r="G1503" s="33"/>
      <c r="H1503" s="50"/>
    </row>
    <row r="1504" spans="2:8" s="52" customFormat="1" ht="50.1" hidden="1" customHeight="1" x14ac:dyDescent="0.25">
      <c r="B1504" s="51"/>
      <c r="C1504" s="51"/>
      <c r="D1504" s="51"/>
      <c r="E1504" s="49"/>
      <c r="F1504" s="32"/>
      <c r="G1504" s="33"/>
      <c r="H1504" s="50"/>
    </row>
    <row r="1505" spans="2:8" s="52" customFormat="1" ht="50.1" hidden="1" customHeight="1" x14ac:dyDescent="0.25">
      <c r="B1505" s="51"/>
      <c r="C1505" s="51"/>
      <c r="D1505" s="51"/>
      <c r="E1505" s="49"/>
      <c r="F1505" s="32"/>
      <c r="G1505" s="33"/>
      <c r="H1505" s="50"/>
    </row>
    <row r="1506" spans="2:8" s="52" customFormat="1" ht="50.1" hidden="1" customHeight="1" x14ac:dyDescent="0.25">
      <c r="B1506" s="51"/>
      <c r="C1506" s="51"/>
      <c r="D1506" s="51"/>
      <c r="E1506" s="49"/>
      <c r="F1506" s="32"/>
      <c r="G1506" s="33"/>
      <c r="H1506" s="50"/>
    </row>
    <row r="1507" spans="2:8" s="52" customFormat="1" ht="50.1" hidden="1" customHeight="1" x14ac:dyDescent="0.25">
      <c r="B1507" s="51"/>
      <c r="C1507" s="51"/>
      <c r="D1507" s="51"/>
      <c r="E1507" s="49"/>
      <c r="F1507" s="32"/>
      <c r="G1507" s="33"/>
      <c r="H1507" s="50"/>
    </row>
    <row r="1508" spans="2:8" s="52" customFormat="1" ht="50.1" hidden="1" customHeight="1" x14ac:dyDescent="0.25">
      <c r="B1508" s="51"/>
      <c r="C1508" s="51"/>
      <c r="D1508" s="51"/>
      <c r="E1508" s="49"/>
      <c r="F1508" s="32"/>
      <c r="G1508" s="33"/>
      <c r="H1508" s="50"/>
    </row>
    <row r="1509" spans="2:8" s="52" customFormat="1" ht="50.1" hidden="1" customHeight="1" x14ac:dyDescent="0.25">
      <c r="B1509" s="51"/>
      <c r="C1509" s="51"/>
      <c r="D1509" s="51"/>
      <c r="E1509" s="49"/>
      <c r="F1509" s="32"/>
      <c r="G1509" s="33"/>
      <c r="H1509" s="50"/>
    </row>
    <row r="1510" spans="2:8" s="52" customFormat="1" ht="50.1" hidden="1" customHeight="1" x14ac:dyDescent="0.25">
      <c r="B1510" s="51"/>
      <c r="C1510" s="51"/>
      <c r="D1510" s="51"/>
      <c r="E1510" s="49"/>
      <c r="F1510" s="32"/>
      <c r="G1510" s="33"/>
      <c r="H1510" s="50"/>
    </row>
    <row r="1511" spans="2:8" s="52" customFormat="1" ht="50.1" hidden="1" customHeight="1" x14ac:dyDescent="0.25">
      <c r="B1511" s="51"/>
      <c r="C1511" s="51"/>
      <c r="D1511" s="51"/>
      <c r="E1511" s="49"/>
      <c r="F1511" s="32"/>
      <c r="G1511" s="33"/>
      <c r="H1511" s="50"/>
    </row>
    <row r="1512" spans="2:8" s="52" customFormat="1" ht="50.1" hidden="1" customHeight="1" x14ac:dyDescent="0.25">
      <c r="B1512" s="51"/>
      <c r="C1512" s="51"/>
      <c r="D1512" s="51"/>
      <c r="E1512" s="49"/>
      <c r="F1512" s="32"/>
      <c r="G1512" s="33"/>
      <c r="H1512" s="50"/>
    </row>
    <row r="1513" spans="2:8" s="52" customFormat="1" ht="50.1" hidden="1" customHeight="1" x14ac:dyDescent="0.25">
      <c r="B1513" s="51"/>
      <c r="C1513" s="51"/>
      <c r="D1513" s="51"/>
      <c r="E1513" s="49"/>
      <c r="F1513" s="32"/>
      <c r="G1513" s="33"/>
      <c r="H1513" s="50"/>
    </row>
    <row r="1514" spans="2:8" s="52" customFormat="1" ht="50.1" hidden="1" customHeight="1" x14ac:dyDescent="0.25">
      <c r="B1514" s="51"/>
      <c r="C1514" s="51"/>
      <c r="D1514" s="51"/>
      <c r="E1514" s="49"/>
      <c r="F1514" s="32"/>
      <c r="G1514" s="33"/>
      <c r="H1514" s="50"/>
    </row>
    <row r="1515" spans="2:8" s="52" customFormat="1" ht="50.1" hidden="1" customHeight="1" x14ac:dyDescent="0.25">
      <c r="B1515" s="51"/>
      <c r="C1515" s="51"/>
      <c r="D1515" s="51"/>
      <c r="E1515" s="49"/>
      <c r="F1515" s="32"/>
      <c r="G1515" s="33"/>
      <c r="H1515" s="50"/>
    </row>
    <row r="1516" spans="2:8" s="52" customFormat="1" ht="50.1" hidden="1" customHeight="1" x14ac:dyDescent="0.25">
      <c r="B1516" s="51"/>
      <c r="C1516" s="51"/>
      <c r="D1516" s="51"/>
      <c r="E1516" s="49"/>
      <c r="F1516" s="32"/>
      <c r="G1516" s="33"/>
      <c r="H1516" s="50"/>
    </row>
    <row r="1517" spans="2:8" s="52" customFormat="1" ht="50.1" hidden="1" customHeight="1" x14ac:dyDescent="0.25">
      <c r="B1517" s="51"/>
      <c r="C1517" s="51"/>
      <c r="D1517" s="51"/>
      <c r="E1517" s="49"/>
      <c r="F1517" s="32"/>
      <c r="G1517" s="33"/>
      <c r="H1517" s="50"/>
    </row>
    <row r="1518" spans="2:8" s="52" customFormat="1" ht="50.1" hidden="1" customHeight="1" x14ac:dyDescent="0.25">
      <c r="B1518" s="51"/>
      <c r="C1518" s="51"/>
      <c r="D1518" s="51"/>
      <c r="E1518" s="49"/>
      <c r="F1518" s="32"/>
      <c r="G1518" s="33"/>
      <c r="H1518" s="50"/>
    </row>
    <row r="1519" spans="2:8" s="52" customFormat="1" ht="50.1" hidden="1" customHeight="1" x14ac:dyDescent="0.25">
      <c r="B1519" s="51"/>
      <c r="C1519" s="51"/>
      <c r="D1519" s="51"/>
      <c r="E1519" s="49"/>
      <c r="F1519" s="32"/>
      <c r="G1519" s="33"/>
      <c r="H1519" s="50"/>
    </row>
    <row r="1520" spans="2:8" s="52" customFormat="1" ht="50.1" hidden="1" customHeight="1" x14ac:dyDescent="0.25">
      <c r="B1520" s="51"/>
      <c r="C1520" s="51"/>
      <c r="D1520" s="51"/>
      <c r="E1520" s="49"/>
      <c r="F1520" s="32"/>
      <c r="G1520" s="33"/>
      <c r="H1520" s="50"/>
    </row>
    <row r="1521" spans="2:8" s="52" customFormat="1" ht="50.1" hidden="1" customHeight="1" x14ac:dyDescent="0.25">
      <c r="B1521" s="51"/>
      <c r="C1521" s="51"/>
      <c r="D1521" s="51"/>
      <c r="E1521" s="49"/>
      <c r="F1521" s="32"/>
      <c r="G1521" s="33"/>
      <c r="H1521" s="50"/>
    </row>
    <row r="1522" spans="2:8" s="52" customFormat="1" ht="50.1" hidden="1" customHeight="1" x14ac:dyDescent="0.25">
      <c r="B1522" s="51"/>
      <c r="C1522" s="51"/>
      <c r="D1522" s="51"/>
      <c r="E1522" s="49"/>
      <c r="F1522" s="32"/>
      <c r="G1522" s="33"/>
      <c r="H1522" s="50"/>
    </row>
    <row r="1523" spans="2:8" s="52" customFormat="1" ht="50.1" hidden="1" customHeight="1" x14ac:dyDescent="0.25">
      <c r="B1523" s="51"/>
      <c r="C1523" s="51"/>
      <c r="D1523" s="51"/>
      <c r="E1523" s="49"/>
      <c r="F1523" s="32"/>
      <c r="G1523" s="33"/>
      <c r="H1523" s="50"/>
    </row>
    <row r="1524" spans="2:8" s="52" customFormat="1" ht="50.1" hidden="1" customHeight="1" x14ac:dyDescent="0.25">
      <c r="B1524" s="51"/>
      <c r="C1524" s="51"/>
      <c r="D1524" s="51"/>
      <c r="E1524" s="49"/>
      <c r="F1524" s="32"/>
      <c r="G1524" s="33"/>
      <c r="H1524" s="50"/>
    </row>
    <row r="1525" spans="2:8" s="52" customFormat="1" ht="50.1" hidden="1" customHeight="1" x14ac:dyDescent="0.25">
      <c r="B1525" s="51"/>
      <c r="C1525" s="51"/>
      <c r="D1525" s="51"/>
      <c r="E1525" s="49"/>
      <c r="F1525" s="32"/>
      <c r="G1525" s="33"/>
      <c r="H1525" s="50"/>
    </row>
    <row r="1526" spans="2:8" s="52" customFormat="1" ht="50.1" hidden="1" customHeight="1" x14ac:dyDescent="0.25">
      <c r="B1526" s="51"/>
      <c r="C1526" s="51"/>
      <c r="D1526" s="51"/>
      <c r="E1526" s="49"/>
      <c r="F1526" s="32"/>
      <c r="G1526" s="33"/>
      <c r="H1526" s="50"/>
    </row>
    <row r="1527" spans="2:8" s="52" customFormat="1" ht="50.1" hidden="1" customHeight="1" x14ac:dyDescent="0.25">
      <c r="B1527" s="51"/>
      <c r="C1527" s="51"/>
      <c r="D1527" s="51"/>
      <c r="E1527" s="49"/>
      <c r="F1527" s="32"/>
      <c r="G1527" s="33"/>
      <c r="H1527" s="50"/>
    </row>
    <row r="1528" spans="2:8" s="52" customFormat="1" ht="50.1" hidden="1" customHeight="1" x14ac:dyDescent="0.25">
      <c r="B1528" s="51"/>
      <c r="C1528" s="51"/>
      <c r="D1528" s="51"/>
      <c r="E1528" s="49"/>
      <c r="F1528" s="32"/>
      <c r="G1528" s="33"/>
      <c r="H1528" s="50"/>
    </row>
    <row r="1529" spans="2:8" s="52" customFormat="1" ht="50.1" hidden="1" customHeight="1" x14ac:dyDescent="0.25">
      <c r="B1529" s="51"/>
      <c r="C1529" s="51"/>
      <c r="D1529" s="51"/>
      <c r="E1529" s="49"/>
      <c r="F1529" s="32"/>
      <c r="G1529" s="33"/>
      <c r="H1529" s="50"/>
    </row>
    <row r="1530" spans="2:8" s="52" customFormat="1" ht="50.1" hidden="1" customHeight="1" x14ac:dyDescent="0.25">
      <c r="B1530" s="51"/>
      <c r="C1530" s="51"/>
      <c r="D1530" s="51"/>
      <c r="E1530" s="49"/>
      <c r="F1530" s="32"/>
      <c r="G1530" s="33"/>
      <c r="H1530" s="50"/>
    </row>
    <row r="1531" spans="2:8" s="52" customFormat="1" ht="50.1" hidden="1" customHeight="1" x14ac:dyDescent="0.25">
      <c r="B1531" s="51"/>
      <c r="C1531" s="51"/>
      <c r="D1531" s="51"/>
      <c r="E1531" s="49"/>
      <c r="F1531" s="32"/>
      <c r="G1531" s="33"/>
      <c r="H1531" s="50"/>
    </row>
    <row r="1532" spans="2:8" s="52" customFormat="1" ht="50.1" hidden="1" customHeight="1" x14ac:dyDescent="0.25">
      <c r="B1532" s="51"/>
      <c r="C1532" s="51"/>
      <c r="D1532" s="51"/>
      <c r="E1532" s="49"/>
      <c r="F1532" s="32"/>
      <c r="G1532" s="33"/>
      <c r="H1532" s="50"/>
    </row>
    <row r="1533" spans="2:8" s="52" customFormat="1" ht="50.1" hidden="1" customHeight="1" x14ac:dyDescent="0.25">
      <c r="B1533" s="51"/>
      <c r="C1533" s="51"/>
      <c r="D1533" s="51"/>
      <c r="E1533" s="49"/>
      <c r="F1533" s="32"/>
      <c r="G1533" s="33"/>
      <c r="H1533" s="50"/>
    </row>
    <row r="1534" spans="2:8" s="52" customFormat="1" ht="50.1" hidden="1" customHeight="1" x14ac:dyDescent="0.25">
      <c r="B1534" s="51"/>
      <c r="C1534" s="51"/>
      <c r="D1534" s="51"/>
      <c r="E1534" s="49"/>
      <c r="F1534" s="32"/>
      <c r="G1534" s="33"/>
      <c r="H1534" s="50"/>
    </row>
    <row r="1535" spans="2:8" s="52" customFormat="1" ht="50.1" hidden="1" customHeight="1" x14ac:dyDescent="0.25">
      <c r="B1535" s="51"/>
      <c r="C1535" s="51"/>
      <c r="D1535" s="51"/>
      <c r="E1535" s="49"/>
      <c r="F1535" s="32"/>
      <c r="G1535" s="33"/>
      <c r="H1535" s="50"/>
    </row>
    <row r="1536" spans="2:8" s="52" customFormat="1" ht="50.1" hidden="1" customHeight="1" x14ac:dyDescent="0.25">
      <c r="B1536" s="51"/>
      <c r="C1536" s="51"/>
      <c r="D1536" s="51"/>
      <c r="E1536" s="49"/>
      <c r="F1536" s="32"/>
      <c r="G1536" s="33"/>
      <c r="H1536" s="50"/>
    </row>
    <row r="1537" spans="1:11" s="52" customFormat="1" ht="50.1" hidden="1" customHeight="1" x14ac:dyDescent="0.25">
      <c r="B1537" s="51"/>
      <c r="C1537" s="51"/>
      <c r="D1537" s="51"/>
      <c r="E1537" s="49"/>
      <c r="F1537" s="32"/>
      <c r="G1537" s="33"/>
      <c r="H1537" s="50"/>
    </row>
    <row r="1538" spans="1:11" ht="50.1" hidden="1" customHeight="1" x14ac:dyDescent="0.25">
      <c r="A1538" s="52"/>
      <c r="B1538" s="51"/>
      <c r="C1538" s="51"/>
      <c r="D1538" s="51"/>
      <c r="E1538" s="49"/>
      <c r="F1538" s="32"/>
      <c r="G1538" s="33"/>
      <c r="H1538" s="50"/>
      <c r="I1538" s="52"/>
      <c r="J1538" s="52"/>
      <c r="K1538" s="52"/>
    </row>
    <row r="1539" spans="1:11" ht="50.1" hidden="1" customHeight="1" x14ac:dyDescent="0.25">
      <c r="A1539" s="52"/>
      <c r="B1539" s="51"/>
      <c r="C1539" s="51"/>
      <c r="D1539" s="51"/>
      <c r="E1539" s="49"/>
      <c r="F1539" s="32"/>
      <c r="G1539" s="33"/>
      <c r="H1539" s="50"/>
      <c r="I1539" s="52"/>
      <c r="J1539" s="52"/>
      <c r="K1539" s="52"/>
    </row>
    <row r="1540" spans="1:11" ht="50.1" hidden="1" customHeight="1" x14ac:dyDescent="0.25">
      <c r="A1540" s="52"/>
      <c r="B1540" s="51"/>
      <c r="C1540" s="51"/>
      <c r="D1540" s="51"/>
      <c r="E1540" s="49"/>
      <c r="F1540" s="32"/>
      <c r="G1540" s="33"/>
      <c r="H1540" s="50"/>
      <c r="I1540" s="52"/>
      <c r="J1540" s="52"/>
      <c r="K1540" s="52"/>
    </row>
    <row r="1541" spans="1:11" ht="50.1" hidden="1" customHeight="1" x14ac:dyDescent="0.25">
      <c r="A1541" s="52"/>
      <c r="B1541" s="51"/>
      <c r="C1541" s="51"/>
      <c r="D1541" s="51"/>
      <c r="E1541" s="49"/>
      <c r="F1541" s="32"/>
      <c r="G1541" s="33"/>
      <c r="H1541" s="50"/>
      <c r="I1541" s="52"/>
      <c r="J1541" s="52"/>
      <c r="K1541" s="52"/>
    </row>
    <row r="1542" spans="1:11" ht="50.1" hidden="1" customHeight="1" x14ac:dyDescent="0.25">
      <c r="A1542" s="52"/>
      <c r="B1542" s="51"/>
      <c r="C1542" s="51"/>
      <c r="D1542" s="51"/>
      <c r="E1542" s="49"/>
      <c r="F1542" s="32"/>
      <c r="G1542" s="33"/>
      <c r="H1542" s="50"/>
      <c r="I1542" s="52"/>
      <c r="J1542" s="52"/>
      <c r="K1542" s="52"/>
    </row>
    <row r="1543" spans="1:11" ht="50.1" hidden="1" customHeight="1" x14ac:dyDescent="0.25">
      <c r="A1543" s="52"/>
      <c r="B1543" s="51"/>
      <c r="C1543" s="51"/>
      <c r="D1543" s="51"/>
      <c r="E1543" s="49"/>
      <c r="F1543" s="32"/>
      <c r="G1543" s="33"/>
      <c r="H1543" s="50"/>
      <c r="I1543" s="52"/>
      <c r="J1543" s="52"/>
      <c r="K1543" s="52"/>
    </row>
    <row r="1544" spans="1:11" ht="15" customHeight="1" x14ac:dyDescent="0.25">
      <c r="A1544" s="52"/>
      <c r="B1544" s="51"/>
      <c r="C1544" s="51"/>
      <c r="D1544" s="51"/>
      <c r="E1544" s="49"/>
      <c r="F1544" s="32"/>
      <c r="G1544" s="33"/>
      <c r="H1544" s="50"/>
      <c r="I1544" s="52"/>
      <c r="J1544" s="52"/>
      <c r="K1544" s="52"/>
    </row>
    <row r="1545" spans="1:11" ht="9" customHeight="1" x14ac:dyDescent="0.25"/>
    <row r="1546" spans="1:11" ht="36" x14ac:dyDescent="0.25">
      <c r="E1546" s="55" t="s">
        <v>1361</v>
      </c>
      <c r="F1546" s="43" t="s">
        <v>3</v>
      </c>
      <c r="G1546" s="36" t="s">
        <v>1362</v>
      </c>
      <c r="H1546" s="55" t="s">
        <v>1363</v>
      </c>
    </row>
    <row r="1547" spans="1:11" x14ac:dyDescent="0.3">
      <c r="E1547" s="56" t="s">
        <v>3363</v>
      </c>
      <c r="F1547" s="44"/>
      <c r="G1547" s="41"/>
      <c r="H1547" s="57"/>
      <c r="J1547" s="198"/>
    </row>
    <row r="1548" spans="1:11" x14ac:dyDescent="0.3">
      <c r="E1548" s="56" t="s">
        <v>2230</v>
      </c>
      <c r="F1548" s="44" t="s">
        <v>3350</v>
      </c>
      <c r="G1548" s="41">
        <v>89</v>
      </c>
      <c r="H1548" s="57">
        <f>G1548*5232</f>
        <v>465648</v>
      </c>
      <c r="J1548" s="198"/>
    </row>
    <row r="1549" spans="1:11" x14ac:dyDescent="0.3">
      <c r="E1549" s="56"/>
      <c r="F1549" s="44" t="s">
        <v>3351</v>
      </c>
      <c r="G1549" s="41">
        <v>60</v>
      </c>
      <c r="H1549" s="57">
        <f t="shared" ref="H1549:H1563" si="0">G1549*5232</f>
        <v>313920</v>
      </c>
      <c r="J1549" s="198"/>
    </row>
    <row r="1550" spans="1:11" x14ac:dyDescent="0.3">
      <c r="E1550" s="56"/>
      <c r="F1550" s="44" t="s">
        <v>3352</v>
      </c>
      <c r="G1550" s="41">
        <v>38</v>
      </c>
      <c r="H1550" s="57">
        <f t="shared" si="0"/>
        <v>198816</v>
      </c>
      <c r="J1550" s="198"/>
    </row>
    <row r="1551" spans="1:11" x14ac:dyDescent="0.3">
      <c r="E1551" s="56"/>
      <c r="F1551" s="44" t="s">
        <v>3375</v>
      </c>
      <c r="G1551" s="41">
        <v>35</v>
      </c>
      <c r="H1551" s="57">
        <f t="shared" si="0"/>
        <v>183120</v>
      </c>
      <c r="J1551" s="198"/>
    </row>
    <row r="1552" spans="1:11" x14ac:dyDescent="0.3">
      <c r="E1552" s="56"/>
      <c r="F1552" s="44" t="s">
        <v>3353</v>
      </c>
      <c r="G1552" s="41">
        <v>17</v>
      </c>
      <c r="H1552" s="57">
        <f t="shared" si="0"/>
        <v>88944</v>
      </c>
      <c r="J1552" s="198"/>
    </row>
    <row r="1553" spans="5:10" ht="36" x14ac:dyDescent="0.3">
      <c r="E1553" s="56"/>
      <c r="F1553" s="44" t="s">
        <v>3376</v>
      </c>
      <c r="G1553" s="41">
        <v>133</v>
      </c>
      <c r="H1553" s="57">
        <f t="shared" si="0"/>
        <v>695856</v>
      </c>
      <c r="J1553" s="198"/>
    </row>
    <row r="1554" spans="5:10" x14ac:dyDescent="0.3">
      <c r="E1554" s="56"/>
      <c r="F1554" s="44" t="s">
        <v>3355</v>
      </c>
      <c r="G1554" s="41">
        <v>38</v>
      </c>
      <c r="H1554" s="57">
        <f t="shared" si="0"/>
        <v>198816</v>
      </c>
      <c r="J1554" s="198"/>
    </row>
    <row r="1555" spans="5:10" x14ac:dyDescent="0.3">
      <c r="E1555" s="56"/>
      <c r="F1555" s="44" t="s">
        <v>3356</v>
      </c>
      <c r="G1555" s="41">
        <v>86</v>
      </c>
      <c r="H1555" s="57">
        <f t="shared" si="0"/>
        <v>449952</v>
      </c>
      <c r="J1555" s="198"/>
    </row>
    <row r="1556" spans="5:10" x14ac:dyDescent="0.3">
      <c r="E1556" s="56"/>
      <c r="F1556" s="44" t="s">
        <v>3357</v>
      </c>
      <c r="G1556" s="41">
        <v>27</v>
      </c>
      <c r="H1556" s="57">
        <f t="shared" si="0"/>
        <v>141264</v>
      </c>
      <c r="J1556" s="198"/>
    </row>
    <row r="1557" spans="5:10" x14ac:dyDescent="0.3">
      <c r="E1557" s="56"/>
      <c r="F1557" s="44" t="s">
        <v>3358</v>
      </c>
      <c r="G1557" s="41">
        <v>14</v>
      </c>
      <c r="H1557" s="57">
        <f t="shared" si="0"/>
        <v>73248</v>
      </c>
      <c r="J1557" s="198"/>
    </row>
    <row r="1558" spans="5:10" x14ac:dyDescent="0.3">
      <c r="E1558" s="56"/>
      <c r="F1558" s="44" t="s">
        <v>3359</v>
      </c>
      <c r="G1558" s="41">
        <v>123</v>
      </c>
      <c r="H1558" s="57">
        <f t="shared" si="0"/>
        <v>643536</v>
      </c>
      <c r="J1558" s="198"/>
    </row>
    <row r="1559" spans="5:10" x14ac:dyDescent="0.3">
      <c r="E1559" s="56"/>
      <c r="F1559" s="44" t="s">
        <v>977</v>
      </c>
      <c r="G1559" s="41">
        <v>8</v>
      </c>
      <c r="H1559" s="57">
        <f t="shared" si="0"/>
        <v>41856</v>
      </c>
      <c r="J1559" s="198"/>
    </row>
    <row r="1560" spans="5:10" x14ac:dyDescent="0.3">
      <c r="E1560" s="56"/>
      <c r="F1560" s="44" t="s">
        <v>3360</v>
      </c>
      <c r="G1560" s="41">
        <v>30</v>
      </c>
      <c r="H1560" s="57">
        <f t="shared" si="0"/>
        <v>156960</v>
      </c>
      <c r="J1560" s="198"/>
    </row>
    <row r="1561" spans="5:10" x14ac:dyDescent="0.3">
      <c r="E1561" s="56"/>
      <c r="F1561" s="44" t="s">
        <v>3361</v>
      </c>
      <c r="G1561" s="41">
        <v>275</v>
      </c>
      <c r="H1561" s="57">
        <f t="shared" si="0"/>
        <v>1438800</v>
      </c>
      <c r="J1561" s="198"/>
    </row>
    <row r="1562" spans="5:10" x14ac:dyDescent="0.3">
      <c r="E1562" s="56"/>
      <c r="F1562" s="44" t="s">
        <v>2228</v>
      </c>
      <c r="G1562" s="41">
        <v>80</v>
      </c>
      <c r="H1562" s="57">
        <f t="shared" si="0"/>
        <v>418560</v>
      </c>
      <c r="J1562" s="198"/>
    </row>
    <row r="1563" spans="5:10" x14ac:dyDescent="0.3">
      <c r="E1563" s="56"/>
      <c r="F1563" s="44" t="s">
        <v>3362</v>
      </c>
      <c r="G1563" s="41">
        <v>64</v>
      </c>
      <c r="H1563" s="57">
        <f t="shared" si="0"/>
        <v>334848</v>
      </c>
      <c r="J1563" s="198"/>
    </row>
    <row r="1564" spans="5:10" x14ac:dyDescent="0.3">
      <c r="E1564" s="56" t="s">
        <v>2231</v>
      </c>
      <c r="F1564" s="44" t="s">
        <v>3350</v>
      </c>
      <c r="G1564" s="41">
        <v>1</v>
      </c>
      <c r="H1564" s="57">
        <f>G1564*10137</f>
        <v>10137</v>
      </c>
      <c r="J1564" s="198"/>
    </row>
    <row r="1565" spans="5:10" x14ac:dyDescent="0.3">
      <c r="E1565" s="56"/>
      <c r="F1565" s="44" t="s">
        <v>3351</v>
      </c>
      <c r="G1565" s="41">
        <v>1</v>
      </c>
      <c r="H1565" s="57">
        <f t="shared" ref="H1565:H1569" si="1">G1565*10137</f>
        <v>10137</v>
      </c>
      <c r="J1565" s="198"/>
    </row>
    <row r="1566" spans="5:10" x14ac:dyDescent="0.3">
      <c r="E1566" s="56"/>
      <c r="F1566" s="44" t="s">
        <v>3352</v>
      </c>
      <c r="G1566" s="41">
        <v>2</v>
      </c>
      <c r="H1566" s="57">
        <f t="shared" si="1"/>
        <v>20274</v>
      </c>
      <c r="J1566" s="198"/>
    </row>
    <row r="1567" spans="5:10" x14ac:dyDescent="0.3">
      <c r="E1567" s="56"/>
      <c r="F1567" s="44" t="s">
        <v>3356</v>
      </c>
      <c r="G1567" s="41">
        <v>1</v>
      </c>
      <c r="H1567" s="57">
        <f t="shared" si="1"/>
        <v>10137</v>
      </c>
      <c r="J1567" s="198"/>
    </row>
    <row r="1568" spans="5:10" x14ac:dyDescent="0.3">
      <c r="E1568" s="56"/>
      <c r="F1568" s="44" t="s">
        <v>3360</v>
      </c>
      <c r="G1568" s="41">
        <v>5</v>
      </c>
      <c r="H1568" s="57">
        <f t="shared" si="1"/>
        <v>50685</v>
      </c>
      <c r="J1568" s="198"/>
    </row>
    <row r="1569" spans="5:10" x14ac:dyDescent="0.3">
      <c r="E1569" s="56"/>
      <c r="F1569" s="44" t="s">
        <v>3361</v>
      </c>
      <c r="G1569" s="41">
        <v>1</v>
      </c>
      <c r="H1569" s="57">
        <f t="shared" si="1"/>
        <v>10137</v>
      </c>
      <c r="J1569" s="198"/>
    </row>
    <row r="1570" spans="5:10" x14ac:dyDescent="0.25">
      <c r="E1570" s="58"/>
      <c r="F1570" s="200" t="s">
        <v>1364</v>
      </c>
      <c r="G1570" s="38">
        <f>SUM(G1547:G1569)</f>
        <v>1128</v>
      </c>
      <c r="H1570" s="59">
        <f>SUM(H1547:H1569)</f>
        <v>5955651</v>
      </c>
      <c r="I1570" s="60"/>
    </row>
    <row r="1571" spans="5:10" x14ac:dyDescent="0.25">
      <c r="E1571" s="56" t="s">
        <v>1365</v>
      </c>
      <c r="F1571" s="31"/>
      <c r="G1571" s="37">
        <f>G1570</f>
        <v>1128</v>
      </c>
      <c r="H1571" s="56"/>
    </row>
    <row r="1572" spans="5:10" x14ac:dyDescent="0.25">
      <c r="E1572" s="56" t="s">
        <v>1366</v>
      </c>
      <c r="F1572" s="31"/>
      <c r="G1572" s="42">
        <f>H1570</f>
        <v>5955651</v>
      </c>
      <c r="H1572" s="61"/>
    </row>
    <row r="1573" spans="5:10" ht="4.5" customHeight="1" x14ac:dyDescent="0.25"/>
    <row r="1574" spans="5:10" x14ac:dyDescent="0.25">
      <c r="E1574" s="62" t="s">
        <v>1376</v>
      </c>
      <c r="G1574" s="40"/>
    </row>
    <row r="1575" spans="5:10" x14ac:dyDescent="0.25">
      <c r="E1575" s="63" t="s">
        <v>1367</v>
      </c>
      <c r="G1575" s="40"/>
    </row>
    <row r="1576" spans="5:10" x14ac:dyDescent="0.25">
      <c r="E1576" s="63"/>
      <c r="G1576" s="40"/>
      <c r="H1576" s="63" t="s">
        <v>1368</v>
      </c>
    </row>
    <row r="1577" spans="5:10" x14ac:dyDescent="0.25">
      <c r="G1577" s="40"/>
      <c r="H1577" s="63" t="s">
        <v>1369</v>
      </c>
    </row>
    <row r="1578" spans="5:10" x14ac:dyDescent="0.25">
      <c r="E1578" s="64" t="s">
        <v>1517</v>
      </c>
      <c r="G1578" s="40"/>
      <c r="H1578" s="63" t="s">
        <v>1370</v>
      </c>
    </row>
    <row r="1579" spans="5:10" x14ac:dyDescent="0.25">
      <c r="E1579" s="63" t="s">
        <v>1516</v>
      </c>
      <c r="G1579" s="40"/>
      <c r="H1579" s="63" t="s">
        <v>1371</v>
      </c>
    </row>
    <row r="1580" spans="5:10" ht="23.25" customHeight="1" x14ac:dyDescent="0.25">
      <c r="G1580" s="40"/>
    </row>
    <row r="1581" spans="5:10" ht="17.25" customHeight="1" x14ac:dyDescent="0.25">
      <c r="G1581" s="40"/>
      <c r="I1581" s="63" t="s">
        <v>1372</v>
      </c>
    </row>
    <row r="1582" spans="5:10" x14ac:dyDescent="0.25">
      <c r="E1582" s="63" t="s">
        <v>1375</v>
      </c>
      <c r="F1582" s="199"/>
      <c r="G1582" s="40"/>
      <c r="I1582" s="65" t="s">
        <v>1373</v>
      </c>
    </row>
    <row r="1583" spans="5:10" x14ac:dyDescent="0.25">
      <c r="F1583" s="34" t="s">
        <v>1514</v>
      </c>
      <c r="G1583" s="40"/>
      <c r="I1583" s="63" t="s">
        <v>1374</v>
      </c>
    </row>
    <row r="1584" spans="5:10" x14ac:dyDescent="0.25">
      <c r="F1584" s="35" t="s">
        <v>1515</v>
      </c>
      <c r="G1584" s="40"/>
    </row>
    <row r="1585" spans="5:10" x14ac:dyDescent="0.25">
      <c r="G1585" s="40"/>
    </row>
    <row r="1586" spans="5:10" x14ac:dyDescent="0.25">
      <c r="E1586" s="63"/>
      <c r="G1586" s="40"/>
    </row>
    <row r="1587" spans="5:10" ht="6.75" customHeight="1" x14ac:dyDescent="0.25">
      <c r="F1587" s="34"/>
      <c r="G1587" s="40"/>
    </row>
    <row r="1588" spans="5:10" x14ac:dyDescent="0.3">
      <c r="E1588" s="46" t="s">
        <v>1511</v>
      </c>
      <c r="G1588" s="40"/>
      <c r="H1588" s="188" t="s">
        <v>1509</v>
      </c>
      <c r="I1588" s="187"/>
      <c r="J1588" s="187"/>
    </row>
    <row r="1589" spans="5:10" x14ac:dyDescent="0.25">
      <c r="I1589" s="203" t="s">
        <v>1510</v>
      </c>
      <c r="J1589" s="203"/>
    </row>
  </sheetData>
  <sortState xmlns:xlrd2="http://schemas.microsoft.com/office/spreadsheetml/2017/richdata2" ref="E10:E1137">
    <sortCondition ref="E10:E1137"/>
  </sortState>
  <mergeCells count="4">
    <mergeCell ref="I1589:J1589"/>
    <mergeCell ref="A5:K5"/>
    <mergeCell ref="A7:K7"/>
    <mergeCell ref="A2:K3"/>
  </mergeCells>
  <phoneticPr fontId="7" type="noConversion"/>
  <printOptions horizontalCentered="1"/>
  <pageMargins left="0" right="0" top="0.39370078740157483" bottom="0.39370078740157483" header="0.31496062992125984" footer="0.31496062992125984"/>
  <pageSetup paperSize="14" scale="67" fitToHeight="0" orientation="landscape" useFirstPageNumber="1" r:id="rId1"/>
  <headerFooter scaleWithDoc="0"/>
  <rowBreaks count="20" manualBreakCount="20">
    <brk id="98" max="10" man="1"/>
    <brk id="196" max="10" man="1"/>
    <brk id="231" max="10" man="1"/>
    <brk id="248" max="10" man="1"/>
    <brk id="381" max="10" man="1"/>
    <brk id="419" max="10" man="1"/>
    <brk id="505" max="10" man="1"/>
    <brk id="532" max="10" man="1"/>
    <brk id="546" max="10" man="1"/>
    <brk id="669" max="10" man="1"/>
    <brk id="677" max="10" man="1"/>
    <brk id="707" max="10" man="1"/>
    <brk id="982" max="10" man="1"/>
    <brk id="1062" max="10" man="1"/>
    <brk id="1126" max="10" man="1"/>
    <brk id="1127" max="10" man="1"/>
    <brk id="1128" max="10" man="1"/>
    <brk id="1130" max="10" man="1"/>
    <brk id="1131" max="10" man="1"/>
    <brk id="1136" max="10" man="1"/>
  </rowBreaks>
  <colBreaks count="1" manualBreakCount="1">
    <brk id="4" max="1136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E167E-4762-4607-9B90-4EF134B3DE94}">
  <dimension ref="A1:G86"/>
  <sheetViews>
    <sheetView workbookViewId="0">
      <selection activeCell="G1" sqref="G1:G86"/>
    </sheetView>
  </sheetViews>
  <sheetFormatPr defaultRowHeight="15" x14ac:dyDescent="0.25"/>
  <sheetData>
    <row r="1" spans="1:7" x14ac:dyDescent="0.25">
      <c r="A1" t="s">
        <v>1946</v>
      </c>
      <c r="B1" t="s">
        <v>1947</v>
      </c>
      <c r="C1" t="s">
        <v>1948</v>
      </c>
      <c r="E1" t="str">
        <f>_xlfn.CONCAT(A1,", ",B1," ",C1," ",D1)</f>
        <v xml:space="preserve">Ang, Amelita Patual </v>
      </c>
      <c r="F1" t="str">
        <f>UPPER(E1)</f>
        <v xml:space="preserve">ANG, AMELITA PATUAL </v>
      </c>
      <c r="G1" t="s">
        <v>2137</v>
      </c>
    </row>
    <row r="2" spans="1:7" x14ac:dyDescent="0.25">
      <c r="A2" t="s">
        <v>1949</v>
      </c>
      <c r="B2" t="s">
        <v>1950</v>
      </c>
      <c r="C2" t="s">
        <v>1951</v>
      </c>
      <c r="E2" s="202" t="str">
        <f t="shared" ref="E2:E65" si="0">_xlfn.CONCAT(A2,", ",B2," ",C2," ",D2)</f>
        <v xml:space="preserve">Cerona, Jobert Manatad </v>
      </c>
      <c r="F2" s="202" t="str">
        <f t="shared" ref="F2:F65" si="1">UPPER(E2)</f>
        <v xml:space="preserve">CERONA, JOBERT MANATAD </v>
      </c>
      <c r="G2" t="s">
        <v>2138</v>
      </c>
    </row>
    <row r="3" spans="1:7" x14ac:dyDescent="0.25">
      <c r="A3" t="s">
        <v>1949</v>
      </c>
      <c r="B3" t="s">
        <v>1952</v>
      </c>
      <c r="C3" t="s">
        <v>1953</v>
      </c>
      <c r="E3" s="202" t="str">
        <f t="shared" si="0"/>
        <v xml:space="preserve">Cerona, Kimpee Aboliso </v>
      </c>
      <c r="F3" s="202" t="str">
        <f t="shared" si="1"/>
        <v xml:space="preserve">CERONA, KIMPEE ABOLISO </v>
      </c>
      <c r="G3" t="s">
        <v>2139</v>
      </c>
    </row>
    <row r="4" spans="1:7" x14ac:dyDescent="0.25">
      <c r="A4" t="s">
        <v>1949</v>
      </c>
      <c r="B4" t="s">
        <v>1954</v>
      </c>
      <c r="C4" t="s">
        <v>1951</v>
      </c>
      <c r="E4" s="202" t="str">
        <f t="shared" si="0"/>
        <v xml:space="preserve">Cerona, Rene Manatad </v>
      </c>
      <c r="F4" s="202" t="str">
        <f t="shared" si="1"/>
        <v xml:space="preserve">CERONA, RENE MANATAD </v>
      </c>
      <c r="G4" t="s">
        <v>2140</v>
      </c>
    </row>
    <row r="5" spans="1:7" x14ac:dyDescent="0.25">
      <c r="A5" t="s">
        <v>1949</v>
      </c>
      <c r="B5" t="s">
        <v>1955</v>
      </c>
      <c r="C5" t="s">
        <v>1951</v>
      </c>
      <c r="E5" s="202" t="str">
        <f t="shared" si="0"/>
        <v xml:space="preserve">Cerona, Basilisa Manatad </v>
      </c>
      <c r="F5" s="202" t="str">
        <f t="shared" si="1"/>
        <v xml:space="preserve">CERONA, BASILISA MANATAD </v>
      </c>
      <c r="G5" t="s">
        <v>2141</v>
      </c>
    </row>
    <row r="6" spans="1:7" x14ac:dyDescent="0.25">
      <c r="A6" t="s">
        <v>1949</v>
      </c>
      <c r="B6" t="s">
        <v>1956</v>
      </c>
      <c r="C6" t="s">
        <v>1953</v>
      </c>
      <c r="E6" s="202" t="str">
        <f t="shared" si="0"/>
        <v xml:space="preserve">Cerona, Kimbert Aboliso </v>
      </c>
      <c r="F6" s="202" t="str">
        <f t="shared" si="1"/>
        <v xml:space="preserve">CERONA, KIMBERT ABOLISO </v>
      </c>
      <c r="G6" t="s">
        <v>2142</v>
      </c>
    </row>
    <row r="7" spans="1:7" x14ac:dyDescent="0.25">
      <c r="A7" t="s">
        <v>1957</v>
      </c>
      <c r="B7" t="s">
        <v>1958</v>
      </c>
      <c r="C7" t="s">
        <v>1959</v>
      </c>
      <c r="E7" s="202" t="str">
        <f t="shared" si="0"/>
        <v xml:space="preserve">Llano, Jover Sebial </v>
      </c>
      <c r="F7" s="202" t="str">
        <f t="shared" si="1"/>
        <v xml:space="preserve">LLANO, JOVER SEBIAL </v>
      </c>
      <c r="G7" t="s">
        <v>2143</v>
      </c>
    </row>
    <row r="8" spans="1:7" x14ac:dyDescent="0.25">
      <c r="A8" t="s">
        <v>1951</v>
      </c>
      <c r="B8" t="s">
        <v>1960</v>
      </c>
      <c r="C8" t="s">
        <v>1961</v>
      </c>
      <c r="E8" s="202" t="str">
        <f t="shared" si="0"/>
        <v xml:space="preserve">Manatad, Gregorio Espinili </v>
      </c>
      <c r="F8" s="202" t="str">
        <f t="shared" si="1"/>
        <v xml:space="preserve">MANATAD, GREGORIO ESPINILI </v>
      </c>
      <c r="G8" t="s">
        <v>2144</v>
      </c>
    </row>
    <row r="9" spans="1:7" x14ac:dyDescent="0.25">
      <c r="A9" t="s">
        <v>1951</v>
      </c>
      <c r="B9" t="s">
        <v>1962</v>
      </c>
      <c r="C9" t="s">
        <v>1963</v>
      </c>
      <c r="E9" s="202" t="str">
        <f t="shared" si="0"/>
        <v xml:space="preserve">Manatad, Greg Prunes </v>
      </c>
      <c r="F9" s="202" t="str">
        <f t="shared" si="1"/>
        <v xml:space="preserve">MANATAD, GREG PRUNES </v>
      </c>
      <c r="G9" t="s">
        <v>2145</v>
      </c>
    </row>
    <row r="10" spans="1:7" x14ac:dyDescent="0.25">
      <c r="A10" t="s">
        <v>1951</v>
      </c>
      <c r="B10" t="s">
        <v>1964</v>
      </c>
      <c r="C10" t="s">
        <v>1963</v>
      </c>
      <c r="E10" s="202" t="str">
        <f t="shared" si="0"/>
        <v xml:space="preserve">Manatad, Gil Prunes </v>
      </c>
      <c r="F10" s="202" t="str">
        <f t="shared" si="1"/>
        <v xml:space="preserve">MANATAD, GIL PRUNES </v>
      </c>
      <c r="G10" t="s">
        <v>2146</v>
      </c>
    </row>
    <row r="11" spans="1:7" x14ac:dyDescent="0.25">
      <c r="A11" t="s">
        <v>1951</v>
      </c>
      <c r="B11" t="s">
        <v>1965</v>
      </c>
      <c r="C11" t="s">
        <v>1966</v>
      </c>
      <c r="E11" s="202" t="str">
        <f t="shared" si="0"/>
        <v xml:space="preserve">Manatad, Lito Mahinay </v>
      </c>
      <c r="F11" s="202" t="str">
        <f t="shared" si="1"/>
        <v xml:space="preserve">MANATAD, LITO MAHINAY </v>
      </c>
      <c r="G11" t="s">
        <v>2147</v>
      </c>
    </row>
    <row r="12" spans="1:7" x14ac:dyDescent="0.25">
      <c r="A12" t="s">
        <v>1951</v>
      </c>
      <c r="B12" t="s">
        <v>1967</v>
      </c>
      <c r="C12" t="s">
        <v>1961</v>
      </c>
      <c r="E12" s="202" t="str">
        <f t="shared" si="0"/>
        <v xml:space="preserve">Manatad, Leonardo Espinili </v>
      </c>
      <c r="F12" s="202" t="str">
        <f t="shared" si="1"/>
        <v xml:space="preserve">MANATAD, LEONARDO ESPINILI </v>
      </c>
      <c r="G12" t="s">
        <v>2148</v>
      </c>
    </row>
    <row r="13" spans="1:7" x14ac:dyDescent="0.25">
      <c r="A13" t="s">
        <v>1968</v>
      </c>
      <c r="B13" t="s">
        <v>1969</v>
      </c>
      <c r="C13" t="s">
        <v>1953</v>
      </c>
      <c r="E13" s="202" t="str">
        <f t="shared" si="0"/>
        <v xml:space="preserve">Noguerra, Ert Aboliso </v>
      </c>
      <c r="F13" s="202" t="str">
        <f t="shared" si="1"/>
        <v xml:space="preserve">NOGUERRA, ERT ABOLISO </v>
      </c>
      <c r="G13" t="s">
        <v>2149</v>
      </c>
    </row>
    <row r="14" spans="1:7" x14ac:dyDescent="0.25">
      <c r="A14" t="s">
        <v>1968</v>
      </c>
      <c r="B14" t="s">
        <v>1970</v>
      </c>
      <c r="C14" t="s">
        <v>1953</v>
      </c>
      <c r="E14" s="202" t="str">
        <f t="shared" si="0"/>
        <v xml:space="preserve">Noguerra, Luzminda Aboliso </v>
      </c>
      <c r="F14" s="202" t="str">
        <f t="shared" si="1"/>
        <v xml:space="preserve">NOGUERRA, LUZMINDA ABOLISO </v>
      </c>
      <c r="G14" t="s">
        <v>2150</v>
      </c>
    </row>
    <row r="15" spans="1:7" x14ac:dyDescent="0.25">
      <c r="A15" t="s">
        <v>1971</v>
      </c>
      <c r="B15" t="s">
        <v>1972</v>
      </c>
      <c r="C15" t="s">
        <v>1973</v>
      </c>
      <c r="E15" s="202" t="str">
        <f t="shared" si="0"/>
        <v xml:space="preserve">Gooc, Jessie Elle </v>
      </c>
      <c r="F15" s="202" t="str">
        <f t="shared" si="1"/>
        <v xml:space="preserve">GOOC, JESSIE ELLE </v>
      </c>
      <c r="G15" t="s">
        <v>2151</v>
      </c>
    </row>
    <row r="16" spans="1:7" x14ac:dyDescent="0.25">
      <c r="A16" t="s">
        <v>1974</v>
      </c>
      <c r="B16" t="s">
        <v>1975</v>
      </c>
      <c r="C16" t="s">
        <v>1976</v>
      </c>
      <c r="E16" s="202" t="str">
        <f t="shared" si="0"/>
        <v xml:space="preserve">Roma, Jay Petilo </v>
      </c>
      <c r="F16" s="202" t="str">
        <f t="shared" si="1"/>
        <v xml:space="preserve">ROMA, JAY PETILO </v>
      </c>
      <c r="G16" t="s">
        <v>2152</v>
      </c>
    </row>
    <row r="17" spans="1:7" x14ac:dyDescent="0.25">
      <c r="A17" t="s">
        <v>1974</v>
      </c>
      <c r="B17" t="s">
        <v>1977</v>
      </c>
      <c r="C17" t="s">
        <v>1968</v>
      </c>
      <c r="E17" s="202" t="str">
        <f t="shared" si="0"/>
        <v xml:space="preserve">Roma, Bonifacio Noguerra </v>
      </c>
      <c r="F17" s="202" t="str">
        <f t="shared" si="1"/>
        <v xml:space="preserve">ROMA, BONIFACIO NOGUERRA </v>
      </c>
      <c r="G17" t="s">
        <v>2153</v>
      </c>
    </row>
    <row r="18" spans="1:7" x14ac:dyDescent="0.25">
      <c r="A18" t="s">
        <v>1978</v>
      </c>
      <c r="B18" t="s">
        <v>1979</v>
      </c>
      <c r="C18" t="s">
        <v>1951</v>
      </c>
      <c r="E18" s="202" t="str">
        <f t="shared" si="0"/>
        <v xml:space="preserve">Rafols, Jonel Manatad </v>
      </c>
      <c r="F18" s="202" t="str">
        <f t="shared" si="1"/>
        <v xml:space="preserve">RAFOLS, JONEL MANATAD </v>
      </c>
      <c r="G18" t="s">
        <v>2154</v>
      </c>
    </row>
    <row r="19" spans="1:7" x14ac:dyDescent="0.25">
      <c r="A19" t="s">
        <v>1980</v>
      </c>
      <c r="B19" t="s">
        <v>1981</v>
      </c>
      <c r="C19" t="s">
        <v>1982</v>
      </c>
      <c r="E19" s="202" t="str">
        <f t="shared" si="0"/>
        <v xml:space="preserve">Gabradilla, Alejandro Saldivar </v>
      </c>
      <c r="F19" s="202" t="str">
        <f t="shared" si="1"/>
        <v xml:space="preserve">GABRADILLA, ALEJANDRO SALDIVAR </v>
      </c>
      <c r="G19" t="s">
        <v>2155</v>
      </c>
    </row>
    <row r="20" spans="1:7" x14ac:dyDescent="0.25">
      <c r="A20" t="s">
        <v>1983</v>
      </c>
      <c r="B20" t="s">
        <v>1984</v>
      </c>
      <c r="C20" t="s">
        <v>1985</v>
      </c>
      <c r="E20" s="202" t="str">
        <f t="shared" si="0"/>
        <v xml:space="preserve">Dubduban, Manuel Espinoa </v>
      </c>
      <c r="F20" s="202" t="str">
        <f t="shared" si="1"/>
        <v xml:space="preserve">DUBDUBAN, MANUEL ESPINOA </v>
      </c>
      <c r="G20" t="s">
        <v>2156</v>
      </c>
    </row>
    <row r="21" spans="1:7" x14ac:dyDescent="0.25">
      <c r="A21" t="s">
        <v>1986</v>
      </c>
      <c r="B21" t="s">
        <v>1987</v>
      </c>
      <c r="C21" t="s">
        <v>1988</v>
      </c>
      <c r="E21" s="202" t="str">
        <f t="shared" si="0"/>
        <v xml:space="preserve">Consigna, Hernan Lobrio </v>
      </c>
      <c r="F21" s="202" t="str">
        <f t="shared" si="1"/>
        <v xml:space="preserve">CONSIGNA, HERNAN LOBRIO </v>
      </c>
      <c r="G21" t="s">
        <v>2157</v>
      </c>
    </row>
    <row r="22" spans="1:7" x14ac:dyDescent="0.25">
      <c r="A22" t="s">
        <v>1989</v>
      </c>
      <c r="B22" t="s">
        <v>1990</v>
      </c>
      <c r="C22" t="s">
        <v>1991</v>
      </c>
      <c r="E22" s="202" t="str">
        <f t="shared" si="0"/>
        <v xml:space="preserve">Custodio, Danilo Linaga </v>
      </c>
      <c r="F22" s="202" t="str">
        <f t="shared" si="1"/>
        <v xml:space="preserve">CUSTODIO, DANILO LINAGA </v>
      </c>
      <c r="G22" t="s">
        <v>2158</v>
      </c>
    </row>
    <row r="23" spans="1:7" x14ac:dyDescent="0.25">
      <c r="A23" t="s">
        <v>1989</v>
      </c>
      <c r="B23" t="s">
        <v>1992</v>
      </c>
      <c r="C23" t="s">
        <v>1993</v>
      </c>
      <c r="E23" s="202" t="str">
        <f t="shared" si="0"/>
        <v xml:space="preserve">Custodio, Darwin Cabañez </v>
      </c>
      <c r="F23" s="202" t="str">
        <f t="shared" si="1"/>
        <v xml:space="preserve">CUSTODIO, DARWIN CABAÑEZ </v>
      </c>
      <c r="G23" t="s">
        <v>2159</v>
      </c>
    </row>
    <row r="24" spans="1:7" x14ac:dyDescent="0.25">
      <c r="A24" t="s">
        <v>1994</v>
      </c>
      <c r="B24" t="s">
        <v>1995</v>
      </c>
      <c r="C24" t="s">
        <v>1996</v>
      </c>
      <c r="D24" t="s">
        <v>1997</v>
      </c>
      <c r="E24" s="202" t="str">
        <f t="shared" si="0"/>
        <v>Gatchalian, Rolando Moriente Jr.</v>
      </c>
      <c r="F24" s="202" t="str">
        <f t="shared" si="1"/>
        <v>GATCHALIAN, ROLANDO MORIENTE JR.</v>
      </c>
      <c r="G24" t="s">
        <v>2160</v>
      </c>
    </row>
    <row r="25" spans="1:7" x14ac:dyDescent="0.25">
      <c r="A25" t="s">
        <v>1980</v>
      </c>
      <c r="B25" t="s">
        <v>1998</v>
      </c>
      <c r="C25" t="s">
        <v>1951</v>
      </c>
      <c r="E25" s="202" t="str">
        <f t="shared" si="0"/>
        <v xml:space="preserve">Gabradilla, Felix Manatad </v>
      </c>
      <c r="F25" s="202" t="str">
        <f t="shared" si="1"/>
        <v xml:space="preserve">GABRADILLA, FELIX MANATAD </v>
      </c>
      <c r="G25" t="s">
        <v>2161</v>
      </c>
    </row>
    <row r="26" spans="1:7" x14ac:dyDescent="0.25">
      <c r="A26" t="s">
        <v>1980</v>
      </c>
      <c r="B26" t="s">
        <v>1999</v>
      </c>
      <c r="C26" t="s">
        <v>1982</v>
      </c>
      <c r="E26" s="202" t="str">
        <f t="shared" si="0"/>
        <v xml:space="preserve">Gabradilla, Welito Saldivar </v>
      </c>
      <c r="F26" s="202" t="str">
        <f t="shared" si="1"/>
        <v xml:space="preserve">GABRADILLA, WELITO SALDIVAR </v>
      </c>
      <c r="G26" t="s">
        <v>2162</v>
      </c>
    </row>
    <row r="27" spans="1:7" x14ac:dyDescent="0.25">
      <c r="A27" t="s">
        <v>1991</v>
      </c>
      <c r="B27" t="s">
        <v>2000</v>
      </c>
      <c r="C27" t="s">
        <v>2001</v>
      </c>
      <c r="E27" s="202" t="str">
        <f t="shared" si="0"/>
        <v xml:space="preserve">Linaga, Jayrom Tillo </v>
      </c>
      <c r="F27" s="202" t="str">
        <f t="shared" si="1"/>
        <v xml:space="preserve">LINAGA, JAYROM TILLO </v>
      </c>
      <c r="G27" t="s">
        <v>2163</v>
      </c>
    </row>
    <row r="28" spans="1:7" x14ac:dyDescent="0.25">
      <c r="A28" t="s">
        <v>2002</v>
      </c>
      <c r="B28" t="s">
        <v>2003</v>
      </c>
      <c r="C28" t="s">
        <v>2004</v>
      </c>
      <c r="E28" s="202" t="str">
        <f t="shared" si="0"/>
        <v xml:space="preserve">Pame, Bernie Delos Reyes </v>
      </c>
      <c r="F28" s="202" t="str">
        <f t="shared" si="1"/>
        <v xml:space="preserve">PAME, BERNIE DELOS REYES </v>
      </c>
      <c r="G28" t="s">
        <v>2164</v>
      </c>
    </row>
    <row r="29" spans="1:7" x14ac:dyDescent="0.25">
      <c r="A29" t="s">
        <v>2005</v>
      </c>
      <c r="B29" t="s">
        <v>2006</v>
      </c>
      <c r="C29" t="s">
        <v>2007</v>
      </c>
      <c r="E29" s="202" t="str">
        <f t="shared" si="0"/>
        <v xml:space="preserve">Picol, Haijie Llanto </v>
      </c>
      <c r="F29" s="202" t="str">
        <f t="shared" si="1"/>
        <v xml:space="preserve">PICOL, HAIJIE LLANTO </v>
      </c>
      <c r="G29" t="s">
        <v>2165</v>
      </c>
    </row>
    <row r="30" spans="1:7" x14ac:dyDescent="0.25">
      <c r="A30" t="s">
        <v>2008</v>
      </c>
      <c r="B30" t="s">
        <v>2009</v>
      </c>
      <c r="C30" t="s">
        <v>2010</v>
      </c>
      <c r="E30" s="202" t="str">
        <f t="shared" si="0"/>
        <v xml:space="preserve">Pia, Jordan Espanto </v>
      </c>
      <c r="F30" s="202" t="str">
        <f t="shared" si="1"/>
        <v xml:space="preserve">PIA, JORDAN ESPANTO </v>
      </c>
      <c r="G30" t="s">
        <v>2166</v>
      </c>
    </row>
    <row r="31" spans="1:7" x14ac:dyDescent="0.25">
      <c r="A31" t="s">
        <v>2011</v>
      </c>
      <c r="B31" t="s">
        <v>2012</v>
      </c>
      <c r="C31" t="s">
        <v>2013</v>
      </c>
      <c r="E31" s="202" t="str">
        <f t="shared" si="0"/>
        <v xml:space="preserve">Sablay, Marcelino Soyosa </v>
      </c>
      <c r="F31" s="202" t="str">
        <f t="shared" si="1"/>
        <v xml:space="preserve">SABLAY, MARCELINO SOYOSA </v>
      </c>
      <c r="G31" t="s">
        <v>2167</v>
      </c>
    </row>
    <row r="32" spans="1:7" x14ac:dyDescent="0.25">
      <c r="A32" t="s">
        <v>2014</v>
      </c>
      <c r="B32" t="s">
        <v>2015</v>
      </c>
      <c r="C32" t="s">
        <v>2016</v>
      </c>
      <c r="E32" s="202" t="str">
        <f t="shared" si="0"/>
        <v xml:space="preserve">Baa, Amado Jacosalem </v>
      </c>
      <c r="F32" s="202" t="str">
        <f t="shared" si="1"/>
        <v xml:space="preserve">BAA, AMADO JACOSALEM </v>
      </c>
      <c r="G32" t="s">
        <v>2168</v>
      </c>
    </row>
    <row r="33" spans="1:7" x14ac:dyDescent="0.25">
      <c r="A33" t="s">
        <v>2014</v>
      </c>
      <c r="B33" t="s">
        <v>2017</v>
      </c>
      <c r="C33" t="s">
        <v>2018</v>
      </c>
      <c r="E33" s="202" t="str">
        <f t="shared" si="0"/>
        <v xml:space="preserve">Baa, Rovina Respecia </v>
      </c>
      <c r="F33" s="202" t="str">
        <f t="shared" si="1"/>
        <v xml:space="preserve">BAA, ROVINA RESPECIA </v>
      </c>
      <c r="G33" t="s">
        <v>2169</v>
      </c>
    </row>
    <row r="34" spans="1:7" x14ac:dyDescent="0.25">
      <c r="A34" t="s">
        <v>2019</v>
      </c>
      <c r="B34" t="s">
        <v>2020</v>
      </c>
      <c r="C34" t="s">
        <v>2021</v>
      </c>
      <c r="E34" s="202" t="str">
        <f t="shared" si="0"/>
        <v xml:space="preserve">Fuentes, Cresil Cano </v>
      </c>
      <c r="F34" s="202" t="str">
        <f t="shared" si="1"/>
        <v xml:space="preserve">FUENTES, CRESIL CANO </v>
      </c>
      <c r="G34" t="s">
        <v>2170</v>
      </c>
    </row>
    <row r="35" spans="1:7" x14ac:dyDescent="0.25">
      <c r="A35" t="s">
        <v>2021</v>
      </c>
      <c r="B35" t="s">
        <v>2022</v>
      </c>
      <c r="C35" t="s">
        <v>2023</v>
      </c>
      <c r="E35" s="202" t="str">
        <f t="shared" si="0"/>
        <v xml:space="preserve">Cano, Carlito Suminday </v>
      </c>
      <c r="F35" s="202" t="str">
        <f t="shared" si="1"/>
        <v xml:space="preserve">CANO, CARLITO SUMINDAY </v>
      </c>
      <c r="G35" t="s">
        <v>2171</v>
      </c>
    </row>
    <row r="36" spans="1:7" x14ac:dyDescent="0.25">
      <c r="A36" t="s">
        <v>2024</v>
      </c>
      <c r="B36" t="s">
        <v>2025</v>
      </c>
      <c r="C36" t="s">
        <v>2026</v>
      </c>
      <c r="E36" s="202" t="str">
        <f t="shared" si="0"/>
        <v xml:space="preserve">Agujar, Joel Bulcase </v>
      </c>
      <c r="F36" s="202" t="str">
        <f t="shared" si="1"/>
        <v xml:space="preserve">AGUJAR, JOEL BULCASE </v>
      </c>
      <c r="G36" t="s">
        <v>2172</v>
      </c>
    </row>
    <row r="37" spans="1:7" x14ac:dyDescent="0.25">
      <c r="A37" t="s">
        <v>2027</v>
      </c>
      <c r="B37" t="s">
        <v>2028</v>
      </c>
      <c r="C37" t="s">
        <v>2026</v>
      </c>
      <c r="E37" s="202" t="str">
        <f t="shared" si="0"/>
        <v xml:space="preserve">Viñaz, Paz Bulcase </v>
      </c>
      <c r="F37" s="202" t="str">
        <f t="shared" si="1"/>
        <v xml:space="preserve">VIÑAZ, PAZ BULCASE </v>
      </c>
      <c r="G37" t="s">
        <v>2173</v>
      </c>
    </row>
    <row r="38" spans="1:7" x14ac:dyDescent="0.25">
      <c r="A38" t="s">
        <v>2014</v>
      </c>
      <c r="B38" t="s">
        <v>2029</v>
      </c>
      <c r="C38" t="s">
        <v>2030</v>
      </c>
      <c r="E38" s="202" t="str">
        <f t="shared" si="0"/>
        <v xml:space="preserve">Baa, Janmar Café </v>
      </c>
      <c r="F38" s="202" t="str">
        <f t="shared" si="1"/>
        <v xml:space="preserve">BAA, JANMAR CAFÉ </v>
      </c>
      <c r="G38" t="s">
        <v>2174</v>
      </c>
    </row>
    <row r="39" spans="1:7" x14ac:dyDescent="0.25">
      <c r="A39" t="s">
        <v>2031</v>
      </c>
      <c r="B39" t="s">
        <v>2032</v>
      </c>
      <c r="C39" t="s">
        <v>2033</v>
      </c>
      <c r="E39" s="202" t="str">
        <f t="shared" si="0"/>
        <v xml:space="preserve">Eyana, Roel Villalobos </v>
      </c>
      <c r="F39" s="202" t="str">
        <f t="shared" si="1"/>
        <v xml:space="preserve">EYANA, ROEL VILLALOBOS </v>
      </c>
      <c r="G39" t="s">
        <v>2175</v>
      </c>
    </row>
    <row r="40" spans="1:7" x14ac:dyDescent="0.25">
      <c r="A40" t="s">
        <v>2034</v>
      </c>
      <c r="B40" t="s">
        <v>2035</v>
      </c>
      <c r="C40" t="s">
        <v>2036</v>
      </c>
      <c r="E40" s="202" t="str">
        <f t="shared" si="0"/>
        <v xml:space="preserve">Dayot, Ramark Mantilla </v>
      </c>
      <c r="F40" s="202" t="str">
        <f t="shared" si="1"/>
        <v xml:space="preserve">DAYOT, RAMARK MANTILLA </v>
      </c>
      <c r="G40" t="s">
        <v>2176</v>
      </c>
    </row>
    <row r="41" spans="1:7" x14ac:dyDescent="0.25">
      <c r="A41" t="s">
        <v>2037</v>
      </c>
      <c r="B41" t="s">
        <v>2038</v>
      </c>
      <c r="C41" t="s">
        <v>2039</v>
      </c>
      <c r="E41" s="202" t="str">
        <f t="shared" si="0"/>
        <v xml:space="preserve">Gelera, Rizalino Campasas </v>
      </c>
      <c r="F41" s="202" t="str">
        <f t="shared" si="1"/>
        <v xml:space="preserve">GELERA, RIZALINO CAMPASAS </v>
      </c>
      <c r="G41" t="s">
        <v>2177</v>
      </c>
    </row>
    <row r="42" spans="1:7" x14ac:dyDescent="0.25">
      <c r="A42" t="s">
        <v>2037</v>
      </c>
      <c r="B42" t="s">
        <v>2040</v>
      </c>
      <c r="C42" t="s">
        <v>2039</v>
      </c>
      <c r="E42" s="202" t="str">
        <f t="shared" si="0"/>
        <v xml:space="preserve">Gelera, Mario Nolly Campasas </v>
      </c>
      <c r="F42" s="202" t="str">
        <f t="shared" si="1"/>
        <v xml:space="preserve">GELERA, MARIO NOLLY CAMPASAS </v>
      </c>
      <c r="G42" t="s">
        <v>2178</v>
      </c>
    </row>
    <row r="43" spans="1:7" x14ac:dyDescent="0.25">
      <c r="A43" t="s">
        <v>2037</v>
      </c>
      <c r="B43" t="s">
        <v>2041</v>
      </c>
      <c r="C43" t="s">
        <v>2039</v>
      </c>
      <c r="E43" s="202" t="str">
        <f t="shared" si="0"/>
        <v xml:space="preserve">Gelera, Gregoria Campasas </v>
      </c>
      <c r="F43" s="202" t="str">
        <f t="shared" si="1"/>
        <v xml:space="preserve">GELERA, GREGORIA CAMPASAS </v>
      </c>
      <c r="G43" t="s">
        <v>2179</v>
      </c>
    </row>
    <row r="44" spans="1:7" x14ac:dyDescent="0.25">
      <c r="A44" t="s">
        <v>2042</v>
      </c>
      <c r="B44" t="s">
        <v>1990</v>
      </c>
      <c r="C44" t="s">
        <v>2043</v>
      </c>
      <c r="E44" s="202" t="str">
        <f t="shared" si="0"/>
        <v xml:space="preserve">Gaslang, Danilo Carillo </v>
      </c>
      <c r="F44" s="202" t="str">
        <f t="shared" si="1"/>
        <v xml:space="preserve">GASLANG, DANILO CARILLO </v>
      </c>
      <c r="G44" t="s">
        <v>2180</v>
      </c>
    </row>
    <row r="45" spans="1:7" x14ac:dyDescent="0.25">
      <c r="A45" t="s">
        <v>2044</v>
      </c>
      <c r="B45" t="s">
        <v>2045</v>
      </c>
      <c r="C45" t="s">
        <v>1963</v>
      </c>
      <c r="E45" s="202" t="str">
        <f t="shared" si="0"/>
        <v xml:space="preserve">Gaces, Fedila Prunes </v>
      </c>
      <c r="F45" s="202" t="str">
        <f t="shared" si="1"/>
        <v xml:space="preserve">GACES, FEDILA PRUNES </v>
      </c>
      <c r="G45" t="s">
        <v>2181</v>
      </c>
    </row>
    <row r="46" spans="1:7" x14ac:dyDescent="0.25">
      <c r="A46" t="s">
        <v>2046</v>
      </c>
      <c r="B46" t="s">
        <v>2047</v>
      </c>
      <c r="C46" t="s">
        <v>2048</v>
      </c>
      <c r="E46" s="202" t="str">
        <f t="shared" si="0"/>
        <v xml:space="preserve">Lumanog, Rosel Escorial  </v>
      </c>
      <c r="F46" s="202" t="str">
        <f t="shared" si="1"/>
        <v xml:space="preserve">LUMANOG, ROSEL ESCORIAL  </v>
      </c>
      <c r="G46" t="s">
        <v>2182</v>
      </c>
    </row>
    <row r="47" spans="1:7" x14ac:dyDescent="0.25">
      <c r="A47" t="s">
        <v>2049</v>
      </c>
      <c r="B47" t="s">
        <v>2050</v>
      </c>
      <c r="E47" s="202" t="str">
        <f t="shared" si="0"/>
        <v xml:space="preserve">Mabitado, Arsenio  </v>
      </c>
      <c r="F47" s="202" t="str">
        <f t="shared" si="1"/>
        <v xml:space="preserve">MABITADO, ARSENIO  </v>
      </c>
      <c r="G47" t="s">
        <v>2183</v>
      </c>
    </row>
    <row r="48" spans="1:7" x14ac:dyDescent="0.25">
      <c r="A48" t="s">
        <v>2051</v>
      </c>
      <c r="B48" t="s">
        <v>2052</v>
      </c>
      <c r="C48" t="s">
        <v>2053</v>
      </c>
      <c r="E48" s="202" t="str">
        <f t="shared" si="0"/>
        <v xml:space="preserve">Mancion, Rey Martinez </v>
      </c>
      <c r="F48" s="202" t="str">
        <f t="shared" si="1"/>
        <v xml:space="preserve">MANCION, REY MARTINEZ </v>
      </c>
      <c r="G48" t="s">
        <v>2184</v>
      </c>
    </row>
    <row r="49" spans="1:7" x14ac:dyDescent="0.25">
      <c r="A49" t="s">
        <v>2054</v>
      </c>
      <c r="B49" t="s">
        <v>2025</v>
      </c>
      <c r="C49" t="s">
        <v>2055</v>
      </c>
      <c r="E49" s="202" t="str">
        <f t="shared" si="0"/>
        <v xml:space="preserve">Mallorca, Joel Grande </v>
      </c>
      <c r="F49" s="202" t="str">
        <f t="shared" si="1"/>
        <v xml:space="preserve">MALLORCA, JOEL GRANDE </v>
      </c>
      <c r="G49" t="s">
        <v>2185</v>
      </c>
    </row>
    <row r="50" spans="1:7" x14ac:dyDescent="0.25">
      <c r="A50" t="s">
        <v>2056</v>
      </c>
      <c r="B50" t="s">
        <v>2057</v>
      </c>
      <c r="C50" t="s">
        <v>2058</v>
      </c>
      <c r="E50" s="202" t="str">
        <f t="shared" si="0"/>
        <v xml:space="preserve">Maturan, Marvin Predog </v>
      </c>
      <c r="F50" s="202" t="str">
        <f t="shared" si="1"/>
        <v xml:space="preserve">MATURAN, MARVIN PREDOG </v>
      </c>
      <c r="G50" t="s">
        <v>2186</v>
      </c>
    </row>
    <row r="51" spans="1:7" x14ac:dyDescent="0.25">
      <c r="A51" t="s">
        <v>2059</v>
      </c>
      <c r="B51" t="s">
        <v>2060</v>
      </c>
      <c r="C51" t="s">
        <v>1974</v>
      </c>
      <c r="E51" s="202" t="str">
        <f t="shared" si="0"/>
        <v xml:space="preserve">Longos, Marlyn Roma </v>
      </c>
      <c r="F51" s="202" t="str">
        <f t="shared" si="1"/>
        <v xml:space="preserve">LONGOS, MARLYN ROMA </v>
      </c>
      <c r="G51" t="s">
        <v>2187</v>
      </c>
    </row>
    <row r="52" spans="1:7" x14ac:dyDescent="0.25">
      <c r="A52" t="s">
        <v>2061</v>
      </c>
      <c r="B52" t="s">
        <v>2062</v>
      </c>
      <c r="C52" t="s">
        <v>2063</v>
      </c>
      <c r="E52" s="202" t="str">
        <f t="shared" si="0"/>
        <v xml:space="preserve">Rollo, Lyne Adlawan </v>
      </c>
      <c r="F52" s="202" t="str">
        <f t="shared" si="1"/>
        <v xml:space="preserve">ROLLO, LYNE ADLAWAN </v>
      </c>
      <c r="G52" t="s">
        <v>2188</v>
      </c>
    </row>
    <row r="53" spans="1:7" x14ac:dyDescent="0.25">
      <c r="A53" t="s">
        <v>2064</v>
      </c>
      <c r="B53" t="s">
        <v>2065</v>
      </c>
      <c r="C53" t="s">
        <v>2066</v>
      </c>
      <c r="E53" s="202" t="str">
        <f t="shared" si="0"/>
        <v xml:space="preserve">Tarnate, Nathaniel Bayang </v>
      </c>
      <c r="F53" s="202" t="str">
        <f t="shared" si="1"/>
        <v xml:space="preserve">TARNATE, NATHANIEL BAYANG </v>
      </c>
      <c r="G53" t="s">
        <v>2189</v>
      </c>
    </row>
    <row r="54" spans="1:7" x14ac:dyDescent="0.25">
      <c r="A54" t="s">
        <v>2067</v>
      </c>
      <c r="B54" t="s">
        <v>2068</v>
      </c>
      <c r="C54" t="s">
        <v>2069</v>
      </c>
      <c r="E54" s="202" t="str">
        <f t="shared" si="0"/>
        <v xml:space="preserve">Lecciones, Alfredo Gonzaga </v>
      </c>
      <c r="F54" s="202" t="str">
        <f t="shared" si="1"/>
        <v xml:space="preserve">LECCIONES, ALFREDO GONZAGA </v>
      </c>
      <c r="G54" t="s">
        <v>2190</v>
      </c>
    </row>
    <row r="55" spans="1:7" x14ac:dyDescent="0.25">
      <c r="A55" t="s">
        <v>2070</v>
      </c>
      <c r="B55" t="s">
        <v>2071</v>
      </c>
      <c r="C55" t="s">
        <v>2072</v>
      </c>
      <c r="E55" s="202" t="str">
        <f t="shared" si="0"/>
        <v xml:space="preserve">Monsales, Melvin Lemuardo </v>
      </c>
      <c r="F55" s="202" t="str">
        <f t="shared" si="1"/>
        <v xml:space="preserve">MONSALES, MELVIN LEMUARDO </v>
      </c>
      <c r="G55" t="s">
        <v>2191</v>
      </c>
    </row>
    <row r="56" spans="1:7" x14ac:dyDescent="0.25">
      <c r="A56" t="s">
        <v>2073</v>
      </c>
      <c r="B56" t="s">
        <v>2074</v>
      </c>
      <c r="C56" t="s">
        <v>2075</v>
      </c>
      <c r="E56" s="202" t="str">
        <f t="shared" si="0"/>
        <v xml:space="preserve">Torrejos, Reymark Sibonga </v>
      </c>
      <c r="F56" s="202" t="str">
        <f t="shared" si="1"/>
        <v xml:space="preserve">TORREJOS, REYMARK SIBONGA </v>
      </c>
      <c r="G56" t="s">
        <v>2192</v>
      </c>
    </row>
    <row r="57" spans="1:7" x14ac:dyDescent="0.25">
      <c r="A57" t="s">
        <v>2076</v>
      </c>
      <c r="B57" t="s">
        <v>2077</v>
      </c>
      <c r="C57" t="s">
        <v>2078</v>
      </c>
      <c r="E57" s="202" t="str">
        <f t="shared" si="0"/>
        <v xml:space="preserve">Calixtro, Jerry Balbiro </v>
      </c>
      <c r="F57" s="202" t="str">
        <f t="shared" si="1"/>
        <v xml:space="preserve">CALIXTRO, JERRY BALBIRO </v>
      </c>
      <c r="G57" t="s">
        <v>2193</v>
      </c>
    </row>
    <row r="58" spans="1:7" x14ac:dyDescent="0.25">
      <c r="A58" t="s">
        <v>2079</v>
      </c>
      <c r="B58" t="s">
        <v>2080</v>
      </c>
      <c r="C58" t="s">
        <v>2081</v>
      </c>
      <c r="E58" s="202" t="str">
        <f t="shared" si="0"/>
        <v xml:space="preserve">Ebale, Jenelyn Paler </v>
      </c>
      <c r="F58" s="202" t="str">
        <f t="shared" si="1"/>
        <v xml:space="preserve">EBALE, JENELYN PALER </v>
      </c>
      <c r="G58" t="s">
        <v>2194</v>
      </c>
    </row>
    <row r="59" spans="1:7" x14ac:dyDescent="0.25">
      <c r="A59" t="s">
        <v>2079</v>
      </c>
      <c r="B59" t="s">
        <v>2082</v>
      </c>
      <c r="C59" t="s">
        <v>2081</v>
      </c>
      <c r="E59" s="202" t="str">
        <f t="shared" si="0"/>
        <v xml:space="preserve">Ebale, Juman Paler </v>
      </c>
      <c r="F59" s="202" t="str">
        <f t="shared" si="1"/>
        <v xml:space="preserve">EBALE, JUMAN PALER </v>
      </c>
      <c r="G59" t="s">
        <v>2195</v>
      </c>
    </row>
    <row r="60" spans="1:7" x14ac:dyDescent="0.25">
      <c r="A60" t="s">
        <v>2079</v>
      </c>
      <c r="B60" t="s">
        <v>2083</v>
      </c>
      <c r="C60" t="s">
        <v>2084</v>
      </c>
      <c r="E60" s="202" t="str">
        <f t="shared" si="0"/>
        <v xml:space="preserve">Ebale, Edcelgie Amorin </v>
      </c>
      <c r="F60" s="202" t="str">
        <f t="shared" si="1"/>
        <v xml:space="preserve">EBALE, EDCELGIE AMORIN </v>
      </c>
      <c r="G60" t="s">
        <v>2196</v>
      </c>
    </row>
    <row r="61" spans="1:7" x14ac:dyDescent="0.25">
      <c r="A61" t="s">
        <v>2079</v>
      </c>
      <c r="B61" t="s">
        <v>2085</v>
      </c>
      <c r="C61" t="s">
        <v>2086</v>
      </c>
      <c r="E61" s="202" t="str">
        <f t="shared" si="0"/>
        <v xml:space="preserve">Ebale, Usiphil Cabajes </v>
      </c>
      <c r="F61" s="202" t="str">
        <f t="shared" si="1"/>
        <v xml:space="preserve">EBALE, USIPHIL CABAJES </v>
      </c>
      <c r="G61" t="s">
        <v>2197</v>
      </c>
    </row>
    <row r="62" spans="1:7" x14ac:dyDescent="0.25">
      <c r="A62" t="s">
        <v>2087</v>
      </c>
      <c r="B62" t="s">
        <v>2077</v>
      </c>
      <c r="C62" t="s">
        <v>2088</v>
      </c>
      <c r="E62" s="202" t="str">
        <f t="shared" si="0"/>
        <v xml:space="preserve">Amihan, Jerry Alibangbang </v>
      </c>
      <c r="F62" s="202" t="str">
        <f t="shared" si="1"/>
        <v xml:space="preserve">AMIHAN, JERRY ALIBANGBANG </v>
      </c>
      <c r="G62" t="s">
        <v>2198</v>
      </c>
    </row>
    <row r="63" spans="1:7" x14ac:dyDescent="0.25">
      <c r="A63" t="s">
        <v>2089</v>
      </c>
      <c r="B63" t="s">
        <v>2090</v>
      </c>
      <c r="C63" t="s">
        <v>2079</v>
      </c>
      <c r="E63" s="202" t="str">
        <f t="shared" si="0"/>
        <v xml:space="preserve">Creencia, Rod Shanley Ebale </v>
      </c>
      <c r="F63" s="202" t="str">
        <f t="shared" si="1"/>
        <v xml:space="preserve">CREENCIA, ROD SHANLEY EBALE </v>
      </c>
      <c r="G63" t="s">
        <v>2199</v>
      </c>
    </row>
    <row r="64" spans="1:7" x14ac:dyDescent="0.25">
      <c r="A64" t="s">
        <v>2091</v>
      </c>
      <c r="B64" t="s">
        <v>2092</v>
      </c>
      <c r="C64" t="s">
        <v>2093</v>
      </c>
      <c r="E64" s="202" t="str">
        <f t="shared" si="0"/>
        <v xml:space="preserve">Amigable, Joewe Seda </v>
      </c>
      <c r="F64" s="202" t="str">
        <f t="shared" si="1"/>
        <v xml:space="preserve">AMIGABLE, JOEWE SEDA </v>
      </c>
      <c r="G64" t="s">
        <v>2200</v>
      </c>
    </row>
    <row r="65" spans="1:7" x14ac:dyDescent="0.25">
      <c r="A65" t="s">
        <v>2094</v>
      </c>
      <c r="B65" t="s">
        <v>2095</v>
      </c>
      <c r="C65" t="s">
        <v>2001</v>
      </c>
      <c r="E65" s="202" t="str">
        <f t="shared" si="0"/>
        <v xml:space="preserve">Malunas, Michael Tillo </v>
      </c>
      <c r="F65" s="202" t="str">
        <f t="shared" si="1"/>
        <v xml:space="preserve">MALUNAS, MICHAEL TILLO </v>
      </c>
      <c r="G65" t="s">
        <v>2201</v>
      </c>
    </row>
    <row r="66" spans="1:7" x14ac:dyDescent="0.25">
      <c r="A66" t="s">
        <v>2094</v>
      </c>
      <c r="B66" t="s">
        <v>2096</v>
      </c>
      <c r="C66" t="s">
        <v>2005</v>
      </c>
      <c r="E66" s="202" t="str">
        <f t="shared" ref="E66:E86" si="2">_xlfn.CONCAT(A66,", ",B66," ",C66," ",D66)</f>
        <v xml:space="preserve">Malunas, Nicholas Picol </v>
      </c>
      <c r="F66" s="202" t="str">
        <f t="shared" ref="F66:F86" si="3">UPPER(E66)</f>
        <v xml:space="preserve">MALUNAS, NICHOLAS PICOL </v>
      </c>
      <c r="G66" t="s">
        <v>2202</v>
      </c>
    </row>
    <row r="67" spans="1:7" x14ac:dyDescent="0.25">
      <c r="A67" t="s">
        <v>1980</v>
      </c>
      <c r="B67" t="s">
        <v>2097</v>
      </c>
      <c r="C67" t="s">
        <v>2098</v>
      </c>
      <c r="E67" s="202" t="str">
        <f t="shared" si="2"/>
        <v xml:space="preserve">Gabradilla, Daylinda Espinosa </v>
      </c>
      <c r="F67" s="202" t="str">
        <f t="shared" si="3"/>
        <v xml:space="preserve">GABRADILLA, DAYLINDA ESPINOSA </v>
      </c>
      <c r="G67" t="s">
        <v>2203</v>
      </c>
    </row>
    <row r="68" spans="1:7" x14ac:dyDescent="0.25">
      <c r="A68" t="s">
        <v>2099</v>
      </c>
      <c r="B68" t="s">
        <v>2100</v>
      </c>
      <c r="C68" t="s">
        <v>2101</v>
      </c>
      <c r="D68" t="s">
        <v>1997</v>
      </c>
      <c r="E68" s="202" t="str">
        <f t="shared" si="2"/>
        <v>Hilaria, Reynante Pasaylo Jr.</v>
      </c>
      <c r="F68" s="202" t="str">
        <f t="shared" si="3"/>
        <v>HILARIA, REYNANTE PASAYLO JR.</v>
      </c>
      <c r="G68" t="s">
        <v>2204</v>
      </c>
    </row>
    <row r="69" spans="1:7" x14ac:dyDescent="0.25">
      <c r="A69" t="s">
        <v>1976</v>
      </c>
      <c r="B69" t="s">
        <v>2102</v>
      </c>
      <c r="C69" t="s">
        <v>2103</v>
      </c>
      <c r="E69" s="202" t="str">
        <f t="shared" si="2"/>
        <v xml:space="preserve">Petilo, Jemmar Hinulos </v>
      </c>
      <c r="F69" s="202" t="str">
        <f t="shared" si="3"/>
        <v xml:space="preserve">PETILO, JEMMAR HINULOS </v>
      </c>
      <c r="G69" t="s">
        <v>2205</v>
      </c>
    </row>
    <row r="70" spans="1:7" x14ac:dyDescent="0.25">
      <c r="A70" t="s">
        <v>2005</v>
      </c>
      <c r="B70" t="s">
        <v>2104</v>
      </c>
      <c r="C70" t="s">
        <v>2007</v>
      </c>
      <c r="D70" t="s">
        <v>1997</v>
      </c>
      <c r="E70" s="202" t="str">
        <f t="shared" si="2"/>
        <v>Picol, Bryan Llanto Jr.</v>
      </c>
      <c r="F70" s="202" t="str">
        <f t="shared" si="3"/>
        <v>PICOL, BRYAN LLANTO JR.</v>
      </c>
      <c r="G70" t="s">
        <v>2206</v>
      </c>
    </row>
    <row r="71" spans="1:7" x14ac:dyDescent="0.25">
      <c r="A71" t="s">
        <v>2105</v>
      </c>
      <c r="B71" t="s">
        <v>2106</v>
      </c>
      <c r="C71" t="s">
        <v>2107</v>
      </c>
      <c r="E71" s="202" t="str">
        <f t="shared" si="2"/>
        <v xml:space="preserve">Pegarro, Alrem Cawali </v>
      </c>
      <c r="F71" s="202" t="str">
        <f t="shared" si="3"/>
        <v xml:space="preserve">PEGARRO, ALREM CAWALI </v>
      </c>
      <c r="G71" t="s">
        <v>2207</v>
      </c>
    </row>
    <row r="72" spans="1:7" x14ac:dyDescent="0.25">
      <c r="A72" t="s">
        <v>1980</v>
      </c>
      <c r="B72" t="s">
        <v>2108</v>
      </c>
      <c r="C72" t="s">
        <v>2109</v>
      </c>
      <c r="E72" s="202" t="str">
        <f t="shared" si="2"/>
        <v xml:space="preserve">Gabradilla, Arlyn Amadora </v>
      </c>
      <c r="F72" s="202" t="str">
        <f t="shared" si="3"/>
        <v xml:space="preserve">GABRADILLA, ARLYN AMADORA </v>
      </c>
      <c r="G72" t="s">
        <v>2208</v>
      </c>
    </row>
    <row r="73" spans="1:7" x14ac:dyDescent="0.25">
      <c r="A73" t="s">
        <v>1980</v>
      </c>
      <c r="B73" t="s">
        <v>2110</v>
      </c>
      <c r="C73" t="s">
        <v>2098</v>
      </c>
      <c r="E73" s="202" t="str">
        <f t="shared" si="2"/>
        <v xml:space="preserve">Gabradilla, Isidro Espinosa </v>
      </c>
      <c r="F73" s="202" t="str">
        <f t="shared" si="3"/>
        <v xml:space="preserve">GABRADILLA, ISIDRO ESPINOSA </v>
      </c>
      <c r="G73" t="s">
        <v>2209</v>
      </c>
    </row>
    <row r="74" spans="1:7" x14ac:dyDescent="0.25">
      <c r="A74" t="s">
        <v>2111</v>
      </c>
      <c r="B74" t="s">
        <v>2112</v>
      </c>
      <c r="C74" t="s">
        <v>2113</v>
      </c>
      <c r="E74" s="202" t="str">
        <f t="shared" si="2"/>
        <v xml:space="preserve">Pecan, Junel Equibal </v>
      </c>
      <c r="F74" s="202" t="str">
        <f t="shared" si="3"/>
        <v xml:space="preserve">PECAN, JUNEL EQUIBAL </v>
      </c>
      <c r="G74" t="s">
        <v>2210</v>
      </c>
    </row>
    <row r="75" spans="1:7" x14ac:dyDescent="0.25">
      <c r="A75" t="s">
        <v>1974</v>
      </c>
      <c r="B75" t="s">
        <v>2114</v>
      </c>
      <c r="C75" t="s">
        <v>1968</v>
      </c>
      <c r="E75" s="202" t="str">
        <f t="shared" si="2"/>
        <v xml:space="preserve">Roma, Eduardo Noguerra </v>
      </c>
      <c r="F75" s="202" t="str">
        <f t="shared" si="3"/>
        <v xml:space="preserve">ROMA, EDUARDO NOGUERRA </v>
      </c>
      <c r="G75" t="s">
        <v>2211</v>
      </c>
    </row>
    <row r="76" spans="1:7" x14ac:dyDescent="0.25">
      <c r="A76" t="s">
        <v>2115</v>
      </c>
      <c r="B76" t="s">
        <v>2116</v>
      </c>
      <c r="C76" t="s">
        <v>2117</v>
      </c>
      <c r="E76" s="202" t="str">
        <f t="shared" si="2"/>
        <v xml:space="preserve">Sereño, Bartolome Delima </v>
      </c>
      <c r="F76" s="202" t="str">
        <f t="shared" si="3"/>
        <v xml:space="preserve">SEREÑO, BARTOLOME DELIMA </v>
      </c>
      <c r="G76" t="s">
        <v>2212</v>
      </c>
    </row>
    <row r="77" spans="1:7" x14ac:dyDescent="0.25">
      <c r="A77" t="s">
        <v>2118</v>
      </c>
      <c r="B77" t="s">
        <v>2119</v>
      </c>
      <c r="C77" t="s">
        <v>1951</v>
      </c>
      <c r="E77" s="202" t="str">
        <f t="shared" si="2"/>
        <v xml:space="preserve">Bukid, Arnold Manatad </v>
      </c>
      <c r="F77" s="202" t="str">
        <f t="shared" si="3"/>
        <v xml:space="preserve">BUKID, ARNOLD MANATAD </v>
      </c>
      <c r="G77" t="s">
        <v>2213</v>
      </c>
    </row>
    <row r="78" spans="1:7" x14ac:dyDescent="0.25">
      <c r="A78" t="s">
        <v>2089</v>
      </c>
      <c r="B78" t="s">
        <v>2120</v>
      </c>
      <c r="C78" t="s">
        <v>2079</v>
      </c>
      <c r="D78" t="s">
        <v>1997</v>
      </c>
      <c r="E78" s="202" t="str">
        <f t="shared" si="2"/>
        <v>Creencia, Rodolfu Ebale Jr.</v>
      </c>
      <c r="F78" s="202" t="str">
        <f t="shared" si="3"/>
        <v>CREENCIA, RODOLFU EBALE JR.</v>
      </c>
      <c r="G78" t="s">
        <v>2214</v>
      </c>
    </row>
    <row r="79" spans="1:7" x14ac:dyDescent="0.25">
      <c r="A79" t="s">
        <v>2121</v>
      </c>
      <c r="B79" t="s">
        <v>2122</v>
      </c>
      <c r="C79" t="s">
        <v>2123</v>
      </c>
      <c r="E79" s="202" t="str">
        <f t="shared" si="2"/>
        <v xml:space="preserve">Gimena, Jovencio Canonigo </v>
      </c>
      <c r="F79" s="202" t="str">
        <f t="shared" si="3"/>
        <v xml:space="preserve">GIMENA, JOVENCIO CANONIGO </v>
      </c>
      <c r="G79" t="s">
        <v>2215</v>
      </c>
    </row>
    <row r="80" spans="1:7" x14ac:dyDescent="0.25">
      <c r="A80" t="s">
        <v>2121</v>
      </c>
      <c r="B80" t="s">
        <v>2124</v>
      </c>
      <c r="C80" t="s">
        <v>2123</v>
      </c>
      <c r="E80" s="202" t="str">
        <f t="shared" si="2"/>
        <v xml:space="preserve">Gimena, Jovanie Canonigo </v>
      </c>
      <c r="F80" s="202" t="str">
        <f t="shared" si="3"/>
        <v xml:space="preserve">GIMENA, JOVANIE CANONIGO </v>
      </c>
      <c r="G80" t="s">
        <v>2216</v>
      </c>
    </row>
    <row r="81" spans="1:7" x14ac:dyDescent="0.25">
      <c r="A81" t="s">
        <v>2094</v>
      </c>
      <c r="B81" t="s">
        <v>2125</v>
      </c>
      <c r="C81" t="s">
        <v>2126</v>
      </c>
      <c r="E81" s="202" t="str">
        <f t="shared" si="2"/>
        <v xml:space="preserve">Malunas, Junrey Plaza </v>
      </c>
      <c r="F81" s="202" t="str">
        <f t="shared" si="3"/>
        <v xml:space="preserve">MALUNAS, JUNREY PLAZA </v>
      </c>
      <c r="G81" t="s">
        <v>2217</v>
      </c>
    </row>
    <row r="82" spans="1:7" x14ac:dyDescent="0.25">
      <c r="A82" t="s">
        <v>2127</v>
      </c>
      <c r="B82" t="s">
        <v>2128</v>
      </c>
      <c r="C82" t="s">
        <v>2118</v>
      </c>
      <c r="E82" s="202" t="str">
        <f t="shared" si="2"/>
        <v xml:space="preserve">Ortiz, Joy Bukid </v>
      </c>
      <c r="F82" s="202" t="str">
        <f t="shared" si="3"/>
        <v xml:space="preserve">ORTIZ, JOY BUKID </v>
      </c>
      <c r="G82" t="s">
        <v>2218</v>
      </c>
    </row>
    <row r="83" spans="1:7" x14ac:dyDescent="0.25">
      <c r="A83" t="s">
        <v>2127</v>
      </c>
      <c r="B83" t="s">
        <v>2129</v>
      </c>
      <c r="C83" t="s">
        <v>2118</v>
      </c>
      <c r="E83" s="202" t="str">
        <f t="shared" si="2"/>
        <v xml:space="preserve">Ortiz, Jojo Bukid </v>
      </c>
      <c r="F83" s="202" t="str">
        <f t="shared" si="3"/>
        <v xml:space="preserve">ORTIZ, JOJO BUKID </v>
      </c>
      <c r="G83" t="s">
        <v>2219</v>
      </c>
    </row>
    <row r="84" spans="1:7" x14ac:dyDescent="0.25">
      <c r="A84" t="s">
        <v>2130</v>
      </c>
      <c r="B84" t="s">
        <v>2131</v>
      </c>
      <c r="C84" t="s">
        <v>2118</v>
      </c>
      <c r="E84" s="202" t="str">
        <f t="shared" si="2"/>
        <v xml:space="preserve">Presente, Elma Bukid </v>
      </c>
      <c r="F84" s="202" t="str">
        <f t="shared" si="3"/>
        <v xml:space="preserve">PRESENTE, ELMA BUKID </v>
      </c>
      <c r="G84" t="s">
        <v>2220</v>
      </c>
    </row>
    <row r="85" spans="1:7" x14ac:dyDescent="0.25">
      <c r="A85" t="s">
        <v>2132</v>
      </c>
      <c r="B85" t="s">
        <v>2133</v>
      </c>
      <c r="C85" t="s">
        <v>2134</v>
      </c>
      <c r="E85" s="202" t="str">
        <f t="shared" si="2"/>
        <v xml:space="preserve">Simeon , Romel Polinio </v>
      </c>
      <c r="F85" s="202" t="str">
        <f t="shared" si="3"/>
        <v xml:space="preserve">SIMEON , ROMEL POLINIO </v>
      </c>
      <c r="G85" t="s">
        <v>2221</v>
      </c>
    </row>
    <row r="86" spans="1:7" x14ac:dyDescent="0.25">
      <c r="A86" t="s">
        <v>2135</v>
      </c>
      <c r="B86" t="s">
        <v>2136</v>
      </c>
      <c r="C86" t="s">
        <v>1980</v>
      </c>
      <c r="E86" s="202" t="str">
        <f t="shared" si="2"/>
        <v xml:space="preserve">Eder, Limuel Gabradilla </v>
      </c>
      <c r="F86" s="202" t="str">
        <f t="shared" si="3"/>
        <v xml:space="preserve">EDER, LIMUEL GABRADILLA </v>
      </c>
      <c r="G86" t="s">
        <v>2222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54"/>
  <sheetViews>
    <sheetView topLeftCell="A25" workbookViewId="0">
      <selection activeCell="C32" sqref="C32"/>
    </sheetView>
  </sheetViews>
  <sheetFormatPr defaultRowHeight="15" x14ac:dyDescent="0.25"/>
  <cols>
    <col min="3" max="3" width="20.140625" customWidth="1"/>
    <col min="9" max="9" width="16.7109375" customWidth="1"/>
  </cols>
  <sheetData>
    <row r="1" spans="1:9" x14ac:dyDescent="0.25">
      <c r="A1" s="66"/>
      <c r="B1" s="67"/>
      <c r="C1" s="67"/>
      <c r="D1" s="67"/>
      <c r="E1" s="67"/>
      <c r="F1" s="67"/>
      <c r="G1" s="67"/>
      <c r="H1" s="67"/>
      <c r="I1" s="68"/>
    </row>
    <row r="2" spans="1:9" x14ac:dyDescent="0.25">
      <c r="A2" s="69"/>
      <c r="B2" s="217" t="s">
        <v>1385</v>
      </c>
      <c r="C2" s="218"/>
      <c r="D2" s="218"/>
      <c r="E2" s="218"/>
      <c r="F2" s="218"/>
      <c r="G2" s="218"/>
      <c r="H2" s="218"/>
      <c r="I2" s="219"/>
    </row>
    <row r="3" spans="1:9" x14ac:dyDescent="0.25">
      <c r="A3" s="69"/>
      <c r="B3" s="220"/>
      <c r="C3" s="220"/>
      <c r="D3" s="220"/>
      <c r="E3" s="220"/>
      <c r="F3" s="220"/>
      <c r="G3" s="220"/>
      <c r="H3" s="220"/>
      <c r="I3" s="221"/>
    </row>
    <row r="4" spans="1:9" x14ac:dyDescent="0.25">
      <c r="A4" s="70"/>
      <c r="B4" s="71"/>
      <c r="C4" s="71"/>
      <c r="D4" s="71"/>
      <c r="E4" s="71"/>
      <c r="F4" s="71"/>
      <c r="G4" s="71"/>
      <c r="H4" s="71"/>
      <c r="I4" s="72"/>
    </row>
    <row r="5" spans="1:9" x14ac:dyDescent="0.25">
      <c r="A5" s="222" t="s">
        <v>1386</v>
      </c>
      <c r="B5" s="223"/>
      <c r="C5" s="223"/>
      <c r="D5" s="223"/>
      <c r="E5" s="223"/>
      <c r="F5" s="223"/>
      <c r="G5" s="223"/>
      <c r="H5" s="223"/>
      <c r="I5" s="224"/>
    </row>
    <row r="6" spans="1:9" x14ac:dyDescent="0.25">
      <c r="A6" s="69"/>
      <c r="I6" s="73"/>
    </row>
    <row r="7" spans="1:9" x14ac:dyDescent="0.25">
      <c r="A7" s="69"/>
      <c r="B7" t="s">
        <v>1387</v>
      </c>
      <c r="I7" s="73"/>
    </row>
    <row r="8" spans="1:9" x14ac:dyDescent="0.25">
      <c r="A8" s="69"/>
      <c r="C8" s="74"/>
      <c r="D8" s="75"/>
      <c r="E8" s="75"/>
      <c r="F8" s="75"/>
      <c r="G8" s="75"/>
      <c r="I8" s="73"/>
    </row>
    <row r="9" spans="1:9" x14ac:dyDescent="0.25">
      <c r="A9" s="69"/>
      <c r="C9" s="76" t="s">
        <v>1388</v>
      </c>
      <c r="D9" s="76"/>
      <c r="E9" s="76"/>
      <c r="I9" s="73"/>
    </row>
    <row r="10" spans="1:9" x14ac:dyDescent="0.25">
      <c r="A10" s="69"/>
      <c r="C10" s="75"/>
      <c r="D10" s="75"/>
      <c r="E10" s="75"/>
      <c r="F10" s="75"/>
      <c r="G10" s="75"/>
      <c r="I10" s="73"/>
    </row>
    <row r="11" spans="1:9" x14ac:dyDescent="0.25">
      <c r="A11" s="69"/>
      <c r="C11" s="76" t="s">
        <v>1389</v>
      </c>
      <c r="D11" s="76"/>
      <c r="I11" s="73"/>
    </row>
    <row r="12" spans="1:9" x14ac:dyDescent="0.25">
      <c r="A12" s="69"/>
      <c r="I12" s="73"/>
    </row>
    <row r="13" spans="1:9" x14ac:dyDescent="0.25">
      <c r="A13" s="225" t="s">
        <v>1390</v>
      </c>
      <c r="B13" s="226"/>
      <c r="C13" s="226"/>
      <c r="D13" s="226"/>
      <c r="E13" s="226"/>
      <c r="F13" s="226"/>
      <c r="G13" s="226"/>
      <c r="H13" s="226"/>
      <c r="I13" s="227"/>
    </row>
    <row r="14" spans="1:9" x14ac:dyDescent="0.25">
      <c r="A14" s="225" t="s">
        <v>1391</v>
      </c>
      <c r="B14" s="226"/>
      <c r="C14" s="226"/>
      <c r="D14" s="226"/>
      <c r="E14" s="226"/>
      <c r="F14" s="226"/>
      <c r="G14" s="226"/>
      <c r="H14" s="226"/>
      <c r="I14" s="227"/>
    </row>
    <row r="15" spans="1:9" x14ac:dyDescent="0.25">
      <c r="A15" s="69"/>
      <c r="I15" s="73"/>
    </row>
    <row r="16" spans="1:9" ht="15" customHeight="1" x14ac:dyDescent="0.25">
      <c r="A16" s="69"/>
      <c r="C16" t="s">
        <v>1392</v>
      </c>
      <c r="D16" s="229" t="s">
        <v>1945</v>
      </c>
      <c r="E16" s="229"/>
      <c r="F16" s="229"/>
      <c r="G16" s="229"/>
      <c r="H16" s="229"/>
      <c r="I16" s="73"/>
    </row>
    <row r="17" spans="1:9" x14ac:dyDescent="0.25">
      <c r="A17" s="69"/>
      <c r="D17" s="229"/>
      <c r="E17" s="229"/>
      <c r="F17" s="229"/>
      <c r="G17" s="229"/>
      <c r="H17" s="229"/>
      <c r="I17" s="73"/>
    </row>
    <row r="18" spans="1:9" x14ac:dyDescent="0.25">
      <c r="A18" s="69"/>
      <c r="D18" s="229"/>
      <c r="E18" s="229"/>
      <c r="F18" s="229"/>
      <c r="G18" s="229"/>
      <c r="H18" s="229"/>
      <c r="I18" s="73"/>
    </row>
    <row r="19" spans="1:9" x14ac:dyDescent="0.25">
      <c r="A19" s="69"/>
      <c r="D19" s="229"/>
      <c r="E19" s="229"/>
      <c r="F19" s="229"/>
      <c r="G19" s="229"/>
      <c r="H19" s="229"/>
      <c r="I19" s="73"/>
    </row>
    <row r="20" spans="1:9" x14ac:dyDescent="0.25">
      <c r="A20" s="69"/>
      <c r="C20" t="s">
        <v>1393</v>
      </c>
      <c r="E20" s="228"/>
      <c r="F20" s="228"/>
      <c r="G20" s="75"/>
      <c r="H20" s="75"/>
      <c r="I20" s="73"/>
    </row>
    <row r="21" spans="1:9" x14ac:dyDescent="0.25">
      <c r="A21" s="69"/>
      <c r="I21" s="73"/>
    </row>
    <row r="22" spans="1:9" x14ac:dyDescent="0.25">
      <c r="A22" s="69"/>
      <c r="C22" t="s">
        <v>1394</v>
      </c>
      <c r="D22" s="230" t="str">
        <f>SpellNumber(C25)</f>
        <v xml:space="preserve">Five Million Nine Hundred Fifty Five Thousand Six Hundred Fifty One Pesos Only </v>
      </c>
      <c r="E22" s="230"/>
      <c r="F22" s="230"/>
      <c r="G22" s="230"/>
      <c r="H22" s="230"/>
      <c r="I22" s="73"/>
    </row>
    <row r="23" spans="1:9" x14ac:dyDescent="0.25">
      <c r="A23" s="69"/>
      <c r="D23" s="230"/>
      <c r="E23" s="230"/>
      <c r="F23" s="230"/>
      <c r="G23" s="230"/>
      <c r="H23" s="230"/>
      <c r="I23" s="73"/>
    </row>
    <row r="24" spans="1:9" x14ac:dyDescent="0.25">
      <c r="A24" s="69"/>
      <c r="I24" s="73"/>
    </row>
    <row r="25" spans="1:9" x14ac:dyDescent="0.25">
      <c r="A25" s="69"/>
      <c r="C25" s="201">
        <f>BAROBO!G1572</f>
        <v>5955651</v>
      </c>
      <c r="I25" s="73"/>
    </row>
    <row r="26" spans="1:9" x14ac:dyDescent="0.25">
      <c r="A26" s="69"/>
      <c r="F26" t="s">
        <v>1383</v>
      </c>
      <c r="I26" s="73"/>
    </row>
    <row r="27" spans="1:9" x14ac:dyDescent="0.25">
      <c r="A27" s="69"/>
      <c r="B27" t="s">
        <v>1395</v>
      </c>
      <c r="F27" t="s">
        <v>1396</v>
      </c>
      <c r="I27" s="73"/>
    </row>
    <row r="28" spans="1:9" x14ac:dyDescent="0.25">
      <c r="A28" s="69"/>
      <c r="B28" s="74"/>
      <c r="C28" s="75"/>
      <c r="D28" s="75"/>
      <c r="F28" s="74"/>
      <c r="G28" s="75"/>
      <c r="H28" s="75"/>
      <c r="I28" s="73"/>
    </row>
    <row r="29" spans="1:9" ht="15.75" thickBot="1" x14ac:dyDescent="0.3">
      <c r="A29" s="69"/>
      <c r="B29" s="76" t="s">
        <v>1397</v>
      </c>
      <c r="C29" s="76"/>
      <c r="F29" s="76" t="s">
        <v>1398</v>
      </c>
      <c r="G29" s="76"/>
      <c r="H29" s="76"/>
      <c r="I29" s="73"/>
    </row>
    <row r="30" spans="1:9" x14ac:dyDescent="0.25">
      <c r="A30" s="66"/>
      <c r="B30" s="67"/>
      <c r="C30" s="67"/>
      <c r="D30" s="67"/>
      <c r="E30" s="67"/>
      <c r="F30" s="67"/>
      <c r="G30" s="67"/>
      <c r="H30" s="67"/>
      <c r="I30" s="68"/>
    </row>
    <row r="31" spans="1:9" x14ac:dyDescent="0.25">
      <c r="A31" s="222" t="s">
        <v>1399</v>
      </c>
      <c r="B31" s="223"/>
      <c r="C31" s="223"/>
      <c r="D31" s="223"/>
      <c r="E31" s="223"/>
      <c r="F31" s="223"/>
      <c r="G31" s="223"/>
      <c r="H31" s="223"/>
      <c r="I31" s="224"/>
    </row>
    <row r="32" spans="1:9" x14ac:dyDescent="0.25">
      <c r="A32" s="69"/>
      <c r="I32" s="73"/>
    </row>
    <row r="33" spans="1:9" x14ac:dyDescent="0.25">
      <c r="A33" s="69"/>
      <c r="B33" t="s">
        <v>1400</v>
      </c>
      <c r="F33" s="75"/>
      <c r="G33" s="75"/>
      <c r="H33" s="75"/>
      <c r="I33" s="73"/>
    </row>
    <row r="34" spans="1:9" x14ac:dyDescent="0.25">
      <c r="A34" s="69"/>
      <c r="B34" t="s">
        <v>1401</v>
      </c>
      <c r="F34" s="77"/>
      <c r="G34" s="77"/>
      <c r="H34" s="77"/>
      <c r="I34" s="73"/>
    </row>
    <row r="35" spans="1:9" x14ac:dyDescent="0.25">
      <c r="A35" s="69"/>
      <c r="B35" t="s">
        <v>1402</v>
      </c>
      <c r="F35" s="77"/>
      <c r="G35" s="77"/>
      <c r="H35" s="77"/>
      <c r="I35" s="73"/>
    </row>
    <row r="36" spans="1:9" x14ac:dyDescent="0.25">
      <c r="A36" s="69"/>
      <c r="B36" t="s">
        <v>1403</v>
      </c>
      <c r="F36" s="77"/>
      <c r="G36" s="77"/>
      <c r="H36" s="77"/>
      <c r="I36" s="73"/>
    </row>
    <row r="37" spans="1:9" x14ac:dyDescent="0.25">
      <c r="A37" s="69"/>
      <c r="I37" s="73"/>
    </row>
    <row r="38" spans="1:9" x14ac:dyDescent="0.25">
      <c r="A38" s="69"/>
      <c r="B38" t="s">
        <v>1404</v>
      </c>
      <c r="F38" t="s">
        <v>1405</v>
      </c>
      <c r="I38" s="73"/>
    </row>
    <row r="39" spans="1:9" x14ac:dyDescent="0.25">
      <c r="A39" s="69"/>
      <c r="I39" s="73"/>
    </row>
    <row r="40" spans="1:9" x14ac:dyDescent="0.25">
      <c r="A40" s="69"/>
      <c r="B40" s="78" t="s">
        <v>1521</v>
      </c>
      <c r="F40" s="79" t="s">
        <v>1513</v>
      </c>
      <c r="I40" s="73"/>
    </row>
    <row r="41" spans="1:9" x14ac:dyDescent="0.25">
      <c r="A41" s="69"/>
      <c r="B41" s="76" t="s">
        <v>1406</v>
      </c>
      <c r="C41" s="76"/>
      <c r="D41" s="76"/>
      <c r="E41" s="76"/>
      <c r="F41" t="s">
        <v>1407</v>
      </c>
      <c r="I41" s="73"/>
    </row>
    <row r="42" spans="1:9" x14ac:dyDescent="0.25">
      <c r="A42" s="205" t="s">
        <v>1408</v>
      </c>
      <c r="B42" s="206"/>
      <c r="C42" s="206"/>
      <c r="D42" s="206"/>
      <c r="E42" s="206"/>
      <c r="F42" s="206"/>
      <c r="G42" s="206"/>
      <c r="H42" s="206"/>
      <c r="I42" s="207"/>
    </row>
    <row r="43" spans="1:9" x14ac:dyDescent="0.25">
      <c r="A43" s="208" t="s">
        <v>1409</v>
      </c>
      <c r="B43" s="209"/>
      <c r="C43" s="209"/>
      <c r="D43" s="209"/>
      <c r="E43" s="209"/>
      <c r="F43" s="209"/>
      <c r="G43" s="209"/>
      <c r="H43" s="209"/>
      <c r="I43" s="210"/>
    </row>
    <row r="44" spans="1:9" x14ac:dyDescent="0.25">
      <c r="A44" s="80"/>
      <c r="B44" s="81"/>
      <c r="C44" s="81"/>
      <c r="D44" s="81"/>
      <c r="E44" s="81"/>
      <c r="F44" s="81"/>
      <c r="G44" s="81"/>
      <c r="H44" s="81"/>
      <c r="I44" s="82"/>
    </row>
    <row r="45" spans="1:9" x14ac:dyDescent="0.25">
      <c r="A45" s="83" t="s">
        <v>1504</v>
      </c>
      <c r="B45" s="81"/>
      <c r="C45" s="81"/>
      <c r="D45" s="81"/>
      <c r="E45" s="81"/>
      <c r="F45" s="81"/>
      <c r="G45" s="81"/>
      <c r="H45" s="81"/>
      <c r="I45" s="82"/>
    </row>
    <row r="46" spans="1:9" x14ac:dyDescent="0.25">
      <c r="A46" s="83" t="s">
        <v>1505</v>
      </c>
      <c r="B46" s="81"/>
      <c r="C46" s="81"/>
      <c r="D46" s="81"/>
      <c r="E46" s="81"/>
      <c r="F46" s="81"/>
      <c r="G46" s="81"/>
      <c r="H46" s="81"/>
      <c r="I46" s="82"/>
    </row>
    <row r="47" spans="1:9" x14ac:dyDescent="0.25">
      <c r="A47" s="83" t="s">
        <v>1506</v>
      </c>
      <c r="B47" s="81"/>
      <c r="C47" s="81"/>
      <c r="D47" s="81"/>
      <c r="E47" s="81"/>
      <c r="F47" s="81"/>
      <c r="G47" s="81"/>
      <c r="H47" s="81"/>
      <c r="I47" s="82"/>
    </row>
    <row r="48" spans="1:9" x14ac:dyDescent="0.25">
      <c r="A48" s="83"/>
      <c r="B48" s="81"/>
      <c r="C48" s="81"/>
      <c r="D48" s="81"/>
      <c r="E48" s="81"/>
      <c r="F48" s="81"/>
      <c r="G48" s="81"/>
      <c r="H48" s="81"/>
      <c r="I48" s="82"/>
    </row>
    <row r="49" spans="1:9" x14ac:dyDescent="0.25">
      <c r="A49" s="83"/>
      <c r="B49" s="81"/>
      <c r="C49" s="81"/>
      <c r="D49" s="81"/>
      <c r="E49" s="81"/>
      <c r="F49" s="81"/>
      <c r="G49" s="81"/>
      <c r="H49" s="81"/>
      <c r="I49" s="82"/>
    </row>
    <row r="50" spans="1:9" x14ac:dyDescent="0.25">
      <c r="A50" s="211" t="s">
        <v>1519</v>
      </c>
      <c r="B50" s="212"/>
      <c r="C50" s="212"/>
      <c r="D50" s="212"/>
      <c r="E50" s="212"/>
      <c r="F50" s="212"/>
      <c r="G50" s="212"/>
      <c r="H50" s="212"/>
      <c r="I50" s="213"/>
    </row>
    <row r="51" spans="1:9" x14ac:dyDescent="0.25">
      <c r="A51" s="214" t="s">
        <v>1520</v>
      </c>
      <c r="B51" s="215"/>
      <c r="C51" s="215"/>
      <c r="D51" s="215"/>
      <c r="E51" s="215"/>
      <c r="F51" s="215"/>
      <c r="G51" s="215"/>
      <c r="H51" s="215"/>
      <c r="I51" s="216"/>
    </row>
    <row r="52" spans="1:9" x14ac:dyDescent="0.25">
      <c r="A52" s="83"/>
      <c r="B52" s="81"/>
      <c r="C52" s="81"/>
      <c r="D52" s="81"/>
      <c r="E52" s="81"/>
      <c r="F52" s="81"/>
      <c r="G52" s="81"/>
      <c r="H52" s="81"/>
      <c r="I52" s="82"/>
    </row>
    <row r="53" spans="1:9" x14ac:dyDescent="0.25">
      <c r="A53" s="83"/>
      <c r="B53" s="81"/>
      <c r="C53" s="81"/>
      <c r="D53" s="81"/>
      <c r="E53" s="81"/>
      <c r="F53" s="81"/>
      <c r="G53" s="81"/>
      <c r="H53" s="81"/>
      <c r="I53" s="82"/>
    </row>
    <row r="54" spans="1:9" ht="15.75" thickBot="1" x14ac:dyDescent="0.3">
      <c r="A54" s="84" t="s">
        <v>1410</v>
      </c>
      <c r="B54" s="85"/>
      <c r="C54" s="85"/>
      <c r="D54" s="85"/>
      <c r="E54" s="85"/>
      <c r="F54" s="85"/>
      <c r="G54" s="85"/>
      <c r="H54" s="85"/>
      <c r="I54" s="86"/>
    </row>
  </sheetData>
  <mergeCells count="12">
    <mergeCell ref="A42:I42"/>
    <mergeCell ref="A43:I43"/>
    <mergeCell ref="A50:I50"/>
    <mergeCell ref="A51:I51"/>
    <mergeCell ref="B2:I3"/>
    <mergeCell ref="A5:I5"/>
    <mergeCell ref="A13:I13"/>
    <mergeCell ref="A14:I14"/>
    <mergeCell ref="E20:F20"/>
    <mergeCell ref="A31:I31"/>
    <mergeCell ref="D16:H19"/>
    <mergeCell ref="D22:H23"/>
  </mergeCells>
  <pageMargins left="0.7" right="0.7" top="0.75" bottom="0.5" header="0.3" footer="0.3"/>
  <pageSetup paperSize="9" scale="87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G1086"/>
  <sheetViews>
    <sheetView workbookViewId="0">
      <selection activeCell="K29" sqref="K29"/>
    </sheetView>
  </sheetViews>
  <sheetFormatPr defaultRowHeight="15" x14ac:dyDescent="0.25"/>
  <cols>
    <col min="1" max="1" width="6.85546875" style="5" customWidth="1"/>
    <col min="2" max="2" width="2.5703125" style="5" customWidth="1"/>
    <col min="3" max="3" width="3.28515625" style="5" customWidth="1"/>
    <col min="4" max="4" width="3.85546875" customWidth="1"/>
    <col min="5" max="5" width="4.140625" customWidth="1"/>
    <col min="6" max="6" width="5.140625" customWidth="1"/>
    <col min="7" max="7" width="3.5703125" customWidth="1"/>
    <col min="8" max="9" width="2.5703125" customWidth="1"/>
    <col min="10" max="10" width="1.85546875" customWidth="1"/>
    <col min="11" max="12" width="2.85546875" customWidth="1"/>
    <col min="13" max="13" width="2.7109375" customWidth="1"/>
    <col min="14" max="14" width="1.85546875" customWidth="1"/>
    <col min="15" max="15" width="2.7109375" customWidth="1"/>
    <col min="16" max="16" width="2.85546875" customWidth="1"/>
    <col min="17" max="17" width="3" customWidth="1"/>
    <col min="18" max="18" width="3.140625" customWidth="1"/>
    <col min="19" max="19" width="2.28515625" customWidth="1"/>
    <col min="20" max="20" width="2.42578125" customWidth="1"/>
    <col min="21" max="21" width="2.5703125" customWidth="1"/>
    <col min="22" max="23" width="2.7109375" customWidth="1"/>
    <col min="24" max="24" width="1.7109375" customWidth="1"/>
    <col min="25" max="25" width="2" customWidth="1"/>
    <col min="26" max="26" width="3.5703125" customWidth="1"/>
    <col min="27" max="27" width="3.42578125" customWidth="1"/>
    <col min="28" max="28" width="4.5703125" customWidth="1"/>
    <col min="29" max="29" width="4.140625" customWidth="1"/>
    <col min="30" max="30" width="4.42578125" customWidth="1"/>
    <col min="31" max="31" width="3.85546875" customWidth="1"/>
    <col min="32" max="32" width="3.7109375" customWidth="1"/>
    <col min="33" max="33" width="9.140625" customWidth="1"/>
  </cols>
  <sheetData>
    <row r="1" spans="1:33" s="11" customFormat="1" ht="30" customHeight="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245" t="s">
        <v>1411</v>
      </c>
      <c r="AC1" s="245"/>
      <c r="AD1" s="245"/>
      <c r="AE1" s="245"/>
      <c r="AF1" s="245"/>
      <c r="AG1" s="245"/>
    </row>
    <row r="2" spans="1:33" ht="20.100000000000001" customHeight="1" thickBot="1" x14ac:dyDescent="0.3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8"/>
      <c r="AC2" s="87"/>
      <c r="AD2" s="87"/>
      <c r="AE2" s="87"/>
      <c r="AF2" s="87"/>
      <c r="AG2" s="87"/>
    </row>
    <row r="3" spans="1:33" ht="20.100000000000001" customHeight="1" x14ac:dyDescent="0.25">
      <c r="A3" s="246" t="str">
        <f>[1]ORS!$A$4:$J$4</f>
        <v>Department of Social Welfare and Development</v>
      </c>
      <c r="B3" s="247"/>
      <c r="C3" s="247"/>
      <c r="D3" s="247"/>
      <c r="E3" s="247"/>
      <c r="F3" s="247"/>
      <c r="G3" s="247"/>
      <c r="H3" s="247"/>
      <c r="I3" s="247"/>
      <c r="J3" s="247"/>
      <c r="K3" s="247"/>
      <c r="L3" s="247"/>
      <c r="M3" s="247"/>
      <c r="N3" s="247"/>
      <c r="O3" s="247"/>
      <c r="P3" s="247"/>
      <c r="Q3" s="247"/>
      <c r="R3" s="247"/>
      <c r="S3" s="247"/>
      <c r="T3" s="247"/>
      <c r="U3" s="247"/>
      <c r="V3" s="247"/>
      <c r="W3" s="247"/>
      <c r="X3" s="247"/>
      <c r="Y3" s="247"/>
      <c r="Z3" s="247"/>
      <c r="AA3" s="248"/>
      <c r="AB3" s="249" t="s">
        <v>1412</v>
      </c>
      <c r="AC3" s="250"/>
      <c r="AD3" s="250"/>
      <c r="AE3" s="250"/>
      <c r="AF3" s="250"/>
      <c r="AG3" s="251"/>
    </row>
    <row r="4" spans="1:33" ht="20.100000000000001" customHeight="1" x14ac:dyDescent="0.25">
      <c r="A4" s="252" t="str">
        <f>[1]ORS!$A$5:$J$5</f>
        <v>Capitol Site, Butuan City</v>
      </c>
      <c r="B4" s="253"/>
      <c r="C4" s="253"/>
      <c r="D4" s="253"/>
      <c r="E4" s="253"/>
      <c r="F4" s="253"/>
      <c r="G4" s="253"/>
      <c r="H4" s="253"/>
      <c r="I4" s="253"/>
      <c r="J4" s="253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3"/>
      <c r="V4" s="253"/>
      <c r="W4" s="253"/>
      <c r="X4" s="253"/>
      <c r="Y4" s="253"/>
      <c r="Z4" s="253"/>
      <c r="AA4" s="254"/>
      <c r="AB4" s="255"/>
      <c r="AC4" s="256"/>
      <c r="AD4" s="256"/>
      <c r="AE4" s="256"/>
      <c r="AF4" s="256"/>
      <c r="AG4" s="257"/>
    </row>
    <row r="5" spans="1:33" ht="20.100000000000001" customHeight="1" x14ac:dyDescent="0.25">
      <c r="A5" s="231" t="s">
        <v>1413</v>
      </c>
      <c r="B5" s="232"/>
      <c r="C5" s="232"/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2"/>
      <c r="O5" s="232"/>
      <c r="P5" s="232"/>
      <c r="Q5" s="232"/>
      <c r="R5" s="232"/>
      <c r="S5" s="232"/>
      <c r="T5" s="232"/>
      <c r="U5" s="232"/>
      <c r="V5" s="232"/>
      <c r="W5" s="232"/>
      <c r="X5" s="232"/>
      <c r="Y5" s="232"/>
      <c r="Z5" s="232"/>
      <c r="AA5" s="233"/>
      <c r="AB5" s="237" t="s">
        <v>1414</v>
      </c>
      <c r="AC5" s="238"/>
      <c r="AD5" s="238"/>
      <c r="AE5" s="238"/>
      <c r="AF5" s="238"/>
      <c r="AG5" s="239"/>
    </row>
    <row r="6" spans="1:33" ht="20.100000000000001" customHeight="1" x14ac:dyDescent="0.25">
      <c r="A6" s="231"/>
      <c r="B6" s="232"/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232"/>
      <c r="Z6" s="232"/>
      <c r="AA6" s="233"/>
      <c r="AB6" s="240" t="s">
        <v>1415</v>
      </c>
      <c r="AC6" s="241"/>
      <c r="AD6" s="241"/>
      <c r="AE6" s="241"/>
      <c r="AF6" s="241"/>
      <c r="AG6" s="242"/>
    </row>
    <row r="7" spans="1:33" ht="20.100000000000001" customHeight="1" thickBot="1" x14ac:dyDescent="0.3">
      <c r="A7" s="234"/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  <c r="T7" s="235"/>
      <c r="U7" s="235"/>
      <c r="V7" s="235"/>
      <c r="W7" s="235"/>
      <c r="X7" s="235"/>
      <c r="Y7" s="235"/>
      <c r="Z7" s="235"/>
      <c r="AA7" s="236"/>
      <c r="AB7" s="243"/>
      <c r="AC7" s="243"/>
      <c r="AD7" s="243"/>
      <c r="AE7" s="243"/>
      <c r="AF7" s="243"/>
      <c r="AG7" s="244"/>
    </row>
    <row r="8" spans="1:33" ht="20.100000000000001" customHeight="1" x14ac:dyDescent="0.25">
      <c r="A8" s="258" t="s">
        <v>1416</v>
      </c>
      <c r="B8" s="259"/>
      <c r="C8" s="260"/>
      <c r="D8" s="89"/>
      <c r="E8" s="267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8"/>
      <c r="V8" s="268"/>
      <c r="W8" s="268"/>
      <c r="X8" s="268"/>
      <c r="Y8" s="268"/>
      <c r="Z8" s="268"/>
      <c r="AA8" s="268"/>
      <c r="AB8" s="268"/>
      <c r="AC8" s="268"/>
      <c r="AD8" s="268"/>
      <c r="AE8" s="268"/>
      <c r="AF8" s="268"/>
      <c r="AG8" s="269"/>
    </row>
    <row r="9" spans="1:33" ht="20.100000000000001" customHeight="1" x14ac:dyDescent="0.25">
      <c r="A9" s="261"/>
      <c r="B9" s="262"/>
      <c r="C9" s="263"/>
      <c r="D9" s="87"/>
      <c r="E9" s="90"/>
      <c r="F9" s="91"/>
      <c r="G9" s="92"/>
      <c r="H9" s="87" t="s">
        <v>1417</v>
      </c>
      <c r="I9" s="87"/>
      <c r="J9" s="87"/>
      <c r="K9" s="87"/>
      <c r="L9" s="92"/>
      <c r="M9" s="87" t="s">
        <v>1418</v>
      </c>
      <c r="N9" s="91"/>
      <c r="O9" s="87"/>
      <c r="P9" s="87"/>
      <c r="Q9" s="87"/>
      <c r="R9" s="87"/>
      <c r="S9" s="92"/>
      <c r="T9" s="87" t="s">
        <v>1419</v>
      </c>
      <c r="U9" s="91"/>
      <c r="V9" s="87"/>
      <c r="W9" s="92"/>
      <c r="X9" s="87" t="s">
        <v>1420</v>
      </c>
      <c r="Y9" s="87"/>
      <c r="Z9" s="93"/>
      <c r="AA9" s="93"/>
      <c r="AB9" s="93"/>
      <c r="AC9" s="87"/>
      <c r="AD9" s="87"/>
      <c r="AE9" s="91"/>
      <c r="AF9" s="91"/>
      <c r="AG9" s="94"/>
    </row>
    <row r="10" spans="1:33" ht="20.100000000000001" customHeight="1" thickBot="1" x14ac:dyDescent="0.3">
      <c r="A10" s="264"/>
      <c r="B10" s="265"/>
      <c r="C10" s="266"/>
      <c r="D10" s="95"/>
      <c r="E10" s="96"/>
      <c r="F10" s="97"/>
      <c r="G10" s="97"/>
      <c r="H10" s="97"/>
      <c r="I10" s="95"/>
      <c r="J10" s="270"/>
      <c r="K10" s="270"/>
      <c r="L10" s="270"/>
      <c r="M10" s="270"/>
      <c r="N10" s="97"/>
      <c r="O10" s="270"/>
      <c r="P10" s="270"/>
      <c r="Q10" s="270"/>
      <c r="R10" s="270"/>
      <c r="S10" s="270"/>
      <c r="T10" s="270"/>
      <c r="U10" s="97"/>
      <c r="V10" s="97"/>
      <c r="W10" s="97"/>
      <c r="X10" s="97"/>
      <c r="Y10" s="97"/>
      <c r="Z10" s="97"/>
      <c r="AA10" s="98" t="s">
        <v>1421</v>
      </c>
      <c r="AB10" s="97"/>
      <c r="AC10" s="97"/>
      <c r="AD10" s="97"/>
      <c r="AE10" s="97"/>
      <c r="AF10" s="97"/>
      <c r="AG10" s="99"/>
    </row>
    <row r="11" spans="1:33" ht="20.100000000000001" customHeight="1" x14ac:dyDescent="0.25">
      <c r="A11" s="258" t="s">
        <v>1422</v>
      </c>
      <c r="B11" s="259"/>
      <c r="C11" s="260"/>
      <c r="D11" s="100"/>
      <c r="E11" s="271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60"/>
      <c r="S11" s="273" t="s">
        <v>1423</v>
      </c>
      <c r="T11" s="268"/>
      <c r="U11" s="268"/>
      <c r="V11" s="268"/>
      <c r="W11" s="268"/>
      <c r="X11" s="268"/>
      <c r="Y11" s="268"/>
      <c r="Z11" s="268"/>
      <c r="AA11" s="274"/>
      <c r="AB11" s="275" t="s">
        <v>1424</v>
      </c>
      <c r="AC11" s="276"/>
      <c r="AD11" s="276"/>
      <c r="AE11" s="276"/>
      <c r="AF11" s="276"/>
      <c r="AG11" s="277"/>
    </row>
    <row r="12" spans="1:33" ht="20.100000000000001" customHeight="1" x14ac:dyDescent="0.25">
      <c r="A12" s="261"/>
      <c r="B12" s="262"/>
      <c r="C12" s="263"/>
      <c r="D12" s="87"/>
      <c r="E12" s="27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3"/>
      <c r="S12" s="278"/>
      <c r="T12" s="279"/>
      <c r="U12" s="279"/>
      <c r="V12" s="279"/>
      <c r="W12" s="279"/>
      <c r="X12" s="279"/>
      <c r="Y12" s="279"/>
      <c r="Z12" s="279"/>
      <c r="AA12" s="280"/>
      <c r="AB12" s="281"/>
      <c r="AC12" s="282"/>
      <c r="AD12" s="282"/>
      <c r="AE12" s="282"/>
      <c r="AF12" s="282"/>
      <c r="AG12" s="283"/>
    </row>
    <row r="13" spans="1:33" ht="20.100000000000001" customHeight="1" x14ac:dyDescent="0.25">
      <c r="A13" s="285" t="s">
        <v>1425</v>
      </c>
      <c r="B13" s="286"/>
      <c r="C13" s="287"/>
      <c r="D13" s="87"/>
      <c r="E13" s="291" t="s">
        <v>1426</v>
      </c>
      <c r="F13" s="286"/>
      <c r="G13" s="286"/>
      <c r="H13" s="286"/>
      <c r="I13" s="286"/>
      <c r="J13" s="286"/>
      <c r="K13" s="286"/>
      <c r="L13" s="286"/>
      <c r="M13" s="286"/>
      <c r="N13" s="286"/>
      <c r="O13" s="286"/>
      <c r="P13" s="286"/>
      <c r="Q13" s="286"/>
      <c r="R13" s="286"/>
      <c r="S13" s="286"/>
      <c r="T13" s="286"/>
      <c r="U13" s="286"/>
      <c r="V13" s="287"/>
      <c r="W13" s="293" t="s">
        <v>1427</v>
      </c>
      <c r="X13" s="294"/>
      <c r="Y13" s="294"/>
      <c r="Z13" s="294"/>
      <c r="AA13" s="294"/>
      <c r="AB13" s="294"/>
      <c r="AC13" s="294"/>
      <c r="AD13" s="294"/>
      <c r="AE13" s="294"/>
      <c r="AF13" s="294"/>
      <c r="AG13" s="295"/>
    </row>
    <row r="14" spans="1:33" ht="20.100000000000001" customHeight="1" thickBot="1" x14ac:dyDescent="0.3">
      <c r="A14" s="288"/>
      <c r="B14" s="289"/>
      <c r="C14" s="290"/>
      <c r="D14" s="95"/>
      <c r="E14" s="292"/>
      <c r="F14" s="289"/>
      <c r="G14" s="289"/>
      <c r="H14" s="289"/>
      <c r="I14" s="289"/>
      <c r="J14" s="289"/>
      <c r="K14" s="289"/>
      <c r="L14" s="289"/>
      <c r="M14" s="289"/>
      <c r="N14" s="289"/>
      <c r="O14" s="289"/>
      <c r="P14" s="289"/>
      <c r="Q14" s="289"/>
      <c r="R14" s="289"/>
      <c r="S14" s="289"/>
      <c r="T14" s="289"/>
      <c r="U14" s="289"/>
      <c r="V14" s="290"/>
      <c r="W14" s="296"/>
      <c r="X14" s="297"/>
      <c r="Y14" s="297"/>
      <c r="Z14" s="297"/>
      <c r="AA14" s="297"/>
      <c r="AB14" s="297"/>
      <c r="AC14" s="297"/>
      <c r="AD14" s="297"/>
      <c r="AE14" s="297"/>
      <c r="AF14" s="297"/>
      <c r="AG14" s="297"/>
    </row>
    <row r="15" spans="1:33" ht="20.100000000000001" customHeight="1" x14ac:dyDescent="0.25">
      <c r="A15" s="298" t="s">
        <v>1428</v>
      </c>
      <c r="B15" s="299"/>
      <c r="C15" s="299"/>
      <c r="D15" s="299"/>
      <c r="E15" s="299"/>
      <c r="F15" s="299"/>
      <c r="G15" s="299"/>
      <c r="H15" s="299"/>
      <c r="I15" s="299"/>
      <c r="J15" s="299"/>
      <c r="K15" s="299"/>
      <c r="L15" s="299"/>
      <c r="M15" s="299"/>
      <c r="N15" s="299"/>
      <c r="O15" s="299"/>
      <c r="P15" s="299"/>
      <c r="Q15" s="300"/>
      <c r="R15" s="301" t="s">
        <v>1429</v>
      </c>
      <c r="S15" s="302"/>
      <c r="T15" s="302"/>
      <c r="U15" s="302"/>
      <c r="V15" s="303"/>
      <c r="W15" s="304" t="s">
        <v>1430</v>
      </c>
      <c r="X15" s="305"/>
      <c r="Y15" s="305"/>
      <c r="Z15" s="305"/>
      <c r="AA15" s="306"/>
      <c r="AB15" s="304" t="s">
        <v>1431</v>
      </c>
      <c r="AC15" s="305"/>
      <c r="AD15" s="305"/>
      <c r="AE15" s="305"/>
      <c r="AF15" s="305"/>
      <c r="AG15" s="307"/>
    </row>
    <row r="16" spans="1:33" ht="20.100000000000001" customHeight="1" x14ac:dyDescent="0.25">
      <c r="A16" s="308" t="str">
        <f>'request for CA'!D16</f>
        <v>CA re: Risk Resiliency Program thru Cash for Training and Work (RRP-CFTW) in the Municipality of Loreto, Agusan del Sur</v>
      </c>
      <c r="B16" s="309"/>
      <c r="C16" s="309"/>
      <c r="D16" s="309"/>
      <c r="E16" s="309"/>
      <c r="F16" s="309"/>
      <c r="G16" s="309"/>
      <c r="H16" s="309"/>
      <c r="I16" s="309"/>
      <c r="J16" s="309"/>
      <c r="K16" s="309"/>
      <c r="L16" s="309"/>
      <c r="M16" s="309"/>
      <c r="N16" s="309"/>
      <c r="O16" s="309"/>
      <c r="P16" s="309"/>
      <c r="Q16" s="310"/>
      <c r="R16" s="101"/>
      <c r="S16" s="71"/>
      <c r="T16" s="71"/>
      <c r="U16" s="71"/>
      <c r="V16" s="102"/>
      <c r="W16" s="101"/>
      <c r="X16" s="71"/>
      <c r="Y16" s="71"/>
      <c r="Z16" s="71"/>
      <c r="AA16" s="102"/>
      <c r="AB16" s="314">
        <f>'request for CA'!C25</f>
        <v>5955651</v>
      </c>
      <c r="AC16" s="315"/>
      <c r="AD16" s="315"/>
      <c r="AE16" s="315"/>
      <c r="AF16" s="315"/>
      <c r="AG16" s="316"/>
    </row>
    <row r="17" spans="1:33" ht="20.100000000000001" customHeight="1" x14ac:dyDescent="0.25">
      <c r="A17" s="311"/>
      <c r="B17" s="312"/>
      <c r="C17" s="312"/>
      <c r="D17" s="312"/>
      <c r="E17" s="312"/>
      <c r="F17" s="312"/>
      <c r="G17" s="312"/>
      <c r="H17" s="312"/>
      <c r="I17" s="312"/>
      <c r="J17" s="312"/>
      <c r="K17" s="312"/>
      <c r="L17" s="312"/>
      <c r="M17" s="312"/>
      <c r="N17" s="312"/>
      <c r="O17" s="312"/>
      <c r="P17" s="312"/>
      <c r="Q17" s="313"/>
      <c r="R17" s="103"/>
      <c r="V17" s="104"/>
      <c r="W17" s="103"/>
      <c r="AA17" s="104"/>
      <c r="AB17" s="317"/>
      <c r="AC17" s="318"/>
      <c r="AD17" s="318"/>
      <c r="AE17" s="318"/>
      <c r="AF17" s="318"/>
      <c r="AG17" s="319"/>
    </row>
    <row r="18" spans="1:33" ht="20.100000000000001" customHeight="1" x14ac:dyDescent="0.25">
      <c r="A18" s="311"/>
      <c r="B18" s="312"/>
      <c r="C18" s="312"/>
      <c r="D18" s="312"/>
      <c r="E18" s="312"/>
      <c r="F18" s="312"/>
      <c r="G18" s="312"/>
      <c r="H18" s="312"/>
      <c r="I18" s="312"/>
      <c r="J18" s="312"/>
      <c r="K18" s="312"/>
      <c r="L18" s="312"/>
      <c r="M18" s="312"/>
      <c r="N18" s="312"/>
      <c r="O18" s="312"/>
      <c r="P18" s="312"/>
      <c r="Q18" s="313"/>
      <c r="R18" s="103"/>
      <c r="V18" s="104"/>
      <c r="W18" s="103"/>
      <c r="AA18" s="104"/>
      <c r="AB18" s="317"/>
      <c r="AC18" s="318"/>
      <c r="AD18" s="318"/>
      <c r="AE18" s="318"/>
      <c r="AF18" s="318"/>
      <c r="AG18" s="319"/>
    </row>
    <row r="19" spans="1:33" ht="20.100000000000001" customHeight="1" x14ac:dyDescent="0.25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3"/>
      <c r="R19" s="103"/>
      <c r="V19" s="104"/>
      <c r="W19" s="103"/>
      <c r="AA19" s="104"/>
      <c r="AB19" s="317"/>
      <c r="AC19" s="318"/>
      <c r="AD19" s="318"/>
      <c r="AE19" s="318"/>
      <c r="AF19" s="318"/>
      <c r="AG19" s="319"/>
    </row>
    <row r="20" spans="1:33" ht="20.100000000000001" customHeight="1" x14ac:dyDescent="0.25">
      <c r="A20" s="311"/>
      <c r="B20" s="312"/>
      <c r="C20" s="312"/>
      <c r="D20" s="312"/>
      <c r="E20" s="312"/>
      <c r="F20" s="312"/>
      <c r="G20" s="312"/>
      <c r="H20" s="312"/>
      <c r="I20" s="312"/>
      <c r="J20" s="312"/>
      <c r="K20" s="312"/>
      <c r="L20" s="312"/>
      <c r="M20" s="312"/>
      <c r="N20" s="312"/>
      <c r="O20" s="312"/>
      <c r="P20" s="312"/>
      <c r="Q20" s="313"/>
      <c r="R20" s="103"/>
      <c r="V20" s="104"/>
      <c r="W20" s="103"/>
      <c r="AA20" s="104"/>
      <c r="AB20" s="317"/>
      <c r="AC20" s="318"/>
      <c r="AD20" s="318"/>
      <c r="AE20" s="318"/>
      <c r="AF20" s="318"/>
      <c r="AG20" s="319"/>
    </row>
    <row r="21" spans="1:33" ht="20.100000000000001" customHeight="1" x14ac:dyDescent="0.25">
      <c r="A21" s="311"/>
      <c r="B21" s="312"/>
      <c r="C21" s="312"/>
      <c r="D21" s="312"/>
      <c r="E21" s="312"/>
      <c r="F21" s="312"/>
      <c r="G21" s="312"/>
      <c r="H21" s="312"/>
      <c r="I21" s="312"/>
      <c r="J21" s="312"/>
      <c r="K21" s="312"/>
      <c r="L21" s="312"/>
      <c r="M21" s="312"/>
      <c r="N21" s="312"/>
      <c r="O21" s="312"/>
      <c r="P21" s="312"/>
      <c r="Q21" s="313"/>
      <c r="R21" s="103"/>
      <c r="V21" s="104"/>
      <c r="W21" s="103"/>
      <c r="AA21" s="104"/>
      <c r="AB21" s="320"/>
      <c r="AC21" s="321"/>
      <c r="AD21" s="321"/>
      <c r="AE21" s="321"/>
      <c r="AF21" s="321"/>
      <c r="AG21" s="322"/>
    </row>
    <row r="22" spans="1:33" ht="20.100000000000001" customHeight="1" thickBot="1" x14ac:dyDescent="0.35">
      <c r="A22" s="323" t="s">
        <v>1432</v>
      </c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5"/>
      <c r="R22" s="105"/>
      <c r="S22" s="106"/>
      <c r="T22" s="106"/>
      <c r="U22" s="106"/>
      <c r="V22" s="107"/>
      <c r="W22" s="105"/>
      <c r="X22" s="106"/>
      <c r="Y22" s="106"/>
      <c r="Z22" s="106"/>
      <c r="AA22" s="107"/>
      <c r="AB22" s="326">
        <f>VALUE(AB16)</f>
        <v>5955651</v>
      </c>
      <c r="AC22" s="327"/>
      <c r="AD22" s="327"/>
      <c r="AE22" s="327"/>
      <c r="AF22" s="327"/>
      <c r="AG22" s="328"/>
    </row>
    <row r="23" spans="1:33" ht="20.100000000000001" customHeight="1" thickBot="1" x14ac:dyDescent="0.3">
      <c r="A23" s="108" t="s">
        <v>1377</v>
      </c>
      <c r="B23" s="329" t="s">
        <v>1433</v>
      </c>
      <c r="C23" s="330"/>
      <c r="D23" s="330"/>
      <c r="E23" s="330"/>
      <c r="F23" s="330"/>
      <c r="G23" s="330"/>
      <c r="H23" s="330"/>
      <c r="I23" s="330"/>
      <c r="J23" s="330"/>
      <c r="K23" s="330"/>
      <c r="L23" s="330"/>
      <c r="M23" s="330"/>
      <c r="N23" s="330"/>
      <c r="O23" s="330"/>
      <c r="P23" s="330"/>
      <c r="Q23" s="330"/>
      <c r="R23" s="330"/>
      <c r="S23" s="330"/>
      <c r="T23" s="330"/>
      <c r="U23" s="330"/>
      <c r="V23" s="330"/>
      <c r="W23" s="330"/>
      <c r="X23" s="330"/>
      <c r="Y23" s="330"/>
      <c r="Z23" s="330"/>
      <c r="AA23" s="330"/>
      <c r="AB23" s="331"/>
      <c r="AC23" s="331"/>
      <c r="AD23" s="331"/>
      <c r="AE23" s="331"/>
      <c r="AF23" s="331"/>
      <c r="AG23" s="332"/>
    </row>
    <row r="24" spans="1:33" ht="20.100000000000001" customHeight="1" x14ac:dyDescent="0.25">
      <c r="A24" s="109"/>
      <c r="B24" s="110"/>
      <c r="C24" s="110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10"/>
      <c r="Y24" s="110"/>
      <c r="Z24" s="110"/>
      <c r="AA24" s="110"/>
      <c r="AB24" s="110"/>
      <c r="AC24" s="110"/>
      <c r="AD24" s="110"/>
      <c r="AE24" s="110"/>
      <c r="AF24" s="110"/>
      <c r="AG24" s="111"/>
    </row>
    <row r="25" spans="1:33" ht="20.100000000000001" customHeight="1" x14ac:dyDescent="0.25">
      <c r="A25" s="112"/>
      <c r="B25" s="113"/>
      <c r="C25" s="113"/>
      <c r="D25" s="113"/>
      <c r="E25" s="91" t="s">
        <v>1434</v>
      </c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113"/>
      <c r="S25" s="113"/>
      <c r="T25" s="114"/>
      <c r="U25" s="114"/>
      <c r="V25" s="114"/>
      <c r="W25" s="114"/>
      <c r="X25" s="114"/>
      <c r="Y25" s="87"/>
      <c r="Z25" s="114"/>
      <c r="AA25" s="114"/>
      <c r="AB25" s="115"/>
      <c r="AC25" s="116"/>
      <c r="AD25" s="116"/>
      <c r="AE25" s="116"/>
      <c r="AF25" s="116"/>
      <c r="AG25" s="117"/>
    </row>
    <row r="26" spans="1:33" ht="20.100000000000001" customHeight="1" x14ac:dyDescent="0.25">
      <c r="A26" s="112"/>
      <c r="B26" s="284" t="s">
        <v>1517</v>
      </c>
      <c r="C26" s="284"/>
      <c r="D26" s="284"/>
      <c r="E26" s="284"/>
      <c r="F26" s="284"/>
      <c r="G26" s="284"/>
      <c r="H26" s="284"/>
      <c r="I26" s="284"/>
      <c r="J26" s="284"/>
      <c r="K26" s="284"/>
      <c r="L26" s="284"/>
      <c r="M26" s="284"/>
      <c r="N26" s="284"/>
      <c r="O26" s="284"/>
      <c r="P26" s="284"/>
      <c r="Q26" s="284"/>
      <c r="R26" s="284"/>
      <c r="S26" s="284"/>
      <c r="T26" s="284"/>
      <c r="U26" s="284"/>
      <c r="V26" s="284"/>
      <c r="W26" s="284"/>
      <c r="X26" s="284"/>
      <c r="Y26" s="284"/>
      <c r="Z26" s="284"/>
      <c r="AA26" s="284"/>
      <c r="AB26" s="284"/>
      <c r="AC26" s="284"/>
      <c r="AD26" s="284"/>
      <c r="AE26" s="284"/>
      <c r="AF26" s="284"/>
      <c r="AG26" s="117"/>
    </row>
    <row r="27" spans="1:33" ht="20.100000000000001" customHeight="1" x14ac:dyDescent="0.25">
      <c r="A27" s="112"/>
      <c r="B27" s="333" t="s">
        <v>1435</v>
      </c>
      <c r="C27" s="333"/>
      <c r="D27" s="333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3"/>
      <c r="AC27" s="333"/>
      <c r="AD27" s="333"/>
      <c r="AE27" s="333"/>
      <c r="AF27" s="333"/>
      <c r="AG27" s="117"/>
    </row>
    <row r="28" spans="1:33" ht="20.100000000000001" customHeight="1" thickBot="1" x14ac:dyDescent="0.3">
      <c r="A28" s="112"/>
      <c r="B28" s="113"/>
      <c r="C28" s="113"/>
      <c r="D28" s="113"/>
      <c r="E28" s="87"/>
      <c r="F28" s="87"/>
      <c r="G28" s="87"/>
      <c r="H28" s="87"/>
      <c r="I28" s="87"/>
      <c r="J28" s="87"/>
      <c r="K28" s="87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91"/>
      <c r="Z28" s="114"/>
      <c r="AA28" s="114"/>
      <c r="AB28" s="115"/>
      <c r="AC28" s="116"/>
      <c r="AD28" s="116"/>
      <c r="AE28" s="116"/>
      <c r="AF28" s="116"/>
      <c r="AG28" s="117"/>
    </row>
    <row r="29" spans="1:33" ht="20.100000000000001" customHeight="1" x14ac:dyDescent="0.25">
      <c r="A29" s="118" t="s">
        <v>1379</v>
      </c>
      <c r="B29" s="119" t="s">
        <v>1436</v>
      </c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  <c r="S29" s="120"/>
      <c r="T29" s="120"/>
      <c r="U29" s="120"/>
      <c r="V29" s="120"/>
      <c r="W29" s="120"/>
      <c r="X29" s="120"/>
      <c r="Y29" s="120"/>
      <c r="Z29" s="120"/>
      <c r="AA29" s="120"/>
      <c r="AB29" s="120"/>
      <c r="AC29" s="120"/>
      <c r="AD29" s="120"/>
      <c r="AE29" s="120"/>
      <c r="AF29" s="120"/>
      <c r="AG29" s="121"/>
    </row>
    <row r="30" spans="1:33" ht="20.100000000000001" customHeight="1" x14ac:dyDescent="0.25">
      <c r="A30" s="334" t="s">
        <v>1437</v>
      </c>
      <c r="B30" s="335"/>
      <c r="C30" s="335"/>
      <c r="D30" s="335"/>
      <c r="E30" s="335"/>
      <c r="F30" s="335"/>
      <c r="G30" s="335"/>
      <c r="H30" s="335"/>
      <c r="I30" s="335"/>
      <c r="J30" s="335"/>
      <c r="K30" s="335"/>
      <c r="L30" s="335"/>
      <c r="M30" s="335"/>
      <c r="N30" s="335"/>
      <c r="O30" s="335"/>
      <c r="P30" s="335"/>
      <c r="Q30" s="335"/>
      <c r="R30" s="335"/>
      <c r="S30" s="335" t="s">
        <v>1383</v>
      </c>
      <c r="T30" s="335"/>
      <c r="U30" s="335"/>
      <c r="V30" s="335"/>
      <c r="W30" s="335"/>
      <c r="X30" s="336" t="s">
        <v>1438</v>
      </c>
      <c r="Y30" s="336"/>
      <c r="Z30" s="336"/>
      <c r="AA30" s="336"/>
      <c r="AB30" s="336"/>
      <c r="AC30" s="337" t="s">
        <v>1439</v>
      </c>
      <c r="AD30" s="337"/>
      <c r="AE30" s="337"/>
      <c r="AF30" s="337"/>
      <c r="AG30" s="338"/>
    </row>
    <row r="31" spans="1:33" ht="20.100000000000001" customHeight="1" x14ac:dyDescent="0.25">
      <c r="A31" s="122"/>
      <c r="B31" s="123"/>
      <c r="C31" s="123"/>
      <c r="D31" s="123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124"/>
      <c r="S31" s="123"/>
      <c r="T31" s="123"/>
      <c r="U31" s="123"/>
      <c r="V31" s="123"/>
      <c r="W31" s="125"/>
      <c r="X31" s="91"/>
      <c r="Y31" s="91"/>
      <c r="Z31" s="91"/>
      <c r="AA31" s="91"/>
      <c r="AB31" s="124"/>
      <c r="AC31" s="91"/>
      <c r="AD31" s="91"/>
      <c r="AE31" s="91"/>
      <c r="AF31" s="91"/>
      <c r="AG31" s="94"/>
    </row>
    <row r="32" spans="1:33" ht="20.100000000000001" customHeight="1" x14ac:dyDescent="0.25">
      <c r="A32" s="122"/>
      <c r="B32" s="123"/>
      <c r="C32" s="123"/>
      <c r="D32" s="123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126"/>
      <c r="S32" s="123"/>
      <c r="T32" s="123"/>
      <c r="U32" s="123"/>
      <c r="V32" s="123"/>
      <c r="W32" s="127"/>
      <c r="X32" s="91"/>
      <c r="Y32" s="91"/>
      <c r="Z32" s="91"/>
      <c r="AA32" s="91"/>
      <c r="AB32" s="126"/>
      <c r="AC32" s="91"/>
      <c r="AD32" s="91"/>
      <c r="AE32" s="91"/>
      <c r="AF32" s="91"/>
      <c r="AG32" s="94"/>
    </row>
    <row r="33" spans="1:33" ht="20.100000000000001" customHeight="1" thickBot="1" x14ac:dyDescent="0.3">
      <c r="A33" s="128"/>
      <c r="B33" s="129"/>
      <c r="C33" s="129"/>
      <c r="D33" s="129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130"/>
      <c r="S33" s="129"/>
      <c r="T33" s="129"/>
      <c r="U33" s="129"/>
      <c r="V33" s="129"/>
      <c r="W33" s="131"/>
      <c r="X33" s="97"/>
      <c r="Y33" s="97"/>
      <c r="Z33" s="97"/>
      <c r="AA33" s="97"/>
      <c r="AB33" s="130"/>
      <c r="AC33" s="97"/>
      <c r="AD33" s="97"/>
      <c r="AE33" s="97"/>
      <c r="AF33" s="97"/>
      <c r="AG33" s="99"/>
    </row>
    <row r="34" spans="1:33" ht="20.100000000000001" customHeight="1" x14ac:dyDescent="0.25">
      <c r="A34" s="132" t="s">
        <v>1378</v>
      </c>
      <c r="B34" s="133" t="s">
        <v>1440</v>
      </c>
      <c r="C34" s="133"/>
      <c r="D34" s="133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5"/>
      <c r="S34" s="132" t="s">
        <v>1441</v>
      </c>
      <c r="T34" s="339" t="s">
        <v>1442</v>
      </c>
      <c r="U34" s="339"/>
      <c r="V34" s="339"/>
      <c r="W34" s="339"/>
      <c r="X34" s="339"/>
      <c r="Y34" s="339"/>
      <c r="Z34" s="339"/>
      <c r="AA34" s="339"/>
      <c r="AB34" s="339"/>
      <c r="AC34" s="339"/>
      <c r="AD34" s="339"/>
      <c r="AE34" s="136"/>
      <c r="AF34" s="136"/>
      <c r="AG34" s="137"/>
    </row>
    <row r="35" spans="1:33" ht="20.100000000000001" customHeight="1" x14ac:dyDescent="0.25">
      <c r="A35" s="138"/>
      <c r="B35" s="139"/>
      <c r="C35" s="87" t="s">
        <v>1443</v>
      </c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140"/>
      <c r="S35" s="340"/>
      <c r="T35" s="341"/>
      <c r="U35" s="341"/>
      <c r="V35" s="341"/>
      <c r="W35" s="341"/>
      <c r="X35" s="341"/>
      <c r="Y35" s="341"/>
      <c r="Z35" s="341"/>
      <c r="AA35" s="341"/>
      <c r="AB35" s="341"/>
      <c r="AC35" s="341"/>
      <c r="AD35" s="341"/>
      <c r="AE35" s="341"/>
      <c r="AF35" s="341"/>
      <c r="AG35" s="342"/>
    </row>
    <row r="36" spans="1:33" ht="20.100000000000001" customHeight="1" x14ac:dyDescent="0.25">
      <c r="A36" s="349"/>
      <c r="B36" s="282"/>
      <c r="C36" s="282"/>
      <c r="D36" s="282"/>
      <c r="E36" s="282"/>
      <c r="F36" s="282"/>
      <c r="G36" s="282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140"/>
      <c r="S36" s="343"/>
      <c r="T36" s="344"/>
      <c r="U36" s="344"/>
      <c r="V36" s="344"/>
      <c r="W36" s="344"/>
      <c r="X36" s="344"/>
      <c r="Y36" s="344"/>
      <c r="Z36" s="344"/>
      <c r="AA36" s="344"/>
      <c r="AB36" s="344"/>
      <c r="AC36" s="344"/>
      <c r="AD36" s="344"/>
      <c r="AE36" s="344"/>
      <c r="AF36" s="344"/>
      <c r="AG36" s="345"/>
    </row>
    <row r="37" spans="1:33" ht="20.100000000000001" customHeight="1" x14ac:dyDescent="0.25">
      <c r="A37" s="138"/>
      <c r="B37" s="92"/>
      <c r="C37" s="87" t="s">
        <v>1444</v>
      </c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140"/>
      <c r="S37" s="343"/>
      <c r="T37" s="344"/>
      <c r="U37" s="344"/>
      <c r="V37" s="344"/>
      <c r="W37" s="344"/>
      <c r="X37" s="344"/>
      <c r="Y37" s="344"/>
      <c r="Z37" s="344"/>
      <c r="AA37" s="344"/>
      <c r="AB37" s="344"/>
      <c r="AC37" s="344"/>
      <c r="AD37" s="344"/>
      <c r="AE37" s="344"/>
      <c r="AF37" s="344"/>
      <c r="AG37" s="345"/>
    </row>
    <row r="38" spans="1:33" ht="20.100000000000001" customHeight="1" x14ac:dyDescent="0.25">
      <c r="A38" s="349"/>
      <c r="B38" s="282"/>
      <c r="C38" s="282"/>
      <c r="D38" s="282"/>
      <c r="E38" s="282"/>
      <c r="F38" s="282"/>
      <c r="G38" s="282"/>
      <c r="H38" s="282"/>
      <c r="I38" s="282"/>
      <c r="J38" s="282"/>
      <c r="K38" s="282"/>
      <c r="L38" s="282"/>
      <c r="M38" s="282"/>
      <c r="N38" s="282"/>
      <c r="O38" s="282"/>
      <c r="P38" s="282"/>
      <c r="Q38" s="282"/>
      <c r="R38" s="283"/>
      <c r="S38" s="343"/>
      <c r="T38" s="344"/>
      <c r="U38" s="344"/>
      <c r="V38" s="344"/>
      <c r="W38" s="344"/>
      <c r="X38" s="344"/>
      <c r="Y38" s="344"/>
      <c r="Z38" s="344"/>
      <c r="AA38" s="344"/>
      <c r="AB38" s="344"/>
      <c r="AC38" s="344"/>
      <c r="AD38" s="344"/>
      <c r="AE38" s="344"/>
      <c r="AF38" s="344"/>
      <c r="AG38" s="345"/>
    </row>
    <row r="39" spans="1:33" ht="20.100000000000001" customHeight="1" x14ac:dyDescent="0.25">
      <c r="A39" s="138"/>
      <c r="B39" s="92"/>
      <c r="C39" s="87" t="s">
        <v>1445</v>
      </c>
      <c r="D39" s="87" t="s">
        <v>1445</v>
      </c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140"/>
      <c r="S39" s="343"/>
      <c r="T39" s="344"/>
      <c r="U39" s="344"/>
      <c r="V39" s="344"/>
      <c r="W39" s="344"/>
      <c r="X39" s="344"/>
      <c r="Y39" s="344"/>
      <c r="Z39" s="344"/>
      <c r="AA39" s="344"/>
      <c r="AB39" s="344"/>
      <c r="AC39" s="344"/>
      <c r="AD39" s="344"/>
      <c r="AE39" s="344"/>
      <c r="AF39" s="344"/>
      <c r="AG39" s="345"/>
    </row>
    <row r="40" spans="1:33" ht="20.100000000000001" customHeight="1" x14ac:dyDescent="0.25">
      <c r="A40" s="138"/>
      <c r="B40" s="87"/>
      <c r="C40" s="141" t="s">
        <v>1446</v>
      </c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140"/>
      <c r="S40" s="343"/>
      <c r="T40" s="344"/>
      <c r="U40" s="344"/>
      <c r="V40" s="344"/>
      <c r="W40" s="344"/>
      <c r="X40" s="344"/>
      <c r="Y40" s="344"/>
      <c r="Z40" s="344"/>
      <c r="AA40" s="344"/>
      <c r="AB40" s="344"/>
      <c r="AC40" s="344"/>
      <c r="AD40" s="344"/>
      <c r="AE40" s="344"/>
      <c r="AF40" s="344"/>
      <c r="AG40" s="345"/>
    </row>
    <row r="41" spans="1:33" ht="20.100000000000001" customHeight="1" x14ac:dyDescent="0.25">
      <c r="A41" s="142"/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4"/>
      <c r="S41" s="346"/>
      <c r="T41" s="347"/>
      <c r="U41" s="347"/>
      <c r="V41" s="347"/>
      <c r="W41" s="347"/>
      <c r="X41" s="347"/>
      <c r="Y41" s="347"/>
      <c r="Z41" s="347"/>
      <c r="AA41" s="347"/>
      <c r="AB41" s="347"/>
      <c r="AC41" s="347"/>
      <c r="AD41" s="347"/>
      <c r="AE41" s="347"/>
      <c r="AF41" s="347"/>
      <c r="AG41" s="348"/>
    </row>
    <row r="42" spans="1:33" ht="20.100000000000001" customHeight="1" x14ac:dyDescent="0.25">
      <c r="A42" s="350" t="s">
        <v>1447</v>
      </c>
      <c r="B42" s="351"/>
      <c r="C42" s="351"/>
      <c r="D42" s="351"/>
      <c r="E42" s="281"/>
      <c r="F42" s="282"/>
      <c r="G42" s="282"/>
      <c r="H42" s="282"/>
      <c r="I42" s="282"/>
      <c r="J42" s="282"/>
      <c r="K42" s="282"/>
      <c r="L42" s="282"/>
      <c r="M42" s="282"/>
      <c r="N42" s="282"/>
      <c r="O42" s="282"/>
      <c r="P42" s="282"/>
      <c r="Q42" s="282"/>
      <c r="R42" s="283"/>
      <c r="S42" s="350" t="s">
        <v>1447</v>
      </c>
      <c r="T42" s="357"/>
      <c r="U42" s="357"/>
      <c r="V42" s="358"/>
      <c r="W42" s="362"/>
      <c r="X42" s="363"/>
      <c r="Y42" s="363"/>
      <c r="Z42" s="363"/>
      <c r="AA42" s="363"/>
      <c r="AB42" s="363"/>
      <c r="AC42" s="363"/>
      <c r="AD42" s="363"/>
      <c r="AE42" s="363"/>
      <c r="AF42" s="363"/>
      <c r="AG42" s="364"/>
    </row>
    <row r="43" spans="1:33" ht="20.100000000000001" customHeight="1" x14ac:dyDescent="0.25">
      <c r="A43" s="352"/>
      <c r="B43" s="353"/>
      <c r="C43" s="353"/>
      <c r="D43" s="353"/>
      <c r="E43" s="354"/>
      <c r="F43" s="355"/>
      <c r="G43" s="355"/>
      <c r="H43" s="355"/>
      <c r="I43" s="355"/>
      <c r="J43" s="355"/>
      <c r="K43" s="355"/>
      <c r="L43" s="355"/>
      <c r="M43" s="355"/>
      <c r="N43" s="355"/>
      <c r="O43" s="355"/>
      <c r="P43" s="355"/>
      <c r="Q43" s="355"/>
      <c r="R43" s="356"/>
      <c r="S43" s="359"/>
      <c r="T43" s="360"/>
      <c r="U43" s="360"/>
      <c r="V43" s="361"/>
      <c r="W43" s="365"/>
      <c r="X43" s="360"/>
      <c r="Y43" s="360"/>
      <c r="Z43" s="360"/>
      <c r="AA43" s="360"/>
      <c r="AB43" s="360"/>
      <c r="AC43" s="360"/>
      <c r="AD43" s="360"/>
      <c r="AE43" s="360"/>
      <c r="AF43" s="360"/>
      <c r="AG43" s="366"/>
    </row>
    <row r="44" spans="1:33" ht="20.100000000000001" customHeight="1" x14ac:dyDescent="0.25">
      <c r="A44" s="367" t="s">
        <v>1448</v>
      </c>
      <c r="B44" s="368"/>
      <c r="C44" s="368"/>
      <c r="D44" s="369"/>
      <c r="E44" s="371" t="s">
        <v>1522</v>
      </c>
      <c r="F44" s="372"/>
      <c r="G44" s="372"/>
      <c r="H44" s="372"/>
      <c r="I44" s="372"/>
      <c r="J44" s="372"/>
      <c r="K44" s="372"/>
      <c r="L44" s="372"/>
      <c r="M44" s="372"/>
      <c r="N44" s="372"/>
      <c r="O44" s="372"/>
      <c r="P44" s="372"/>
      <c r="Q44" s="372"/>
      <c r="R44" s="373"/>
      <c r="S44" s="367" t="s">
        <v>1448</v>
      </c>
      <c r="T44" s="363"/>
      <c r="U44" s="363"/>
      <c r="V44" s="377"/>
      <c r="W44" s="378" t="s">
        <v>1514</v>
      </c>
      <c r="X44" s="379"/>
      <c r="Y44" s="379"/>
      <c r="Z44" s="379"/>
      <c r="AA44" s="379"/>
      <c r="AB44" s="379"/>
      <c r="AC44" s="379"/>
      <c r="AD44" s="379"/>
      <c r="AE44" s="379"/>
      <c r="AF44" s="379"/>
      <c r="AG44" s="380"/>
    </row>
    <row r="45" spans="1:33" ht="20.100000000000001" customHeight="1" x14ac:dyDescent="0.25">
      <c r="A45" s="352"/>
      <c r="B45" s="353"/>
      <c r="C45" s="353"/>
      <c r="D45" s="370"/>
      <c r="E45" s="374"/>
      <c r="F45" s="375"/>
      <c r="G45" s="375"/>
      <c r="H45" s="375"/>
      <c r="I45" s="375"/>
      <c r="J45" s="375"/>
      <c r="K45" s="375"/>
      <c r="L45" s="375"/>
      <c r="M45" s="375"/>
      <c r="N45" s="375"/>
      <c r="O45" s="375"/>
      <c r="P45" s="375"/>
      <c r="Q45" s="375"/>
      <c r="R45" s="376"/>
      <c r="S45" s="359"/>
      <c r="T45" s="360"/>
      <c r="U45" s="360"/>
      <c r="V45" s="361"/>
      <c r="W45" s="381"/>
      <c r="X45" s="382"/>
      <c r="Y45" s="382"/>
      <c r="Z45" s="382"/>
      <c r="AA45" s="382"/>
      <c r="AB45" s="382"/>
      <c r="AC45" s="382"/>
      <c r="AD45" s="382"/>
      <c r="AE45" s="382"/>
      <c r="AF45" s="382"/>
      <c r="AG45" s="383"/>
    </row>
    <row r="46" spans="1:33" ht="20.100000000000001" customHeight="1" x14ac:dyDescent="0.25">
      <c r="A46" s="367" t="s">
        <v>1449</v>
      </c>
      <c r="B46" s="363"/>
      <c r="C46" s="363"/>
      <c r="D46" s="377"/>
      <c r="E46" s="384" t="s">
        <v>1450</v>
      </c>
      <c r="F46" s="385"/>
      <c r="G46" s="385"/>
      <c r="H46" s="385"/>
      <c r="I46" s="385"/>
      <c r="J46" s="385"/>
      <c r="K46" s="385"/>
      <c r="L46" s="385"/>
      <c r="M46" s="385"/>
      <c r="N46" s="385"/>
      <c r="O46" s="385"/>
      <c r="P46" s="385"/>
      <c r="Q46" s="385"/>
      <c r="R46" s="386"/>
      <c r="S46" s="367" t="s">
        <v>1449</v>
      </c>
      <c r="T46" s="363"/>
      <c r="U46" s="363"/>
      <c r="V46" s="377"/>
      <c r="W46" s="387" t="s">
        <v>1515</v>
      </c>
      <c r="X46" s="388"/>
      <c r="Y46" s="388"/>
      <c r="Z46" s="388"/>
      <c r="AA46" s="388"/>
      <c r="AB46" s="388"/>
      <c r="AC46" s="388"/>
      <c r="AD46" s="388"/>
      <c r="AE46" s="388"/>
      <c r="AF46" s="388"/>
      <c r="AG46" s="389"/>
    </row>
    <row r="47" spans="1:33" ht="20.100000000000001" customHeight="1" x14ac:dyDescent="0.25">
      <c r="A47" s="359"/>
      <c r="B47" s="360"/>
      <c r="C47" s="360"/>
      <c r="D47" s="361"/>
      <c r="E47" s="390" t="s">
        <v>1451</v>
      </c>
      <c r="F47" s="391"/>
      <c r="G47" s="391"/>
      <c r="H47" s="391"/>
      <c r="I47" s="391"/>
      <c r="J47" s="391"/>
      <c r="K47" s="391"/>
      <c r="L47" s="391"/>
      <c r="M47" s="391"/>
      <c r="N47" s="391"/>
      <c r="O47" s="391"/>
      <c r="P47" s="391"/>
      <c r="Q47" s="391"/>
      <c r="R47" s="392"/>
      <c r="S47" s="359"/>
      <c r="T47" s="360"/>
      <c r="U47" s="360"/>
      <c r="V47" s="361"/>
      <c r="W47" s="393" t="s">
        <v>1452</v>
      </c>
      <c r="X47" s="394"/>
      <c r="Y47" s="394"/>
      <c r="Z47" s="394"/>
      <c r="AA47" s="394"/>
      <c r="AB47" s="394"/>
      <c r="AC47" s="394"/>
      <c r="AD47" s="394"/>
      <c r="AE47" s="394"/>
      <c r="AF47" s="394"/>
      <c r="AG47" s="395"/>
    </row>
    <row r="48" spans="1:33" ht="20.100000000000001" customHeight="1" x14ac:dyDescent="0.25">
      <c r="A48" s="367" t="s">
        <v>1453</v>
      </c>
      <c r="B48" s="363"/>
      <c r="C48" s="363"/>
      <c r="D48" s="377"/>
      <c r="E48" s="281"/>
      <c r="F48" s="282"/>
      <c r="G48" s="282"/>
      <c r="H48" s="282"/>
      <c r="I48" s="282"/>
      <c r="J48" s="282"/>
      <c r="K48" s="282"/>
      <c r="L48" s="282"/>
      <c r="M48" s="282"/>
      <c r="N48" s="282"/>
      <c r="O48" s="282"/>
      <c r="P48" s="282"/>
      <c r="Q48" s="282"/>
      <c r="R48" s="283"/>
      <c r="S48" s="367" t="s">
        <v>1453</v>
      </c>
      <c r="T48" s="363"/>
      <c r="U48" s="363"/>
      <c r="V48" s="377"/>
      <c r="W48" s="362"/>
      <c r="X48" s="363"/>
      <c r="Y48" s="363"/>
      <c r="Z48" s="363"/>
      <c r="AA48" s="363"/>
      <c r="AB48" s="363"/>
      <c r="AC48" s="363"/>
      <c r="AD48" s="363"/>
      <c r="AE48" s="363"/>
      <c r="AF48" s="363"/>
      <c r="AG48" s="364"/>
    </row>
    <row r="49" spans="1:33" ht="20.100000000000001" customHeight="1" thickBot="1" x14ac:dyDescent="0.3">
      <c r="A49" s="422"/>
      <c r="B49" s="423"/>
      <c r="C49" s="423"/>
      <c r="D49" s="424"/>
      <c r="E49" s="425"/>
      <c r="F49" s="270"/>
      <c r="G49" s="270"/>
      <c r="H49" s="270"/>
      <c r="I49" s="270"/>
      <c r="J49" s="270"/>
      <c r="K49" s="270"/>
      <c r="L49" s="270"/>
      <c r="M49" s="270"/>
      <c r="N49" s="270"/>
      <c r="O49" s="270"/>
      <c r="P49" s="270"/>
      <c r="Q49" s="270"/>
      <c r="R49" s="413"/>
      <c r="S49" s="396"/>
      <c r="T49" s="397"/>
      <c r="U49" s="397"/>
      <c r="V49" s="398"/>
      <c r="W49" s="399"/>
      <c r="X49" s="397"/>
      <c r="Y49" s="397"/>
      <c r="Z49" s="397"/>
      <c r="AA49" s="397"/>
      <c r="AB49" s="397"/>
      <c r="AC49" s="397"/>
      <c r="AD49" s="397"/>
      <c r="AE49" s="397"/>
      <c r="AF49" s="397"/>
      <c r="AG49" s="400"/>
    </row>
    <row r="50" spans="1:33" ht="20.100000000000001" customHeight="1" x14ac:dyDescent="0.25">
      <c r="A50" s="132" t="s">
        <v>1454</v>
      </c>
      <c r="B50" s="133" t="s">
        <v>1455</v>
      </c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45"/>
      <c r="AB50" s="100" t="s">
        <v>1456</v>
      </c>
      <c r="AC50" s="100"/>
      <c r="AD50" s="100"/>
      <c r="AE50" s="268"/>
      <c r="AF50" s="268"/>
      <c r="AG50" s="269"/>
    </row>
    <row r="51" spans="1:33" ht="20.100000000000001" customHeight="1" x14ac:dyDescent="0.25">
      <c r="A51" s="350" t="s">
        <v>1457</v>
      </c>
      <c r="B51" s="357"/>
      <c r="C51" s="357"/>
      <c r="D51" s="87"/>
      <c r="E51" s="281"/>
      <c r="F51" s="282"/>
      <c r="G51" s="282"/>
      <c r="H51" s="282"/>
      <c r="I51" s="282"/>
      <c r="J51" s="282"/>
      <c r="K51" s="282"/>
      <c r="L51" s="282"/>
      <c r="M51" s="417"/>
      <c r="N51" s="418" t="s">
        <v>1458</v>
      </c>
      <c r="O51" s="419"/>
      <c r="P51" s="419"/>
      <c r="Q51" s="419"/>
      <c r="R51" s="420"/>
      <c r="S51" s="421" t="s">
        <v>1459</v>
      </c>
      <c r="T51" s="419"/>
      <c r="U51" s="419"/>
      <c r="V51" s="419"/>
      <c r="W51" s="419"/>
      <c r="X51" s="419"/>
      <c r="Y51" s="419"/>
      <c r="Z51" s="419"/>
      <c r="AA51" s="420"/>
      <c r="AB51" s="91"/>
      <c r="AC51" s="91"/>
      <c r="AD51" s="91"/>
      <c r="AE51" s="91"/>
      <c r="AF51" s="91"/>
      <c r="AG51" s="94"/>
    </row>
    <row r="52" spans="1:33" ht="20.100000000000001" customHeight="1" x14ac:dyDescent="0.25">
      <c r="A52" s="359"/>
      <c r="B52" s="360"/>
      <c r="C52" s="360"/>
      <c r="D52" s="143"/>
      <c r="E52" s="354"/>
      <c r="F52" s="355"/>
      <c r="G52" s="355"/>
      <c r="H52" s="355"/>
      <c r="I52" s="355"/>
      <c r="J52" s="355"/>
      <c r="K52" s="355"/>
      <c r="L52" s="355"/>
      <c r="M52" s="404"/>
      <c r="N52" s="409"/>
      <c r="O52" s="410"/>
      <c r="P52" s="410"/>
      <c r="Q52" s="410"/>
      <c r="R52" s="411"/>
      <c r="S52" s="409"/>
      <c r="T52" s="410"/>
      <c r="U52" s="410"/>
      <c r="V52" s="410"/>
      <c r="W52" s="410"/>
      <c r="X52" s="410"/>
      <c r="Y52" s="410"/>
      <c r="Z52" s="410"/>
      <c r="AA52" s="411"/>
      <c r="AB52" s="143"/>
      <c r="AC52" s="143"/>
      <c r="AD52" s="146"/>
      <c r="AE52" s="146"/>
      <c r="AF52" s="146"/>
      <c r="AG52" s="147"/>
    </row>
    <row r="53" spans="1:33" ht="20.100000000000001" customHeight="1" x14ac:dyDescent="0.25">
      <c r="A53" s="367" t="s">
        <v>1460</v>
      </c>
      <c r="B53" s="401"/>
      <c r="C53" s="401"/>
      <c r="D53" s="402"/>
      <c r="E53" s="405"/>
      <c r="F53" s="401"/>
      <c r="G53" s="401"/>
      <c r="H53" s="401"/>
      <c r="I53" s="401"/>
      <c r="J53" s="401"/>
      <c r="K53" s="401"/>
      <c r="L53" s="401"/>
      <c r="M53" s="402"/>
      <c r="N53" s="406" t="s">
        <v>1458</v>
      </c>
      <c r="O53" s="407"/>
      <c r="P53" s="407"/>
      <c r="Q53" s="407"/>
      <c r="R53" s="408"/>
      <c r="S53" s="406"/>
      <c r="T53" s="407"/>
      <c r="U53" s="407"/>
      <c r="V53" s="407"/>
      <c r="W53" s="407"/>
      <c r="X53" s="407"/>
      <c r="Y53" s="407"/>
      <c r="Z53" s="407"/>
      <c r="AA53" s="408"/>
      <c r="AB53" s="148" t="s">
        <v>1453</v>
      </c>
      <c r="AC53" s="148"/>
      <c r="AD53" s="401"/>
      <c r="AE53" s="401"/>
      <c r="AF53" s="401"/>
      <c r="AG53" s="412"/>
    </row>
    <row r="54" spans="1:33" ht="20.100000000000001" customHeight="1" x14ac:dyDescent="0.25">
      <c r="A54" s="403"/>
      <c r="B54" s="355"/>
      <c r="C54" s="355"/>
      <c r="D54" s="404"/>
      <c r="E54" s="354"/>
      <c r="F54" s="355"/>
      <c r="G54" s="355"/>
      <c r="H54" s="355"/>
      <c r="I54" s="355"/>
      <c r="J54" s="355"/>
      <c r="K54" s="355"/>
      <c r="L54" s="355"/>
      <c r="M54" s="404"/>
      <c r="N54" s="409"/>
      <c r="O54" s="410"/>
      <c r="P54" s="410"/>
      <c r="Q54" s="410"/>
      <c r="R54" s="411"/>
      <c r="S54" s="409"/>
      <c r="T54" s="410"/>
      <c r="U54" s="410"/>
      <c r="V54" s="410"/>
      <c r="W54" s="410"/>
      <c r="X54" s="410"/>
      <c r="Y54" s="410"/>
      <c r="Z54" s="410"/>
      <c r="AA54" s="411"/>
      <c r="AB54" s="282"/>
      <c r="AC54" s="282"/>
      <c r="AD54" s="282"/>
      <c r="AE54" s="282"/>
      <c r="AF54" s="282"/>
      <c r="AG54" s="283"/>
    </row>
    <row r="55" spans="1:33" ht="20.100000000000001" customHeight="1" thickBot="1" x14ac:dyDescent="0.3">
      <c r="A55" s="414" t="s">
        <v>1461</v>
      </c>
      <c r="B55" s="415"/>
      <c r="C55" s="415"/>
      <c r="D55" s="415"/>
      <c r="E55" s="415"/>
      <c r="F55" s="415"/>
      <c r="G55" s="415"/>
      <c r="H55" s="415"/>
      <c r="I55" s="415"/>
      <c r="J55" s="415"/>
      <c r="K55" s="415"/>
      <c r="L55" s="415"/>
      <c r="M55" s="415"/>
      <c r="N55" s="415"/>
      <c r="O55" s="415"/>
      <c r="P55" s="415"/>
      <c r="Q55" s="415"/>
      <c r="R55" s="415"/>
      <c r="S55" s="415"/>
      <c r="T55" s="415"/>
      <c r="U55" s="415"/>
      <c r="V55" s="415"/>
      <c r="W55" s="415"/>
      <c r="X55" s="415"/>
      <c r="Y55" s="415"/>
      <c r="Z55" s="415"/>
      <c r="AA55" s="416"/>
      <c r="AB55" s="270"/>
      <c r="AC55" s="270"/>
      <c r="AD55" s="270"/>
      <c r="AE55" s="270"/>
      <c r="AF55" s="270"/>
      <c r="AG55" s="413"/>
    </row>
    <row r="56" spans="1:33" ht="20.100000000000001" customHeight="1" x14ac:dyDescent="0.25">
      <c r="A56"/>
      <c r="B56"/>
      <c r="C56"/>
    </row>
    <row r="57" spans="1:33" ht="20.100000000000001" customHeight="1" x14ac:dyDescent="0.25">
      <c r="A57"/>
      <c r="B57"/>
      <c r="C57"/>
    </row>
    <row r="58" spans="1:33" ht="20.100000000000001" customHeight="1" x14ac:dyDescent="0.25">
      <c r="A58"/>
      <c r="B58"/>
      <c r="C58"/>
    </row>
    <row r="59" spans="1:33" ht="20.100000000000001" customHeight="1" x14ac:dyDescent="0.25">
      <c r="A59"/>
      <c r="B59"/>
      <c r="C59"/>
    </row>
    <row r="60" spans="1:33" ht="20.100000000000001" customHeight="1" x14ac:dyDescent="0.25">
      <c r="A60"/>
      <c r="B60"/>
      <c r="C60"/>
    </row>
    <row r="61" spans="1:33" ht="20.100000000000001" customHeight="1" x14ac:dyDescent="0.25">
      <c r="A61"/>
      <c r="B61"/>
      <c r="C61"/>
    </row>
    <row r="62" spans="1:33" ht="20.100000000000001" customHeight="1" x14ac:dyDescent="0.25">
      <c r="A62"/>
      <c r="B62"/>
      <c r="C62"/>
    </row>
    <row r="63" spans="1:33" ht="20.100000000000001" customHeight="1" x14ac:dyDescent="0.25">
      <c r="A63"/>
      <c r="B63"/>
      <c r="C63"/>
    </row>
    <row r="64" spans="1:33" ht="20.100000000000001" customHeight="1" x14ac:dyDescent="0.25">
      <c r="A64"/>
      <c r="B64"/>
      <c r="C64"/>
    </row>
    <row r="65" customFormat="1" ht="20.100000000000001" customHeight="1" x14ac:dyDescent="0.25"/>
    <row r="66" customFormat="1" ht="20.100000000000001" customHeight="1" x14ac:dyDescent="0.25"/>
    <row r="67" customFormat="1" ht="20.100000000000001" customHeight="1" x14ac:dyDescent="0.25"/>
    <row r="68" customFormat="1" ht="20.100000000000001" customHeight="1" x14ac:dyDescent="0.25"/>
    <row r="69" customFormat="1" ht="20.100000000000001" customHeight="1" x14ac:dyDescent="0.25"/>
    <row r="70" customFormat="1" ht="20.100000000000001" customHeight="1" x14ac:dyDescent="0.25"/>
    <row r="71" customFormat="1" ht="20.100000000000001" customHeight="1" x14ac:dyDescent="0.25"/>
    <row r="72" customFormat="1" ht="20.100000000000001" customHeight="1" x14ac:dyDescent="0.25"/>
    <row r="73" customFormat="1" ht="20.100000000000001" customHeight="1" x14ac:dyDescent="0.25"/>
    <row r="74" customFormat="1" ht="20.100000000000001" customHeight="1" x14ac:dyDescent="0.25"/>
    <row r="75" customFormat="1" ht="20.100000000000001" customHeight="1" x14ac:dyDescent="0.25"/>
    <row r="76" customFormat="1" ht="20.100000000000001" customHeight="1" x14ac:dyDescent="0.25"/>
    <row r="77" customFormat="1" ht="20.100000000000001" customHeight="1" x14ac:dyDescent="0.25"/>
    <row r="78" customFormat="1" ht="20.100000000000001" customHeight="1" x14ac:dyDescent="0.25"/>
    <row r="79" customFormat="1" ht="20.100000000000001" customHeight="1" x14ac:dyDescent="0.25"/>
    <row r="80" customFormat="1" ht="20.100000000000001" customHeight="1" x14ac:dyDescent="0.25"/>
    <row r="81" customFormat="1" ht="20.100000000000001" customHeight="1" x14ac:dyDescent="0.25"/>
    <row r="82" customFormat="1" ht="20.100000000000001" customHeight="1" x14ac:dyDescent="0.25"/>
    <row r="83" customFormat="1" ht="20.100000000000001" customHeight="1" x14ac:dyDescent="0.25"/>
    <row r="84" customFormat="1" ht="20.100000000000001" customHeight="1" x14ac:dyDescent="0.25"/>
    <row r="85" customFormat="1" ht="20.100000000000001" customHeight="1" x14ac:dyDescent="0.25"/>
    <row r="86" customFormat="1" ht="20.100000000000001" customHeight="1" x14ac:dyDescent="0.25"/>
    <row r="87" customFormat="1" ht="20.100000000000001" customHeight="1" x14ac:dyDescent="0.25"/>
    <row r="88" customFormat="1" ht="20.100000000000001" customHeight="1" x14ac:dyDescent="0.25"/>
    <row r="89" customFormat="1" ht="20.100000000000001" customHeight="1" x14ac:dyDescent="0.25"/>
    <row r="90" customFormat="1" ht="20.100000000000001" customHeight="1" x14ac:dyDescent="0.25"/>
    <row r="91" customFormat="1" ht="20.100000000000001" customHeight="1" x14ac:dyDescent="0.25"/>
    <row r="92" customFormat="1" ht="20.100000000000001" customHeight="1" x14ac:dyDescent="0.25"/>
    <row r="93" customFormat="1" ht="20.100000000000001" customHeight="1" x14ac:dyDescent="0.25"/>
    <row r="94" customFormat="1" ht="20.100000000000001" customHeight="1" x14ac:dyDescent="0.25"/>
    <row r="95" customFormat="1" ht="20.100000000000001" customHeight="1" x14ac:dyDescent="0.25"/>
    <row r="96" customFormat="1" ht="20.100000000000001" customHeight="1" x14ac:dyDescent="0.25"/>
    <row r="97" spans="1:3" ht="20.100000000000001" customHeight="1" x14ac:dyDescent="0.25">
      <c r="A97"/>
      <c r="B97"/>
      <c r="C97"/>
    </row>
    <row r="98" spans="1:3" ht="20.100000000000001" customHeight="1" x14ac:dyDescent="0.25">
      <c r="A98"/>
      <c r="B98"/>
      <c r="C98"/>
    </row>
    <row r="99" spans="1:3" ht="20.100000000000001" customHeight="1" x14ac:dyDescent="0.25">
      <c r="A99"/>
      <c r="B99"/>
      <c r="C99"/>
    </row>
    <row r="100" spans="1:3" ht="20.100000000000001" customHeight="1" x14ac:dyDescent="0.25">
      <c r="A100"/>
      <c r="B100"/>
      <c r="C100"/>
    </row>
    <row r="101" spans="1:3" ht="20.100000000000001" customHeight="1" x14ac:dyDescent="0.25">
      <c r="A101"/>
      <c r="B101"/>
      <c r="C101"/>
    </row>
    <row r="102" spans="1:3" ht="20.100000000000001" customHeight="1" x14ac:dyDescent="0.25">
      <c r="A102" s="15"/>
      <c r="B102" s="16"/>
      <c r="C102" s="17"/>
    </row>
    <row r="103" spans="1:3" ht="20.100000000000001" customHeight="1" x14ac:dyDescent="0.25">
      <c r="A103" s="15"/>
      <c r="B103" s="16"/>
      <c r="C103" s="17"/>
    </row>
    <row r="104" spans="1:3" ht="20.100000000000001" customHeight="1" x14ac:dyDescent="0.25">
      <c r="A104" s="15"/>
      <c r="B104" s="16"/>
      <c r="C104" s="17"/>
    </row>
    <row r="105" spans="1:3" ht="20.100000000000001" customHeight="1" x14ac:dyDescent="0.25">
      <c r="A105" s="15"/>
      <c r="B105" s="16"/>
      <c r="C105" s="17"/>
    </row>
    <row r="106" spans="1:3" ht="20.100000000000001" customHeight="1" x14ac:dyDescent="0.25">
      <c r="A106" s="15"/>
      <c r="B106" s="16"/>
      <c r="C106" s="17"/>
    </row>
    <row r="107" spans="1:3" ht="20.100000000000001" customHeight="1" x14ac:dyDescent="0.25">
      <c r="A107" s="15"/>
      <c r="B107" s="16"/>
      <c r="C107" s="17"/>
    </row>
    <row r="108" spans="1:3" ht="20.100000000000001" customHeight="1" x14ac:dyDescent="0.25">
      <c r="A108" s="15"/>
      <c r="B108" s="16"/>
      <c r="C108" s="17"/>
    </row>
    <row r="109" spans="1:3" ht="20.100000000000001" customHeight="1" x14ac:dyDescent="0.25">
      <c r="A109" s="15"/>
      <c r="B109" s="16"/>
      <c r="C109" s="17"/>
    </row>
    <row r="110" spans="1:3" ht="20.100000000000001" customHeight="1" x14ac:dyDescent="0.25">
      <c r="A110" s="15"/>
      <c r="B110" s="16"/>
      <c r="C110" s="17"/>
    </row>
    <row r="111" spans="1:3" ht="20.100000000000001" customHeight="1" x14ac:dyDescent="0.25">
      <c r="A111" s="15"/>
      <c r="B111" s="16"/>
      <c r="C111" s="17"/>
    </row>
    <row r="112" spans="1:3" ht="20.100000000000001" customHeight="1" x14ac:dyDescent="0.25">
      <c r="A112" s="15"/>
      <c r="B112" s="16"/>
      <c r="C112" s="17"/>
    </row>
    <row r="113" spans="1:3" ht="20.100000000000001" customHeight="1" x14ac:dyDescent="0.25">
      <c r="A113" s="15"/>
      <c r="B113" s="16"/>
      <c r="C113" s="17"/>
    </row>
    <row r="114" spans="1:3" ht="20.100000000000001" customHeight="1" x14ac:dyDescent="0.25">
      <c r="A114" s="15"/>
      <c r="B114" s="16"/>
      <c r="C114" s="17"/>
    </row>
    <row r="115" spans="1:3" ht="20.100000000000001" customHeight="1" x14ac:dyDescent="0.25">
      <c r="A115" s="15"/>
      <c r="B115" s="16"/>
      <c r="C115" s="17"/>
    </row>
    <row r="116" spans="1:3" ht="20.100000000000001" customHeight="1" x14ac:dyDescent="0.25">
      <c r="A116" s="15"/>
      <c r="B116" s="16"/>
      <c r="C116" s="17"/>
    </row>
    <row r="117" spans="1:3" ht="20.100000000000001" customHeight="1" x14ac:dyDescent="0.25">
      <c r="A117" s="15"/>
      <c r="B117" s="16"/>
      <c r="C117" s="17"/>
    </row>
    <row r="118" spans="1:3" ht="30" customHeight="1" x14ac:dyDescent="0.25">
      <c r="A118"/>
      <c r="B118"/>
      <c r="C118"/>
    </row>
    <row r="119" spans="1:3" ht="20.100000000000001" customHeight="1" x14ac:dyDescent="0.25">
      <c r="A119"/>
      <c r="B119"/>
      <c r="C119"/>
    </row>
    <row r="120" spans="1:3" ht="20.100000000000001" customHeight="1" x14ac:dyDescent="0.25">
      <c r="A120"/>
      <c r="B120"/>
      <c r="C120"/>
    </row>
    <row r="121" spans="1:3" ht="20.100000000000001" customHeight="1" x14ac:dyDescent="0.25">
      <c r="A121"/>
      <c r="B121"/>
      <c r="C121"/>
    </row>
    <row r="122" spans="1:3" ht="20.100000000000001" customHeight="1" x14ac:dyDescent="0.25">
      <c r="A122"/>
      <c r="B122"/>
      <c r="C122"/>
    </row>
    <row r="123" spans="1:3" ht="20.100000000000001" customHeight="1" x14ac:dyDescent="0.25">
      <c r="A123"/>
      <c r="B123"/>
      <c r="C123"/>
    </row>
    <row r="124" spans="1:3" ht="20.100000000000001" customHeight="1" x14ac:dyDescent="0.25">
      <c r="A124"/>
      <c r="B124"/>
      <c r="C124"/>
    </row>
    <row r="125" spans="1:3" ht="20.100000000000001" customHeight="1" x14ac:dyDescent="0.25">
      <c r="A125"/>
      <c r="B125"/>
      <c r="C125"/>
    </row>
    <row r="126" spans="1:3" ht="20.100000000000001" customHeight="1" x14ac:dyDescent="0.25">
      <c r="A126"/>
      <c r="B126"/>
      <c r="C126"/>
    </row>
    <row r="127" spans="1:3" ht="20.100000000000001" customHeight="1" x14ac:dyDescent="0.25">
      <c r="A127"/>
      <c r="B127"/>
      <c r="C127"/>
    </row>
    <row r="128" spans="1:3" ht="20.100000000000001" customHeight="1" x14ac:dyDescent="0.25">
      <c r="A128"/>
      <c r="B128"/>
      <c r="C128"/>
    </row>
    <row r="129" customFormat="1" ht="20.100000000000001" customHeight="1" x14ac:dyDescent="0.25"/>
    <row r="130" customFormat="1" ht="20.100000000000001" customHeight="1" x14ac:dyDescent="0.25"/>
    <row r="131" customFormat="1" ht="20.100000000000001" customHeight="1" x14ac:dyDescent="0.25"/>
    <row r="132" customFormat="1" ht="20.100000000000001" customHeight="1" x14ac:dyDescent="0.25"/>
    <row r="133" customFormat="1" ht="20.100000000000001" customHeight="1" x14ac:dyDescent="0.25"/>
    <row r="134" customFormat="1" ht="20.100000000000001" customHeight="1" x14ac:dyDescent="0.25"/>
    <row r="135" customFormat="1" ht="20.100000000000001" customHeight="1" x14ac:dyDescent="0.25"/>
    <row r="136" customFormat="1" ht="20.100000000000001" customHeight="1" x14ac:dyDescent="0.25"/>
    <row r="137" customFormat="1" ht="20.100000000000001" customHeight="1" x14ac:dyDescent="0.25"/>
    <row r="138" customFormat="1" ht="20.100000000000001" customHeight="1" x14ac:dyDescent="0.25"/>
    <row r="139" customFormat="1" ht="20.100000000000001" customHeight="1" x14ac:dyDescent="0.25"/>
    <row r="140" customFormat="1" ht="20.100000000000001" customHeight="1" x14ac:dyDescent="0.25"/>
    <row r="141" customFormat="1" ht="20.100000000000001" customHeight="1" x14ac:dyDescent="0.25"/>
    <row r="142" customFormat="1" ht="20.100000000000001" customHeight="1" x14ac:dyDescent="0.25"/>
    <row r="143" customFormat="1" ht="20.100000000000001" customHeight="1" x14ac:dyDescent="0.25"/>
    <row r="144" customFormat="1" ht="20.100000000000001" customHeight="1" x14ac:dyDescent="0.25"/>
    <row r="145" customFormat="1" ht="20.100000000000001" customHeight="1" x14ac:dyDescent="0.25"/>
    <row r="146" customFormat="1" ht="20.100000000000001" customHeight="1" x14ac:dyDescent="0.25"/>
    <row r="147" customFormat="1" ht="20.100000000000001" customHeight="1" x14ac:dyDescent="0.25"/>
    <row r="148" customFormat="1" ht="20.100000000000001" customHeight="1" x14ac:dyDescent="0.25"/>
    <row r="149" customFormat="1" ht="20.100000000000001" customHeight="1" x14ac:dyDescent="0.25"/>
    <row r="150" customFormat="1" ht="20.100000000000001" customHeight="1" x14ac:dyDescent="0.25"/>
    <row r="151" customFormat="1" ht="20.100000000000001" customHeight="1" x14ac:dyDescent="0.25"/>
    <row r="152" customFormat="1" ht="20.100000000000001" customHeight="1" x14ac:dyDescent="0.25"/>
    <row r="153" customFormat="1" ht="20.100000000000001" customHeight="1" x14ac:dyDescent="0.25"/>
    <row r="154" customFormat="1" ht="20.100000000000001" customHeight="1" x14ac:dyDescent="0.25"/>
    <row r="155" customFormat="1" ht="20.100000000000001" customHeight="1" x14ac:dyDescent="0.25"/>
    <row r="156" customFormat="1" ht="20.100000000000001" customHeight="1" x14ac:dyDescent="0.25"/>
    <row r="157" customFormat="1" ht="20.100000000000001" customHeight="1" x14ac:dyDescent="0.25"/>
    <row r="158" customFormat="1" ht="20.100000000000001" customHeight="1" x14ac:dyDescent="0.25"/>
    <row r="159" customFormat="1" ht="20.100000000000001" customHeight="1" x14ac:dyDescent="0.25"/>
    <row r="160" customFormat="1" ht="20.100000000000001" customHeight="1" x14ac:dyDescent="0.25"/>
    <row r="161" customFormat="1" ht="20.100000000000001" customHeight="1" x14ac:dyDescent="0.25"/>
    <row r="162" customFormat="1" ht="20.100000000000001" customHeight="1" x14ac:dyDescent="0.25"/>
    <row r="163" customFormat="1" ht="20.100000000000001" customHeight="1" x14ac:dyDescent="0.25"/>
    <row r="164" customFormat="1" ht="20.100000000000001" customHeight="1" x14ac:dyDescent="0.25"/>
    <row r="165" customFormat="1" ht="20.100000000000001" customHeight="1" x14ac:dyDescent="0.25"/>
    <row r="166" customFormat="1" ht="20.100000000000001" customHeight="1" x14ac:dyDescent="0.25"/>
    <row r="167" customFormat="1" ht="20.100000000000001" customHeight="1" x14ac:dyDescent="0.25"/>
    <row r="168" customFormat="1" ht="20.100000000000001" customHeight="1" x14ac:dyDescent="0.25"/>
    <row r="169" customFormat="1" ht="20.100000000000001" customHeight="1" x14ac:dyDescent="0.25"/>
    <row r="170" customFormat="1" ht="20.100000000000001" customHeight="1" x14ac:dyDescent="0.25"/>
    <row r="171" customFormat="1" ht="20.100000000000001" customHeight="1" x14ac:dyDescent="0.25"/>
    <row r="172" customFormat="1" ht="20.100000000000001" customHeight="1" x14ac:dyDescent="0.25"/>
    <row r="173" customFormat="1" ht="20.100000000000001" customHeight="1" x14ac:dyDescent="0.25"/>
    <row r="174" customFormat="1" ht="20.100000000000001" customHeight="1" x14ac:dyDescent="0.25"/>
    <row r="175" customFormat="1" ht="20.100000000000001" customHeight="1" x14ac:dyDescent="0.25"/>
    <row r="176" customFormat="1" ht="20.100000000000001" customHeight="1" x14ac:dyDescent="0.25"/>
    <row r="177" customFormat="1" ht="20.100000000000001" customHeight="1" x14ac:dyDescent="0.25"/>
    <row r="178" customFormat="1" ht="20.100000000000001" customHeight="1" x14ac:dyDescent="0.25"/>
    <row r="179" customFormat="1" ht="20.100000000000001" customHeight="1" x14ac:dyDescent="0.25"/>
    <row r="180" customFormat="1" ht="20.100000000000001" customHeight="1" x14ac:dyDescent="0.25"/>
    <row r="181" customFormat="1" ht="20.100000000000001" customHeight="1" x14ac:dyDescent="0.25"/>
    <row r="182" customFormat="1" ht="20.100000000000001" customHeight="1" x14ac:dyDescent="0.25"/>
    <row r="183" customFormat="1" ht="20.100000000000001" customHeight="1" x14ac:dyDescent="0.25"/>
    <row r="184" customFormat="1" ht="20.100000000000001" customHeight="1" x14ac:dyDescent="0.25"/>
    <row r="185" customFormat="1" ht="20.100000000000001" customHeight="1" x14ac:dyDescent="0.25"/>
    <row r="186" customFormat="1" ht="20.100000000000001" customHeight="1" x14ac:dyDescent="0.25"/>
    <row r="187" customFormat="1" ht="20.100000000000001" customHeight="1" x14ac:dyDescent="0.25"/>
    <row r="188" customFormat="1" ht="20.100000000000001" customHeight="1" x14ac:dyDescent="0.25"/>
    <row r="189" customFormat="1" ht="20.100000000000001" customHeight="1" x14ac:dyDescent="0.25"/>
    <row r="190" customFormat="1" ht="20.100000000000001" customHeight="1" x14ac:dyDescent="0.25"/>
    <row r="191" customFormat="1" ht="20.100000000000001" customHeight="1" x14ac:dyDescent="0.25"/>
    <row r="192" customFormat="1" ht="20.100000000000001" customHeight="1" x14ac:dyDescent="0.25"/>
    <row r="193" customFormat="1" ht="20.100000000000001" customHeight="1" x14ac:dyDescent="0.25"/>
    <row r="194" customFormat="1" ht="20.100000000000001" customHeight="1" x14ac:dyDescent="0.25"/>
    <row r="195" customFormat="1" ht="20.100000000000001" customHeight="1" x14ac:dyDescent="0.25"/>
    <row r="196" customFormat="1" ht="20.100000000000001" customHeight="1" x14ac:dyDescent="0.25"/>
    <row r="197" customFormat="1" ht="20.100000000000001" customHeight="1" x14ac:dyDescent="0.25"/>
    <row r="198" customFormat="1" ht="20.100000000000001" customHeight="1" x14ac:dyDescent="0.25"/>
    <row r="199" customFormat="1" ht="20.100000000000001" customHeight="1" x14ac:dyDescent="0.25"/>
    <row r="200" customFormat="1" ht="20.100000000000001" customHeight="1" x14ac:dyDescent="0.25"/>
    <row r="201" customFormat="1" ht="20.100000000000001" customHeight="1" x14ac:dyDescent="0.25"/>
    <row r="202" customFormat="1" ht="20.100000000000001" customHeight="1" x14ac:dyDescent="0.25"/>
    <row r="203" customFormat="1" ht="20.100000000000001" customHeight="1" x14ac:dyDescent="0.25"/>
    <row r="204" customFormat="1" ht="20.100000000000001" customHeight="1" x14ac:dyDescent="0.25"/>
    <row r="205" customFormat="1" ht="20.100000000000001" customHeight="1" x14ac:dyDescent="0.25"/>
    <row r="206" customFormat="1" ht="20.100000000000001" customHeight="1" x14ac:dyDescent="0.25"/>
    <row r="207" customFormat="1" ht="20.100000000000001" customHeight="1" x14ac:dyDescent="0.25"/>
    <row r="208" customFormat="1" ht="20.100000000000001" customHeight="1" x14ac:dyDescent="0.25"/>
    <row r="209" spans="1:3" ht="20.100000000000001" customHeight="1" x14ac:dyDescent="0.25">
      <c r="A209"/>
      <c r="B209"/>
      <c r="C209"/>
    </row>
    <row r="210" spans="1:3" ht="20.100000000000001" customHeight="1" x14ac:dyDescent="0.25">
      <c r="A210"/>
      <c r="B210"/>
      <c r="C210"/>
    </row>
    <row r="211" spans="1:3" ht="20.100000000000001" customHeight="1" x14ac:dyDescent="0.25">
      <c r="A211"/>
      <c r="B211"/>
      <c r="C211"/>
    </row>
    <row r="212" spans="1:3" ht="20.100000000000001" customHeight="1" x14ac:dyDescent="0.25">
      <c r="A212"/>
      <c r="B212"/>
      <c r="C212"/>
    </row>
    <row r="213" spans="1:3" ht="20.100000000000001" customHeight="1" x14ac:dyDescent="0.25">
      <c r="A213"/>
      <c r="B213"/>
      <c r="C213"/>
    </row>
    <row r="214" spans="1:3" ht="20.100000000000001" customHeight="1" x14ac:dyDescent="0.25">
      <c r="A214"/>
      <c r="B214"/>
      <c r="C214"/>
    </row>
    <row r="215" spans="1:3" ht="20.100000000000001" customHeight="1" x14ac:dyDescent="0.25">
      <c r="A215"/>
      <c r="B215"/>
      <c r="C215"/>
    </row>
    <row r="216" spans="1:3" ht="20.100000000000001" customHeight="1" x14ac:dyDescent="0.25">
      <c r="A216"/>
      <c r="B216"/>
      <c r="C216"/>
    </row>
    <row r="217" spans="1:3" ht="20.100000000000001" customHeight="1" x14ac:dyDescent="0.25">
      <c r="A217"/>
      <c r="B217"/>
      <c r="C217"/>
    </row>
    <row r="218" spans="1:3" ht="20.100000000000001" customHeight="1" x14ac:dyDescent="0.25">
      <c r="A218"/>
      <c r="B218"/>
      <c r="C218"/>
    </row>
    <row r="219" spans="1:3" ht="20.100000000000001" customHeight="1" x14ac:dyDescent="0.25">
      <c r="A219" s="15"/>
      <c r="B219" s="23"/>
      <c r="C219" s="17"/>
    </row>
    <row r="220" spans="1:3" ht="20.100000000000001" customHeight="1" x14ac:dyDescent="0.25">
      <c r="A220" s="15"/>
      <c r="B220" s="23"/>
      <c r="C220" s="17"/>
    </row>
    <row r="221" spans="1:3" ht="20.100000000000001" customHeight="1" x14ac:dyDescent="0.25">
      <c r="A221" s="15"/>
      <c r="B221" s="23"/>
      <c r="C221" s="17"/>
    </row>
    <row r="222" spans="1:3" ht="20.100000000000001" customHeight="1" x14ac:dyDescent="0.25">
      <c r="A222" s="15"/>
      <c r="B222" s="23"/>
      <c r="C222" s="17"/>
    </row>
    <row r="223" spans="1:3" ht="20.100000000000001" customHeight="1" x14ac:dyDescent="0.25">
      <c r="A223" s="15"/>
      <c r="B223" s="23"/>
      <c r="C223" s="17"/>
    </row>
    <row r="224" spans="1:3" ht="20.100000000000001" customHeight="1" x14ac:dyDescent="0.25">
      <c r="A224" s="15"/>
      <c r="B224" s="23"/>
      <c r="C224" s="17"/>
    </row>
    <row r="225" spans="1:3" ht="20.100000000000001" customHeight="1" x14ac:dyDescent="0.25">
      <c r="A225" s="15"/>
      <c r="B225" s="23"/>
      <c r="C225" s="17"/>
    </row>
    <row r="226" spans="1:3" ht="20.100000000000001" customHeight="1" x14ac:dyDescent="0.25">
      <c r="A226" s="15"/>
      <c r="B226" s="23"/>
      <c r="C226" s="17"/>
    </row>
    <row r="227" spans="1:3" ht="20.100000000000001" customHeight="1" x14ac:dyDescent="0.25">
      <c r="A227" s="15"/>
      <c r="B227" s="23"/>
      <c r="C227" s="17"/>
    </row>
    <row r="228" spans="1:3" ht="20.100000000000001" customHeight="1" x14ac:dyDescent="0.25">
      <c r="A228" s="15"/>
      <c r="B228" s="23"/>
      <c r="C228" s="17"/>
    </row>
    <row r="229" spans="1:3" ht="20.100000000000001" customHeight="1" x14ac:dyDescent="0.25">
      <c r="A229" s="15"/>
      <c r="B229" s="23"/>
      <c r="C229" s="17"/>
    </row>
    <row r="230" spans="1:3" ht="20.100000000000001" customHeight="1" x14ac:dyDescent="0.25">
      <c r="A230" s="15"/>
      <c r="B230" s="23"/>
      <c r="C230" s="17"/>
    </row>
    <row r="231" spans="1:3" ht="20.100000000000001" customHeight="1" x14ac:dyDescent="0.25">
      <c r="A231" s="15"/>
      <c r="B231" s="23"/>
      <c r="C231" s="17"/>
    </row>
    <row r="232" spans="1:3" ht="20.100000000000001" customHeight="1" x14ac:dyDescent="0.25">
      <c r="A232" s="15"/>
      <c r="B232" s="23"/>
      <c r="C232" s="17"/>
    </row>
    <row r="233" spans="1:3" ht="20.100000000000001" customHeight="1" x14ac:dyDescent="0.25">
      <c r="A233" s="15"/>
      <c r="B233" s="23"/>
      <c r="C233" s="17"/>
    </row>
    <row r="234" spans="1:3" ht="20.100000000000001" customHeight="1" x14ac:dyDescent="0.25">
      <c r="A234" s="15"/>
      <c r="B234" s="23"/>
      <c r="C234" s="17"/>
    </row>
    <row r="235" spans="1:3" ht="30" customHeight="1" x14ac:dyDescent="0.25">
      <c r="A235" s="9" t="s">
        <v>1</v>
      </c>
      <c r="B235" s="10" t="s">
        <v>2</v>
      </c>
      <c r="C235" s="10" t="s">
        <v>3</v>
      </c>
    </row>
    <row r="236" spans="1:3" ht="20.100000000000001" customHeight="1" x14ac:dyDescent="0.25">
      <c r="A236" s="1" t="s">
        <v>6</v>
      </c>
      <c r="B236" s="8" t="s">
        <v>680</v>
      </c>
      <c r="C236" s="3" t="s">
        <v>779</v>
      </c>
    </row>
    <row r="237" spans="1:3" ht="20.100000000000001" customHeight="1" x14ac:dyDescent="0.25">
      <c r="A237" s="1" t="s">
        <v>7</v>
      </c>
      <c r="B237" s="8" t="s">
        <v>681</v>
      </c>
      <c r="C237" s="3" t="s">
        <v>779</v>
      </c>
    </row>
    <row r="238" spans="1:3" ht="20.100000000000001" customHeight="1" x14ac:dyDescent="0.25">
      <c r="A238" s="1" t="s">
        <v>8</v>
      </c>
      <c r="B238" s="8" t="s">
        <v>682</v>
      </c>
      <c r="C238" s="3" t="s">
        <v>779</v>
      </c>
    </row>
    <row r="239" spans="1:3" ht="20.100000000000001" customHeight="1" x14ac:dyDescent="0.25">
      <c r="A239" s="1" t="s">
        <v>9</v>
      </c>
      <c r="B239" s="8" t="s">
        <v>683</v>
      </c>
      <c r="C239" s="3" t="s">
        <v>779</v>
      </c>
    </row>
    <row r="240" spans="1:3" ht="20.100000000000001" customHeight="1" x14ac:dyDescent="0.25">
      <c r="A240" s="1" t="s">
        <v>10</v>
      </c>
      <c r="B240" s="8" t="s">
        <v>684</v>
      </c>
      <c r="C240" s="3" t="s">
        <v>779</v>
      </c>
    </row>
    <row r="241" spans="1:3" ht="20.100000000000001" customHeight="1" x14ac:dyDescent="0.25">
      <c r="A241" s="1" t="s">
        <v>11</v>
      </c>
      <c r="B241" s="8" t="s">
        <v>685</v>
      </c>
      <c r="C241" s="3" t="s">
        <v>779</v>
      </c>
    </row>
    <row r="242" spans="1:3" ht="20.100000000000001" customHeight="1" x14ac:dyDescent="0.25">
      <c r="A242" s="1" t="s">
        <v>12</v>
      </c>
      <c r="B242" s="8" t="s">
        <v>686</v>
      </c>
      <c r="C242" s="3" t="s">
        <v>779</v>
      </c>
    </row>
    <row r="243" spans="1:3" ht="20.100000000000001" customHeight="1" x14ac:dyDescent="0.25">
      <c r="A243" s="1" t="s">
        <v>13</v>
      </c>
      <c r="B243" s="8" t="s">
        <v>687</v>
      </c>
      <c r="C243" s="3" t="s">
        <v>779</v>
      </c>
    </row>
    <row r="244" spans="1:3" ht="20.100000000000001" customHeight="1" x14ac:dyDescent="0.25">
      <c r="A244" s="1" t="s">
        <v>14</v>
      </c>
      <c r="B244" s="8" t="s">
        <v>688</v>
      </c>
      <c r="C244" s="3" t="s">
        <v>779</v>
      </c>
    </row>
    <row r="245" spans="1:3" ht="20.100000000000001" customHeight="1" x14ac:dyDescent="0.25">
      <c r="A245" s="1" t="s">
        <v>15</v>
      </c>
      <c r="B245" s="8" t="s">
        <v>689</v>
      </c>
      <c r="C245" s="3" t="s">
        <v>779</v>
      </c>
    </row>
    <row r="246" spans="1:3" ht="20.100000000000001" customHeight="1" x14ac:dyDescent="0.25">
      <c r="A246" s="1" t="s">
        <v>16</v>
      </c>
      <c r="B246" s="8" t="s">
        <v>690</v>
      </c>
      <c r="C246" s="3" t="s">
        <v>779</v>
      </c>
    </row>
    <row r="247" spans="1:3" ht="20.100000000000001" customHeight="1" x14ac:dyDescent="0.25">
      <c r="A247" s="1" t="s">
        <v>17</v>
      </c>
      <c r="B247" s="8" t="s">
        <v>691</v>
      </c>
      <c r="C247" s="3" t="s">
        <v>779</v>
      </c>
    </row>
    <row r="248" spans="1:3" ht="20.100000000000001" customHeight="1" x14ac:dyDescent="0.25">
      <c r="A248" s="1" t="s">
        <v>18</v>
      </c>
      <c r="B248" s="8" t="s">
        <v>692</v>
      </c>
      <c r="C248" s="3" t="s">
        <v>779</v>
      </c>
    </row>
    <row r="249" spans="1:3" ht="20.100000000000001" customHeight="1" x14ac:dyDescent="0.25">
      <c r="A249" s="1" t="s">
        <v>19</v>
      </c>
      <c r="B249" s="8" t="s">
        <v>693</v>
      </c>
      <c r="C249" s="3" t="s">
        <v>779</v>
      </c>
    </row>
    <row r="250" spans="1:3" ht="20.100000000000001" customHeight="1" x14ac:dyDescent="0.25">
      <c r="A250" s="1" t="s">
        <v>20</v>
      </c>
      <c r="B250" s="8" t="s">
        <v>694</v>
      </c>
      <c r="C250" s="3" t="s">
        <v>779</v>
      </c>
    </row>
    <row r="251" spans="1:3" ht="20.100000000000001" customHeight="1" x14ac:dyDescent="0.25">
      <c r="A251" s="1" t="s">
        <v>21</v>
      </c>
      <c r="B251" s="8" t="s">
        <v>695</v>
      </c>
      <c r="C251" s="3" t="s">
        <v>779</v>
      </c>
    </row>
    <row r="252" spans="1:3" ht="20.100000000000001" customHeight="1" x14ac:dyDescent="0.25">
      <c r="A252" s="1" t="s">
        <v>22</v>
      </c>
      <c r="B252" s="8" t="s">
        <v>696</v>
      </c>
      <c r="C252" s="3" t="s">
        <v>779</v>
      </c>
    </row>
    <row r="253" spans="1:3" ht="20.100000000000001" customHeight="1" x14ac:dyDescent="0.25">
      <c r="A253" s="1" t="s">
        <v>23</v>
      </c>
      <c r="B253" s="8" t="s">
        <v>697</v>
      </c>
      <c r="C253" s="3" t="s">
        <v>779</v>
      </c>
    </row>
    <row r="254" spans="1:3" ht="20.100000000000001" customHeight="1" x14ac:dyDescent="0.25">
      <c r="A254" s="1" t="s">
        <v>24</v>
      </c>
      <c r="B254" s="8" t="s">
        <v>698</v>
      </c>
      <c r="C254" s="3" t="s">
        <v>779</v>
      </c>
    </row>
    <row r="255" spans="1:3" ht="20.100000000000001" customHeight="1" x14ac:dyDescent="0.25">
      <c r="A255" s="1" t="s">
        <v>25</v>
      </c>
      <c r="B255" s="8" t="s">
        <v>699</v>
      </c>
      <c r="C255" s="3" t="s">
        <v>779</v>
      </c>
    </row>
    <row r="256" spans="1:3" ht="20.100000000000001" customHeight="1" x14ac:dyDescent="0.25">
      <c r="A256" s="1" t="s">
        <v>26</v>
      </c>
      <c r="B256" s="8" t="s">
        <v>700</v>
      </c>
      <c r="C256" s="3" t="s">
        <v>779</v>
      </c>
    </row>
    <row r="257" spans="1:3" ht="20.100000000000001" customHeight="1" x14ac:dyDescent="0.25">
      <c r="A257" s="1" t="s">
        <v>27</v>
      </c>
      <c r="B257" s="8" t="s">
        <v>701</v>
      </c>
      <c r="C257" s="3" t="s">
        <v>779</v>
      </c>
    </row>
    <row r="258" spans="1:3" ht="20.100000000000001" customHeight="1" x14ac:dyDescent="0.25">
      <c r="A258" s="1" t="s">
        <v>28</v>
      </c>
      <c r="B258" s="8" t="s">
        <v>702</v>
      </c>
      <c r="C258" s="3" t="s">
        <v>779</v>
      </c>
    </row>
    <row r="259" spans="1:3" ht="20.100000000000001" customHeight="1" x14ac:dyDescent="0.25">
      <c r="A259" s="1" t="s">
        <v>29</v>
      </c>
      <c r="B259" s="8" t="s">
        <v>703</v>
      </c>
      <c r="C259" s="3" t="s">
        <v>779</v>
      </c>
    </row>
    <row r="260" spans="1:3" ht="20.100000000000001" customHeight="1" x14ac:dyDescent="0.25">
      <c r="A260" s="1" t="s">
        <v>30</v>
      </c>
      <c r="B260" s="8" t="s">
        <v>704</v>
      </c>
      <c r="C260" s="3" t="s">
        <v>779</v>
      </c>
    </row>
    <row r="261" spans="1:3" ht="20.100000000000001" customHeight="1" x14ac:dyDescent="0.25">
      <c r="A261" s="1" t="s">
        <v>31</v>
      </c>
      <c r="B261" s="8" t="s">
        <v>705</v>
      </c>
      <c r="C261" s="3" t="s">
        <v>779</v>
      </c>
    </row>
    <row r="262" spans="1:3" ht="20.100000000000001" customHeight="1" x14ac:dyDescent="0.25">
      <c r="A262" s="1" t="s">
        <v>32</v>
      </c>
      <c r="B262" s="8" t="s">
        <v>706</v>
      </c>
      <c r="C262" s="3" t="s">
        <v>779</v>
      </c>
    </row>
    <row r="263" spans="1:3" ht="20.100000000000001" customHeight="1" x14ac:dyDescent="0.25">
      <c r="A263" s="1" t="s">
        <v>33</v>
      </c>
      <c r="B263" s="8" t="s">
        <v>707</v>
      </c>
      <c r="C263" s="3" t="s">
        <v>779</v>
      </c>
    </row>
    <row r="264" spans="1:3" ht="20.100000000000001" customHeight="1" x14ac:dyDescent="0.25">
      <c r="A264" s="1" t="s">
        <v>34</v>
      </c>
      <c r="B264" s="8" t="s">
        <v>708</v>
      </c>
      <c r="C264" s="3" t="s">
        <v>779</v>
      </c>
    </row>
    <row r="265" spans="1:3" ht="20.100000000000001" customHeight="1" x14ac:dyDescent="0.25">
      <c r="A265" s="1" t="s">
        <v>35</v>
      </c>
      <c r="B265" s="8" t="s">
        <v>709</v>
      </c>
      <c r="C265" s="3" t="s">
        <v>779</v>
      </c>
    </row>
    <row r="266" spans="1:3" ht="20.100000000000001" customHeight="1" x14ac:dyDescent="0.25">
      <c r="A266" s="1" t="s">
        <v>36</v>
      </c>
      <c r="B266" s="8" t="s">
        <v>710</v>
      </c>
      <c r="C266" s="3" t="s">
        <v>779</v>
      </c>
    </row>
    <row r="267" spans="1:3" ht="20.100000000000001" customHeight="1" x14ac:dyDescent="0.25">
      <c r="A267" s="1" t="s">
        <v>37</v>
      </c>
      <c r="B267" s="8" t="s">
        <v>711</v>
      </c>
      <c r="C267" s="3" t="s">
        <v>779</v>
      </c>
    </row>
    <row r="268" spans="1:3" ht="20.100000000000001" customHeight="1" x14ac:dyDescent="0.25">
      <c r="A268" s="1" t="s">
        <v>38</v>
      </c>
      <c r="B268" s="8" t="s">
        <v>712</v>
      </c>
      <c r="C268" s="3" t="s">
        <v>779</v>
      </c>
    </row>
    <row r="269" spans="1:3" ht="20.100000000000001" customHeight="1" x14ac:dyDescent="0.25">
      <c r="A269" s="1" t="s">
        <v>39</v>
      </c>
      <c r="B269" s="8" t="s">
        <v>713</v>
      </c>
      <c r="C269" s="3" t="s">
        <v>779</v>
      </c>
    </row>
    <row r="270" spans="1:3" ht="20.100000000000001" customHeight="1" x14ac:dyDescent="0.25">
      <c r="A270" s="1" t="s">
        <v>40</v>
      </c>
      <c r="B270" s="8" t="s">
        <v>714</v>
      </c>
      <c r="C270" s="3" t="s">
        <v>779</v>
      </c>
    </row>
    <row r="271" spans="1:3" ht="20.100000000000001" customHeight="1" x14ac:dyDescent="0.25">
      <c r="A271" s="1" t="s">
        <v>41</v>
      </c>
      <c r="B271" s="8" t="s">
        <v>715</v>
      </c>
      <c r="C271" s="3" t="s">
        <v>779</v>
      </c>
    </row>
    <row r="272" spans="1:3" ht="20.100000000000001" customHeight="1" x14ac:dyDescent="0.25">
      <c r="A272" s="1" t="s">
        <v>42</v>
      </c>
      <c r="B272" s="8" t="s">
        <v>716</v>
      </c>
      <c r="C272" s="3" t="s">
        <v>779</v>
      </c>
    </row>
    <row r="273" spans="1:3" ht="20.100000000000001" customHeight="1" x14ac:dyDescent="0.25">
      <c r="A273" s="1" t="s">
        <v>43</v>
      </c>
      <c r="B273" s="8" t="s">
        <v>717</v>
      </c>
      <c r="C273" s="3" t="s">
        <v>779</v>
      </c>
    </row>
    <row r="274" spans="1:3" ht="20.100000000000001" customHeight="1" x14ac:dyDescent="0.25">
      <c r="A274" s="1" t="s">
        <v>44</v>
      </c>
      <c r="B274" s="8" t="s">
        <v>718</v>
      </c>
      <c r="C274" s="3" t="s">
        <v>779</v>
      </c>
    </row>
    <row r="275" spans="1:3" ht="20.100000000000001" customHeight="1" x14ac:dyDescent="0.25">
      <c r="A275" s="1" t="s">
        <v>45</v>
      </c>
      <c r="B275" s="8" t="s">
        <v>719</v>
      </c>
      <c r="C275" s="3" t="s">
        <v>779</v>
      </c>
    </row>
    <row r="276" spans="1:3" ht="20.100000000000001" customHeight="1" x14ac:dyDescent="0.25">
      <c r="A276" s="1" t="s">
        <v>46</v>
      </c>
      <c r="B276" s="8" t="s">
        <v>720</v>
      </c>
      <c r="C276" s="3" t="s">
        <v>779</v>
      </c>
    </row>
    <row r="277" spans="1:3" ht="20.100000000000001" customHeight="1" x14ac:dyDescent="0.25">
      <c r="A277" s="1" t="s">
        <v>47</v>
      </c>
      <c r="B277" s="8" t="s">
        <v>721</v>
      </c>
      <c r="C277" s="3" t="s">
        <v>779</v>
      </c>
    </row>
    <row r="278" spans="1:3" ht="20.100000000000001" customHeight="1" x14ac:dyDescent="0.25">
      <c r="A278" s="1" t="s">
        <v>48</v>
      </c>
      <c r="B278" s="8" t="s">
        <v>722</v>
      </c>
      <c r="C278" s="3" t="s">
        <v>779</v>
      </c>
    </row>
    <row r="279" spans="1:3" ht="20.100000000000001" customHeight="1" x14ac:dyDescent="0.25">
      <c r="A279" s="1" t="s">
        <v>49</v>
      </c>
      <c r="B279" s="8" t="s">
        <v>723</v>
      </c>
      <c r="C279" s="3" t="s">
        <v>779</v>
      </c>
    </row>
    <row r="280" spans="1:3" ht="20.100000000000001" customHeight="1" x14ac:dyDescent="0.25">
      <c r="A280" s="1" t="s">
        <v>50</v>
      </c>
      <c r="B280" s="8" t="s">
        <v>724</v>
      </c>
      <c r="C280" s="3" t="s">
        <v>779</v>
      </c>
    </row>
    <row r="281" spans="1:3" ht="20.100000000000001" customHeight="1" x14ac:dyDescent="0.25">
      <c r="A281" s="1" t="s">
        <v>51</v>
      </c>
      <c r="B281" s="8" t="s">
        <v>725</v>
      </c>
      <c r="C281" s="3" t="s">
        <v>779</v>
      </c>
    </row>
    <row r="282" spans="1:3" ht="20.100000000000001" customHeight="1" x14ac:dyDescent="0.25">
      <c r="A282" s="1" t="s">
        <v>52</v>
      </c>
      <c r="B282" s="8" t="s">
        <v>726</v>
      </c>
      <c r="C282" s="3" t="s">
        <v>779</v>
      </c>
    </row>
    <row r="283" spans="1:3" ht="20.100000000000001" customHeight="1" x14ac:dyDescent="0.25">
      <c r="A283" s="1" t="s">
        <v>53</v>
      </c>
      <c r="B283" s="8" t="s">
        <v>727</v>
      </c>
      <c r="C283" s="3" t="s">
        <v>779</v>
      </c>
    </row>
    <row r="284" spans="1:3" ht="20.100000000000001" customHeight="1" x14ac:dyDescent="0.25">
      <c r="A284" s="1" t="s">
        <v>54</v>
      </c>
      <c r="B284" s="8" t="s">
        <v>728</v>
      </c>
      <c r="C284" s="3" t="s">
        <v>779</v>
      </c>
    </row>
    <row r="285" spans="1:3" ht="20.100000000000001" customHeight="1" x14ac:dyDescent="0.25">
      <c r="A285" s="1" t="s">
        <v>55</v>
      </c>
      <c r="B285" s="8" t="s">
        <v>729</v>
      </c>
      <c r="C285" s="3" t="s">
        <v>779</v>
      </c>
    </row>
    <row r="286" spans="1:3" ht="20.100000000000001" customHeight="1" x14ac:dyDescent="0.25">
      <c r="A286" s="1" t="s">
        <v>56</v>
      </c>
      <c r="B286" s="8" t="s">
        <v>730</v>
      </c>
      <c r="C286" s="3" t="s">
        <v>779</v>
      </c>
    </row>
    <row r="287" spans="1:3" ht="20.100000000000001" customHeight="1" x14ac:dyDescent="0.25">
      <c r="A287" s="1" t="s">
        <v>57</v>
      </c>
      <c r="B287" s="8" t="s">
        <v>731</v>
      </c>
      <c r="C287" s="3" t="s">
        <v>779</v>
      </c>
    </row>
    <row r="288" spans="1:3" ht="20.100000000000001" customHeight="1" x14ac:dyDescent="0.25">
      <c r="A288" s="1" t="s">
        <v>58</v>
      </c>
      <c r="B288" s="8" t="s">
        <v>732</v>
      </c>
      <c r="C288" s="3" t="s">
        <v>779</v>
      </c>
    </row>
    <row r="289" spans="1:3" ht="20.100000000000001" customHeight="1" x14ac:dyDescent="0.25">
      <c r="A289" s="1" t="s">
        <v>59</v>
      </c>
      <c r="B289" s="8" t="s">
        <v>733</v>
      </c>
      <c r="C289" s="3" t="s">
        <v>779</v>
      </c>
    </row>
    <row r="290" spans="1:3" ht="20.100000000000001" customHeight="1" x14ac:dyDescent="0.25">
      <c r="A290" s="1" t="s">
        <v>60</v>
      </c>
      <c r="B290" s="8" t="s">
        <v>734</v>
      </c>
      <c r="C290" s="3" t="s">
        <v>779</v>
      </c>
    </row>
    <row r="291" spans="1:3" ht="20.100000000000001" customHeight="1" x14ac:dyDescent="0.25">
      <c r="A291" s="1" t="s">
        <v>61</v>
      </c>
      <c r="B291" s="8" t="s">
        <v>735</v>
      </c>
      <c r="C291" s="3" t="s">
        <v>779</v>
      </c>
    </row>
    <row r="292" spans="1:3" ht="20.100000000000001" customHeight="1" x14ac:dyDescent="0.25">
      <c r="A292" s="1" t="s">
        <v>62</v>
      </c>
      <c r="B292" s="8" t="s">
        <v>736</v>
      </c>
      <c r="C292" s="3" t="s">
        <v>779</v>
      </c>
    </row>
    <row r="293" spans="1:3" ht="20.100000000000001" customHeight="1" x14ac:dyDescent="0.25">
      <c r="A293" s="1" t="s">
        <v>63</v>
      </c>
      <c r="B293" s="8" t="s">
        <v>737</v>
      </c>
      <c r="C293" s="3" t="s">
        <v>779</v>
      </c>
    </row>
    <row r="294" spans="1:3" ht="20.100000000000001" customHeight="1" x14ac:dyDescent="0.25">
      <c r="A294" s="1" t="s">
        <v>64</v>
      </c>
      <c r="B294" s="8" t="s">
        <v>738</v>
      </c>
      <c r="C294" s="3" t="s">
        <v>779</v>
      </c>
    </row>
    <row r="295" spans="1:3" ht="20.100000000000001" customHeight="1" x14ac:dyDescent="0.25">
      <c r="A295" s="1" t="s">
        <v>65</v>
      </c>
      <c r="B295" s="8" t="s">
        <v>739</v>
      </c>
      <c r="C295" s="3" t="s">
        <v>779</v>
      </c>
    </row>
    <row r="296" spans="1:3" ht="20.100000000000001" customHeight="1" x14ac:dyDescent="0.25">
      <c r="A296" s="1" t="s">
        <v>66</v>
      </c>
      <c r="B296" s="8" t="s">
        <v>740</v>
      </c>
      <c r="C296" s="3" t="s">
        <v>779</v>
      </c>
    </row>
    <row r="297" spans="1:3" ht="20.100000000000001" customHeight="1" x14ac:dyDescent="0.25">
      <c r="A297" s="1" t="s">
        <v>67</v>
      </c>
      <c r="B297" s="8" t="s">
        <v>741</v>
      </c>
      <c r="C297" s="3" t="s">
        <v>779</v>
      </c>
    </row>
    <row r="298" spans="1:3" ht="20.100000000000001" customHeight="1" x14ac:dyDescent="0.25">
      <c r="A298" s="1" t="s">
        <v>68</v>
      </c>
      <c r="B298" s="8" t="s">
        <v>742</v>
      </c>
      <c r="C298" s="3" t="s">
        <v>779</v>
      </c>
    </row>
    <row r="299" spans="1:3" ht="20.100000000000001" customHeight="1" x14ac:dyDescent="0.25">
      <c r="A299" s="1" t="s">
        <v>69</v>
      </c>
      <c r="B299" s="8" t="s">
        <v>743</v>
      </c>
      <c r="C299" s="3" t="s">
        <v>779</v>
      </c>
    </row>
    <row r="300" spans="1:3" ht="20.100000000000001" customHeight="1" x14ac:dyDescent="0.25">
      <c r="A300" s="1" t="s">
        <v>70</v>
      </c>
      <c r="B300" s="8" t="s">
        <v>744</v>
      </c>
      <c r="C300" s="3" t="s">
        <v>779</v>
      </c>
    </row>
    <row r="301" spans="1:3" ht="20.100000000000001" customHeight="1" x14ac:dyDescent="0.25">
      <c r="A301" s="1" t="s">
        <v>71</v>
      </c>
      <c r="B301" s="8" t="s">
        <v>745</v>
      </c>
      <c r="C301" s="3" t="s">
        <v>779</v>
      </c>
    </row>
    <row r="302" spans="1:3" ht="20.100000000000001" customHeight="1" x14ac:dyDescent="0.25">
      <c r="A302" s="1" t="s">
        <v>72</v>
      </c>
      <c r="B302" s="8" t="s">
        <v>746</v>
      </c>
      <c r="C302" s="3" t="s">
        <v>779</v>
      </c>
    </row>
    <row r="303" spans="1:3" ht="20.100000000000001" customHeight="1" x14ac:dyDescent="0.25">
      <c r="A303" s="1" t="s">
        <v>73</v>
      </c>
      <c r="B303" s="8" t="s">
        <v>747</v>
      </c>
      <c r="C303" s="3" t="s">
        <v>779</v>
      </c>
    </row>
    <row r="304" spans="1:3" ht="20.100000000000001" customHeight="1" x14ac:dyDescent="0.25">
      <c r="A304" s="1" t="s">
        <v>74</v>
      </c>
      <c r="B304" s="8" t="s">
        <v>748</v>
      </c>
      <c r="C304" s="3" t="s">
        <v>779</v>
      </c>
    </row>
    <row r="305" spans="1:3" ht="20.100000000000001" customHeight="1" x14ac:dyDescent="0.25">
      <c r="A305" s="1" t="s">
        <v>75</v>
      </c>
      <c r="B305" s="8" t="s">
        <v>749</v>
      </c>
      <c r="C305" s="3" t="s">
        <v>779</v>
      </c>
    </row>
    <row r="306" spans="1:3" ht="20.100000000000001" customHeight="1" x14ac:dyDescent="0.25">
      <c r="A306" s="1" t="s">
        <v>76</v>
      </c>
      <c r="B306" s="8" t="s">
        <v>750</v>
      </c>
      <c r="C306" s="3" t="s">
        <v>779</v>
      </c>
    </row>
    <row r="307" spans="1:3" ht="20.100000000000001" customHeight="1" x14ac:dyDescent="0.25">
      <c r="A307" s="1" t="s">
        <v>77</v>
      </c>
      <c r="B307" s="8" t="s">
        <v>751</v>
      </c>
      <c r="C307" s="3" t="s">
        <v>779</v>
      </c>
    </row>
    <row r="308" spans="1:3" ht="20.100000000000001" customHeight="1" x14ac:dyDescent="0.25">
      <c r="A308" s="1" t="s">
        <v>78</v>
      </c>
      <c r="B308" s="8" t="s">
        <v>752</v>
      </c>
      <c r="C308" s="3" t="s">
        <v>779</v>
      </c>
    </row>
    <row r="309" spans="1:3" ht="20.100000000000001" customHeight="1" x14ac:dyDescent="0.25">
      <c r="A309" s="1" t="s">
        <v>79</v>
      </c>
      <c r="B309" s="8" t="s">
        <v>753</v>
      </c>
      <c r="C309" s="3" t="s">
        <v>779</v>
      </c>
    </row>
    <row r="310" spans="1:3" ht="20.100000000000001" customHeight="1" x14ac:dyDescent="0.25">
      <c r="A310" s="1" t="s">
        <v>80</v>
      </c>
      <c r="B310" s="8" t="s">
        <v>754</v>
      </c>
      <c r="C310" s="3" t="s">
        <v>779</v>
      </c>
    </row>
    <row r="311" spans="1:3" ht="20.100000000000001" customHeight="1" x14ac:dyDescent="0.25">
      <c r="A311" s="1" t="s">
        <v>81</v>
      </c>
      <c r="B311" s="8" t="s">
        <v>755</v>
      </c>
      <c r="C311" s="3" t="s">
        <v>779</v>
      </c>
    </row>
    <row r="312" spans="1:3" ht="20.100000000000001" customHeight="1" x14ac:dyDescent="0.25">
      <c r="A312" s="1" t="s">
        <v>82</v>
      </c>
      <c r="B312" s="8" t="s">
        <v>756</v>
      </c>
      <c r="C312" s="3" t="s">
        <v>779</v>
      </c>
    </row>
    <row r="313" spans="1:3" ht="20.100000000000001" customHeight="1" x14ac:dyDescent="0.25">
      <c r="A313" s="1" t="s">
        <v>83</v>
      </c>
      <c r="B313" s="8" t="s">
        <v>757</v>
      </c>
      <c r="C313" s="3" t="s">
        <v>779</v>
      </c>
    </row>
    <row r="314" spans="1:3" ht="20.100000000000001" customHeight="1" x14ac:dyDescent="0.25">
      <c r="A314" s="1" t="s">
        <v>84</v>
      </c>
      <c r="B314" s="8" t="s">
        <v>758</v>
      </c>
      <c r="C314" s="3" t="s">
        <v>779</v>
      </c>
    </row>
    <row r="315" spans="1:3" ht="20.100000000000001" customHeight="1" x14ac:dyDescent="0.25">
      <c r="A315" s="1" t="s">
        <v>85</v>
      </c>
      <c r="B315" s="8" t="s">
        <v>759</v>
      </c>
      <c r="C315" s="3" t="s">
        <v>779</v>
      </c>
    </row>
    <row r="316" spans="1:3" ht="20.100000000000001" customHeight="1" x14ac:dyDescent="0.25">
      <c r="A316" s="1" t="s">
        <v>86</v>
      </c>
      <c r="B316" s="8" t="s">
        <v>760</v>
      </c>
      <c r="C316" s="3" t="s">
        <v>779</v>
      </c>
    </row>
    <row r="317" spans="1:3" ht="20.100000000000001" customHeight="1" x14ac:dyDescent="0.25">
      <c r="A317" s="1" t="s">
        <v>87</v>
      </c>
      <c r="B317" s="8" t="s">
        <v>761</v>
      </c>
      <c r="C317" s="3" t="s">
        <v>779</v>
      </c>
    </row>
    <row r="318" spans="1:3" ht="20.100000000000001" customHeight="1" x14ac:dyDescent="0.25">
      <c r="A318" s="1" t="s">
        <v>88</v>
      </c>
      <c r="B318" s="8" t="s">
        <v>762</v>
      </c>
      <c r="C318" s="3" t="s">
        <v>779</v>
      </c>
    </row>
    <row r="319" spans="1:3" ht="20.100000000000001" customHeight="1" x14ac:dyDescent="0.25">
      <c r="A319" s="1" t="s">
        <v>89</v>
      </c>
      <c r="B319" s="8" t="s">
        <v>1252</v>
      </c>
      <c r="C319" s="3" t="s">
        <v>779</v>
      </c>
    </row>
    <row r="320" spans="1:3" ht="20.100000000000001" customHeight="1" x14ac:dyDescent="0.25">
      <c r="A320" s="1" t="s">
        <v>90</v>
      </c>
      <c r="B320" s="8" t="s">
        <v>763</v>
      </c>
      <c r="C320" s="3" t="s">
        <v>779</v>
      </c>
    </row>
    <row r="321" spans="1:3" ht="20.100000000000001" customHeight="1" x14ac:dyDescent="0.25">
      <c r="A321" s="1" t="s">
        <v>91</v>
      </c>
      <c r="B321" s="8" t="s">
        <v>764</v>
      </c>
      <c r="C321" s="3" t="s">
        <v>779</v>
      </c>
    </row>
    <row r="322" spans="1:3" ht="20.100000000000001" customHeight="1" x14ac:dyDescent="0.25">
      <c r="A322" s="1" t="s">
        <v>92</v>
      </c>
      <c r="B322" s="8" t="s">
        <v>765</v>
      </c>
      <c r="C322" s="3" t="s">
        <v>779</v>
      </c>
    </row>
    <row r="323" spans="1:3" ht="20.100000000000001" customHeight="1" x14ac:dyDescent="0.25">
      <c r="A323" s="1" t="s">
        <v>93</v>
      </c>
      <c r="B323" s="8" t="s">
        <v>766</v>
      </c>
      <c r="C323" s="3" t="s">
        <v>779</v>
      </c>
    </row>
    <row r="324" spans="1:3" ht="20.100000000000001" customHeight="1" x14ac:dyDescent="0.25">
      <c r="A324" s="1" t="s">
        <v>94</v>
      </c>
      <c r="B324" s="8" t="s">
        <v>767</v>
      </c>
      <c r="C324" s="3" t="s">
        <v>779</v>
      </c>
    </row>
    <row r="325" spans="1:3" ht="20.100000000000001" customHeight="1" x14ac:dyDescent="0.25">
      <c r="A325" s="1" t="s">
        <v>95</v>
      </c>
      <c r="B325" s="8" t="s">
        <v>768</v>
      </c>
      <c r="C325" s="3" t="s">
        <v>779</v>
      </c>
    </row>
    <row r="326" spans="1:3" ht="20.100000000000001" customHeight="1" x14ac:dyDescent="0.25">
      <c r="A326" s="1" t="s">
        <v>96</v>
      </c>
      <c r="B326" s="8" t="s">
        <v>769</v>
      </c>
      <c r="C326" s="3" t="s">
        <v>779</v>
      </c>
    </row>
    <row r="327" spans="1:3" ht="20.100000000000001" customHeight="1" x14ac:dyDescent="0.25">
      <c r="A327" s="1" t="s">
        <v>97</v>
      </c>
      <c r="B327" s="8" t="s">
        <v>770</v>
      </c>
      <c r="C327" s="3" t="s">
        <v>779</v>
      </c>
    </row>
    <row r="328" spans="1:3" ht="20.100000000000001" customHeight="1" x14ac:dyDescent="0.25">
      <c r="A328" s="1" t="s">
        <v>98</v>
      </c>
      <c r="B328" s="8" t="s">
        <v>771</v>
      </c>
      <c r="C328" s="3" t="s">
        <v>779</v>
      </c>
    </row>
    <row r="329" spans="1:3" ht="20.100000000000001" customHeight="1" x14ac:dyDescent="0.25">
      <c r="A329" s="1" t="s">
        <v>99</v>
      </c>
      <c r="B329" s="8" t="s">
        <v>772</v>
      </c>
      <c r="C329" s="3" t="s">
        <v>779</v>
      </c>
    </row>
    <row r="330" spans="1:3" ht="20.100000000000001" customHeight="1" x14ac:dyDescent="0.25">
      <c r="A330" s="1" t="s">
        <v>100</v>
      </c>
      <c r="B330" s="8" t="s">
        <v>773</v>
      </c>
      <c r="C330" s="3" t="s">
        <v>779</v>
      </c>
    </row>
    <row r="331" spans="1:3" ht="20.100000000000001" customHeight="1" x14ac:dyDescent="0.25">
      <c r="A331" s="1" t="s">
        <v>101</v>
      </c>
      <c r="B331" s="8" t="s">
        <v>774</v>
      </c>
      <c r="C331" s="3" t="s">
        <v>779</v>
      </c>
    </row>
    <row r="332" spans="1:3" ht="20.100000000000001" customHeight="1" x14ac:dyDescent="0.25">
      <c r="A332" s="1" t="s">
        <v>102</v>
      </c>
      <c r="B332" s="8" t="s">
        <v>775</v>
      </c>
      <c r="C332" s="3" t="s">
        <v>779</v>
      </c>
    </row>
    <row r="333" spans="1:3" ht="20.100000000000001" customHeight="1" x14ac:dyDescent="0.25">
      <c r="A333" s="1" t="s">
        <v>103</v>
      </c>
      <c r="B333" s="8" t="s">
        <v>776</v>
      </c>
      <c r="C333" s="3" t="s">
        <v>779</v>
      </c>
    </row>
    <row r="334" spans="1:3" ht="20.100000000000001" customHeight="1" x14ac:dyDescent="0.25">
      <c r="A334" s="1" t="s">
        <v>104</v>
      </c>
      <c r="B334" s="8" t="s">
        <v>777</v>
      </c>
      <c r="C334" s="3" t="s">
        <v>779</v>
      </c>
    </row>
    <row r="335" spans="1:3" ht="20.100000000000001" customHeight="1" x14ac:dyDescent="0.25">
      <c r="A335" s="18" t="s">
        <v>105</v>
      </c>
      <c r="B335" s="8" t="s">
        <v>778</v>
      </c>
      <c r="C335" s="3" t="s">
        <v>779</v>
      </c>
    </row>
    <row r="336" spans="1:3" ht="20.100000000000001" customHeight="1" x14ac:dyDescent="0.25">
      <c r="A336" s="15"/>
      <c r="B336" s="16"/>
      <c r="C336" s="17"/>
    </row>
    <row r="337" spans="1:3" ht="20.100000000000001" customHeight="1" x14ac:dyDescent="0.25">
      <c r="A337" s="15"/>
      <c r="B337" s="16"/>
      <c r="C337" s="17"/>
    </row>
    <row r="338" spans="1:3" ht="20.100000000000001" customHeight="1" x14ac:dyDescent="0.25">
      <c r="A338" s="15"/>
      <c r="B338" s="16"/>
      <c r="C338" s="17"/>
    </row>
    <row r="339" spans="1:3" ht="20.100000000000001" customHeight="1" x14ac:dyDescent="0.25">
      <c r="A339" s="15"/>
      <c r="B339" s="16"/>
      <c r="C339" s="17"/>
    </row>
    <row r="340" spans="1:3" ht="20.100000000000001" customHeight="1" x14ac:dyDescent="0.25">
      <c r="A340" s="15"/>
      <c r="B340" s="16"/>
      <c r="C340" s="17"/>
    </row>
    <row r="341" spans="1:3" ht="20.100000000000001" customHeight="1" x14ac:dyDescent="0.25">
      <c r="A341" s="15"/>
      <c r="B341" s="16"/>
      <c r="C341" s="17"/>
    </row>
    <row r="342" spans="1:3" ht="20.100000000000001" customHeight="1" x14ac:dyDescent="0.25">
      <c r="A342" s="15"/>
      <c r="B342" s="16"/>
      <c r="C342" s="17"/>
    </row>
    <row r="343" spans="1:3" ht="20.100000000000001" customHeight="1" x14ac:dyDescent="0.25">
      <c r="A343" s="15"/>
      <c r="B343" s="16"/>
      <c r="C343" s="17"/>
    </row>
    <row r="344" spans="1:3" ht="20.100000000000001" customHeight="1" x14ac:dyDescent="0.25">
      <c r="A344" s="15"/>
      <c r="B344" s="16"/>
      <c r="C344" s="17"/>
    </row>
    <row r="345" spans="1:3" ht="20.100000000000001" customHeight="1" x14ac:dyDescent="0.25">
      <c r="A345" s="15"/>
      <c r="B345" s="16"/>
      <c r="C345" s="17"/>
    </row>
    <row r="346" spans="1:3" ht="20.100000000000001" customHeight="1" x14ac:dyDescent="0.25">
      <c r="A346" s="15"/>
      <c r="B346" s="16"/>
      <c r="C346" s="17"/>
    </row>
    <row r="347" spans="1:3" ht="20.100000000000001" customHeight="1" x14ac:dyDescent="0.25">
      <c r="A347" s="15"/>
      <c r="B347" s="16"/>
      <c r="C347" s="17"/>
    </row>
    <row r="348" spans="1:3" ht="20.100000000000001" customHeight="1" x14ac:dyDescent="0.25">
      <c r="A348" s="15"/>
      <c r="B348" s="16"/>
      <c r="C348" s="17"/>
    </row>
    <row r="349" spans="1:3" ht="20.100000000000001" customHeight="1" x14ac:dyDescent="0.25">
      <c r="A349" s="15"/>
      <c r="B349" s="16"/>
      <c r="C349" s="17"/>
    </row>
    <row r="350" spans="1:3" ht="20.100000000000001" customHeight="1" x14ac:dyDescent="0.25">
      <c r="A350" s="15"/>
      <c r="B350" s="16"/>
      <c r="C350" s="17"/>
    </row>
    <row r="351" spans="1:3" ht="20.100000000000001" customHeight="1" x14ac:dyDescent="0.25">
      <c r="A351" s="15"/>
      <c r="B351" s="16"/>
      <c r="C351" s="17"/>
    </row>
    <row r="352" spans="1:3" ht="30" customHeight="1" x14ac:dyDescent="0.25">
      <c r="A352" s="9" t="s">
        <v>1</v>
      </c>
      <c r="B352" s="10" t="s">
        <v>2</v>
      </c>
      <c r="C352" s="10" t="s">
        <v>3</v>
      </c>
    </row>
    <row r="353" spans="1:3" ht="20.100000000000001" customHeight="1" x14ac:dyDescent="0.25">
      <c r="A353" s="1" t="s">
        <v>106</v>
      </c>
      <c r="B353" s="8" t="s">
        <v>1284</v>
      </c>
      <c r="C353" s="3" t="s">
        <v>679</v>
      </c>
    </row>
    <row r="354" spans="1:3" ht="20.100000000000001" customHeight="1" x14ac:dyDescent="0.25">
      <c r="A354" s="1" t="s">
        <v>107</v>
      </c>
      <c r="B354" s="8" t="s">
        <v>780</v>
      </c>
      <c r="C354" s="3" t="s">
        <v>679</v>
      </c>
    </row>
    <row r="355" spans="1:3" ht="20.100000000000001" customHeight="1" x14ac:dyDescent="0.25">
      <c r="A355" s="1" t="s">
        <v>108</v>
      </c>
      <c r="B355" s="8" t="s">
        <v>1285</v>
      </c>
      <c r="C355" s="3" t="s">
        <v>679</v>
      </c>
    </row>
    <row r="356" spans="1:3" ht="20.100000000000001" customHeight="1" x14ac:dyDescent="0.25">
      <c r="A356" s="1" t="s">
        <v>109</v>
      </c>
      <c r="B356" s="8" t="s">
        <v>781</v>
      </c>
      <c r="C356" s="3" t="s">
        <v>679</v>
      </c>
    </row>
    <row r="357" spans="1:3" ht="20.100000000000001" customHeight="1" x14ac:dyDescent="0.25">
      <c r="A357" s="1" t="s">
        <v>110</v>
      </c>
      <c r="B357" s="8" t="s">
        <v>782</v>
      </c>
      <c r="C357" s="3" t="s">
        <v>679</v>
      </c>
    </row>
    <row r="358" spans="1:3" ht="20.100000000000001" customHeight="1" x14ac:dyDescent="0.25">
      <c r="A358" s="1" t="s">
        <v>111</v>
      </c>
      <c r="B358" s="8" t="s">
        <v>783</v>
      </c>
      <c r="C358" s="3" t="s">
        <v>679</v>
      </c>
    </row>
    <row r="359" spans="1:3" ht="20.100000000000001" customHeight="1" x14ac:dyDescent="0.25">
      <c r="A359" s="1" t="s">
        <v>112</v>
      </c>
      <c r="B359" s="8" t="s">
        <v>784</v>
      </c>
      <c r="C359" s="3" t="s">
        <v>679</v>
      </c>
    </row>
    <row r="360" spans="1:3" ht="20.100000000000001" customHeight="1" x14ac:dyDescent="0.25">
      <c r="A360" s="1" t="s">
        <v>113</v>
      </c>
      <c r="B360" s="8" t="s">
        <v>785</v>
      </c>
      <c r="C360" s="3" t="s">
        <v>679</v>
      </c>
    </row>
    <row r="361" spans="1:3" ht="20.100000000000001" customHeight="1" x14ac:dyDescent="0.25">
      <c r="A361" s="1" t="s">
        <v>114</v>
      </c>
      <c r="B361" s="8" t="s">
        <v>786</v>
      </c>
      <c r="C361" s="3" t="s">
        <v>679</v>
      </c>
    </row>
    <row r="362" spans="1:3" ht="20.100000000000001" customHeight="1" x14ac:dyDescent="0.25">
      <c r="A362" s="1" t="s">
        <v>115</v>
      </c>
      <c r="B362" s="8" t="s">
        <v>1286</v>
      </c>
      <c r="C362" s="3" t="s">
        <v>679</v>
      </c>
    </row>
    <row r="363" spans="1:3" ht="20.100000000000001" customHeight="1" x14ac:dyDescent="0.25">
      <c r="A363" s="1" t="s">
        <v>116</v>
      </c>
      <c r="B363" s="8" t="s">
        <v>1287</v>
      </c>
      <c r="C363" s="3" t="s">
        <v>679</v>
      </c>
    </row>
    <row r="364" spans="1:3" ht="20.100000000000001" customHeight="1" x14ac:dyDescent="0.25">
      <c r="A364" s="1" t="s">
        <v>117</v>
      </c>
      <c r="B364" s="8" t="s">
        <v>787</v>
      </c>
      <c r="C364" s="3" t="s">
        <v>679</v>
      </c>
    </row>
    <row r="365" spans="1:3" ht="20.100000000000001" customHeight="1" x14ac:dyDescent="0.25">
      <c r="A365" s="1" t="s">
        <v>118</v>
      </c>
      <c r="B365" s="8" t="s">
        <v>788</v>
      </c>
      <c r="C365" s="3" t="s">
        <v>679</v>
      </c>
    </row>
    <row r="366" spans="1:3" ht="20.100000000000001" customHeight="1" x14ac:dyDescent="0.25">
      <c r="A366" s="1" t="s">
        <v>119</v>
      </c>
      <c r="B366" s="8" t="s">
        <v>1288</v>
      </c>
      <c r="C366" s="3" t="s">
        <v>679</v>
      </c>
    </row>
    <row r="367" spans="1:3" ht="20.100000000000001" customHeight="1" x14ac:dyDescent="0.25">
      <c r="A367" s="1" t="s">
        <v>120</v>
      </c>
      <c r="B367" s="8" t="s">
        <v>789</v>
      </c>
      <c r="C367" s="3" t="s">
        <v>679</v>
      </c>
    </row>
    <row r="368" spans="1:3" ht="20.100000000000001" customHeight="1" x14ac:dyDescent="0.25">
      <c r="A368" s="1" t="s">
        <v>121</v>
      </c>
      <c r="B368" s="8" t="s">
        <v>790</v>
      </c>
      <c r="C368" s="3" t="s">
        <v>679</v>
      </c>
    </row>
    <row r="369" spans="1:3" ht="20.100000000000001" customHeight="1" x14ac:dyDescent="0.25">
      <c r="A369" s="1" t="s">
        <v>122</v>
      </c>
      <c r="B369" s="8" t="s">
        <v>1289</v>
      </c>
      <c r="C369" s="3" t="s">
        <v>679</v>
      </c>
    </row>
    <row r="370" spans="1:3" ht="20.100000000000001" customHeight="1" x14ac:dyDescent="0.25">
      <c r="A370" s="1" t="s">
        <v>123</v>
      </c>
      <c r="B370" s="8" t="s">
        <v>791</v>
      </c>
      <c r="C370" s="3" t="s">
        <v>679</v>
      </c>
    </row>
    <row r="371" spans="1:3" ht="20.100000000000001" customHeight="1" x14ac:dyDescent="0.25">
      <c r="A371" s="1" t="s">
        <v>124</v>
      </c>
      <c r="B371" s="8" t="s">
        <v>792</v>
      </c>
      <c r="C371" s="3" t="s">
        <v>679</v>
      </c>
    </row>
    <row r="372" spans="1:3" ht="20.100000000000001" customHeight="1" x14ac:dyDescent="0.25">
      <c r="A372" s="1" t="s">
        <v>125</v>
      </c>
      <c r="B372" s="8" t="s">
        <v>1290</v>
      </c>
      <c r="C372" s="3" t="s">
        <v>679</v>
      </c>
    </row>
    <row r="373" spans="1:3" ht="20.100000000000001" customHeight="1" x14ac:dyDescent="0.25">
      <c r="A373" s="1" t="s">
        <v>126</v>
      </c>
      <c r="B373" s="8" t="s">
        <v>1291</v>
      </c>
      <c r="C373" s="3" t="s">
        <v>679</v>
      </c>
    </row>
    <row r="374" spans="1:3" ht="20.100000000000001" customHeight="1" x14ac:dyDescent="0.25">
      <c r="A374" s="1" t="s">
        <v>127</v>
      </c>
      <c r="B374" s="8" t="s">
        <v>1292</v>
      </c>
      <c r="C374" s="3" t="s">
        <v>679</v>
      </c>
    </row>
    <row r="375" spans="1:3" ht="20.100000000000001" customHeight="1" x14ac:dyDescent="0.25">
      <c r="A375" s="1" t="s">
        <v>128</v>
      </c>
      <c r="B375" s="8" t="s">
        <v>1293</v>
      </c>
      <c r="C375" s="3" t="s">
        <v>679</v>
      </c>
    </row>
    <row r="376" spans="1:3" ht="20.100000000000001" customHeight="1" x14ac:dyDescent="0.25">
      <c r="A376" s="1" t="s">
        <v>129</v>
      </c>
      <c r="B376" s="8" t="s">
        <v>793</v>
      </c>
      <c r="C376" s="3" t="s">
        <v>679</v>
      </c>
    </row>
    <row r="377" spans="1:3" ht="20.100000000000001" customHeight="1" x14ac:dyDescent="0.25">
      <c r="A377" s="1" t="s">
        <v>130</v>
      </c>
      <c r="B377" s="8" t="s">
        <v>1294</v>
      </c>
      <c r="C377" s="3" t="s">
        <v>679</v>
      </c>
    </row>
    <row r="378" spans="1:3" ht="20.100000000000001" customHeight="1" x14ac:dyDescent="0.25">
      <c r="A378" s="1" t="s">
        <v>131</v>
      </c>
      <c r="B378" s="8" t="s">
        <v>794</v>
      </c>
      <c r="C378" s="3" t="s">
        <v>679</v>
      </c>
    </row>
    <row r="379" spans="1:3" ht="20.100000000000001" customHeight="1" x14ac:dyDescent="0.25">
      <c r="A379" s="1" t="s">
        <v>132</v>
      </c>
      <c r="B379" s="8" t="s">
        <v>1299</v>
      </c>
      <c r="C379" s="3" t="s">
        <v>679</v>
      </c>
    </row>
    <row r="380" spans="1:3" ht="20.100000000000001" customHeight="1" x14ac:dyDescent="0.25">
      <c r="A380" s="1" t="s">
        <v>133</v>
      </c>
      <c r="B380" s="8" t="s">
        <v>795</v>
      </c>
      <c r="C380" s="3" t="s">
        <v>679</v>
      </c>
    </row>
    <row r="381" spans="1:3" ht="20.100000000000001" customHeight="1" x14ac:dyDescent="0.25">
      <c r="A381" s="1" t="s">
        <v>134</v>
      </c>
      <c r="B381" s="8" t="s">
        <v>1297</v>
      </c>
      <c r="C381" s="3" t="s">
        <v>679</v>
      </c>
    </row>
    <row r="382" spans="1:3" ht="20.100000000000001" customHeight="1" x14ac:dyDescent="0.25">
      <c r="A382" s="1" t="s">
        <v>135</v>
      </c>
      <c r="B382" s="8" t="s">
        <v>1296</v>
      </c>
      <c r="C382" s="3" t="s">
        <v>679</v>
      </c>
    </row>
    <row r="383" spans="1:3" ht="20.100000000000001" customHeight="1" x14ac:dyDescent="0.25">
      <c r="A383" s="1" t="s">
        <v>136</v>
      </c>
      <c r="B383" s="8" t="s">
        <v>1298</v>
      </c>
      <c r="C383" s="3" t="s">
        <v>679</v>
      </c>
    </row>
    <row r="384" spans="1:3" ht="20.100000000000001" customHeight="1" x14ac:dyDescent="0.25">
      <c r="A384" s="1" t="s">
        <v>137</v>
      </c>
      <c r="B384" s="8" t="s">
        <v>796</v>
      </c>
      <c r="C384" s="3" t="s">
        <v>679</v>
      </c>
    </row>
    <row r="385" spans="1:3" ht="20.100000000000001" customHeight="1" x14ac:dyDescent="0.25">
      <c r="A385" s="1" t="s">
        <v>138</v>
      </c>
      <c r="B385" s="8" t="s">
        <v>1295</v>
      </c>
      <c r="C385" s="3" t="s">
        <v>679</v>
      </c>
    </row>
    <row r="386" spans="1:3" ht="20.100000000000001" customHeight="1" x14ac:dyDescent="0.25">
      <c r="A386" s="1" t="s">
        <v>139</v>
      </c>
      <c r="B386" s="8" t="s">
        <v>1300</v>
      </c>
      <c r="C386" s="3" t="s">
        <v>679</v>
      </c>
    </row>
    <row r="387" spans="1:3" ht="20.100000000000001" customHeight="1" x14ac:dyDescent="0.25">
      <c r="A387" s="1" t="s">
        <v>140</v>
      </c>
      <c r="B387" s="8" t="s">
        <v>797</v>
      </c>
      <c r="C387" s="3" t="s">
        <v>679</v>
      </c>
    </row>
    <row r="388" spans="1:3" ht="20.100000000000001" customHeight="1" x14ac:dyDescent="0.25">
      <c r="A388" s="1" t="s">
        <v>141</v>
      </c>
      <c r="B388" s="8" t="s">
        <v>1301</v>
      </c>
      <c r="C388" s="3" t="s">
        <v>679</v>
      </c>
    </row>
    <row r="389" spans="1:3" ht="20.100000000000001" customHeight="1" x14ac:dyDescent="0.25">
      <c r="A389" s="1" t="s">
        <v>142</v>
      </c>
      <c r="B389" s="8" t="s">
        <v>798</v>
      </c>
      <c r="C389" s="3" t="s">
        <v>679</v>
      </c>
    </row>
    <row r="390" spans="1:3" ht="20.100000000000001" customHeight="1" x14ac:dyDescent="0.25">
      <c r="A390" s="1" t="s">
        <v>143</v>
      </c>
      <c r="B390" s="8" t="s">
        <v>799</v>
      </c>
      <c r="C390" s="3" t="s">
        <v>679</v>
      </c>
    </row>
    <row r="391" spans="1:3" ht="20.100000000000001" customHeight="1" x14ac:dyDescent="0.25">
      <c r="A391" s="1" t="s">
        <v>144</v>
      </c>
      <c r="B391" s="8" t="s">
        <v>1302</v>
      </c>
      <c r="C391" s="3" t="s">
        <v>679</v>
      </c>
    </row>
    <row r="392" spans="1:3" ht="20.100000000000001" customHeight="1" x14ac:dyDescent="0.25">
      <c r="A392" s="1" t="s">
        <v>145</v>
      </c>
      <c r="B392" s="8" t="s">
        <v>1304</v>
      </c>
      <c r="C392" s="3" t="s">
        <v>679</v>
      </c>
    </row>
    <row r="393" spans="1:3" ht="20.100000000000001" customHeight="1" x14ac:dyDescent="0.25">
      <c r="A393" s="1" t="s">
        <v>146</v>
      </c>
      <c r="B393" s="8" t="s">
        <v>1303</v>
      </c>
      <c r="C393" s="3" t="s">
        <v>679</v>
      </c>
    </row>
    <row r="394" spans="1:3" ht="20.100000000000001" customHeight="1" x14ac:dyDescent="0.25">
      <c r="A394" s="1" t="s">
        <v>147</v>
      </c>
      <c r="B394" s="8" t="s">
        <v>800</v>
      </c>
      <c r="C394" s="3" t="s">
        <v>679</v>
      </c>
    </row>
    <row r="395" spans="1:3" ht="20.100000000000001" customHeight="1" x14ac:dyDescent="0.25">
      <c r="A395" s="1" t="s">
        <v>148</v>
      </c>
      <c r="B395" s="8" t="s">
        <v>801</v>
      </c>
      <c r="C395" s="3" t="s">
        <v>679</v>
      </c>
    </row>
    <row r="396" spans="1:3" ht="20.100000000000001" customHeight="1" x14ac:dyDescent="0.25">
      <c r="A396" s="1" t="s">
        <v>149</v>
      </c>
      <c r="B396" s="8" t="s">
        <v>802</v>
      </c>
      <c r="C396" s="3" t="s">
        <v>679</v>
      </c>
    </row>
    <row r="397" spans="1:3" ht="20.100000000000001" customHeight="1" x14ac:dyDescent="0.25">
      <c r="A397" s="1" t="s">
        <v>150</v>
      </c>
      <c r="B397" s="8" t="s">
        <v>803</v>
      </c>
      <c r="C397" s="3" t="s">
        <v>679</v>
      </c>
    </row>
    <row r="398" spans="1:3" ht="20.100000000000001" customHeight="1" x14ac:dyDescent="0.25">
      <c r="A398" s="1" t="s">
        <v>151</v>
      </c>
      <c r="B398" s="8" t="s">
        <v>804</v>
      </c>
      <c r="C398" s="3" t="s">
        <v>679</v>
      </c>
    </row>
    <row r="399" spans="1:3" ht="20.100000000000001" customHeight="1" x14ac:dyDescent="0.25">
      <c r="A399" s="1" t="s">
        <v>152</v>
      </c>
      <c r="B399" s="8" t="s">
        <v>1305</v>
      </c>
      <c r="C399" s="3" t="s">
        <v>679</v>
      </c>
    </row>
    <row r="400" spans="1:3" ht="20.100000000000001" customHeight="1" x14ac:dyDescent="0.25">
      <c r="A400" s="1" t="s">
        <v>153</v>
      </c>
      <c r="B400" s="8" t="s">
        <v>805</v>
      </c>
      <c r="C400" s="3" t="s">
        <v>679</v>
      </c>
    </row>
    <row r="401" spans="1:3" ht="20.100000000000001" customHeight="1" x14ac:dyDescent="0.25">
      <c r="A401" s="1" t="s">
        <v>154</v>
      </c>
      <c r="B401" s="8" t="s">
        <v>1306</v>
      </c>
      <c r="C401" s="3" t="s">
        <v>679</v>
      </c>
    </row>
    <row r="402" spans="1:3" ht="20.100000000000001" customHeight="1" x14ac:dyDescent="0.25">
      <c r="A402" s="1" t="s">
        <v>155</v>
      </c>
      <c r="B402" s="8" t="s">
        <v>806</v>
      </c>
      <c r="C402" s="3" t="s">
        <v>679</v>
      </c>
    </row>
    <row r="403" spans="1:3" ht="20.100000000000001" customHeight="1" x14ac:dyDescent="0.25">
      <c r="A403" s="1" t="s">
        <v>156</v>
      </c>
      <c r="B403" s="8" t="s">
        <v>807</v>
      </c>
      <c r="C403" s="3" t="s">
        <v>679</v>
      </c>
    </row>
    <row r="404" spans="1:3" ht="20.100000000000001" customHeight="1" x14ac:dyDescent="0.25">
      <c r="A404" s="1" t="s">
        <v>157</v>
      </c>
      <c r="B404" s="8" t="s">
        <v>1307</v>
      </c>
      <c r="C404" s="3" t="s">
        <v>679</v>
      </c>
    </row>
    <row r="405" spans="1:3" ht="20.100000000000001" customHeight="1" x14ac:dyDescent="0.25">
      <c r="A405" s="1" t="s">
        <v>158</v>
      </c>
      <c r="B405" s="8" t="s">
        <v>1308</v>
      </c>
      <c r="C405" s="3" t="s">
        <v>679</v>
      </c>
    </row>
    <row r="406" spans="1:3" ht="20.100000000000001" customHeight="1" x14ac:dyDescent="0.25">
      <c r="A406" s="1" t="s">
        <v>159</v>
      </c>
      <c r="B406" s="8" t="s">
        <v>808</v>
      </c>
      <c r="C406" s="3" t="s">
        <v>679</v>
      </c>
    </row>
    <row r="407" spans="1:3" ht="20.100000000000001" customHeight="1" x14ac:dyDescent="0.25">
      <c r="A407" s="1" t="s">
        <v>160</v>
      </c>
      <c r="B407" s="8" t="s">
        <v>809</v>
      </c>
      <c r="C407" s="3" t="s">
        <v>679</v>
      </c>
    </row>
    <row r="408" spans="1:3" ht="20.100000000000001" customHeight="1" x14ac:dyDescent="0.25">
      <c r="A408" s="1" t="s">
        <v>161</v>
      </c>
      <c r="B408" s="8" t="s">
        <v>810</v>
      </c>
      <c r="C408" s="3" t="s">
        <v>679</v>
      </c>
    </row>
    <row r="409" spans="1:3" ht="20.100000000000001" customHeight="1" x14ac:dyDescent="0.25">
      <c r="A409" s="1" t="s">
        <v>162</v>
      </c>
      <c r="B409" s="8" t="s">
        <v>811</v>
      </c>
      <c r="C409" s="3" t="s">
        <v>679</v>
      </c>
    </row>
    <row r="410" spans="1:3" ht="20.100000000000001" customHeight="1" x14ac:dyDescent="0.25">
      <c r="A410" s="1" t="s">
        <v>163</v>
      </c>
      <c r="B410" s="8" t="s">
        <v>812</v>
      </c>
      <c r="C410" s="3" t="s">
        <v>679</v>
      </c>
    </row>
    <row r="411" spans="1:3" ht="20.100000000000001" customHeight="1" x14ac:dyDescent="0.25">
      <c r="A411" s="1" t="s">
        <v>164</v>
      </c>
      <c r="B411" s="8" t="s">
        <v>1309</v>
      </c>
      <c r="C411" s="3" t="s">
        <v>679</v>
      </c>
    </row>
    <row r="412" spans="1:3" ht="20.100000000000001" customHeight="1" x14ac:dyDescent="0.25">
      <c r="A412" s="1" t="s">
        <v>165</v>
      </c>
      <c r="B412" s="8" t="s">
        <v>813</v>
      </c>
      <c r="C412" s="3" t="s">
        <v>679</v>
      </c>
    </row>
    <row r="413" spans="1:3" ht="20.100000000000001" customHeight="1" x14ac:dyDescent="0.25">
      <c r="A413" s="1" t="s">
        <v>166</v>
      </c>
      <c r="B413" s="8" t="s">
        <v>1310</v>
      </c>
      <c r="C413" s="3" t="s">
        <v>679</v>
      </c>
    </row>
    <row r="414" spans="1:3" ht="20.100000000000001" customHeight="1" x14ac:dyDescent="0.25">
      <c r="A414" s="1" t="s">
        <v>167</v>
      </c>
      <c r="B414" s="8" t="s">
        <v>1311</v>
      </c>
      <c r="C414" s="3" t="s">
        <v>679</v>
      </c>
    </row>
    <row r="415" spans="1:3" ht="20.100000000000001" customHeight="1" x14ac:dyDescent="0.25">
      <c r="A415" s="1" t="s">
        <v>168</v>
      </c>
      <c r="B415" s="8" t="s">
        <v>814</v>
      </c>
      <c r="C415" s="3" t="s">
        <v>679</v>
      </c>
    </row>
    <row r="416" spans="1:3" ht="20.100000000000001" customHeight="1" x14ac:dyDescent="0.25">
      <c r="A416" s="1" t="s">
        <v>169</v>
      </c>
      <c r="B416" s="8" t="s">
        <v>1312</v>
      </c>
      <c r="C416" s="3" t="s">
        <v>679</v>
      </c>
    </row>
    <row r="417" spans="1:3" ht="20.100000000000001" customHeight="1" x14ac:dyDescent="0.25">
      <c r="A417" s="1" t="s">
        <v>170</v>
      </c>
      <c r="B417" s="8" t="s">
        <v>815</v>
      </c>
      <c r="C417" s="3" t="s">
        <v>679</v>
      </c>
    </row>
    <row r="418" spans="1:3" ht="20.100000000000001" customHeight="1" x14ac:dyDescent="0.25">
      <c r="A418" s="1" t="s">
        <v>171</v>
      </c>
      <c r="B418" s="8" t="s">
        <v>816</v>
      </c>
      <c r="C418" s="3" t="s">
        <v>679</v>
      </c>
    </row>
    <row r="419" spans="1:3" ht="20.100000000000001" customHeight="1" x14ac:dyDescent="0.25">
      <c r="A419" s="1" t="s">
        <v>172</v>
      </c>
      <c r="B419" s="8" t="s">
        <v>817</v>
      </c>
      <c r="C419" s="3" t="s">
        <v>679</v>
      </c>
    </row>
    <row r="420" spans="1:3" ht="20.100000000000001" customHeight="1" x14ac:dyDescent="0.25">
      <c r="A420" s="1" t="s">
        <v>173</v>
      </c>
      <c r="B420" s="8" t="s">
        <v>1313</v>
      </c>
      <c r="C420" s="3" t="s">
        <v>679</v>
      </c>
    </row>
    <row r="421" spans="1:3" ht="20.100000000000001" customHeight="1" x14ac:dyDescent="0.25">
      <c r="A421" s="1" t="s">
        <v>174</v>
      </c>
      <c r="B421" s="8" t="s">
        <v>1315</v>
      </c>
      <c r="C421" s="3" t="s">
        <v>679</v>
      </c>
    </row>
    <row r="422" spans="1:3" ht="20.100000000000001" customHeight="1" x14ac:dyDescent="0.25">
      <c r="A422" s="1" t="s">
        <v>175</v>
      </c>
      <c r="B422" s="8" t="s">
        <v>1316</v>
      </c>
      <c r="C422" s="3" t="s">
        <v>679</v>
      </c>
    </row>
    <row r="423" spans="1:3" ht="20.100000000000001" customHeight="1" x14ac:dyDescent="0.25">
      <c r="A423" s="1" t="s">
        <v>176</v>
      </c>
      <c r="B423" s="8" t="s">
        <v>1314</v>
      </c>
      <c r="C423" s="3" t="s">
        <v>679</v>
      </c>
    </row>
    <row r="424" spans="1:3" ht="20.100000000000001" customHeight="1" x14ac:dyDescent="0.25">
      <c r="A424" s="1" t="s">
        <v>177</v>
      </c>
      <c r="B424" s="8" t="s">
        <v>1317</v>
      </c>
      <c r="C424" s="3" t="s">
        <v>679</v>
      </c>
    </row>
    <row r="425" spans="1:3" ht="20.100000000000001" customHeight="1" x14ac:dyDescent="0.25">
      <c r="A425" s="1" t="s">
        <v>178</v>
      </c>
      <c r="B425" s="8" t="s">
        <v>818</v>
      </c>
      <c r="C425" s="3" t="s">
        <v>679</v>
      </c>
    </row>
    <row r="426" spans="1:3" ht="20.100000000000001" customHeight="1" x14ac:dyDescent="0.25">
      <c r="A426" s="1" t="s">
        <v>179</v>
      </c>
      <c r="B426" s="8" t="s">
        <v>1318</v>
      </c>
      <c r="C426" s="3" t="s">
        <v>679</v>
      </c>
    </row>
    <row r="427" spans="1:3" ht="20.100000000000001" customHeight="1" x14ac:dyDescent="0.25">
      <c r="A427" s="1" t="s">
        <v>180</v>
      </c>
      <c r="B427" s="8" t="s">
        <v>1319</v>
      </c>
      <c r="C427" s="3" t="s">
        <v>679</v>
      </c>
    </row>
    <row r="428" spans="1:3" ht="20.100000000000001" customHeight="1" x14ac:dyDescent="0.25">
      <c r="A428" s="1" t="s">
        <v>181</v>
      </c>
      <c r="B428" s="8" t="s">
        <v>819</v>
      </c>
      <c r="C428" s="3" t="s">
        <v>679</v>
      </c>
    </row>
    <row r="429" spans="1:3" ht="20.100000000000001" customHeight="1" x14ac:dyDescent="0.25">
      <c r="A429" s="1" t="s">
        <v>182</v>
      </c>
      <c r="B429" s="8" t="s">
        <v>1320</v>
      </c>
      <c r="C429" s="3" t="s">
        <v>679</v>
      </c>
    </row>
    <row r="430" spans="1:3" ht="20.100000000000001" customHeight="1" x14ac:dyDescent="0.25">
      <c r="A430" s="1" t="s">
        <v>183</v>
      </c>
      <c r="B430" s="8" t="s">
        <v>820</v>
      </c>
      <c r="C430" s="3" t="s">
        <v>679</v>
      </c>
    </row>
    <row r="431" spans="1:3" ht="20.100000000000001" customHeight="1" x14ac:dyDescent="0.25">
      <c r="A431" s="1" t="s">
        <v>184</v>
      </c>
      <c r="B431" s="8" t="s">
        <v>821</v>
      </c>
      <c r="C431" s="3" t="s">
        <v>679</v>
      </c>
    </row>
    <row r="432" spans="1:3" ht="20.100000000000001" customHeight="1" x14ac:dyDescent="0.25">
      <c r="A432" s="1" t="s">
        <v>185</v>
      </c>
      <c r="B432" s="8" t="s">
        <v>822</v>
      </c>
      <c r="C432" s="3" t="s">
        <v>679</v>
      </c>
    </row>
    <row r="433" spans="1:3" ht="20.100000000000001" customHeight="1" x14ac:dyDescent="0.25">
      <c r="A433" s="1" t="s">
        <v>186</v>
      </c>
      <c r="B433" s="8" t="s">
        <v>1321</v>
      </c>
      <c r="C433" s="3" t="s">
        <v>679</v>
      </c>
    </row>
    <row r="434" spans="1:3" ht="20.100000000000001" customHeight="1" x14ac:dyDescent="0.25">
      <c r="A434" s="1" t="s">
        <v>187</v>
      </c>
      <c r="B434" s="8" t="s">
        <v>823</v>
      </c>
      <c r="C434" s="3" t="s">
        <v>679</v>
      </c>
    </row>
    <row r="435" spans="1:3" ht="20.100000000000001" customHeight="1" x14ac:dyDescent="0.25">
      <c r="A435" s="1" t="s">
        <v>188</v>
      </c>
      <c r="B435" s="8" t="s">
        <v>1322</v>
      </c>
      <c r="C435" s="3" t="s">
        <v>679</v>
      </c>
    </row>
    <row r="436" spans="1:3" ht="20.100000000000001" customHeight="1" x14ac:dyDescent="0.25">
      <c r="A436" s="1" t="s">
        <v>189</v>
      </c>
      <c r="B436" s="8" t="s">
        <v>824</v>
      </c>
      <c r="C436" s="3" t="s">
        <v>679</v>
      </c>
    </row>
    <row r="437" spans="1:3" ht="20.100000000000001" customHeight="1" x14ac:dyDescent="0.25">
      <c r="A437" s="1" t="s">
        <v>190</v>
      </c>
      <c r="B437" s="8" t="s">
        <v>1323</v>
      </c>
      <c r="C437" s="3" t="s">
        <v>679</v>
      </c>
    </row>
    <row r="438" spans="1:3" ht="20.100000000000001" customHeight="1" x14ac:dyDescent="0.25">
      <c r="A438" s="1" t="s">
        <v>191</v>
      </c>
      <c r="B438" s="8" t="s">
        <v>1324</v>
      </c>
      <c r="C438" s="3" t="s">
        <v>679</v>
      </c>
    </row>
    <row r="439" spans="1:3" ht="20.100000000000001" customHeight="1" x14ac:dyDescent="0.25">
      <c r="A439" s="1" t="s">
        <v>192</v>
      </c>
      <c r="B439" s="8" t="s">
        <v>825</v>
      </c>
      <c r="C439" s="3" t="s">
        <v>679</v>
      </c>
    </row>
    <row r="440" spans="1:3" ht="20.100000000000001" customHeight="1" x14ac:dyDescent="0.25">
      <c r="A440" s="1" t="s">
        <v>193</v>
      </c>
      <c r="B440" s="8" t="s">
        <v>826</v>
      </c>
      <c r="C440" s="3" t="s">
        <v>679</v>
      </c>
    </row>
    <row r="441" spans="1:3" ht="20.100000000000001" customHeight="1" x14ac:dyDescent="0.25">
      <c r="A441" s="1" t="s">
        <v>194</v>
      </c>
      <c r="B441" s="8" t="s">
        <v>827</v>
      </c>
      <c r="C441" s="3" t="s">
        <v>679</v>
      </c>
    </row>
    <row r="442" spans="1:3" ht="20.100000000000001" customHeight="1" x14ac:dyDescent="0.25">
      <c r="A442" s="1" t="s">
        <v>195</v>
      </c>
      <c r="B442" s="8" t="s">
        <v>828</v>
      </c>
      <c r="C442" s="3" t="s">
        <v>679</v>
      </c>
    </row>
    <row r="443" spans="1:3" ht="20.100000000000001" customHeight="1" x14ac:dyDescent="0.25">
      <c r="A443" s="1" t="s">
        <v>196</v>
      </c>
      <c r="B443" s="8" t="s">
        <v>829</v>
      </c>
      <c r="C443" s="3" t="s">
        <v>679</v>
      </c>
    </row>
    <row r="444" spans="1:3" ht="20.100000000000001" customHeight="1" x14ac:dyDescent="0.25">
      <c r="A444" s="1" t="s">
        <v>197</v>
      </c>
      <c r="B444" s="8" t="s">
        <v>830</v>
      </c>
      <c r="C444" s="3" t="s">
        <v>679</v>
      </c>
    </row>
    <row r="445" spans="1:3" ht="20.100000000000001" customHeight="1" x14ac:dyDescent="0.25">
      <c r="A445" s="1" t="s">
        <v>198</v>
      </c>
      <c r="B445" s="8" t="s">
        <v>831</v>
      </c>
      <c r="C445" s="3" t="s">
        <v>679</v>
      </c>
    </row>
    <row r="446" spans="1:3" ht="20.100000000000001" customHeight="1" x14ac:dyDescent="0.25">
      <c r="A446" s="1" t="s">
        <v>199</v>
      </c>
      <c r="B446" s="8" t="s">
        <v>832</v>
      </c>
      <c r="C446" s="3" t="s">
        <v>679</v>
      </c>
    </row>
    <row r="447" spans="1:3" ht="20.100000000000001" customHeight="1" x14ac:dyDescent="0.25">
      <c r="A447" s="1" t="s">
        <v>200</v>
      </c>
      <c r="B447" s="8" t="s">
        <v>833</v>
      </c>
      <c r="C447" s="3" t="s">
        <v>679</v>
      </c>
    </row>
    <row r="448" spans="1:3" ht="20.100000000000001" customHeight="1" x14ac:dyDescent="0.25">
      <c r="A448" s="1" t="s">
        <v>201</v>
      </c>
      <c r="B448" s="8" t="s">
        <v>834</v>
      </c>
      <c r="C448" s="3" t="s">
        <v>679</v>
      </c>
    </row>
    <row r="449" spans="1:3" ht="20.100000000000001" customHeight="1" x14ac:dyDescent="0.25">
      <c r="A449" s="1" t="s">
        <v>202</v>
      </c>
      <c r="B449" s="8" t="s">
        <v>835</v>
      </c>
      <c r="C449" s="3" t="s">
        <v>679</v>
      </c>
    </row>
    <row r="450" spans="1:3" ht="20.100000000000001" customHeight="1" x14ac:dyDescent="0.25">
      <c r="A450" s="1" t="s">
        <v>203</v>
      </c>
      <c r="B450" s="8" t="s">
        <v>836</v>
      </c>
      <c r="C450" s="3" t="s">
        <v>679</v>
      </c>
    </row>
    <row r="451" spans="1:3" ht="20.100000000000001" customHeight="1" x14ac:dyDescent="0.25">
      <c r="A451" s="1" t="s">
        <v>204</v>
      </c>
      <c r="B451" s="8" t="s">
        <v>837</v>
      </c>
      <c r="C451" s="3" t="s">
        <v>679</v>
      </c>
    </row>
    <row r="452" spans="1:3" ht="20.100000000000001" customHeight="1" x14ac:dyDescent="0.25">
      <c r="A452" s="1" t="s">
        <v>205</v>
      </c>
      <c r="B452" s="8" t="s">
        <v>838</v>
      </c>
      <c r="C452" s="3" t="s">
        <v>679</v>
      </c>
    </row>
    <row r="453" spans="1:3" ht="20.100000000000001" customHeight="1" x14ac:dyDescent="0.25">
      <c r="A453" s="1" t="s">
        <v>206</v>
      </c>
      <c r="B453" s="8" t="s">
        <v>1325</v>
      </c>
      <c r="C453" s="3" t="s">
        <v>679</v>
      </c>
    </row>
    <row r="454" spans="1:3" ht="20.100000000000001" customHeight="1" x14ac:dyDescent="0.25">
      <c r="A454" s="1" t="s">
        <v>207</v>
      </c>
      <c r="B454" s="8" t="s">
        <v>839</v>
      </c>
      <c r="C454" s="3" t="s">
        <v>679</v>
      </c>
    </row>
    <row r="455" spans="1:3" ht="20.100000000000001" customHeight="1" x14ac:dyDescent="0.25">
      <c r="A455" s="1" t="s">
        <v>208</v>
      </c>
      <c r="B455" s="8" t="s">
        <v>1326</v>
      </c>
      <c r="C455" s="3" t="s">
        <v>679</v>
      </c>
    </row>
    <row r="456" spans="1:3" ht="20.100000000000001" customHeight="1" x14ac:dyDescent="0.25">
      <c r="A456" s="1" t="s">
        <v>209</v>
      </c>
      <c r="B456" s="8" t="s">
        <v>840</v>
      </c>
      <c r="C456" s="3" t="s">
        <v>679</v>
      </c>
    </row>
    <row r="457" spans="1:3" ht="20.100000000000001" customHeight="1" x14ac:dyDescent="0.25">
      <c r="A457" s="1" t="s">
        <v>210</v>
      </c>
      <c r="B457" s="8" t="s">
        <v>841</v>
      </c>
      <c r="C457" s="3" t="s">
        <v>679</v>
      </c>
    </row>
    <row r="458" spans="1:3" ht="20.100000000000001" customHeight="1" x14ac:dyDescent="0.25">
      <c r="A458" s="1" t="s">
        <v>211</v>
      </c>
      <c r="B458" s="8" t="s">
        <v>1327</v>
      </c>
      <c r="C458" s="3" t="s">
        <v>679</v>
      </c>
    </row>
    <row r="459" spans="1:3" ht="20.100000000000001" customHeight="1" x14ac:dyDescent="0.25">
      <c r="A459" s="1" t="s">
        <v>212</v>
      </c>
      <c r="B459" s="8" t="s">
        <v>842</v>
      </c>
      <c r="C459" s="3" t="s">
        <v>679</v>
      </c>
    </row>
    <row r="460" spans="1:3" ht="20.100000000000001" customHeight="1" x14ac:dyDescent="0.25">
      <c r="A460" s="1" t="s">
        <v>213</v>
      </c>
      <c r="B460" s="8" t="s">
        <v>843</v>
      </c>
      <c r="C460" s="3" t="s">
        <v>679</v>
      </c>
    </row>
    <row r="461" spans="1:3" ht="20.100000000000001" customHeight="1" x14ac:dyDescent="0.25">
      <c r="A461" s="1" t="s">
        <v>214</v>
      </c>
      <c r="B461" s="8" t="s">
        <v>844</v>
      </c>
      <c r="C461" s="3" t="s">
        <v>679</v>
      </c>
    </row>
    <row r="462" spans="1:3" ht="20.100000000000001" customHeight="1" x14ac:dyDescent="0.25">
      <c r="A462" s="1" t="s">
        <v>215</v>
      </c>
      <c r="B462" s="8" t="s">
        <v>1329</v>
      </c>
      <c r="C462" s="3" t="s">
        <v>679</v>
      </c>
    </row>
    <row r="463" spans="1:3" ht="20.100000000000001" customHeight="1" x14ac:dyDescent="0.25">
      <c r="A463" s="1" t="s">
        <v>216</v>
      </c>
      <c r="B463" s="8" t="s">
        <v>1328</v>
      </c>
      <c r="C463" s="3" t="s">
        <v>679</v>
      </c>
    </row>
    <row r="464" spans="1:3" ht="20.100000000000001" customHeight="1" x14ac:dyDescent="0.25">
      <c r="A464" s="1" t="s">
        <v>217</v>
      </c>
      <c r="B464" s="8" t="s">
        <v>845</v>
      </c>
      <c r="C464" s="3" t="s">
        <v>679</v>
      </c>
    </row>
    <row r="465" spans="1:3" ht="20.100000000000001" customHeight="1" x14ac:dyDescent="0.25">
      <c r="A465" s="1" t="s">
        <v>218</v>
      </c>
      <c r="B465" s="8" t="s">
        <v>1330</v>
      </c>
      <c r="C465" s="3" t="s">
        <v>679</v>
      </c>
    </row>
    <row r="466" spans="1:3" ht="20.100000000000001" customHeight="1" x14ac:dyDescent="0.25">
      <c r="A466" s="1" t="s">
        <v>219</v>
      </c>
      <c r="B466" s="8" t="s">
        <v>1331</v>
      </c>
      <c r="C466" s="3" t="s">
        <v>679</v>
      </c>
    </row>
    <row r="467" spans="1:3" ht="20.100000000000001" customHeight="1" x14ac:dyDescent="0.25">
      <c r="A467" s="1" t="s">
        <v>220</v>
      </c>
      <c r="B467" s="8" t="s">
        <v>846</v>
      </c>
      <c r="C467" s="3" t="s">
        <v>679</v>
      </c>
    </row>
    <row r="468" spans="1:3" ht="20.100000000000001" customHeight="1" x14ac:dyDescent="0.25">
      <c r="A468" s="1" t="s">
        <v>221</v>
      </c>
      <c r="B468" s="8" t="s">
        <v>1332</v>
      </c>
      <c r="C468" s="3" t="s">
        <v>679</v>
      </c>
    </row>
    <row r="469" spans="1:3" ht="20.100000000000001" customHeight="1" x14ac:dyDescent="0.25">
      <c r="A469" s="1" t="s">
        <v>222</v>
      </c>
      <c r="B469" s="8" t="s">
        <v>847</v>
      </c>
      <c r="C469" s="3" t="s">
        <v>679</v>
      </c>
    </row>
    <row r="470" spans="1:3" ht="20.100000000000001" customHeight="1" x14ac:dyDescent="0.25">
      <c r="A470" s="1" t="s">
        <v>223</v>
      </c>
      <c r="B470" s="8" t="s">
        <v>848</v>
      </c>
      <c r="C470" s="3" t="s">
        <v>679</v>
      </c>
    </row>
    <row r="471" spans="1:3" ht="20.100000000000001" customHeight="1" x14ac:dyDescent="0.25">
      <c r="A471" s="1" t="s">
        <v>224</v>
      </c>
      <c r="B471" s="8" t="s">
        <v>849</v>
      </c>
      <c r="C471" s="3" t="s">
        <v>679</v>
      </c>
    </row>
    <row r="472" spans="1:3" ht="20.100000000000001" customHeight="1" x14ac:dyDescent="0.25">
      <c r="A472" s="1" t="s">
        <v>225</v>
      </c>
      <c r="B472" s="8" t="s">
        <v>1335</v>
      </c>
      <c r="C472" s="3" t="s">
        <v>679</v>
      </c>
    </row>
    <row r="473" spans="1:3" ht="20.100000000000001" customHeight="1" x14ac:dyDescent="0.25">
      <c r="A473" s="1" t="s">
        <v>226</v>
      </c>
      <c r="B473" s="8" t="s">
        <v>1336</v>
      </c>
      <c r="C473" s="3" t="s">
        <v>679</v>
      </c>
    </row>
    <row r="474" spans="1:3" ht="20.100000000000001" customHeight="1" x14ac:dyDescent="0.25">
      <c r="A474" s="1" t="s">
        <v>227</v>
      </c>
      <c r="B474" s="8" t="s">
        <v>1333</v>
      </c>
      <c r="C474" s="3" t="s">
        <v>679</v>
      </c>
    </row>
    <row r="475" spans="1:3" ht="20.100000000000001" customHeight="1" x14ac:dyDescent="0.25">
      <c r="A475" s="1" t="s">
        <v>228</v>
      </c>
      <c r="B475" s="8" t="s">
        <v>1334</v>
      </c>
      <c r="C475" s="3" t="s">
        <v>679</v>
      </c>
    </row>
    <row r="476" spans="1:3" ht="20.100000000000001" customHeight="1" x14ac:dyDescent="0.25">
      <c r="A476" s="1" t="s">
        <v>229</v>
      </c>
      <c r="B476" s="8" t="s">
        <v>850</v>
      </c>
      <c r="C476" s="3" t="s">
        <v>679</v>
      </c>
    </row>
    <row r="477" spans="1:3" ht="20.100000000000001" customHeight="1" x14ac:dyDescent="0.25">
      <c r="A477" s="1" t="s">
        <v>230</v>
      </c>
      <c r="B477" s="8" t="s">
        <v>851</v>
      </c>
      <c r="C477" s="3" t="s">
        <v>679</v>
      </c>
    </row>
    <row r="478" spans="1:3" ht="20.100000000000001" customHeight="1" x14ac:dyDescent="0.25">
      <c r="A478" s="1" t="s">
        <v>231</v>
      </c>
      <c r="B478" s="8" t="s">
        <v>852</v>
      </c>
      <c r="C478" s="3" t="s">
        <v>679</v>
      </c>
    </row>
    <row r="479" spans="1:3" ht="20.100000000000001" customHeight="1" x14ac:dyDescent="0.25">
      <c r="A479" s="1" t="s">
        <v>232</v>
      </c>
      <c r="B479" s="8" t="s">
        <v>1337</v>
      </c>
      <c r="C479" s="3" t="s">
        <v>679</v>
      </c>
    </row>
    <row r="480" spans="1:3" ht="20.100000000000001" customHeight="1" x14ac:dyDescent="0.25">
      <c r="A480" s="1" t="s">
        <v>233</v>
      </c>
      <c r="B480" s="8" t="s">
        <v>853</v>
      </c>
      <c r="C480" s="3" t="s">
        <v>679</v>
      </c>
    </row>
    <row r="481" spans="1:3" ht="20.100000000000001" customHeight="1" x14ac:dyDescent="0.25">
      <c r="A481" s="1" t="s">
        <v>234</v>
      </c>
      <c r="B481" s="8" t="s">
        <v>1338</v>
      </c>
      <c r="C481" s="3" t="s">
        <v>679</v>
      </c>
    </row>
    <row r="482" spans="1:3" ht="20.100000000000001" customHeight="1" x14ac:dyDescent="0.25">
      <c r="A482" s="1" t="s">
        <v>235</v>
      </c>
      <c r="B482" s="8" t="s">
        <v>854</v>
      </c>
      <c r="C482" s="3" t="s">
        <v>679</v>
      </c>
    </row>
    <row r="483" spans="1:3" ht="20.100000000000001" customHeight="1" x14ac:dyDescent="0.25">
      <c r="A483" s="1" t="s">
        <v>236</v>
      </c>
      <c r="B483" s="8" t="s">
        <v>855</v>
      </c>
      <c r="C483" s="3" t="s">
        <v>679</v>
      </c>
    </row>
    <row r="484" spans="1:3" ht="20.100000000000001" customHeight="1" x14ac:dyDescent="0.25">
      <c r="A484" s="1" t="s">
        <v>237</v>
      </c>
      <c r="B484" s="8" t="s">
        <v>856</v>
      </c>
      <c r="C484" s="3" t="s">
        <v>679</v>
      </c>
    </row>
    <row r="485" spans="1:3" ht="20.100000000000001" customHeight="1" x14ac:dyDescent="0.25">
      <c r="A485" s="1" t="s">
        <v>238</v>
      </c>
      <c r="B485" s="8" t="s">
        <v>857</v>
      </c>
      <c r="C485" s="3" t="s">
        <v>679</v>
      </c>
    </row>
    <row r="486" spans="1:3" ht="20.100000000000001" customHeight="1" x14ac:dyDescent="0.25">
      <c r="A486" s="1" t="s">
        <v>239</v>
      </c>
      <c r="B486" s="8" t="s">
        <v>1339</v>
      </c>
      <c r="C486" s="3" t="s">
        <v>679</v>
      </c>
    </row>
    <row r="487" spans="1:3" ht="20.100000000000001" customHeight="1" x14ac:dyDescent="0.25">
      <c r="A487" s="1" t="s">
        <v>240</v>
      </c>
      <c r="B487" s="8" t="s">
        <v>1340</v>
      </c>
      <c r="C487" s="3" t="s">
        <v>679</v>
      </c>
    </row>
    <row r="488" spans="1:3" ht="20.100000000000001" customHeight="1" x14ac:dyDescent="0.25">
      <c r="A488" s="1" t="s">
        <v>241</v>
      </c>
      <c r="B488" s="8" t="s">
        <v>1342</v>
      </c>
      <c r="C488" s="3" t="s">
        <v>679</v>
      </c>
    </row>
    <row r="489" spans="1:3" ht="20.100000000000001" customHeight="1" x14ac:dyDescent="0.25">
      <c r="A489" s="1" t="s">
        <v>242</v>
      </c>
      <c r="B489" s="8" t="s">
        <v>1341</v>
      </c>
      <c r="C489" s="3" t="s">
        <v>679</v>
      </c>
    </row>
    <row r="490" spans="1:3" ht="20.100000000000001" customHeight="1" x14ac:dyDescent="0.25">
      <c r="A490" s="1" t="s">
        <v>243</v>
      </c>
      <c r="B490" s="8" t="s">
        <v>1343</v>
      </c>
      <c r="C490" s="3" t="s">
        <v>679</v>
      </c>
    </row>
    <row r="491" spans="1:3" ht="20.100000000000001" customHeight="1" x14ac:dyDescent="0.25">
      <c r="A491" s="1" t="s">
        <v>244</v>
      </c>
      <c r="B491" s="8" t="s">
        <v>858</v>
      </c>
      <c r="C491" s="3" t="s">
        <v>679</v>
      </c>
    </row>
    <row r="492" spans="1:3" ht="20.100000000000001" customHeight="1" x14ac:dyDescent="0.25">
      <c r="A492" s="1" t="s">
        <v>245</v>
      </c>
      <c r="B492" s="8" t="s">
        <v>859</v>
      </c>
      <c r="C492" s="3" t="s">
        <v>679</v>
      </c>
    </row>
    <row r="493" spans="1:3" ht="20.100000000000001" customHeight="1" x14ac:dyDescent="0.25">
      <c r="A493" s="1" t="s">
        <v>246</v>
      </c>
      <c r="B493" s="8" t="s">
        <v>860</v>
      </c>
      <c r="C493" s="3" t="s">
        <v>679</v>
      </c>
    </row>
    <row r="494" spans="1:3" ht="20.100000000000001" customHeight="1" x14ac:dyDescent="0.25">
      <c r="A494" s="1" t="s">
        <v>247</v>
      </c>
      <c r="B494" s="8" t="s">
        <v>861</v>
      </c>
      <c r="C494" s="3" t="s">
        <v>679</v>
      </c>
    </row>
    <row r="495" spans="1:3" ht="20.100000000000001" customHeight="1" x14ac:dyDescent="0.25">
      <c r="A495" s="1" t="s">
        <v>248</v>
      </c>
      <c r="B495" s="8" t="s">
        <v>862</v>
      </c>
      <c r="C495" s="3" t="s">
        <v>679</v>
      </c>
    </row>
    <row r="496" spans="1:3" ht="20.100000000000001" customHeight="1" x14ac:dyDescent="0.25">
      <c r="A496" s="1" t="s">
        <v>249</v>
      </c>
      <c r="B496" s="8" t="s">
        <v>1344</v>
      </c>
      <c r="C496" s="3" t="s">
        <v>679</v>
      </c>
    </row>
    <row r="497" spans="1:3" ht="20.100000000000001" customHeight="1" x14ac:dyDescent="0.25">
      <c r="A497" s="1" t="s">
        <v>250</v>
      </c>
      <c r="B497" s="8" t="s">
        <v>863</v>
      </c>
      <c r="C497" s="3" t="s">
        <v>679</v>
      </c>
    </row>
    <row r="498" spans="1:3" ht="20.100000000000001" customHeight="1" x14ac:dyDescent="0.25">
      <c r="A498" s="1" t="s">
        <v>251</v>
      </c>
      <c r="B498" s="8" t="s">
        <v>864</v>
      </c>
      <c r="C498" s="3" t="s">
        <v>679</v>
      </c>
    </row>
    <row r="499" spans="1:3" ht="20.100000000000001" customHeight="1" x14ac:dyDescent="0.25">
      <c r="A499" s="1" t="s">
        <v>252</v>
      </c>
      <c r="B499" s="8" t="s">
        <v>1345</v>
      </c>
      <c r="C499" s="3" t="s">
        <v>679</v>
      </c>
    </row>
    <row r="500" spans="1:3" ht="20.100000000000001" customHeight="1" x14ac:dyDescent="0.25">
      <c r="A500" s="1" t="s">
        <v>253</v>
      </c>
      <c r="B500" s="8" t="s">
        <v>1346</v>
      </c>
      <c r="C500" s="3" t="s">
        <v>679</v>
      </c>
    </row>
    <row r="501" spans="1:3" ht="20.100000000000001" customHeight="1" x14ac:dyDescent="0.25">
      <c r="A501" s="1" t="s">
        <v>254</v>
      </c>
      <c r="B501" s="8" t="s">
        <v>865</v>
      </c>
      <c r="C501" s="3" t="s">
        <v>679</v>
      </c>
    </row>
    <row r="502" spans="1:3" ht="20.100000000000001" customHeight="1" x14ac:dyDescent="0.25">
      <c r="A502" s="1" t="s">
        <v>255</v>
      </c>
      <c r="B502" s="8" t="s">
        <v>1347</v>
      </c>
      <c r="C502" s="3" t="s">
        <v>679</v>
      </c>
    </row>
    <row r="503" spans="1:3" ht="20.100000000000001" customHeight="1" x14ac:dyDescent="0.25">
      <c r="A503" s="1" t="s">
        <v>256</v>
      </c>
      <c r="B503" s="8" t="s">
        <v>1349</v>
      </c>
      <c r="C503" s="3" t="s">
        <v>679</v>
      </c>
    </row>
    <row r="504" spans="1:3" ht="20.100000000000001" customHeight="1" x14ac:dyDescent="0.25">
      <c r="A504" s="1" t="s">
        <v>257</v>
      </c>
      <c r="B504" s="8" t="s">
        <v>1348</v>
      </c>
      <c r="C504" s="3" t="s">
        <v>679</v>
      </c>
    </row>
    <row r="505" spans="1:3" ht="20.100000000000001" customHeight="1" x14ac:dyDescent="0.25">
      <c r="A505" s="1" t="s">
        <v>258</v>
      </c>
      <c r="B505" s="8" t="s">
        <v>866</v>
      </c>
      <c r="C505" s="3" t="s">
        <v>679</v>
      </c>
    </row>
    <row r="506" spans="1:3" ht="20.100000000000001" customHeight="1" x14ac:dyDescent="0.25">
      <c r="A506" s="1" t="s">
        <v>259</v>
      </c>
      <c r="B506" s="8" t="s">
        <v>867</v>
      </c>
      <c r="C506" s="3" t="s">
        <v>679</v>
      </c>
    </row>
    <row r="507" spans="1:3" ht="20.100000000000001" customHeight="1" x14ac:dyDescent="0.25">
      <c r="A507" s="1" t="s">
        <v>260</v>
      </c>
      <c r="B507" s="8" t="s">
        <v>1350</v>
      </c>
      <c r="C507" s="3" t="s">
        <v>679</v>
      </c>
    </row>
    <row r="508" spans="1:3" ht="20.100000000000001" customHeight="1" x14ac:dyDescent="0.25">
      <c r="A508" s="1" t="s">
        <v>261</v>
      </c>
      <c r="B508" s="8" t="s">
        <v>1351</v>
      </c>
      <c r="C508" s="3" t="s">
        <v>679</v>
      </c>
    </row>
    <row r="509" spans="1:3" ht="20.100000000000001" customHeight="1" x14ac:dyDescent="0.25">
      <c r="A509" s="1" t="s">
        <v>262</v>
      </c>
      <c r="B509" s="8" t="s">
        <v>1352</v>
      </c>
      <c r="C509" s="3" t="s">
        <v>679</v>
      </c>
    </row>
    <row r="510" spans="1:3" ht="20.100000000000001" customHeight="1" x14ac:dyDescent="0.25">
      <c r="A510" s="1" t="s">
        <v>263</v>
      </c>
      <c r="B510" s="8" t="s">
        <v>1353</v>
      </c>
      <c r="C510" s="3" t="s">
        <v>679</v>
      </c>
    </row>
    <row r="511" spans="1:3" ht="20.100000000000001" customHeight="1" x14ac:dyDescent="0.25">
      <c r="A511" s="1" t="s">
        <v>264</v>
      </c>
      <c r="B511" s="8" t="s">
        <v>868</v>
      </c>
      <c r="C511" s="3" t="s">
        <v>679</v>
      </c>
    </row>
    <row r="512" spans="1:3" ht="20.100000000000001" customHeight="1" x14ac:dyDescent="0.25">
      <c r="A512" s="1" t="s">
        <v>265</v>
      </c>
      <c r="B512" s="8" t="s">
        <v>1354</v>
      </c>
      <c r="C512" s="3" t="s">
        <v>679</v>
      </c>
    </row>
    <row r="513" spans="1:3" ht="20.100000000000001" customHeight="1" x14ac:dyDescent="0.25">
      <c r="A513" s="1" t="s">
        <v>266</v>
      </c>
      <c r="B513" s="8" t="s">
        <v>869</v>
      </c>
      <c r="C513" s="3" t="s">
        <v>679</v>
      </c>
    </row>
    <row r="514" spans="1:3" ht="20.100000000000001" customHeight="1" x14ac:dyDescent="0.25">
      <c r="A514" s="1" t="s">
        <v>267</v>
      </c>
      <c r="B514" s="8" t="s">
        <v>870</v>
      </c>
      <c r="C514" s="3" t="s">
        <v>679</v>
      </c>
    </row>
    <row r="515" spans="1:3" ht="20.100000000000001" customHeight="1" x14ac:dyDescent="0.25">
      <c r="A515" s="1" t="s">
        <v>268</v>
      </c>
      <c r="B515" s="8" t="s">
        <v>871</v>
      </c>
      <c r="C515" s="3" t="s">
        <v>679</v>
      </c>
    </row>
    <row r="516" spans="1:3" ht="20.100000000000001" customHeight="1" x14ac:dyDescent="0.25">
      <c r="A516" s="1" t="s">
        <v>269</v>
      </c>
      <c r="B516" s="8" t="s">
        <v>1355</v>
      </c>
      <c r="C516" s="3" t="s">
        <v>679</v>
      </c>
    </row>
    <row r="517" spans="1:3" ht="20.100000000000001" customHeight="1" x14ac:dyDescent="0.25">
      <c r="A517" s="1" t="s">
        <v>270</v>
      </c>
      <c r="B517" s="8" t="s">
        <v>872</v>
      </c>
      <c r="C517" s="3" t="s">
        <v>679</v>
      </c>
    </row>
    <row r="518" spans="1:3" ht="20.100000000000001" customHeight="1" x14ac:dyDescent="0.25">
      <c r="A518" s="1" t="s">
        <v>271</v>
      </c>
      <c r="B518" s="8" t="s">
        <v>1356</v>
      </c>
      <c r="C518" s="3" t="s">
        <v>679</v>
      </c>
    </row>
    <row r="519" spans="1:3" ht="20.100000000000001" customHeight="1" x14ac:dyDescent="0.25">
      <c r="A519" s="1" t="s">
        <v>272</v>
      </c>
      <c r="B519" s="8" t="s">
        <v>873</v>
      </c>
      <c r="C519" s="3" t="s">
        <v>679</v>
      </c>
    </row>
    <row r="520" spans="1:3" ht="20.100000000000001" customHeight="1" x14ac:dyDescent="0.25">
      <c r="A520" s="1" t="s">
        <v>273</v>
      </c>
      <c r="B520" s="8" t="s">
        <v>874</v>
      </c>
      <c r="C520" s="3" t="s">
        <v>679</v>
      </c>
    </row>
    <row r="521" spans="1:3" ht="20.100000000000001" customHeight="1" x14ac:dyDescent="0.25">
      <c r="A521" s="1" t="s">
        <v>274</v>
      </c>
      <c r="B521" s="8" t="s">
        <v>875</v>
      </c>
      <c r="C521" s="3" t="s">
        <v>679</v>
      </c>
    </row>
    <row r="522" spans="1:3" ht="20.100000000000001" customHeight="1" x14ac:dyDescent="0.25">
      <c r="A522" s="1" t="s">
        <v>275</v>
      </c>
      <c r="B522" s="8" t="s">
        <v>876</v>
      </c>
      <c r="C522" s="3" t="s">
        <v>679</v>
      </c>
    </row>
    <row r="523" spans="1:3" ht="20.100000000000001" customHeight="1" x14ac:dyDescent="0.25">
      <c r="A523" s="1" t="s">
        <v>276</v>
      </c>
      <c r="B523" s="8" t="s">
        <v>1357</v>
      </c>
      <c r="C523" s="3" t="s">
        <v>679</v>
      </c>
    </row>
    <row r="524" spans="1:3" ht="20.100000000000001" customHeight="1" x14ac:dyDescent="0.25">
      <c r="A524" s="1" t="s">
        <v>277</v>
      </c>
      <c r="B524" s="8" t="s">
        <v>877</v>
      </c>
      <c r="C524" s="3" t="s">
        <v>679</v>
      </c>
    </row>
    <row r="525" spans="1:3" ht="20.100000000000001" customHeight="1" x14ac:dyDescent="0.25">
      <c r="A525" s="1" t="s">
        <v>278</v>
      </c>
      <c r="B525" s="8" t="s">
        <v>878</v>
      </c>
      <c r="C525" s="3" t="s">
        <v>679</v>
      </c>
    </row>
    <row r="526" spans="1:3" ht="20.100000000000001" customHeight="1" x14ac:dyDescent="0.25">
      <c r="A526" s="12" t="s">
        <v>279</v>
      </c>
      <c r="B526" s="13" t="s">
        <v>879</v>
      </c>
      <c r="C526" s="14" t="s">
        <v>679</v>
      </c>
    </row>
    <row r="527" spans="1:3" ht="20.100000000000001" customHeight="1" x14ac:dyDescent="0.25">
      <c r="A527" s="24"/>
      <c r="B527" s="25"/>
      <c r="C527" s="26"/>
    </row>
    <row r="528" spans="1:3" ht="20.100000000000001" customHeight="1" x14ac:dyDescent="0.25">
      <c r="A528" s="15"/>
      <c r="B528" s="16"/>
      <c r="C528" s="17"/>
    </row>
    <row r="529" spans="1:3" ht="20.100000000000001" customHeight="1" x14ac:dyDescent="0.25">
      <c r="A529" s="15"/>
      <c r="B529" s="16"/>
      <c r="C529" s="17"/>
    </row>
    <row r="530" spans="1:3" ht="20.100000000000001" customHeight="1" x14ac:dyDescent="0.25">
      <c r="A530" s="15"/>
      <c r="B530" s="16"/>
      <c r="C530" s="17"/>
    </row>
    <row r="531" spans="1:3" ht="20.100000000000001" customHeight="1" x14ac:dyDescent="0.25">
      <c r="A531" s="15"/>
      <c r="B531" s="16"/>
      <c r="C531" s="17"/>
    </row>
    <row r="532" spans="1:3" ht="20.100000000000001" customHeight="1" x14ac:dyDescent="0.25">
      <c r="A532" s="15"/>
      <c r="B532" s="16"/>
      <c r="C532" s="17"/>
    </row>
    <row r="533" spans="1:3" ht="20.100000000000001" customHeight="1" x14ac:dyDescent="0.25">
      <c r="A533" s="15"/>
      <c r="B533" s="16"/>
      <c r="C533" s="17"/>
    </row>
    <row r="534" spans="1:3" ht="20.100000000000001" customHeight="1" x14ac:dyDescent="0.25">
      <c r="A534" s="15"/>
      <c r="B534" s="16"/>
      <c r="C534" s="17"/>
    </row>
    <row r="535" spans="1:3" ht="20.100000000000001" customHeight="1" x14ac:dyDescent="0.25">
      <c r="A535" s="15"/>
      <c r="B535" s="16"/>
      <c r="C535" s="17"/>
    </row>
    <row r="536" spans="1:3" ht="20.100000000000001" customHeight="1" x14ac:dyDescent="0.25">
      <c r="A536" s="15"/>
      <c r="B536" s="16"/>
      <c r="C536" s="17"/>
    </row>
    <row r="537" spans="1:3" ht="20.100000000000001" customHeight="1" x14ac:dyDescent="0.25">
      <c r="A537" s="15"/>
      <c r="B537" s="16"/>
      <c r="C537" s="17"/>
    </row>
    <row r="538" spans="1:3" ht="20.100000000000001" customHeight="1" x14ac:dyDescent="0.25">
      <c r="A538" s="15"/>
      <c r="B538" s="16"/>
      <c r="C538" s="17"/>
    </row>
    <row r="539" spans="1:3" ht="20.100000000000001" customHeight="1" x14ac:dyDescent="0.25">
      <c r="A539" s="15"/>
      <c r="B539" s="16"/>
      <c r="C539" s="17"/>
    </row>
    <row r="540" spans="1:3" ht="20.100000000000001" customHeight="1" x14ac:dyDescent="0.25">
      <c r="A540" s="15"/>
      <c r="B540" s="16"/>
      <c r="C540" s="17"/>
    </row>
    <row r="541" spans="1:3" ht="20.100000000000001" customHeight="1" x14ac:dyDescent="0.25">
      <c r="A541" s="15"/>
      <c r="B541" s="16"/>
      <c r="C541" s="17"/>
    </row>
    <row r="542" spans="1:3" ht="20.100000000000001" customHeight="1" x14ac:dyDescent="0.25">
      <c r="A542" s="15"/>
      <c r="B542" s="16"/>
      <c r="C542" s="17"/>
    </row>
    <row r="543" spans="1:3" ht="20.100000000000001" customHeight="1" x14ac:dyDescent="0.25">
      <c r="A543" s="15"/>
      <c r="B543" s="16"/>
      <c r="C543" s="17"/>
    </row>
    <row r="544" spans="1:3" ht="20.100000000000001" customHeight="1" x14ac:dyDescent="0.25">
      <c r="A544" s="15"/>
      <c r="B544" s="16"/>
      <c r="C544" s="17"/>
    </row>
    <row r="545" spans="1:3" ht="20.100000000000001" customHeight="1" x14ac:dyDescent="0.25">
      <c r="A545" s="15"/>
      <c r="B545" s="16"/>
      <c r="C545" s="17"/>
    </row>
    <row r="546" spans="1:3" ht="20.100000000000001" customHeight="1" x14ac:dyDescent="0.25">
      <c r="A546" s="15"/>
      <c r="B546" s="16"/>
      <c r="C546" s="17"/>
    </row>
    <row r="547" spans="1:3" ht="30" customHeight="1" x14ac:dyDescent="0.25">
      <c r="A547" s="9" t="s">
        <v>1</v>
      </c>
      <c r="B547" s="10" t="s">
        <v>2</v>
      </c>
      <c r="C547" s="10" t="s">
        <v>3</v>
      </c>
    </row>
    <row r="548" spans="1:3" ht="20.100000000000001" customHeight="1" x14ac:dyDescent="0.25">
      <c r="A548" s="1" t="s">
        <v>280</v>
      </c>
      <c r="B548" s="2" t="s">
        <v>880</v>
      </c>
      <c r="C548" s="3" t="s">
        <v>977</v>
      </c>
    </row>
    <row r="549" spans="1:3" ht="20.100000000000001" customHeight="1" x14ac:dyDescent="0.25">
      <c r="A549" s="1" t="s">
        <v>281</v>
      </c>
      <c r="B549" s="2" t="s">
        <v>881</v>
      </c>
      <c r="C549" s="3" t="s">
        <v>977</v>
      </c>
    </row>
    <row r="550" spans="1:3" ht="20.100000000000001" customHeight="1" x14ac:dyDescent="0.25">
      <c r="A550" s="1" t="s">
        <v>282</v>
      </c>
      <c r="B550" s="2" t="s">
        <v>882</v>
      </c>
      <c r="C550" s="3" t="s">
        <v>977</v>
      </c>
    </row>
    <row r="551" spans="1:3" ht="20.100000000000001" customHeight="1" x14ac:dyDescent="0.25">
      <c r="A551" s="1" t="s">
        <v>283</v>
      </c>
      <c r="B551" s="2" t="s">
        <v>883</v>
      </c>
      <c r="C551" s="3" t="s">
        <v>977</v>
      </c>
    </row>
    <row r="552" spans="1:3" ht="20.100000000000001" customHeight="1" x14ac:dyDescent="0.25">
      <c r="A552" s="1" t="s">
        <v>284</v>
      </c>
      <c r="B552" s="2" t="s">
        <v>884</v>
      </c>
      <c r="C552" s="3" t="s">
        <v>977</v>
      </c>
    </row>
    <row r="553" spans="1:3" ht="20.100000000000001" customHeight="1" x14ac:dyDescent="0.25">
      <c r="A553" s="1" t="s">
        <v>285</v>
      </c>
      <c r="B553" s="2" t="s">
        <v>885</v>
      </c>
      <c r="C553" s="3" t="s">
        <v>977</v>
      </c>
    </row>
    <row r="554" spans="1:3" ht="20.100000000000001" customHeight="1" x14ac:dyDescent="0.25">
      <c r="A554" s="1" t="s">
        <v>286</v>
      </c>
      <c r="B554" s="2" t="s">
        <v>886</v>
      </c>
      <c r="C554" s="3" t="s">
        <v>977</v>
      </c>
    </row>
    <row r="555" spans="1:3" ht="20.100000000000001" customHeight="1" x14ac:dyDescent="0.25">
      <c r="A555" s="1" t="s">
        <v>287</v>
      </c>
      <c r="B555" s="2" t="s">
        <v>887</v>
      </c>
      <c r="C555" s="3" t="s">
        <v>977</v>
      </c>
    </row>
    <row r="556" spans="1:3" ht="20.100000000000001" customHeight="1" x14ac:dyDescent="0.25">
      <c r="A556" s="1" t="s">
        <v>288</v>
      </c>
      <c r="B556" s="2" t="s">
        <v>888</v>
      </c>
      <c r="C556" s="3" t="s">
        <v>977</v>
      </c>
    </row>
    <row r="557" spans="1:3" ht="20.100000000000001" customHeight="1" x14ac:dyDescent="0.25">
      <c r="A557" s="1" t="s">
        <v>289</v>
      </c>
      <c r="B557" s="2" t="s">
        <v>889</v>
      </c>
      <c r="C557" s="3" t="s">
        <v>977</v>
      </c>
    </row>
    <row r="558" spans="1:3" ht="20.100000000000001" customHeight="1" x14ac:dyDescent="0.25">
      <c r="A558" s="1" t="s">
        <v>290</v>
      </c>
      <c r="B558" s="2" t="s">
        <v>890</v>
      </c>
      <c r="C558" s="3" t="s">
        <v>977</v>
      </c>
    </row>
    <row r="559" spans="1:3" ht="20.100000000000001" customHeight="1" x14ac:dyDescent="0.25">
      <c r="A559" s="1" t="s">
        <v>291</v>
      </c>
      <c r="B559" s="2" t="s">
        <v>891</v>
      </c>
      <c r="C559" s="3" t="s">
        <v>977</v>
      </c>
    </row>
    <row r="560" spans="1:3" ht="20.100000000000001" customHeight="1" x14ac:dyDescent="0.25">
      <c r="A560" s="1" t="s">
        <v>292</v>
      </c>
      <c r="B560" s="2" t="s">
        <v>978</v>
      </c>
      <c r="C560" s="3" t="s">
        <v>977</v>
      </c>
    </row>
    <row r="561" spans="1:3" ht="20.100000000000001" customHeight="1" x14ac:dyDescent="0.25">
      <c r="A561" s="1" t="s">
        <v>293</v>
      </c>
      <c r="B561" s="2" t="s">
        <v>979</v>
      </c>
      <c r="C561" s="3" t="s">
        <v>977</v>
      </c>
    </row>
    <row r="562" spans="1:3" ht="20.100000000000001" customHeight="1" x14ac:dyDescent="0.25">
      <c r="A562" s="1" t="s">
        <v>294</v>
      </c>
      <c r="B562" s="2" t="s">
        <v>892</v>
      </c>
      <c r="C562" s="3" t="s">
        <v>977</v>
      </c>
    </row>
    <row r="563" spans="1:3" ht="20.100000000000001" customHeight="1" x14ac:dyDescent="0.25">
      <c r="A563" s="1" t="s">
        <v>295</v>
      </c>
      <c r="B563" s="2" t="s">
        <v>893</v>
      </c>
      <c r="C563" s="3" t="s">
        <v>977</v>
      </c>
    </row>
    <row r="564" spans="1:3" ht="20.100000000000001" customHeight="1" x14ac:dyDescent="0.25">
      <c r="A564" s="1" t="s">
        <v>296</v>
      </c>
      <c r="B564" s="2" t="s">
        <v>894</v>
      </c>
      <c r="C564" s="3" t="s">
        <v>977</v>
      </c>
    </row>
    <row r="565" spans="1:3" ht="20.100000000000001" customHeight="1" x14ac:dyDescent="0.25">
      <c r="A565" s="1" t="s">
        <v>297</v>
      </c>
      <c r="B565" s="2" t="s">
        <v>895</v>
      </c>
      <c r="C565" s="3" t="s">
        <v>977</v>
      </c>
    </row>
    <row r="566" spans="1:3" ht="20.100000000000001" customHeight="1" x14ac:dyDescent="0.25">
      <c r="A566" s="1" t="s">
        <v>298</v>
      </c>
      <c r="B566" s="7" t="s">
        <v>980</v>
      </c>
      <c r="C566" s="3" t="s">
        <v>977</v>
      </c>
    </row>
    <row r="567" spans="1:3" ht="20.100000000000001" customHeight="1" x14ac:dyDescent="0.25">
      <c r="A567" s="1" t="s">
        <v>299</v>
      </c>
      <c r="B567" s="2" t="s">
        <v>896</v>
      </c>
      <c r="C567" s="3" t="s">
        <v>977</v>
      </c>
    </row>
    <row r="568" spans="1:3" ht="20.100000000000001" customHeight="1" x14ac:dyDescent="0.25">
      <c r="A568" s="1" t="s">
        <v>300</v>
      </c>
      <c r="B568" s="2" t="s">
        <v>897</v>
      </c>
      <c r="C568" s="3" t="s">
        <v>977</v>
      </c>
    </row>
    <row r="569" spans="1:3" ht="20.100000000000001" customHeight="1" x14ac:dyDescent="0.25">
      <c r="A569" s="1" t="s">
        <v>301</v>
      </c>
      <c r="B569" s="2" t="s">
        <v>898</v>
      </c>
      <c r="C569" s="3" t="s">
        <v>977</v>
      </c>
    </row>
    <row r="570" spans="1:3" ht="20.100000000000001" customHeight="1" x14ac:dyDescent="0.25">
      <c r="A570" s="1" t="s">
        <v>302</v>
      </c>
      <c r="B570" s="2" t="s">
        <v>899</v>
      </c>
      <c r="C570" s="3" t="s">
        <v>977</v>
      </c>
    </row>
    <row r="571" spans="1:3" ht="20.100000000000001" customHeight="1" x14ac:dyDescent="0.25">
      <c r="A571" s="1" t="s">
        <v>303</v>
      </c>
      <c r="B571" s="2" t="s">
        <v>900</v>
      </c>
      <c r="C571" s="3" t="s">
        <v>977</v>
      </c>
    </row>
    <row r="572" spans="1:3" ht="20.100000000000001" customHeight="1" x14ac:dyDescent="0.25">
      <c r="A572" s="1" t="s">
        <v>304</v>
      </c>
      <c r="B572" s="2" t="s">
        <v>901</v>
      </c>
      <c r="C572" s="3" t="s">
        <v>977</v>
      </c>
    </row>
    <row r="573" spans="1:3" ht="20.100000000000001" customHeight="1" x14ac:dyDescent="0.25">
      <c r="A573" s="1" t="s">
        <v>305</v>
      </c>
      <c r="B573" s="2" t="s">
        <v>902</v>
      </c>
      <c r="C573" s="3" t="s">
        <v>977</v>
      </c>
    </row>
    <row r="574" spans="1:3" ht="20.100000000000001" customHeight="1" x14ac:dyDescent="0.25">
      <c r="A574" s="1" t="s">
        <v>306</v>
      </c>
      <c r="B574" s="2" t="s">
        <v>903</v>
      </c>
      <c r="C574" s="3" t="s">
        <v>977</v>
      </c>
    </row>
    <row r="575" spans="1:3" ht="20.100000000000001" customHeight="1" x14ac:dyDescent="0.25">
      <c r="A575" s="1" t="s">
        <v>307</v>
      </c>
      <c r="B575" s="2" t="s">
        <v>904</v>
      </c>
      <c r="C575" s="3" t="s">
        <v>977</v>
      </c>
    </row>
    <row r="576" spans="1:3" ht="20.100000000000001" customHeight="1" x14ac:dyDescent="0.25">
      <c r="A576" s="1" t="s">
        <v>308</v>
      </c>
      <c r="B576" s="2" t="s">
        <v>905</v>
      </c>
      <c r="C576" s="3" t="s">
        <v>977</v>
      </c>
    </row>
    <row r="577" spans="1:3" ht="20.100000000000001" customHeight="1" x14ac:dyDescent="0.25">
      <c r="A577" s="1" t="s">
        <v>309</v>
      </c>
      <c r="B577" s="2" t="s">
        <v>906</v>
      </c>
      <c r="C577" s="3" t="s">
        <v>977</v>
      </c>
    </row>
    <row r="578" spans="1:3" ht="20.100000000000001" customHeight="1" x14ac:dyDescent="0.25">
      <c r="A578" s="1" t="s">
        <v>310</v>
      </c>
      <c r="B578" s="2" t="s">
        <v>907</v>
      </c>
      <c r="C578" s="3" t="s">
        <v>977</v>
      </c>
    </row>
    <row r="579" spans="1:3" ht="20.100000000000001" customHeight="1" x14ac:dyDescent="0.25">
      <c r="A579" s="1" t="s">
        <v>311</v>
      </c>
      <c r="B579" s="2" t="s">
        <v>908</v>
      </c>
      <c r="C579" s="3" t="s">
        <v>977</v>
      </c>
    </row>
    <row r="580" spans="1:3" ht="20.100000000000001" customHeight="1" x14ac:dyDescent="0.25">
      <c r="A580" s="1" t="s">
        <v>312</v>
      </c>
      <c r="B580" s="2" t="s">
        <v>909</v>
      </c>
      <c r="C580" s="3" t="s">
        <v>977</v>
      </c>
    </row>
    <row r="581" spans="1:3" ht="20.100000000000001" customHeight="1" x14ac:dyDescent="0.25">
      <c r="A581" s="1" t="s">
        <v>313</v>
      </c>
      <c r="B581" s="2" t="s">
        <v>910</v>
      </c>
      <c r="C581" s="3" t="s">
        <v>977</v>
      </c>
    </row>
    <row r="582" spans="1:3" ht="20.100000000000001" customHeight="1" x14ac:dyDescent="0.25">
      <c r="A582" s="1" t="s">
        <v>314</v>
      </c>
      <c r="B582" s="2" t="s">
        <v>911</v>
      </c>
      <c r="C582" s="3" t="s">
        <v>977</v>
      </c>
    </row>
    <row r="583" spans="1:3" ht="20.100000000000001" customHeight="1" x14ac:dyDescent="0.25">
      <c r="A583" s="1" t="s">
        <v>315</v>
      </c>
      <c r="B583" s="2" t="s">
        <v>912</v>
      </c>
      <c r="C583" s="3" t="s">
        <v>977</v>
      </c>
    </row>
    <row r="584" spans="1:3" ht="20.100000000000001" customHeight="1" x14ac:dyDescent="0.25">
      <c r="A584" s="1" t="s">
        <v>316</v>
      </c>
      <c r="B584" s="2" t="s">
        <v>913</v>
      </c>
      <c r="C584" s="3" t="s">
        <v>977</v>
      </c>
    </row>
    <row r="585" spans="1:3" ht="20.100000000000001" customHeight="1" x14ac:dyDescent="0.25">
      <c r="A585" s="1" t="s">
        <v>317</v>
      </c>
      <c r="B585" s="2" t="s">
        <v>914</v>
      </c>
      <c r="C585" s="3" t="s">
        <v>977</v>
      </c>
    </row>
    <row r="586" spans="1:3" ht="20.100000000000001" customHeight="1" x14ac:dyDescent="0.25">
      <c r="A586" s="1" t="s">
        <v>318</v>
      </c>
      <c r="B586" s="2" t="s">
        <v>915</v>
      </c>
      <c r="C586" s="3" t="s">
        <v>977</v>
      </c>
    </row>
    <row r="587" spans="1:3" ht="20.100000000000001" customHeight="1" x14ac:dyDescent="0.25">
      <c r="A587" s="1" t="s">
        <v>319</v>
      </c>
      <c r="B587" s="2" t="s">
        <v>916</v>
      </c>
      <c r="C587" s="3" t="s">
        <v>977</v>
      </c>
    </row>
    <row r="588" spans="1:3" ht="20.100000000000001" customHeight="1" x14ac:dyDescent="0.25">
      <c r="A588" s="1" t="s">
        <v>320</v>
      </c>
      <c r="B588" s="2" t="s">
        <v>917</v>
      </c>
      <c r="C588" s="3" t="s">
        <v>977</v>
      </c>
    </row>
    <row r="589" spans="1:3" ht="20.100000000000001" customHeight="1" x14ac:dyDescent="0.25">
      <c r="A589" s="1" t="s">
        <v>321</v>
      </c>
      <c r="B589" s="2" t="s">
        <v>918</v>
      </c>
      <c r="C589" s="3" t="s">
        <v>977</v>
      </c>
    </row>
    <row r="590" spans="1:3" ht="20.100000000000001" customHeight="1" x14ac:dyDescent="0.25">
      <c r="A590" s="1" t="s">
        <v>322</v>
      </c>
      <c r="B590" s="2" t="s">
        <v>919</v>
      </c>
      <c r="C590" s="3" t="s">
        <v>977</v>
      </c>
    </row>
    <row r="591" spans="1:3" ht="20.100000000000001" customHeight="1" x14ac:dyDescent="0.25">
      <c r="A591" s="1" t="s">
        <v>323</v>
      </c>
      <c r="B591" s="2" t="s">
        <v>920</v>
      </c>
      <c r="C591" s="3" t="s">
        <v>977</v>
      </c>
    </row>
    <row r="592" spans="1:3" ht="20.100000000000001" customHeight="1" x14ac:dyDescent="0.25">
      <c r="A592" s="1" t="s">
        <v>324</v>
      </c>
      <c r="B592" s="2" t="s">
        <v>921</v>
      </c>
      <c r="C592" s="3" t="s">
        <v>977</v>
      </c>
    </row>
    <row r="593" spans="1:3" ht="20.100000000000001" customHeight="1" x14ac:dyDescent="0.25">
      <c r="A593" s="1" t="s">
        <v>325</v>
      </c>
      <c r="B593" s="2" t="s">
        <v>922</v>
      </c>
      <c r="C593" s="3" t="s">
        <v>977</v>
      </c>
    </row>
    <row r="594" spans="1:3" ht="20.100000000000001" customHeight="1" x14ac:dyDescent="0.25">
      <c r="A594" s="1" t="s">
        <v>326</v>
      </c>
      <c r="B594" s="2" t="s">
        <v>923</v>
      </c>
      <c r="C594" s="3" t="s">
        <v>977</v>
      </c>
    </row>
    <row r="595" spans="1:3" ht="20.100000000000001" customHeight="1" x14ac:dyDescent="0.25">
      <c r="A595" s="1" t="s">
        <v>327</v>
      </c>
      <c r="B595" s="2" t="s">
        <v>924</v>
      </c>
      <c r="C595" s="3" t="s">
        <v>977</v>
      </c>
    </row>
    <row r="596" spans="1:3" ht="20.100000000000001" customHeight="1" x14ac:dyDescent="0.25">
      <c r="A596" s="1" t="s">
        <v>328</v>
      </c>
      <c r="B596" s="2" t="s">
        <v>925</v>
      </c>
      <c r="C596" s="3" t="s">
        <v>977</v>
      </c>
    </row>
    <row r="597" spans="1:3" ht="20.100000000000001" customHeight="1" x14ac:dyDescent="0.25">
      <c r="A597" s="1" t="s">
        <v>329</v>
      </c>
      <c r="B597" s="2" t="s">
        <v>926</v>
      </c>
      <c r="C597" s="3" t="s">
        <v>977</v>
      </c>
    </row>
    <row r="598" spans="1:3" ht="20.100000000000001" customHeight="1" x14ac:dyDescent="0.25">
      <c r="A598" s="1" t="s">
        <v>330</v>
      </c>
      <c r="B598" s="2" t="s">
        <v>927</v>
      </c>
      <c r="C598" s="3" t="s">
        <v>977</v>
      </c>
    </row>
    <row r="599" spans="1:3" ht="20.100000000000001" customHeight="1" x14ac:dyDescent="0.25">
      <c r="A599" s="1" t="s">
        <v>331</v>
      </c>
      <c r="B599" s="2" t="s">
        <v>928</v>
      </c>
      <c r="C599" s="3" t="s">
        <v>977</v>
      </c>
    </row>
    <row r="600" spans="1:3" ht="20.100000000000001" customHeight="1" x14ac:dyDescent="0.25">
      <c r="A600" s="1" t="s">
        <v>332</v>
      </c>
      <c r="B600" s="2" t="s">
        <v>929</v>
      </c>
      <c r="C600" s="3" t="s">
        <v>977</v>
      </c>
    </row>
    <row r="601" spans="1:3" ht="20.100000000000001" customHeight="1" x14ac:dyDescent="0.25">
      <c r="A601" s="1" t="s">
        <v>333</v>
      </c>
      <c r="B601" s="2" t="s">
        <v>930</v>
      </c>
      <c r="C601" s="3" t="s">
        <v>977</v>
      </c>
    </row>
    <row r="602" spans="1:3" ht="20.100000000000001" customHeight="1" x14ac:dyDescent="0.25">
      <c r="A602" s="1" t="s">
        <v>334</v>
      </c>
      <c r="B602" s="2" t="s">
        <v>931</v>
      </c>
      <c r="C602" s="3" t="s">
        <v>977</v>
      </c>
    </row>
    <row r="603" spans="1:3" ht="20.100000000000001" customHeight="1" x14ac:dyDescent="0.25">
      <c r="A603" s="1" t="s">
        <v>335</v>
      </c>
      <c r="B603" s="2" t="s">
        <v>932</v>
      </c>
      <c r="C603" s="3" t="s">
        <v>977</v>
      </c>
    </row>
    <row r="604" spans="1:3" ht="20.100000000000001" customHeight="1" x14ac:dyDescent="0.25">
      <c r="A604" s="1" t="s">
        <v>336</v>
      </c>
      <c r="B604" s="2" t="s">
        <v>933</v>
      </c>
      <c r="C604" s="3" t="s">
        <v>977</v>
      </c>
    </row>
    <row r="605" spans="1:3" ht="20.100000000000001" customHeight="1" x14ac:dyDescent="0.25">
      <c r="A605" s="1" t="s">
        <v>337</v>
      </c>
      <c r="B605" s="2" t="s">
        <v>934</v>
      </c>
      <c r="C605" s="3" t="s">
        <v>977</v>
      </c>
    </row>
    <row r="606" spans="1:3" ht="20.100000000000001" customHeight="1" x14ac:dyDescent="0.25">
      <c r="A606" s="1" t="s">
        <v>338</v>
      </c>
      <c r="B606" s="2" t="s">
        <v>935</v>
      </c>
      <c r="C606" s="3" t="s">
        <v>977</v>
      </c>
    </row>
    <row r="607" spans="1:3" ht="20.100000000000001" customHeight="1" x14ac:dyDescent="0.25">
      <c r="A607" s="1" t="s">
        <v>339</v>
      </c>
      <c r="B607" s="2" t="s">
        <v>936</v>
      </c>
      <c r="C607" s="3" t="s">
        <v>977</v>
      </c>
    </row>
    <row r="608" spans="1:3" ht="20.100000000000001" customHeight="1" x14ac:dyDescent="0.25">
      <c r="A608" s="1" t="s">
        <v>340</v>
      </c>
      <c r="B608" s="2" t="s">
        <v>937</v>
      </c>
      <c r="C608" s="3" t="s">
        <v>977</v>
      </c>
    </row>
    <row r="609" spans="1:3" ht="20.100000000000001" customHeight="1" x14ac:dyDescent="0.25">
      <c r="A609" s="1" t="s">
        <v>341</v>
      </c>
      <c r="B609" s="2" t="s">
        <v>938</v>
      </c>
      <c r="C609" s="3" t="s">
        <v>977</v>
      </c>
    </row>
    <row r="610" spans="1:3" ht="20.100000000000001" customHeight="1" x14ac:dyDescent="0.25">
      <c r="A610" s="1" t="s">
        <v>342</v>
      </c>
      <c r="B610" s="2" t="s">
        <v>939</v>
      </c>
      <c r="C610" s="3" t="s">
        <v>977</v>
      </c>
    </row>
    <row r="611" spans="1:3" ht="20.100000000000001" customHeight="1" x14ac:dyDescent="0.25">
      <c r="A611" s="1" t="s">
        <v>343</v>
      </c>
      <c r="B611" s="2" t="s">
        <v>940</v>
      </c>
      <c r="C611" s="3" t="s">
        <v>977</v>
      </c>
    </row>
    <row r="612" spans="1:3" ht="20.100000000000001" customHeight="1" x14ac:dyDescent="0.25">
      <c r="A612" s="1" t="s">
        <v>344</v>
      </c>
      <c r="B612" s="2" t="s">
        <v>941</v>
      </c>
      <c r="C612" s="3" t="s">
        <v>977</v>
      </c>
    </row>
    <row r="613" spans="1:3" ht="20.100000000000001" customHeight="1" x14ac:dyDescent="0.25">
      <c r="A613" s="1" t="s">
        <v>345</v>
      </c>
      <c r="B613" s="2" t="s">
        <v>942</v>
      </c>
      <c r="C613" s="3" t="s">
        <v>977</v>
      </c>
    </row>
    <row r="614" spans="1:3" ht="20.100000000000001" customHeight="1" x14ac:dyDescent="0.25">
      <c r="A614" s="1" t="s">
        <v>346</v>
      </c>
      <c r="B614" s="2" t="s">
        <v>943</v>
      </c>
      <c r="C614" s="3" t="s">
        <v>977</v>
      </c>
    </row>
    <row r="615" spans="1:3" ht="20.100000000000001" customHeight="1" x14ac:dyDescent="0.25">
      <c r="A615" s="1" t="s">
        <v>347</v>
      </c>
      <c r="B615" s="2" t="s">
        <v>944</v>
      </c>
      <c r="C615" s="3" t="s">
        <v>977</v>
      </c>
    </row>
    <row r="616" spans="1:3" ht="20.100000000000001" customHeight="1" x14ac:dyDescent="0.25">
      <c r="A616" s="1" t="s">
        <v>348</v>
      </c>
      <c r="B616" s="2" t="s">
        <v>945</v>
      </c>
      <c r="C616" s="3" t="s">
        <v>977</v>
      </c>
    </row>
    <row r="617" spans="1:3" ht="20.100000000000001" customHeight="1" x14ac:dyDescent="0.25">
      <c r="A617" s="1" t="s">
        <v>349</v>
      </c>
      <c r="B617" s="2" t="s">
        <v>946</v>
      </c>
      <c r="C617" s="3" t="s">
        <v>977</v>
      </c>
    </row>
    <row r="618" spans="1:3" ht="20.100000000000001" customHeight="1" x14ac:dyDescent="0.25">
      <c r="A618" s="1" t="s">
        <v>350</v>
      </c>
      <c r="B618" s="2" t="s">
        <v>947</v>
      </c>
      <c r="C618" s="3" t="s">
        <v>977</v>
      </c>
    </row>
    <row r="619" spans="1:3" ht="20.100000000000001" customHeight="1" x14ac:dyDescent="0.25">
      <c r="A619" s="1" t="s">
        <v>351</v>
      </c>
      <c r="B619" s="2" t="s">
        <v>948</v>
      </c>
      <c r="C619" s="3" t="s">
        <v>977</v>
      </c>
    </row>
    <row r="620" spans="1:3" ht="20.100000000000001" customHeight="1" x14ac:dyDescent="0.25">
      <c r="A620" s="1" t="s">
        <v>352</v>
      </c>
      <c r="B620" s="2" t="s">
        <v>949</v>
      </c>
      <c r="C620" s="3" t="s">
        <v>977</v>
      </c>
    </row>
    <row r="621" spans="1:3" ht="20.100000000000001" customHeight="1" x14ac:dyDescent="0.25">
      <c r="A621" s="1" t="s">
        <v>353</v>
      </c>
      <c r="B621" s="2" t="s">
        <v>950</v>
      </c>
      <c r="C621" s="3" t="s">
        <v>977</v>
      </c>
    </row>
    <row r="622" spans="1:3" ht="20.100000000000001" customHeight="1" x14ac:dyDescent="0.25">
      <c r="A622" s="1" t="s">
        <v>354</v>
      </c>
      <c r="B622" s="2" t="s">
        <v>951</v>
      </c>
      <c r="C622" s="3" t="s">
        <v>977</v>
      </c>
    </row>
    <row r="623" spans="1:3" ht="20.100000000000001" customHeight="1" x14ac:dyDescent="0.25">
      <c r="A623" s="1" t="s">
        <v>355</v>
      </c>
      <c r="B623" s="2" t="s">
        <v>952</v>
      </c>
      <c r="C623" s="3" t="s">
        <v>977</v>
      </c>
    </row>
    <row r="624" spans="1:3" ht="20.100000000000001" customHeight="1" x14ac:dyDescent="0.25">
      <c r="A624" s="1" t="s">
        <v>356</v>
      </c>
      <c r="B624" s="2" t="s">
        <v>953</v>
      </c>
      <c r="C624" s="3" t="s">
        <v>977</v>
      </c>
    </row>
    <row r="625" spans="1:3" ht="20.100000000000001" customHeight="1" x14ac:dyDescent="0.25">
      <c r="A625" s="1" t="s">
        <v>357</v>
      </c>
      <c r="B625" s="2" t="s">
        <v>954</v>
      </c>
      <c r="C625" s="3" t="s">
        <v>977</v>
      </c>
    </row>
    <row r="626" spans="1:3" ht="20.100000000000001" customHeight="1" x14ac:dyDescent="0.25">
      <c r="A626" s="1" t="s">
        <v>358</v>
      </c>
      <c r="B626" s="2" t="s">
        <v>955</v>
      </c>
      <c r="C626" s="3" t="s">
        <v>977</v>
      </c>
    </row>
    <row r="627" spans="1:3" ht="20.100000000000001" customHeight="1" x14ac:dyDescent="0.25">
      <c r="A627" s="1" t="s">
        <v>359</v>
      </c>
      <c r="B627" s="2" t="s">
        <v>956</v>
      </c>
      <c r="C627" s="3" t="s">
        <v>977</v>
      </c>
    </row>
    <row r="628" spans="1:3" ht="20.100000000000001" customHeight="1" x14ac:dyDescent="0.25">
      <c r="A628" s="1" t="s">
        <v>360</v>
      </c>
      <c r="B628" s="2" t="s">
        <v>957</v>
      </c>
      <c r="C628" s="3" t="s">
        <v>977</v>
      </c>
    </row>
    <row r="629" spans="1:3" ht="20.100000000000001" customHeight="1" x14ac:dyDescent="0.25">
      <c r="A629" s="1" t="s">
        <v>361</v>
      </c>
      <c r="B629" s="2" t="s">
        <v>958</v>
      </c>
      <c r="C629" s="3" t="s">
        <v>977</v>
      </c>
    </row>
    <row r="630" spans="1:3" ht="20.100000000000001" customHeight="1" x14ac:dyDescent="0.25">
      <c r="A630" s="1" t="s">
        <v>362</v>
      </c>
      <c r="B630" s="2" t="s">
        <v>959</v>
      </c>
      <c r="C630" s="3" t="s">
        <v>977</v>
      </c>
    </row>
    <row r="631" spans="1:3" ht="20.100000000000001" customHeight="1" x14ac:dyDescent="0.25">
      <c r="A631" s="1" t="s">
        <v>363</v>
      </c>
      <c r="B631" s="2" t="s">
        <v>960</v>
      </c>
      <c r="C631" s="3" t="s">
        <v>977</v>
      </c>
    </row>
    <row r="632" spans="1:3" ht="20.100000000000001" customHeight="1" x14ac:dyDescent="0.25">
      <c r="A632" s="1" t="s">
        <v>364</v>
      </c>
      <c r="B632" s="2" t="s">
        <v>961</v>
      </c>
      <c r="C632" s="3" t="s">
        <v>977</v>
      </c>
    </row>
    <row r="633" spans="1:3" ht="20.100000000000001" customHeight="1" x14ac:dyDescent="0.25">
      <c r="A633" s="1" t="s">
        <v>365</v>
      </c>
      <c r="B633" s="2" t="s">
        <v>962</v>
      </c>
      <c r="C633" s="3" t="s">
        <v>977</v>
      </c>
    </row>
    <row r="634" spans="1:3" ht="20.100000000000001" customHeight="1" x14ac:dyDescent="0.25">
      <c r="A634" s="1" t="s">
        <v>366</v>
      </c>
      <c r="B634" s="2" t="s">
        <v>963</v>
      </c>
      <c r="C634" s="3" t="s">
        <v>977</v>
      </c>
    </row>
    <row r="635" spans="1:3" ht="20.100000000000001" customHeight="1" x14ac:dyDescent="0.25">
      <c r="A635" s="1" t="s">
        <v>367</v>
      </c>
      <c r="B635" s="2" t="s">
        <v>964</v>
      </c>
      <c r="C635" s="3" t="s">
        <v>977</v>
      </c>
    </row>
    <row r="636" spans="1:3" ht="20.100000000000001" customHeight="1" x14ac:dyDescent="0.25">
      <c r="A636" s="1" t="s">
        <v>368</v>
      </c>
      <c r="B636" s="2" t="s">
        <v>965</v>
      </c>
      <c r="C636" s="3" t="s">
        <v>977</v>
      </c>
    </row>
    <row r="637" spans="1:3" ht="20.100000000000001" customHeight="1" x14ac:dyDescent="0.25">
      <c r="A637" s="1" t="s">
        <v>369</v>
      </c>
      <c r="B637" s="2" t="s">
        <v>966</v>
      </c>
      <c r="C637" s="3" t="s">
        <v>977</v>
      </c>
    </row>
    <row r="638" spans="1:3" ht="20.100000000000001" customHeight="1" x14ac:dyDescent="0.25">
      <c r="A638" s="1" t="s">
        <v>370</v>
      </c>
      <c r="B638" s="2" t="s">
        <v>967</v>
      </c>
      <c r="C638" s="3" t="s">
        <v>977</v>
      </c>
    </row>
    <row r="639" spans="1:3" ht="20.100000000000001" customHeight="1" x14ac:dyDescent="0.25">
      <c r="A639" s="1" t="s">
        <v>371</v>
      </c>
      <c r="B639" s="2" t="s">
        <v>968</v>
      </c>
      <c r="C639" s="3" t="s">
        <v>977</v>
      </c>
    </row>
    <row r="640" spans="1:3" ht="20.100000000000001" customHeight="1" x14ac:dyDescent="0.25">
      <c r="A640" s="1" t="s">
        <v>372</v>
      </c>
      <c r="B640" s="2" t="s">
        <v>969</v>
      </c>
      <c r="C640" s="3" t="s">
        <v>977</v>
      </c>
    </row>
    <row r="641" spans="1:3" ht="20.100000000000001" customHeight="1" x14ac:dyDescent="0.25">
      <c r="A641" s="1" t="s">
        <v>373</v>
      </c>
      <c r="B641" s="2" t="s">
        <v>970</v>
      </c>
      <c r="C641" s="3" t="s">
        <v>977</v>
      </c>
    </row>
    <row r="642" spans="1:3" ht="20.100000000000001" customHeight="1" x14ac:dyDescent="0.25">
      <c r="A642" s="1" t="s">
        <v>374</v>
      </c>
      <c r="B642" s="2" t="s">
        <v>971</v>
      </c>
      <c r="C642" s="3" t="s">
        <v>977</v>
      </c>
    </row>
    <row r="643" spans="1:3" ht="20.100000000000001" customHeight="1" x14ac:dyDescent="0.25">
      <c r="A643" s="1" t="s">
        <v>375</v>
      </c>
      <c r="B643" s="2" t="s">
        <v>972</v>
      </c>
      <c r="C643" s="3" t="s">
        <v>977</v>
      </c>
    </row>
    <row r="644" spans="1:3" ht="20.100000000000001" customHeight="1" x14ac:dyDescent="0.25">
      <c r="A644" s="1" t="s">
        <v>376</v>
      </c>
      <c r="B644" s="2" t="s">
        <v>973</v>
      </c>
      <c r="C644" s="3" t="s">
        <v>977</v>
      </c>
    </row>
    <row r="645" spans="1:3" ht="20.100000000000001" customHeight="1" x14ac:dyDescent="0.25">
      <c r="A645" s="1" t="s">
        <v>377</v>
      </c>
      <c r="B645" s="2" t="s">
        <v>974</v>
      </c>
      <c r="C645" s="3" t="s">
        <v>977</v>
      </c>
    </row>
    <row r="646" spans="1:3" ht="20.100000000000001" customHeight="1" x14ac:dyDescent="0.25">
      <c r="A646" s="1" t="s">
        <v>378</v>
      </c>
      <c r="B646" s="2" t="s">
        <v>975</v>
      </c>
      <c r="C646" s="3" t="s">
        <v>977</v>
      </c>
    </row>
    <row r="647" spans="1:3" ht="20.100000000000001" customHeight="1" x14ac:dyDescent="0.25">
      <c r="A647" s="18" t="s">
        <v>379</v>
      </c>
      <c r="B647" s="2" t="s">
        <v>976</v>
      </c>
      <c r="C647" s="3" t="s">
        <v>977</v>
      </c>
    </row>
    <row r="648" spans="1:3" ht="20.100000000000001" customHeight="1" x14ac:dyDescent="0.25">
      <c r="A648" s="15"/>
      <c r="B648" s="23"/>
      <c r="C648" s="17"/>
    </row>
    <row r="649" spans="1:3" ht="20.100000000000001" customHeight="1" x14ac:dyDescent="0.25">
      <c r="A649" s="15"/>
      <c r="B649" s="23"/>
      <c r="C649" s="17"/>
    </row>
    <row r="650" spans="1:3" ht="20.100000000000001" customHeight="1" x14ac:dyDescent="0.25">
      <c r="A650" s="15"/>
      <c r="B650" s="23"/>
      <c r="C650" s="17"/>
    </row>
    <row r="651" spans="1:3" ht="20.100000000000001" customHeight="1" x14ac:dyDescent="0.25">
      <c r="A651" s="15"/>
      <c r="B651" s="23"/>
      <c r="C651" s="17"/>
    </row>
    <row r="652" spans="1:3" ht="20.100000000000001" customHeight="1" x14ac:dyDescent="0.25">
      <c r="A652" s="15"/>
      <c r="B652" s="23"/>
      <c r="C652" s="17"/>
    </row>
    <row r="653" spans="1:3" ht="20.100000000000001" customHeight="1" x14ac:dyDescent="0.25">
      <c r="A653" s="15"/>
      <c r="B653" s="23"/>
      <c r="C653" s="17"/>
    </row>
    <row r="654" spans="1:3" ht="20.100000000000001" customHeight="1" x14ac:dyDescent="0.25">
      <c r="A654" s="15"/>
      <c r="B654" s="23"/>
      <c r="C654" s="17"/>
    </row>
    <row r="655" spans="1:3" ht="20.100000000000001" customHeight="1" x14ac:dyDescent="0.25">
      <c r="A655" s="15"/>
      <c r="B655" s="23"/>
      <c r="C655" s="17"/>
    </row>
    <row r="656" spans="1:3" ht="20.100000000000001" customHeight="1" x14ac:dyDescent="0.25">
      <c r="A656" s="15"/>
      <c r="B656" s="23"/>
      <c r="C656" s="17"/>
    </row>
    <row r="657" spans="1:3" ht="20.100000000000001" customHeight="1" x14ac:dyDescent="0.25">
      <c r="A657" s="15"/>
      <c r="B657" s="23"/>
      <c r="C657" s="17"/>
    </row>
    <row r="658" spans="1:3" ht="20.100000000000001" customHeight="1" x14ac:dyDescent="0.25">
      <c r="A658" s="15"/>
      <c r="B658" s="23"/>
      <c r="C658" s="17"/>
    </row>
    <row r="659" spans="1:3" ht="20.100000000000001" customHeight="1" x14ac:dyDescent="0.25">
      <c r="A659" s="15"/>
      <c r="B659" s="23"/>
      <c r="C659" s="17"/>
    </row>
    <row r="660" spans="1:3" ht="20.100000000000001" customHeight="1" x14ac:dyDescent="0.25">
      <c r="A660" s="15"/>
      <c r="B660" s="23"/>
      <c r="C660" s="17"/>
    </row>
    <row r="661" spans="1:3" ht="20.100000000000001" customHeight="1" x14ac:dyDescent="0.25">
      <c r="A661" s="15"/>
      <c r="B661" s="23"/>
      <c r="C661" s="17"/>
    </row>
    <row r="662" spans="1:3" ht="20.100000000000001" customHeight="1" x14ac:dyDescent="0.25">
      <c r="A662" s="15"/>
      <c r="B662" s="23"/>
      <c r="C662" s="17"/>
    </row>
    <row r="663" spans="1:3" ht="20.100000000000001" customHeight="1" x14ac:dyDescent="0.25">
      <c r="A663" s="15"/>
      <c r="B663" s="23"/>
      <c r="C663" s="17"/>
    </row>
    <row r="664" spans="1:3" ht="30" customHeight="1" x14ac:dyDescent="0.25">
      <c r="A664" s="9" t="s">
        <v>1</v>
      </c>
      <c r="B664" s="9" t="s">
        <v>2</v>
      </c>
      <c r="C664" s="9" t="s">
        <v>3</v>
      </c>
    </row>
    <row r="665" spans="1:3" ht="20.100000000000001" customHeight="1" x14ac:dyDescent="0.25">
      <c r="A665" s="20" t="s">
        <v>380</v>
      </c>
      <c r="B665" s="21" t="s">
        <v>981</v>
      </c>
      <c r="C665" s="27" t="s">
        <v>1081</v>
      </c>
    </row>
    <row r="666" spans="1:3" ht="20.100000000000001" customHeight="1" x14ac:dyDescent="0.25">
      <c r="A666" s="1" t="s">
        <v>381</v>
      </c>
      <c r="B666" s="2" t="s">
        <v>982</v>
      </c>
      <c r="C666" s="4" t="s">
        <v>1081</v>
      </c>
    </row>
    <row r="667" spans="1:3" ht="20.100000000000001" customHeight="1" x14ac:dyDescent="0.25">
      <c r="A667" s="1" t="s">
        <v>382</v>
      </c>
      <c r="B667" s="2" t="s">
        <v>983</v>
      </c>
      <c r="C667" s="4" t="s">
        <v>1081</v>
      </c>
    </row>
    <row r="668" spans="1:3" ht="20.100000000000001" customHeight="1" x14ac:dyDescent="0.25">
      <c r="A668" s="1" t="s">
        <v>383</v>
      </c>
      <c r="B668" s="2" t="s">
        <v>984</v>
      </c>
      <c r="C668" s="4" t="s">
        <v>1081</v>
      </c>
    </row>
    <row r="669" spans="1:3" ht="20.100000000000001" customHeight="1" x14ac:dyDescent="0.25">
      <c r="A669" s="1" t="s">
        <v>384</v>
      </c>
      <c r="B669" s="2" t="s">
        <v>985</v>
      </c>
      <c r="C669" s="4" t="s">
        <v>1081</v>
      </c>
    </row>
    <row r="670" spans="1:3" ht="20.100000000000001" customHeight="1" x14ac:dyDescent="0.25">
      <c r="A670" s="1" t="s">
        <v>385</v>
      </c>
      <c r="B670" s="2" t="s">
        <v>986</v>
      </c>
      <c r="C670" s="4" t="s">
        <v>1081</v>
      </c>
    </row>
    <row r="671" spans="1:3" ht="20.100000000000001" customHeight="1" x14ac:dyDescent="0.25">
      <c r="A671" s="1" t="s">
        <v>386</v>
      </c>
      <c r="B671" s="2" t="s">
        <v>987</v>
      </c>
      <c r="C671" s="4" t="s">
        <v>1081</v>
      </c>
    </row>
    <row r="672" spans="1:3" ht="20.100000000000001" customHeight="1" x14ac:dyDescent="0.25">
      <c r="A672" s="1" t="s">
        <v>387</v>
      </c>
      <c r="B672" s="2" t="s">
        <v>988</v>
      </c>
      <c r="C672" s="4" t="s">
        <v>1081</v>
      </c>
    </row>
    <row r="673" spans="1:3" ht="20.100000000000001" customHeight="1" x14ac:dyDescent="0.25">
      <c r="A673" s="1" t="s">
        <v>388</v>
      </c>
      <c r="B673" s="2" t="s">
        <v>989</v>
      </c>
      <c r="C673" s="4" t="s">
        <v>1081</v>
      </c>
    </row>
    <row r="674" spans="1:3" ht="20.100000000000001" customHeight="1" x14ac:dyDescent="0.25">
      <c r="A674" s="1" t="s">
        <v>389</v>
      </c>
      <c r="B674" s="2" t="s">
        <v>990</v>
      </c>
      <c r="C674" s="4" t="s">
        <v>1081</v>
      </c>
    </row>
    <row r="675" spans="1:3" ht="20.100000000000001" customHeight="1" x14ac:dyDescent="0.25">
      <c r="A675" s="1" t="s">
        <v>390</v>
      </c>
      <c r="B675" s="2" t="s">
        <v>991</v>
      </c>
      <c r="C675" s="4" t="s">
        <v>1081</v>
      </c>
    </row>
    <row r="676" spans="1:3" ht="20.100000000000001" customHeight="1" x14ac:dyDescent="0.25">
      <c r="A676" s="1" t="s">
        <v>391</v>
      </c>
      <c r="B676" s="2" t="s">
        <v>992</v>
      </c>
      <c r="C676" s="4" t="s">
        <v>1081</v>
      </c>
    </row>
    <row r="677" spans="1:3" ht="20.100000000000001" customHeight="1" x14ac:dyDescent="0.25">
      <c r="A677" s="1" t="s">
        <v>392</v>
      </c>
      <c r="B677" s="2" t="s">
        <v>993</v>
      </c>
      <c r="C677" s="4" t="s">
        <v>1081</v>
      </c>
    </row>
    <row r="678" spans="1:3" ht="20.100000000000001" customHeight="1" x14ac:dyDescent="0.25">
      <c r="A678" s="1" t="s">
        <v>393</v>
      </c>
      <c r="B678" s="2" t="s">
        <v>994</v>
      </c>
      <c r="C678" s="4" t="s">
        <v>1081</v>
      </c>
    </row>
    <row r="679" spans="1:3" ht="20.100000000000001" customHeight="1" x14ac:dyDescent="0.25">
      <c r="A679" s="1" t="s">
        <v>394</v>
      </c>
      <c r="B679" s="2" t="s">
        <v>995</v>
      </c>
      <c r="C679" s="4" t="s">
        <v>1081</v>
      </c>
    </row>
    <row r="680" spans="1:3" ht="20.100000000000001" customHeight="1" x14ac:dyDescent="0.25">
      <c r="A680" s="1" t="s">
        <v>395</v>
      </c>
      <c r="B680" s="2" t="s">
        <v>996</v>
      </c>
      <c r="C680" s="4" t="s">
        <v>1081</v>
      </c>
    </row>
    <row r="681" spans="1:3" ht="20.100000000000001" customHeight="1" x14ac:dyDescent="0.25">
      <c r="A681" s="1" t="s">
        <v>396</v>
      </c>
      <c r="B681" s="2" t="s">
        <v>997</v>
      </c>
      <c r="C681" s="4" t="s">
        <v>1081</v>
      </c>
    </row>
    <row r="682" spans="1:3" ht="20.100000000000001" customHeight="1" x14ac:dyDescent="0.25">
      <c r="A682" s="1" t="s">
        <v>397</v>
      </c>
      <c r="B682" s="2" t="s">
        <v>998</v>
      </c>
      <c r="C682" s="4" t="s">
        <v>1081</v>
      </c>
    </row>
    <row r="683" spans="1:3" ht="20.100000000000001" customHeight="1" x14ac:dyDescent="0.25">
      <c r="A683" s="1" t="s">
        <v>398</v>
      </c>
      <c r="B683" s="2" t="s">
        <v>999</v>
      </c>
      <c r="C683" s="4" t="s">
        <v>1081</v>
      </c>
    </row>
    <row r="684" spans="1:3" ht="20.100000000000001" customHeight="1" x14ac:dyDescent="0.25">
      <c r="A684" s="1" t="s">
        <v>399</v>
      </c>
      <c r="B684" s="2" t="s">
        <v>1000</v>
      </c>
      <c r="C684" s="4" t="s">
        <v>1081</v>
      </c>
    </row>
    <row r="685" spans="1:3" ht="20.100000000000001" customHeight="1" x14ac:dyDescent="0.25">
      <c r="A685" s="1" t="s">
        <v>400</v>
      </c>
      <c r="B685" s="2" t="s">
        <v>1001</v>
      </c>
      <c r="C685" s="4" t="s">
        <v>1081</v>
      </c>
    </row>
    <row r="686" spans="1:3" ht="20.100000000000001" customHeight="1" x14ac:dyDescent="0.25">
      <c r="A686" s="1" t="s">
        <v>401</v>
      </c>
      <c r="B686" s="2" t="s">
        <v>1002</v>
      </c>
      <c r="C686" s="4" t="s">
        <v>1081</v>
      </c>
    </row>
    <row r="687" spans="1:3" ht="20.100000000000001" customHeight="1" x14ac:dyDescent="0.25">
      <c r="A687" s="1" t="s">
        <v>402</v>
      </c>
      <c r="B687" s="2" t="s">
        <v>1003</v>
      </c>
      <c r="C687" s="4" t="s">
        <v>1081</v>
      </c>
    </row>
    <row r="688" spans="1:3" ht="20.100000000000001" customHeight="1" x14ac:dyDescent="0.25">
      <c r="A688" s="1" t="s">
        <v>403</v>
      </c>
      <c r="B688" s="2" t="s">
        <v>1004</v>
      </c>
      <c r="C688" s="4" t="s">
        <v>1081</v>
      </c>
    </row>
    <row r="689" spans="1:3" ht="20.100000000000001" customHeight="1" x14ac:dyDescent="0.25">
      <c r="A689" s="1" t="s">
        <v>404</v>
      </c>
      <c r="B689" s="2" t="s">
        <v>1005</v>
      </c>
      <c r="C689" s="4" t="s">
        <v>1081</v>
      </c>
    </row>
    <row r="690" spans="1:3" ht="20.100000000000001" customHeight="1" x14ac:dyDescent="0.25">
      <c r="A690" s="1" t="s">
        <v>405</v>
      </c>
      <c r="B690" s="2" t="s">
        <v>1006</v>
      </c>
      <c r="C690" s="4" t="s">
        <v>1081</v>
      </c>
    </row>
    <row r="691" spans="1:3" ht="20.100000000000001" customHeight="1" x14ac:dyDescent="0.25">
      <c r="A691" s="1" t="s">
        <v>406</v>
      </c>
      <c r="B691" s="2" t="s">
        <v>1007</v>
      </c>
      <c r="C691" s="4" t="s">
        <v>1081</v>
      </c>
    </row>
    <row r="692" spans="1:3" ht="20.100000000000001" customHeight="1" x14ac:dyDescent="0.25">
      <c r="A692" s="1" t="s">
        <v>407</v>
      </c>
      <c r="B692" s="2" t="s">
        <v>1008</v>
      </c>
      <c r="C692" s="4" t="s">
        <v>1081</v>
      </c>
    </row>
    <row r="693" spans="1:3" ht="20.100000000000001" customHeight="1" x14ac:dyDescent="0.25">
      <c r="A693" s="1" t="s">
        <v>408</v>
      </c>
      <c r="B693" s="2" t="s">
        <v>1009</v>
      </c>
      <c r="C693" s="4" t="s">
        <v>1081</v>
      </c>
    </row>
    <row r="694" spans="1:3" ht="20.100000000000001" customHeight="1" x14ac:dyDescent="0.25">
      <c r="A694" s="1" t="s">
        <v>409</v>
      </c>
      <c r="B694" s="2" t="s">
        <v>1010</v>
      </c>
      <c r="C694" s="4" t="s">
        <v>1081</v>
      </c>
    </row>
    <row r="695" spans="1:3" ht="20.100000000000001" customHeight="1" x14ac:dyDescent="0.25">
      <c r="A695" s="1" t="s">
        <v>410</v>
      </c>
      <c r="B695" s="2" t="s">
        <v>1011</v>
      </c>
      <c r="C695" s="4" t="s">
        <v>1081</v>
      </c>
    </row>
    <row r="696" spans="1:3" ht="20.100000000000001" customHeight="1" x14ac:dyDescent="0.25">
      <c r="A696" s="1" t="s">
        <v>411</v>
      </c>
      <c r="B696" s="2" t="s">
        <v>1012</v>
      </c>
      <c r="C696" s="4" t="s">
        <v>1081</v>
      </c>
    </row>
    <row r="697" spans="1:3" ht="20.100000000000001" customHeight="1" x14ac:dyDescent="0.25">
      <c r="A697" s="1" t="s">
        <v>412</v>
      </c>
      <c r="B697" s="2" t="s">
        <v>1013</v>
      </c>
      <c r="C697" s="4" t="s">
        <v>1081</v>
      </c>
    </row>
    <row r="698" spans="1:3" ht="20.100000000000001" customHeight="1" x14ac:dyDescent="0.25">
      <c r="A698" s="1" t="s">
        <v>413</v>
      </c>
      <c r="B698" s="2" t="s">
        <v>1014</v>
      </c>
      <c r="C698" s="4" t="s">
        <v>1081</v>
      </c>
    </row>
    <row r="699" spans="1:3" ht="20.100000000000001" customHeight="1" x14ac:dyDescent="0.25">
      <c r="A699" s="1" t="s">
        <v>414</v>
      </c>
      <c r="B699" s="2" t="s">
        <v>1015</v>
      </c>
      <c r="C699" s="4" t="s">
        <v>1081</v>
      </c>
    </row>
    <row r="700" spans="1:3" ht="20.100000000000001" customHeight="1" x14ac:dyDescent="0.25">
      <c r="A700" s="1" t="s">
        <v>415</v>
      </c>
      <c r="B700" s="2" t="s">
        <v>1016</v>
      </c>
      <c r="C700" s="4" t="s">
        <v>1081</v>
      </c>
    </row>
    <row r="701" spans="1:3" ht="20.100000000000001" customHeight="1" x14ac:dyDescent="0.25">
      <c r="A701" s="1" t="s">
        <v>416</v>
      </c>
      <c r="B701" s="2" t="s">
        <v>1017</v>
      </c>
      <c r="C701" s="4" t="s">
        <v>1081</v>
      </c>
    </row>
    <row r="702" spans="1:3" ht="20.100000000000001" customHeight="1" x14ac:dyDescent="0.25">
      <c r="A702" s="1" t="s">
        <v>417</v>
      </c>
      <c r="B702" s="2" t="s">
        <v>1018</v>
      </c>
      <c r="C702" s="4" t="s">
        <v>1081</v>
      </c>
    </row>
    <row r="703" spans="1:3" ht="20.100000000000001" customHeight="1" x14ac:dyDescent="0.25">
      <c r="A703" s="1" t="s">
        <v>418</v>
      </c>
      <c r="B703" s="2" t="s">
        <v>1019</v>
      </c>
      <c r="C703" s="4" t="s">
        <v>1081</v>
      </c>
    </row>
    <row r="704" spans="1:3" ht="20.100000000000001" customHeight="1" x14ac:dyDescent="0.25">
      <c r="A704" s="1" t="s">
        <v>419</v>
      </c>
      <c r="B704" s="2" t="s">
        <v>1020</v>
      </c>
      <c r="C704" s="4" t="s">
        <v>1081</v>
      </c>
    </row>
    <row r="705" spans="1:3" ht="20.100000000000001" customHeight="1" x14ac:dyDescent="0.25">
      <c r="A705" s="1" t="s">
        <v>420</v>
      </c>
      <c r="B705" s="2" t="s">
        <v>1021</v>
      </c>
      <c r="C705" s="4" t="s">
        <v>1081</v>
      </c>
    </row>
    <row r="706" spans="1:3" ht="20.100000000000001" customHeight="1" x14ac:dyDescent="0.25">
      <c r="A706" s="1" t="s">
        <v>421</v>
      </c>
      <c r="B706" s="2" t="s">
        <v>1022</v>
      </c>
      <c r="C706" s="4" t="s">
        <v>1081</v>
      </c>
    </row>
    <row r="707" spans="1:3" ht="20.100000000000001" customHeight="1" x14ac:dyDescent="0.25">
      <c r="A707" s="1" t="s">
        <v>422</v>
      </c>
      <c r="B707" s="2" t="s">
        <v>1023</v>
      </c>
      <c r="C707" s="4" t="s">
        <v>1081</v>
      </c>
    </row>
    <row r="708" spans="1:3" ht="20.100000000000001" customHeight="1" x14ac:dyDescent="0.25">
      <c r="A708" s="1" t="s">
        <v>423</v>
      </c>
      <c r="B708" s="2" t="s">
        <v>1024</v>
      </c>
      <c r="C708" s="4" t="s">
        <v>1081</v>
      </c>
    </row>
    <row r="709" spans="1:3" ht="20.100000000000001" customHeight="1" x14ac:dyDescent="0.25">
      <c r="A709" s="1" t="s">
        <v>424</v>
      </c>
      <c r="B709" s="2" t="s">
        <v>1025</v>
      </c>
      <c r="C709" s="4" t="s">
        <v>1081</v>
      </c>
    </row>
    <row r="710" spans="1:3" ht="20.100000000000001" customHeight="1" x14ac:dyDescent="0.25">
      <c r="A710" s="1" t="s">
        <v>425</v>
      </c>
      <c r="B710" s="2" t="s">
        <v>1026</v>
      </c>
      <c r="C710" s="4" t="s">
        <v>1081</v>
      </c>
    </row>
    <row r="711" spans="1:3" ht="20.100000000000001" customHeight="1" x14ac:dyDescent="0.25">
      <c r="A711" s="1" t="s">
        <v>426</v>
      </c>
      <c r="B711" s="2" t="s">
        <v>1027</v>
      </c>
      <c r="C711" s="4" t="s">
        <v>1081</v>
      </c>
    </row>
    <row r="712" spans="1:3" ht="20.100000000000001" customHeight="1" x14ac:dyDescent="0.25">
      <c r="A712" s="1" t="s">
        <v>427</v>
      </c>
      <c r="B712" s="2" t="s">
        <v>1028</v>
      </c>
      <c r="C712" s="4" t="s">
        <v>1081</v>
      </c>
    </row>
    <row r="713" spans="1:3" ht="20.100000000000001" customHeight="1" x14ac:dyDescent="0.25">
      <c r="A713" s="1" t="s">
        <v>428</v>
      </c>
      <c r="B713" s="2" t="s">
        <v>1029</v>
      </c>
      <c r="C713" s="4" t="s">
        <v>1081</v>
      </c>
    </row>
    <row r="714" spans="1:3" ht="20.100000000000001" customHeight="1" x14ac:dyDescent="0.25">
      <c r="A714" s="1" t="s">
        <v>429</v>
      </c>
      <c r="B714" s="2" t="s">
        <v>1030</v>
      </c>
      <c r="C714" s="4" t="s">
        <v>1081</v>
      </c>
    </row>
    <row r="715" spans="1:3" ht="20.100000000000001" customHeight="1" x14ac:dyDescent="0.25">
      <c r="A715" s="1" t="s">
        <v>430</v>
      </c>
      <c r="B715" s="2" t="s">
        <v>1031</v>
      </c>
      <c r="C715" s="4" t="s">
        <v>1081</v>
      </c>
    </row>
    <row r="716" spans="1:3" ht="20.100000000000001" customHeight="1" x14ac:dyDescent="0.25">
      <c r="A716" s="1" t="s">
        <v>431</v>
      </c>
      <c r="B716" s="2" t="s">
        <v>1032</v>
      </c>
      <c r="C716" s="4" t="s">
        <v>1081</v>
      </c>
    </row>
    <row r="717" spans="1:3" ht="20.100000000000001" customHeight="1" x14ac:dyDescent="0.25">
      <c r="A717" s="1" t="s">
        <v>432</v>
      </c>
      <c r="B717" s="2" t="s">
        <v>1033</v>
      </c>
      <c r="C717" s="4" t="s">
        <v>1081</v>
      </c>
    </row>
    <row r="718" spans="1:3" ht="20.100000000000001" customHeight="1" x14ac:dyDescent="0.25">
      <c r="A718" s="1" t="s">
        <v>433</v>
      </c>
      <c r="B718" s="2" t="s">
        <v>1034</v>
      </c>
      <c r="C718" s="4" t="s">
        <v>1081</v>
      </c>
    </row>
    <row r="719" spans="1:3" ht="20.100000000000001" customHeight="1" x14ac:dyDescent="0.25">
      <c r="A719" s="1" t="s">
        <v>434</v>
      </c>
      <c r="B719" s="2" t="s">
        <v>1035</v>
      </c>
      <c r="C719" s="4" t="s">
        <v>1081</v>
      </c>
    </row>
    <row r="720" spans="1:3" ht="20.100000000000001" customHeight="1" x14ac:dyDescent="0.25">
      <c r="A720" s="1" t="s">
        <v>435</v>
      </c>
      <c r="B720" s="2" t="s">
        <v>1036</v>
      </c>
      <c r="C720" s="4" t="s">
        <v>1081</v>
      </c>
    </row>
    <row r="721" spans="1:3" ht="20.100000000000001" customHeight="1" x14ac:dyDescent="0.25">
      <c r="A721" s="1" t="s">
        <v>436</v>
      </c>
      <c r="B721" s="2" t="s">
        <v>1037</v>
      </c>
      <c r="C721" s="4" t="s">
        <v>1081</v>
      </c>
    </row>
    <row r="722" spans="1:3" ht="20.100000000000001" customHeight="1" x14ac:dyDescent="0.25">
      <c r="A722" s="1" t="s">
        <v>437</v>
      </c>
      <c r="B722" s="2" t="s">
        <v>1038</v>
      </c>
      <c r="C722" s="4" t="s">
        <v>1081</v>
      </c>
    </row>
    <row r="723" spans="1:3" ht="20.100000000000001" customHeight="1" x14ac:dyDescent="0.25">
      <c r="A723" s="1" t="s">
        <v>438</v>
      </c>
      <c r="B723" s="2" t="s">
        <v>1039</v>
      </c>
      <c r="C723" s="4" t="s">
        <v>1081</v>
      </c>
    </row>
    <row r="724" spans="1:3" ht="20.100000000000001" customHeight="1" x14ac:dyDescent="0.25">
      <c r="A724" s="1" t="s">
        <v>439</v>
      </c>
      <c r="B724" s="2" t="s">
        <v>1040</v>
      </c>
      <c r="C724" s="4" t="s">
        <v>1081</v>
      </c>
    </row>
    <row r="725" spans="1:3" ht="20.100000000000001" customHeight="1" x14ac:dyDescent="0.25">
      <c r="A725" s="1" t="s">
        <v>440</v>
      </c>
      <c r="B725" s="2" t="s">
        <v>1041</v>
      </c>
      <c r="C725" s="4" t="s">
        <v>1081</v>
      </c>
    </row>
    <row r="726" spans="1:3" ht="20.100000000000001" customHeight="1" x14ac:dyDescent="0.25">
      <c r="A726" s="1" t="s">
        <v>441</v>
      </c>
      <c r="B726" s="2" t="s">
        <v>1042</v>
      </c>
      <c r="C726" s="4" t="s">
        <v>1081</v>
      </c>
    </row>
    <row r="727" spans="1:3" ht="20.100000000000001" customHeight="1" x14ac:dyDescent="0.25">
      <c r="A727" s="1" t="s">
        <v>442</v>
      </c>
      <c r="B727" s="2" t="s">
        <v>1043</v>
      </c>
      <c r="C727" s="4" t="s">
        <v>1081</v>
      </c>
    </row>
    <row r="728" spans="1:3" ht="20.100000000000001" customHeight="1" x14ac:dyDescent="0.25">
      <c r="A728" s="1" t="s">
        <v>443</v>
      </c>
      <c r="B728" s="2" t="s">
        <v>1044</v>
      </c>
      <c r="C728" s="4" t="s">
        <v>1081</v>
      </c>
    </row>
    <row r="729" spans="1:3" ht="20.100000000000001" customHeight="1" x14ac:dyDescent="0.25">
      <c r="A729" s="1" t="s">
        <v>444</v>
      </c>
      <c r="B729" s="2" t="s">
        <v>1045</v>
      </c>
      <c r="C729" s="4" t="s">
        <v>1081</v>
      </c>
    </row>
    <row r="730" spans="1:3" ht="20.100000000000001" customHeight="1" x14ac:dyDescent="0.25">
      <c r="A730" s="1" t="s">
        <v>445</v>
      </c>
      <c r="B730" s="2" t="s">
        <v>1046</v>
      </c>
      <c r="C730" s="4" t="s">
        <v>1081</v>
      </c>
    </row>
    <row r="731" spans="1:3" ht="20.100000000000001" customHeight="1" x14ac:dyDescent="0.25">
      <c r="A731" s="1" t="s">
        <v>446</v>
      </c>
      <c r="B731" s="2" t="s">
        <v>1047</v>
      </c>
      <c r="C731" s="4" t="s">
        <v>1081</v>
      </c>
    </row>
    <row r="732" spans="1:3" ht="20.100000000000001" customHeight="1" x14ac:dyDescent="0.25">
      <c r="A732" s="1" t="s">
        <v>447</v>
      </c>
      <c r="B732" s="2" t="s">
        <v>1048</v>
      </c>
      <c r="C732" s="4" t="s">
        <v>1081</v>
      </c>
    </row>
    <row r="733" spans="1:3" ht="20.100000000000001" customHeight="1" x14ac:dyDescent="0.25">
      <c r="A733" s="1" t="s">
        <v>448</v>
      </c>
      <c r="B733" s="2" t="s">
        <v>1049</v>
      </c>
      <c r="C733" s="4" t="s">
        <v>1081</v>
      </c>
    </row>
    <row r="734" spans="1:3" ht="20.100000000000001" customHeight="1" x14ac:dyDescent="0.25">
      <c r="A734" s="1" t="s">
        <v>449</v>
      </c>
      <c r="B734" s="2" t="s">
        <v>1050</v>
      </c>
      <c r="C734" s="4" t="s">
        <v>1081</v>
      </c>
    </row>
    <row r="735" spans="1:3" ht="20.100000000000001" customHeight="1" x14ac:dyDescent="0.25">
      <c r="A735" s="1" t="s">
        <v>450</v>
      </c>
      <c r="B735" s="2" t="s">
        <v>1051</v>
      </c>
      <c r="C735" s="4" t="s">
        <v>1081</v>
      </c>
    </row>
    <row r="736" spans="1:3" ht="20.100000000000001" customHeight="1" x14ac:dyDescent="0.25">
      <c r="A736" s="1" t="s">
        <v>451</v>
      </c>
      <c r="B736" s="2" t="s">
        <v>1052</v>
      </c>
      <c r="C736" s="4" t="s">
        <v>1081</v>
      </c>
    </row>
    <row r="737" spans="1:3" ht="20.100000000000001" customHeight="1" x14ac:dyDescent="0.25">
      <c r="A737" s="1" t="s">
        <v>452</v>
      </c>
      <c r="B737" s="2" t="s">
        <v>1053</v>
      </c>
      <c r="C737" s="4" t="s">
        <v>1081</v>
      </c>
    </row>
    <row r="738" spans="1:3" ht="20.100000000000001" customHeight="1" x14ac:dyDescent="0.25">
      <c r="A738" s="1" t="s">
        <v>453</v>
      </c>
      <c r="B738" s="2" t="s">
        <v>1054</v>
      </c>
      <c r="C738" s="4" t="s">
        <v>1081</v>
      </c>
    </row>
    <row r="739" spans="1:3" ht="20.100000000000001" customHeight="1" x14ac:dyDescent="0.25">
      <c r="A739" s="1" t="s">
        <v>454</v>
      </c>
      <c r="B739" s="2" t="s">
        <v>1055</v>
      </c>
      <c r="C739" s="4" t="s">
        <v>1081</v>
      </c>
    </row>
    <row r="740" spans="1:3" ht="20.100000000000001" customHeight="1" x14ac:dyDescent="0.25">
      <c r="A740" s="1" t="s">
        <v>455</v>
      </c>
      <c r="B740" s="2" t="s">
        <v>1056</v>
      </c>
      <c r="C740" s="4" t="s">
        <v>1081</v>
      </c>
    </row>
    <row r="741" spans="1:3" ht="20.100000000000001" customHeight="1" x14ac:dyDescent="0.25">
      <c r="A741" s="1" t="s">
        <v>456</v>
      </c>
      <c r="B741" s="2" t="s">
        <v>1057</v>
      </c>
      <c r="C741" s="4" t="s">
        <v>1081</v>
      </c>
    </row>
    <row r="742" spans="1:3" ht="20.100000000000001" customHeight="1" x14ac:dyDescent="0.25">
      <c r="A742" s="1" t="s">
        <v>457</v>
      </c>
      <c r="B742" s="2" t="s">
        <v>1058</v>
      </c>
      <c r="C742" s="4" t="s">
        <v>1081</v>
      </c>
    </row>
    <row r="743" spans="1:3" ht="20.100000000000001" customHeight="1" x14ac:dyDescent="0.25">
      <c r="A743" s="1" t="s">
        <v>458</v>
      </c>
      <c r="B743" s="2" t="s">
        <v>1059</v>
      </c>
      <c r="C743" s="4" t="s">
        <v>1081</v>
      </c>
    </row>
    <row r="744" spans="1:3" ht="20.100000000000001" customHeight="1" x14ac:dyDescent="0.25">
      <c r="A744" s="1" t="s">
        <v>459</v>
      </c>
      <c r="B744" s="2" t="s">
        <v>1060</v>
      </c>
      <c r="C744" s="4" t="s">
        <v>1081</v>
      </c>
    </row>
    <row r="745" spans="1:3" ht="20.100000000000001" customHeight="1" x14ac:dyDescent="0.25">
      <c r="A745" s="1" t="s">
        <v>460</v>
      </c>
      <c r="B745" s="2" t="s">
        <v>1061</v>
      </c>
      <c r="C745" s="4" t="s">
        <v>1081</v>
      </c>
    </row>
    <row r="746" spans="1:3" ht="20.100000000000001" customHeight="1" x14ac:dyDescent="0.25">
      <c r="A746" s="1" t="s">
        <v>461</v>
      </c>
      <c r="B746" s="2" t="s">
        <v>1062</v>
      </c>
      <c r="C746" s="4" t="s">
        <v>1081</v>
      </c>
    </row>
    <row r="747" spans="1:3" ht="20.100000000000001" customHeight="1" x14ac:dyDescent="0.25">
      <c r="A747" s="1" t="s">
        <v>462</v>
      </c>
      <c r="B747" s="2" t="s">
        <v>1063</v>
      </c>
      <c r="C747" s="4" t="s">
        <v>1081</v>
      </c>
    </row>
    <row r="748" spans="1:3" ht="20.100000000000001" customHeight="1" x14ac:dyDescent="0.25">
      <c r="A748" s="1" t="s">
        <v>463</v>
      </c>
      <c r="B748" s="2" t="s">
        <v>1064</v>
      </c>
      <c r="C748" s="4" t="s">
        <v>1081</v>
      </c>
    </row>
    <row r="749" spans="1:3" ht="20.100000000000001" customHeight="1" x14ac:dyDescent="0.25">
      <c r="A749" s="1" t="s">
        <v>464</v>
      </c>
      <c r="B749" s="2" t="s">
        <v>1065</v>
      </c>
      <c r="C749" s="4" t="s">
        <v>1081</v>
      </c>
    </row>
    <row r="750" spans="1:3" ht="20.100000000000001" customHeight="1" x14ac:dyDescent="0.25">
      <c r="A750" s="1" t="s">
        <v>465</v>
      </c>
      <c r="B750" s="2" t="s">
        <v>1066</v>
      </c>
      <c r="C750" s="4" t="s">
        <v>1081</v>
      </c>
    </row>
    <row r="751" spans="1:3" ht="20.100000000000001" customHeight="1" x14ac:dyDescent="0.25">
      <c r="A751" s="1" t="s">
        <v>466</v>
      </c>
      <c r="B751" s="2" t="s">
        <v>1067</v>
      </c>
      <c r="C751" s="4" t="s">
        <v>1081</v>
      </c>
    </row>
    <row r="752" spans="1:3" ht="20.100000000000001" customHeight="1" x14ac:dyDescent="0.25">
      <c r="A752" s="1" t="s">
        <v>467</v>
      </c>
      <c r="B752" s="2" t="s">
        <v>1068</v>
      </c>
      <c r="C752" s="4" t="s">
        <v>1081</v>
      </c>
    </row>
    <row r="753" spans="1:3" ht="20.100000000000001" customHeight="1" x14ac:dyDescent="0.25">
      <c r="A753" s="1" t="s">
        <v>468</v>
      </c>
      <c r="B753" s="2" t="s">
        <v>1069</v>
      </c>
      <c r="C753" s="4" t="s">
        <v>1081</v>
      </c>
    </row>
    <row r="754" spans="1:3" ht="20.100000000000001" customHeight="1" x14ac:dyDescent="0.25">
      <c r="A754" s="1" t="s">
        <v>469</v>
      </c>
      <c r="B754" s="2" t="s">
        <v>1070</v>
      </c>
      <c r="C754" s="4" t="s">
        <v>1081</v>
      </c>
    </row>
    <row r="755" spans="1:3" ht="20.100000000000001" customHeight="1" x14ac:dyDescent="0.25">
      <c r="A755" s="1" t="s">
        <v>470</v>
      </c>
      <c r="B755" s="2" t="s">
        <v>1071</v>
      </c>
      <c r="C755" s="4" t="s">
        <v>1081</v>
      </c>
    </row>
    <row r="756" spans="1:3" ht="20.100000000000001" customHeight="1" x14ac:dyDescent="0.25">
      <c r="A756" s="1" t="s">
        <v>471</v>
      </c>
      <c r="B756" s="2" t="s">
        <v>1072</v>
      </c>
      <c r="C756" s="4" t="s">
        <v>1081</v>
      </c>
    </row>
    <row r="757" spans="1:3" ht="20.100000000000001" customHeight="1" x14ac:dyDescent="0.25">
      <c r="A757" s="1" t="s">
        <v>472</v>
      </c>
      <c r="B757" s="2" t="s">
        <v>1073</v>
      </c>
      <c r="C757" s="4" t="s">
        <v>1081</v>
      </c>
    </row>
    <row r="758" spans="1:3" ht="20.100000000000001" customHeight="1" x14ac:dyDescent="0.25">
      <c r="A758" s="1" t="s">
        <v>473</v>
      </c>
      <c r="B758" s="2" t="s">
        <v>1074</v>
      </c>
      <c r="C758" s="4" t="s">
        <v>1081</v>
      </c>
    </row>
    <row r="759" spans="1:3" ht="20.100000000000001" customHeight="1" x14ac:dyDescent="0.25">
      <c r="A759" s="1" t="s">
        <v>474</v>
      </c>
      <c r="B759" s="2" t="s">
        <v>1075</v>
      </c>
      <c r="C759" s="4" t="s">
        <v>1081</v>
      </c>
    </row>
    <row r="760" spans="1:3" ht="20.100000000000001" customHeight="1" x14ac:dyDescent="0.25">
      <c r="A760" s="1" t="s">
        <v>475</v>
      </c>
      <c r="B760" s="2" t="s">
        <v>1076</v>
      </c>
      <c r="C760" s="4" t="s">
        <v>1081</v>
      </c>
    </row>
    <row r="761" spans="1:3" ht="20.100000000000001" customHeight="1" x14ac:dyDescent="0.25">
      <c r="A761" s="1" t="s">
        <v>476</v>
      </c>
      <c r="B761" s="2" t="s">
        <v>1077</v>
      </c>
      <c r="C761" s="4" t="s">
        <v>1081</v>
      </c>
    </row>
    <row r="762" spans="1:3" ht="20.100000000000001" customHeight="1" x14ac:dyDescent="0.25">
      <c r="A762" s="1" t="s">
        <v>477</v>
      </c>
      <c r="B762" s="2" t="s">
        <v>1078</v>
      </c>
      <c r="C762" s="4" t="s">
        <v>1081</v>
      </c>
    </row>
    <row r="763" spans="1:3" ht="20.100000000000001" customHeight="1" x14ac:dyDescent="0.25">
      <c r="A763" s="1" t="s">
        <v>478</v>
      </c>
      <c r="B763" s="2" t="s">
        <v>1079</v>
      </c>
      <c r="C763" s="4" t="s">
        <v>1081</v>
      </c>
    </row>
    <row r="764" spans="1:3" ht="20.100000000000001" customHeight="1" x14ac:dyDescent="0.25">
      <c r="A764" s="12" t="s">
        <v>479</v>
      </c>
      <c r="B764" s="19" t="s">
        <v>1080</v>
      </c>
      <c r="C764" s="6" t="s">
        <v>1081</v>
      </c>
    </row>
    <row r="765" spans="1:3" ht="20.100000000000001" customHeight="1" x14ac:dyDescent="0.25">
      <c r="A765" s="24"/>
      <c r="B765" s="29"/>
      <c r="C765" s="30"/>
    </row>
    <row r="766" spans="1:3" ht="20.100000000000001" customHeight="1" x14ac:dyDescent="0.25">
      <c r="A766" s="15"/>
      <c r="B766" s="23"/>
      <c r="C766" s="28"/>
    </row>
    <row r="767" spans="1:3" ht="20.100000000000001" customHeight="1" x14ac:dyDescent="0.25">
      <c r="A767" s="15"/>
      <c r="B767" s="23"/>
      <c r="C767" s="28"/>
    </row>
    <row r="768" spans="1:3" ht="20.100000000000001" customHeight="1" x14ac:dyDescent="0.25">
      <c r="A768" s="15"/>
      <c r="B768" s="23"/>
      <c r="C768" s="28"/>
    </row>
    <row r="769" spans="1:3" ht="20.100000000000001" customHeight="1" x14ac:dyDescent="0.25">
      <c r="A769" s="15"/>
      <c r="B769" s="23"/>
      <c r="C769" s="28"/>
    </row>
    <row r="770" spans="1:3" ht="20.100000000000001" customHeight="1" x14ac:dyDescent="0.25">
      <c r="A770" s="15"/>
      <c r="B770" s="23"/>
      <c r="C770" s="28"/>
    </row>
    <row r="771" spans="1:3" ht="20.100000000000001" customHeight="1" x14ac:dyDescent="0.25">
      <c r="A771" s="15"/>
      <c r="B771" s="23"/>
      <c r="C771" s="28"/>
    </row>
    <row r="772" spans="1:3" ht="20.100000000000001" customHeight="1" x14ac:dyDescent="0.25">
      <c r="A772" s="15"/>
      <c r="B772" s="23"/>
      <c r="C772" s="28"/>
    </row>
    <row r="773" spans="1:3" ht="20.100000000000001" customHeight="1" x14ac:dyDescent="0.25">
      <c r="A773" s="15"/>
      <c r="B773" s="23"/>
      <c r="C773" s="28"/>
    </row>
    <row r="774" spans="1:3" ht="20.100000000000001" customHeight="1" x14ac:dyDescent="0.25">
      <c r="A774" s="15"/>
      <c r="B774" s="23"/>
      <c r="C774" s="28"/>
    </row>
    <row r="775" spans="1:3" ht="20.100000000000001" customHeight="1" x14ac:dyDescent="0.25">
      <c r="A775" s="15"/>
      <c r="B775" s="23"/>
      <c r="C775" s="28"/>
    </row>
    <row r="776" spans="1:3" ht="20.100000000000001" customHeight="1" x14ac:dyDescent="0.25">
      <c r="A776" s="15"/>
      <c r="B776" s="23"/>
      <c r="C776" s="28"/>
    </row>
    <row r="777" spans="1:3" ht="20.100000000000001" customHeight="1" x14ac:dyDescent="0.25">
      <c r="A777" s="15"/>
      <c r="B777" s="23"/>
      <c r="C777" s="28"/>
    </row>
    <row r="778" spans="1:3" ht="20.100000000000001" customHeight="1" x14ac:dyDescent="0.25">
      <c r="A778" s="15"/>
      <c r="B778" s="23"/>
      <c r="C778" s="28"/>
    </row>
    <row r="779" spans="1:3" ht="20.100000000000001" customHeight="1" x14ac:dyDescent="0.25">
      <c r="A779" s="15"/>
      <c r="B779" s="23"/>
      <c r="C779" s="28"/>
    </row>
    <row r="780" spans="1:3" ht="20.100000000000001" customHeight="1" x14ac:dyDescent="0.25">
      <c r="A780" s="15"/>
      <c r="B780" s="23"/>
      <c r="C780" s="28"/>
    </row>
    <row r="781" spans="1:3" ht="30" customHeight="1" x14ac:dyDescent="0.25">
      <c r="A781" s="9" t="s">
        <v>1</v>
      </c>
      <c r="B781" s="10" t="s">
        <v>2</v>
      </c>
      <c r="C781" s="10" t="s">
        <v>3</v>
      </c>
    </row>
    <row r="782" spans="1:3" ht="20.100000000000001" customHeight="1" x14ac:dyDescent="0.25">
      <c r="A782" s="1" t="s">
        <v>480</v>
      </c>
      <c r="B782" s="2" t="s">
        <v>1082</v>
      </c>
      <c r="C782" s="4" t="s">
        <v>1182</v>
      </c>
    </row>
    <row r="783" spans="1:3" ht="20.100000000000001" customHeight="1" x14ac:dyDescent="0.25">
      <c r="A783" s="1" t="s">
        <v>481</v>
      </c>
      <c r="B783" s="2" t="s">
        <v>1083</v>
      </c>
      <c r="C783" s="4" t="s">
        <v>1182</v>
      </c>
    </row>
    <row r="784" spans="1:3" ht="20.100000000000001" customHeight="1" x14ac:dyDescent="0.25">
      <c r="A784" s="1" t="s">
        <v>482</v>
      </c>
      <c r="B784" s="2" t="s">
        <v>1084</v>
      </c>
      <c r="C784" s="4" t="s">
        <v>1182</v>
      </c>
    </row>
    <row r="785" spans="1:3" ht="20.100000000000001" customHeight="1" x14ac:dyDescent="0.25">
      <c r="A785" s="1" t="s">
        <v>483</v>
      </c>
      <c r="B785" s="2" t="s">
        <v>1085</v>
      </c>
      <c r="C785" s="4" t="s">
        <v>1182</v>
      </c>
    </row>
    <row r="786" spans="1:3" ht="20.100000000000001" customHeight="1" x14ac:dyDescent="0.25">
      <c r="A786" s="1" t="s">
        <v>484</v>
      </c>
      <c r="B786" s="2" t="s">
        <v>1086</v>
      </c>
      <c r="C786" s="4" t="s">
        <v>1182</v>
      </c>
    </row>
    <row r="787" spans="1:3" ht="20.100000000000001" customHeight="1" x14ac:dyDescent="0.25">
      <c r="A787" s="1" t="s">
        <v>485</v>
      </c>
      <c r="B787" s="2" t="s">
        <v>1087</v>
      </c>
      <c r="C787" s="4" t="s">
        <v>1182</v>
      </c>
    </row>
    <row r="788" spans="1:3" ht="20.100000000000001" customHeight="1" x14ac:dyDescent="0.25">
      <c r="A788" s="1" t="s">
        <v>486</v>
      </c>
      <c r="B788" s="2" t="s">
        <v>1088</v>
      </c>
      <c r="C788" s="4" t="s">
        <v>1182</v>
      </c>
    </row>
    <row r="789" spans="1:3" ht="20.100000000000001" customHeight="1" x14ac:dyDescent="0.25">
      <c r="A789" s="1" t="s">
        <v>487</v>
      </c>
      <c r="B789" s="2" t="s">
        <v>1089</v>
      </c>
      <c r="C789" s="4" t="s">
        <v>1182</v>
      </c>
    </row>
    <row r="790" spans="1:3" ht="20.100000000000001" customHeight="1" x14ac:dyDescent="0.25">
      <c r="A790" s="1" t="s">
        <v>488</v>
      </c>
      <c r="B790" s="2" t="s">
        <v>1090</v>
      </c>
      <c r="C790" s="4" t="s">
        <v>1182</v>
      </c>
    </row>
    <row r="791" spans="1:3" ht="20.100000000000001" customHeight="1" x14ac:dyDescent="0.25">
      <c r="A791" s="1" t="s">
        <v>489</v>
      </c>
      <c r="B791" s="2" t="s">
        <v>1091</v>
      </c>
      <c r="C791" s="4" t="s">
        <v>1182</v>
      </c>
    </row>
    <row r="792" spans="1:3" ht="20.100000000000001" customHeight="1" x14ac:dyDescent="0.25">
      <c r="A792" s="1" t="s">
        <v>490</v>
      </c>
      <c r="B792" s="2" t="s">
        <v>1092</v>
      </c>
      <c r="C792" s="4" t="s">
        <v>1182</v>
      </c>
    </row>
    <row r="793" spans="1:3" ht="20.100000000000001" customHeight="1" x14ac:dyDescent="0.25">
      <c r="A793" s="1" t="s">
        <v>491</v>
      </c>
      <c r="B793" s="2" t="s">
        <v>1093</v>
      </c>
      <c r="C793" s="4" t="s">
        <v>1182</v>
      </c>
    </row>
    <row r="794" spans="1:3" ht="20.100000000000001" customHeight="1" x14ac:dyDescent="0.25">
      <c r="A794" s="1" t="s">
        <v>492</v>
      </c>
      <c r="B794" s="2" t="s">
        <v>1094</v>
      </c>
      <c r="C794" s="4" t="s">
        <v>1182</v>
      </c>
    </row>
    <row r="795" spans="1:3" ht="20.100000000000001" customHeight="1" x14ac:dyDescent="0.25">
      <c r="A795" s="1" t="s">
        <v>493</v>
      </c>
      <c r="B795" s="2" t="s">
        <v>1095</v>
      </c>
      <c r="C795" s="4" t="s">
        <v>1182</v>
      </c>
    </row>
    <row r="796" spans="1:3" ht="20.100000000000001" customHeight="1" x14ac:dyDescent="0.25">
      <c r="A796" s="1" t="s">
        <v>494</v>
      </c>
      <c r="B796" s="2" t="s">
        <v>1096</v>
      </c>
      <c r="C796" s="4" t="s">
        <v>1182</v>
      </c>
    </row>
    <row r="797" spans="1:3" ht="20.100000000000001" customHeight="1" x14ac:dyDescent="0.25">
      <c r="A797" s="1" t="s">
        <v>495</v>
      </c>
      <c r="B797" s="2" t="s">
        <v>1097</v>
      </c>
      <c r="C797" s="4" t="s">
        <v>1182</v>
      </c>
    </row>
    <row r="798" spans="1:3" ht="20.100000000000001" customHeight="1" x14ac:dyDescent="0.25">
      <c r="A798" s="1" t="s">
        <v>496</v>
      </c>
      <c r="B798" s="2" t="s">
        <v>1098</v>
      </c>
      <c r="C798" s="4" t="s">
        <v>1182</v>
      </c>
    </row>
    <row r="799" spans="1:3" ht="20.100000000000001" customHeight="1" x14ac:dyDescent="0.25">
      <c r="A799" s="1" t="s">
        <v>497</v>
      </c>
      <c r="B799" s="2" t="s">
        <v>1099</v>
      </c>
      <c r="C799" s="4" t="s">
        <v>1182</v>
      </c>
    </row>
    <row r="800" spans="1:3" ht="20.100000000000001" customHeight="1" x14ac:dyDescent="0.25">
      <c r="A800" s="1" t="s">
        <v>498</v>
      </c>
      <c r="B800" s="2" t="s">
        <v>1100</v>
      </c>
      <c r="C800" s="4" t="s">
        <v>1182</v>
      </c>
    </row>
    <row r="801" spans="1:3" ht="20.100000000000001" customHeight="1" x14ac:dyDescent="0.25">
      <c r="A801" s="1" t="s">
        <v>499</v>
      </c>
      <c r="B801" s="2" t="s">
        <v>1101</v>
      </c>
      <c r="C801" s="4" t="s">
        <v>1182</v>
      </c>
    </row>
    <row r="802" spans="1:3" ht="20.100000000000001" customHeight="1" x14ac:dyDescent="0.25">
      <c r="A802" s="1" t="s">
        <v>500</v>
      </c>
      <c r="B802" s="2" t="s">
        <v>1102</v>
      </c>
      <c r="C802" s="4" t="s">
        <v>1182</v>
      </c>
    </row>
    <row r="803" spans="1:3" ht="20.100000000000001" customHeight="1" x14ac:dyDescent="0.25">
      <c r="A803" s="1" t="s">
        <v>501</v>
      </c>
      <c r="B803" s="2" t="s">
        <v>1103</v>
      </c>
      <c r="C803" s="4" t="s">
        <v>1182</v>
      </c>
    </row>
    <row r="804" spans="1:3" ht="20.100000000000001" customHeight="1" x14ac:dyDescent="0.25">
      <c r="A804" s="1" t="s">
        <v>502</v>
      </c>
      <c r="B804" s="2" t="s">
        <v>1104</v>
      </c>
      <c r="C804" s="4" t="s">
        <v>1182</v>
      </c>
    </row>
    <row r="805" spans="1:3" ht="20.100000000000001" customHeight="1" x14ac:dyDescent="0.25">
      <c r="A805" s="1" t="s">
        <v>503</v>
      </c>
      <c r="B805" s="2" t="s">
        <v>1105</v>
      </c>
      <c r="C805" s="4" t="s">
        <v>1182</v>
      </c>
    </row>
    <row r="806" spans="1:3" ht="20.100000000000001" customHeight="1" x14ac:dyDescent="0.25">
      <c r="A806" s="1" t="s">
        <v>504</v>
      </c>
      <c r="B806" s="2" t="s">
        <v>1106</v>
      </c>
      <c r="C806" s="4" t="s">
        <v>1182</v>
      </c>
    </row>
    <row r="807" spans="1:3" ht="20.100000000000001" customHeight="1" x14ac:dyDescent="0.25">
      <c r="A807" s="1" t="s">
        <v>505</v>
      </c>
      <c r="B807" s="2" t="s">
        <v>1107</v>
      </c>
      <c r="C807" s="4" t="s">
        <v>1182</v>
      </c>
    </row>
    <row r="808" spans="1:3" ht="20.100000000000001" customHeight="1" x14ac:dyDescent="0.25">
      <c r="A808" s="1" t="s">
        <v>506</v>
      </c>
      <c r="B808" s="2" t="s">
        <v>1108</v>
      </c>
      <c r="C808" s="4" t="s">
        <v>1182</v>
      </c>
    </row>
    <row r="809" spans="1:3" ht="20.100000000000001" customHeight="1" x14ac:dyDescent="0.25">
      <c r="A809" s="1" t="s">
        <v>507</v>
      </c>
      <c r="B809" s="2" t="s">
        <v>1109</v>
      </c>
      <c r="C809" s="4" t="s">
        <v>1182</v>
      </c>
    </row>
    <row r="810" spans="1:3" ht="20.100000000000001" customHeight="1" x14ac:dyDescent="0.25">
      <c r="A810" s="1" t="s">
        <v>508</v>
      </c>
      <c r="B810" s="2" t="s">
        <v>1110</v>
      </c>
      <c r="C810" s="4" t="s">
        <v>1182</v>
      </c>
    </row>
    <row r="811" spans="1:3" ht="20.100000000000001" customHeight="1" x14ac:dyDescent="0.25">
      <c r="A811" s="1" t="s">
        <v>509</v>
      </c>
      <c r="B811" s="2" t="s">
        <v>1111</v>
      </c>
      <c r="C811" s="4" t="s">
        <v>1182</v>
      </c>
    </row>
    <row r="812" spans="1:3" ht="20.100000000000001" customHeight="1" x14ac:dyDescent="0.25">
      <c r="A812" s="1" t="s">
        <v>510</v>
      </c>
      <c r="B812" s="2" t="s">
        <v>1112</v>
      </c>
      <c r="C812" s="4" t="s">
        <v>1182</v>
      </c>
    </row>
    <row r="813" spans="1:3" ht="20.100000000000001" customHeight="1" x14ac:dyDescent="0.25">
      <c r="A813" s="1" t="s">
        <v>511</v>
      </c>
      <c r="B813" s="2" t="s">
        <v>1113</v>
      </c>
      <c r="C813" s="4" t="s">
        <v>1182</v>
      </c>
    </row>
    <row r="814" spans="1:3" ht="20.100000000000001" customHeight="1" x14ac:dyDescent="0.25">
      <c r="A814" s="1" t="s">
        <v>512</v>
      </c>
      <c r="B814" s="2" t="s">
        <v>1114</v>
      </c>
      <c r="C814" s="4" t="s">
        <v>1182</v>
      </c>
    </row>
    <row r="815" spans="1:3" ht="20.100000000000001" customHeight="1" x14ac:dyDescent="0.25">
      <c r="A815" s="1" t="s">
        <v>513</v>
      </c>
      <c r="B815" s="2" t="s">
        <v>1115</v>
      </c>
      <c r="C815" s="4" t="s">
        <v>1182</v>
      </c>
    </row>
    <row r="816" spans="1:3" ht="20.100000000000001" customHeight="1" x14ac:dyDescent="0.25">
      <c r="A816" s="1" t="s">
        <v>514</v>
      </c>
      <c r="B816" s="2" t="s">
        <v>1116</v>
      </c>
      <c r="C816" s="4" t="s">
        <v>1182</v>
      </c>
    </row>
    <row r="817" spans="1:3" ht="20.100000000000001" customHeight="1" x14ac:dyDescent="0.25">
      <c r="A817" s="1" t="s">
        <v>515</v>
      </c>
      <c r="B817" s="2" t="s">
        <v>1117</v>
      </c>
      <c r="C817" s="4" t="s">
        <v>1182</v>
      </c>
    </row>
    <row r="818" spans="1:3" ht="20.100000000000001" customHeight="1" x14ac:dyDescent="0.25">
      <c r="A818" s="1" t="s">
        <v>516</v>
      </c>
      <c r="B818" s="2" t="s">
        <v>1118</v>
      </c>
      <c r="C818" s="4" t="s">
        <v>1182</v>
      </c>
    </row>
    <row r="819" spans="1:3" ht="20.100000000000001" customHeight="1" x14ac:dyDescent="0.25">
      <c r="A819" s="1" t="s">
        <v>517</v>
      </c>
      <c r="B819" s="2" t="s">
        <v>1119</v>
      </c>
      <c r="C819" s="4" t="s">
        <v>1182</v>
      </c>
    </row>
    <row r="820" spans="1:3" ht="20.100000000000001" customHeight="1" x14ac:dyDescent="0.25">
      <c r="A820" s="1" t="s">
        <v>518</v>
      </c>
      <c r="B820" s="2" t="s">
        <v>1120</v>
      </c>
      <c r="C820" s="4" t="s">
        <v>1182</v>
      </c>
    </row>
    <row r="821" spans="1:3" ht="20.100000000000001" customHeight="1" x14ac:dyDescent="0.25">
      <c r="A821" s="1" t="s">
        <v>519</v>
      </c>
      <c r="B821" s="2" t="s">
        <v>1121</v>
      </c>
      <c r="C821" s="4" t="s">
        <v>1182</v>
      </c>
    </row>
    <row r="822" spans="1:3" ht="20.100000000000001" customHeight="1" x14ac:dyDescent="0.25">
      <c r="A822" s="1" t="s">
        <v>520</v>
      </c>
      <c r="B822" s="2" t="s">
        <v>1122</v>
      </c>
      <c r="C822" s="4" t="s">
        <v>1182</v>
      </c>
    </row>
    <row r="823" spans="1:3" ht="20.100000000000001" customHeight="1" x14ac:dyDescent="0.25">
      <c r="A823" s="1" t="s">
        <v>521</v>
      </c>
      <c r="B823" s="2" t="s">
        <v>1123</v>
      </c>
      <c r="C823" s="4" t="s">
        <v>1182</v>
      </c>
    </row>
    <row r="824" spans="1:3" ht="20.100000000000001" customHeight="1" x14ac:dyDescent="0.25">
      <c r="A824" s="1" t="s">
        <v>522</v>
      </c>
      <c r="B824" s="2" t="s">
        <v>1124</v>
      </c>
      <c r="C824" s="4" t="s">
        <v>1182</v>
      </c>
    </row>
    <row r="825" spans="1:3" ht="20.100000000000001" customHeight="1" x14ac:dyDescent="0.25">
      <c r="A825" s="1" t="s">
        <v>523</v>
      </c>
      <c r="B825" s="2" t="s">
        <v>1125</v>
      </c>
      <c r="C825" s="4" t="s">
        <v>1182</v>
      </c>
    </row>
    <row r="826" spans="1:3" ht="20.100000000000001" customHeight="1" x14ac:dyDescent="0.25">
      <c r="A826" s="1" t="s">
        <v>524</v>
      </c>
      <c r="B826" s="2" t="s">
        <v>1126</v>
      </c>
      <c r="C826" s="4" t="s">
        <v>1182</v>
      </c>
    </row>
    <row r="827" spans="1:3" ht="20.100000000000001" customHeight="1" x14ac:dyDescent="0.25">
      <c r="A827" s="1" t="s">
        <v>525</v>
      </c>
      <c r="B827" s="2" t="s">
        <v>1127</v>
      </c>
      <c r="C827" s="4" t="s">
        <v>1182</v>
      </c>
    </row>
    <row r="828" spans="1:3" ht="20.100000000000001" customHeight="1" x14ac:dyDescent="0.25">
      <c r="A828" s="1" t="s">
        <v>526</v>
      </c>
      <c r="B828" s="2" t="s">
        <v>1128</v>
      </c>
      <c r="C828" s="4" t="s">
        <v>1182</v>
      </c>
    </row>
    <row r="829" spans="1:3" ht="20.100000000000001" customHeight="1" x14ac:dyDescent="0.25">
      <c r="A829" s="1" t="s">
        <v>527</v>
      </c>
      <c r="B829" s="2" t="s">
        <v>1129</v>
      </c>
      <c r="C829" s="4" t="s">
        <v>1182</v>
      </c>
    </row>
    <row r="830" spans="1:3" ht="20.100000000000001" customHeight="1" x14ac:dyDescent="0.25">
      <c r="A830" s="1" t="s">
        <v>528</v>
      </c>
      <c r="B830" s="2" t="s">
        <v>1130</v>
      </c>
      <c r="C830" s="4" t="s">
        <v>1182</v>
      </c>
    </row>
    <row r="831" spans="1:3" ht="20.100000000000001" customHeight="1" x14ac:dyDescent="0.25">
      <c r="A831" s="1" t="s">
        <v>529</v>
      </c>
      <c r="B831" s="2" t="s">
        <v>1131</v>
      </c>
      <c r="C831" s="4" t="s">
        <v>1182</v>
      </c>
    </row>
    <row r="832" spans="1:3" ht="20.100000000000001" customHeight="1" x14ac:dyDescent="0.25">
      <c r="A832" s="1" t="s">
        <v>530</v>
      </c>
      <c r="B832" s="2" t="s">
        <v>1132</v>
      </c>
      <c r="C832" s="4" t="s">
        <v>1182</v>
      </c>
    </row>
    <row r="833" spans="1:3" ht="20.100000000000001" customHeight="1" x14ac:dyDescent="0.25">
      <c r="A833" s="1" t="s">
        <v>531</v>
      </c>
      <c r="B833" s="2" t="s">
        <v>1133</v>
      </c>
      <c r="C833" s="4" t="s">
        <v>1182</v>
      </c>
    </row>
    <row r="834" spans="1:3" ht="20.100000000000001" customHeight="1" x14ac:dyDescent="0.25">
      <c r="A834" s="1" t="s">
        <v>532</v>
      </c>
      <c r="B834" s="2" t="s">
        <v>1134</v>
      </c>
      <c r="C834" s="4" t="s">
        <v>1182</v>
      </c>
    </row>
    <row r="835" spans="1:3" ht="20.100000000000001" customHeight="1" x14ac:dyDescent="0.25">
      <c r="A835" s="1" t="s">
        <v>533</v>
      </c>
      <c r="B835" s="2" t="s">
        <v>1135</v>
      </c>
      <c r="C835" s="4" t="s">
        <v>1182</v>
      </c>
    </row>
    <row r="836" spans="1:3" ht="20.100000000000001" customHeight="1" x14ac:dyDescent="0.25">
      <c r="A836" s="1" t="s">
        <v>534</v>
      </c>
      <c r="B836" s="2" t="s">
        <v>1136</v>
      </c>
      <c r="C836" s="4" t="s">
        <v>1182</v>
      </c>
    </row>
    <row r="837" spans="1:3" ht="20.100000000000001" customHeight="1" x14ac:dyDescent="0.25">
      <c r="A837" s="1" t="s">
        <v>535</v>
      </c>
      <c r="B837" s="2" t="s">
        <v>1137</v>
      </c>
      <c r="C837" s="4" t="s">
        <v>1182</v>
      </c>
    </row>
    <row r="838" spans="1:3" ht="20.100000000000001" customHeight="1" x14ac:dyDescent="0.25">
      <c r="A838" s="1" t="s">
        <v>536</v>
      </c>
      <c r="B838" s="2" t="s">
        <v>1138</v>
      </c>
      <c r="C838" s="4" t="s">
        <v>1182</v>
      </c>
    </row>
    <row r="839" spans="1:3" ht="20.100000000000001" customHeight="1" x14ac:dyDescent="0.25">
      <c r="A839" s="1" t="s">
        <v>537</v>
      </c>
      <c r="B839" s="2" t="s">
        <v>1139</v>
      </c>
      <c r="C839" s="4" t="s">
        <v>1182</v>
      </c>
    </row>
    <row r="840" spans="1:3" ht="20.100000000000001" customHeight="1" x14ac:dyDescent="0.25">
      <c r="A840" s="1" t="s">
        <v>538</v>
      </c>
      <c r="B840" s="2" t="s">
        <v>1140</v>
      </c>
      <c r="C840" s="4" t="s">
        <v>1182</v>
      </c>
    </row>
    <row r="841" spans="1:3" ht="20.100000000000001" customHeight="1" x14ac:dyDescent="0.25">
      <c r="A841" s="1" t="s">
        <v>539</v>
      </c>
      <c r="B841" s="2" t="s">
        <v>1141</v>
      </c>
      <c r="C841" s="4" t="s">
        <v>1182</v>
      </c>
    </row>
    <row r="842" spans="1:3" ht="20.100000000000001" customHeight="1" x14ac:dyDescent="0.25">
      <c r="A842" s="1" t="s">
        <v>540</v>
      </c>
      <c r="B842" s="2" t="s">
        <v>1142</v>
      </c>
      <c r="C842" s="4" t="s">
        <v>1182</v>
      </c>
    </row>
    <row r="843" spans="1:3" ht="20.100000000000001" customHeight="1" x14ac:dyDescent="0.25">
      <c r="A843" s="1" t="s">
        <v>541</v>
      </c>
      <c r="B843" s="2" t="s">
        <v>1143</v>
      </c>
      <c r="C843" s="4" t="s">
        <v>1182</v>
      </c>
    </row>
    <row r="844" spans="1:3" ht="20.100000000000001" customHeight="1" x14ac:dyDescent="0.25">
      <c r="A844" s="1" t="s">
        <v>542</v>
      </c>
      <c r="B844" s="2" t="s">
        <v>1144</v>
      </c>
      <c r="C844" s="4" t="s">
        <v>1182</v>
      </c>
    </row>
    <row r="845" spans="1:3" ht="20.100000000000001" customHeight="1" x14ac:dyDescent="0.25">
      <c r="A845" s="1" t="s">
        <v>543</v>
      </c>
      <c r="B845" s="2" t="s">
        <v>1145</v>
      </c>
      <c r="C845" s="4" t="s">
        <v>1182</v>
      </c>
    </row>
    <row r="846" spans="1:3" ht="20.100000000000001" customHeight="1" x14ac:dyDescent="0.25">
      <c r="A846" s="1" t="s">
        <v>544</v>
      </c>
      <c r="B846" s="2" t="s">
        <v>1146</v>
      </c>
      <c r="C846" s="4" t="s">
        <v>1182</v>
      </c>
    </row>
    <row r="847" spans="1:3" ht="20.100000000000001" customHeight="1" x14ac:dyDescent="0.25">
      <c r="A847" s="1" t="s">
        <v>545</v>
      </c>
      <c r="B847" s="2" t="s">
        <v>1147</v>
      </c>
      <c r="C847" s="4" t="s">
        <v>1182</v>
      </c>
    </row>
    <row r="848" spans="1:3" ht="20.100000000000001" customHeight="1" x14ac:dyDescent="0.25">
      <c r="A848" s="1" t="s">
        <v>546</v>
      </c>
      <c r="B848" s="2" t="s">
        <v>1148</v>
      </c>
      <c r="C848" s="4" t="s">
        <v>1182</v>
      </c>
    </row>
    <row r="849" spans="1:3" ht="20.100000000000001" customHeight="1" x14ac:dyDescent="0.25">
      <c r="A849" s="1" t="s">
        <v>547</v>
      </c>
      <c r="B849" s="2" t="s">
        <v>1149</v>
      </c>
      <c r="C849" s="4" t="s">
        <v>1182</v>
      </c>
    </row>
    <row r="850" spans="1:3" ht="20.100000000000001" customHeight="1" x14ac:dyDescent="0.25">
      <c r="A850" s="1" t="s">
        <v>548</v>
      </c>
      <c r="B850" s="2" t="s">
        <v>1150</v>
      </c>
      <c r="C850" s="4" t="s">
        <v>1182</v>
      </c>
    </row>
    <row r="851" spans="1:3" ht="20.100000000000001" customHeight="1" x14ac:dyDescent="0.25">
      <c r="A851" s="1" t="s">
        <v>549</v>
      </c>
      <c r="B851" s="2" t="s">
        <v>1151</v>
      </c>
      <c r="C851" s="4" t="s">
        <v>1182</v>
      </c>
    </row>
    <row r="852" spans="1:3" ht="20.100000000000001" customHeight="1" x14ac:dyDescent="0.25">
      <c r="A852" s="1" t="s">
        <v>550</v>
      </c>
      <c r="B852" s="2" t="s">
        <v>1152</v>
      </c>
      <c r="C852" s="4" t="s">
        <v>1182</v>
      </c>
    </row>
    <row r="853" spans="1:3" ht="20.100000000000001" customHeight="1" x14ac:dyDescent="0.25">
      <c r="A853" s="1" t="s">
        <v>551</v>
      </c>
      <c r="B853" s="2" t="s">
        <v>1153</v>
      </c>
      <c r="C853" s="4" t="s">
        <v>1182</v>
      </c>
    </row>
    <row r="854" spans="1:3" ht="20.100000000000001" customHeight="1" x14ac:dyDescent="0.25">
      <c r="A854" s="1" t="s">
        <v>552</v>
      </c>
      <c r="B854" s="2" t="s">
        <v>1154</v>
      </c>
      <c r="C854" s="4" t="s">
        <v>1182</v>
      </c>
    </row>
    <row r="855" spans="1:3" ht="20.100000000000001" customHeight="1" x14ac:dyDescent="0.25">
      <c r="A855" s="1" t="s">
        <v>553</v>
      </c>
      <c r="B855" s="2" t="s">
        <v>1155</v>
      </c>
      <c r="C855" s="4" t="s">
        <v>1182</v>
      </c>
    </row>
    <row r="856" spans="1:3" ht="20.100000000000001" customHeight="1" x14ac:dyDescent="0.25">
      <c r="A856" s="1" t="s">
        <v>554</v>
      </c>
      <c r="B856" s="2" t="s">
        <v>1156</v>
      </c>
      <c r="C856" s="4" t="s">
        <v>1182</v>
      </c>
    </row>
    <row r="857" spans="1:3" ht="20.100000000000001" customHeight="1" x14ac:dyDescent="0.25">
      <c r="A857" s="1" t="s">
        <v>555</v>
      </c>
      <c r="B857" s="2" t="s">
        <v>1157</v>
      </c>
      <c r="C857" s="4" t="s">
        <v>1182</v>
      </c>
    </row>
    <row r="858" spans="1:3" ht="20.100000000000001" customHeight="1" x14ac:dyDescent="0.25">
      <c r="A858" s="1" t="s">
        <v>556</v>
      </c>
      <c r="B858" s="2" t="s">
        <v>1158</v>
      </c>
      <c r="C858" s="4" t="s">
        <v>1182</v>
      </c>
    </row>
    <row r="859" spans="1:3" ht="20.100000000000001" customHeight="1" x14ac:dyDescent="0.25">
      <c r="A859" s="1" t="s">
        <v>557</v>
      </c>
      <c r="B859" s="2" t="s">
        <v>1159</v>
      </c>
      <c r="C859" s="4" t="s">
        <v>1182</v>
      </c>
    </row>
    <row r="860" spans="1:3" ht="20.100000000000001" customHeight="1" x14ac:dyDescent="0.25">
      <c r="A860" s="1" t="s">
        <v>558</v>
      </c>
      <c r="B860" s="2" t="s">
        <v>1160</v>
      </c>
      <c r="C860" s="4" t="s">
        <v>1182</v>
      </c>
    </row>
    <row r="861" spans="1:3" ht="20.100000000000001" customHeight="1" x14ac:dyDescent="0.25">
      <c r="A861" s="1" t="s">
        <v>559</v>
      </c>
      <c r="B861" s="2" t="s">
        <v>1161</v>
      </c>
      <c r="C861" s="4" t="s">
        <v>1182</v>
      </c>
    </row>
    <row r="862" spans="1:3" ht="20.100000000000001" customHeight="1" x14ac:dyDescent="0.25">
      <c r="A862" s="1" t="s">
        <v>560</v>
      </c>
      <c r="B862" s="2" t="s">
        <v>1162</v>
      </c>
      <c r="C862" s="4" t="s">
        <v>1182</v>
      </c>
    </row>
    <row r="863" spans="1:3" ht="20.100000000000001" customHeight="1" x14ac:dyDescent="0.25">
      <c r="A863" s="1" t="s">
        <v>561</v>
      </c>
      <c r="B863" s="2" t="s">
        <v>1163</v>
      </c>
      <c r="C863" s="4" t="s">
        <v>1182</v>
      </c>
    </row>
    <row r="864" spans="1:3" ht="20.100000000000001" customHeight="1" x14ac:dyDescent="0.25">
      <c r="A864" s="1" t="s">
        <v>562</v>
      </c>
      <c r="B864" s="2" t="s">
        <v>1164</v>
      </c>
      <c r="C864" s="4" t="s">
        <v>1182</v>
      </c>
    </row>
    <row r="865" spans="1:3" ht="20.100000000000001" customHeight="1" x14ac:dyDescent="0.25">
      <c r="A865" s="1" t="s">
        <v>563</v>
      </c>
      <c r="B865" s="2" t="s">
        <v>1165</v>
      </c>
      <c r="C865" s="4" t="s">
        <v>1182</v>
      </c>
    </row>
    <row r="866" spans="1:3" ht="20.100000000000001" customHeight="1" x14ac:dyDescent="0.25">
      <c r="A866" s="1" t="s">
        <v>564</v>
      </c>
      <c r="B866" s="2" t="s">
        <v>1166</v>
      </c>
      <c r="C866" s="4" t="s">
        <v>1182</v>
      </c>
    </row>
    <row r="867" spans="1:3" ht="20.100000000000001" customHeight="1" x14ac:dyDescent="0.25">
      <c r="A867" s="1" t="s">
        <v>565</v>
      </c>
      <c r="B867" s="2" t="s">
        <v>1167</v>
      </c>
      <c r="C867" s="4" t="s">
        <v>1182</v>
      </c>
    </row>
    <row r="868" spans="1:3" ht="20.100000000000001" customHeight="1" x14ac:dyDescent="0.25">
      <c r="A868" s="1" t="s">
        <v>566</v>
      </c>
      <c r="B868" s="2" t="s">
        <v>1168</v>
      </c>
      <c r="C868" s="4" t="s">
        <v>1182</v>
      </c>
    </row>
    <row r="869" spans="1:3" ht="20.100000000000001" customHeight="1" x14ac:dyDescent="0.25">
      <c r="A869" s="1" t="s">
        <v>567</v>
      </c>
      <c r="B869" s="2" t="s">
        <v>1169</v>
      </c>
      <c r="C869" s="4" t="s">
        <v>1182</v>
      </c>
    </row>
    <row r="870" spans="1:3" ht="20.100000000000001" customHeight="1" x14ac:dyDescent="0.25">
      <c r="A870" s="1" t="s">
        <v>568</v>
      </c>
      <c r="B870" s="2" t="s">
        <v>1170</v>
      </c>
      <c r="C870" s="4" t="s">
        <v>1182</v>
      </c>
    </row>
    <row r="871" spans="1:3" ht="20.100000000000001" customHeight="1" x14ac:dyDescent="0.25">
      <c r="A871" s="1" t="s">
        <v>569</v>
      </c>
      <c r="B871" s="2" t="s">
        <v>1171</v>
      </c>
      <c r="C871" s="4" t="s">
        <v>1182</v>
      </c>
    </row>
    <row r="872" spans="1:3" ht="20.100000000000001" customHeight="1" x14ac:dyDescent="0.25">
      <c r="A872" s="1" t="s">
        <v>570</v>
      </c>
      <c r="B872" s="2" t="s">
        <v>1172</v>
      </c>
      <c r="C872" s="4" t="s">
        <v>1182</v>
      </c>
    </row>
    <row r="873" spans="1:3" ht="20.100000000000001" customHeight="1" x14ac:dyDescent="0.25">
      <c r="A873" s="1" t="s">
        <v>571</v>
      </c>
      <c r="B873" s="2" t="s">
        <v>1173</v>
      </c>
      <c r="C873" s="4" t="s">
        <v>1182</v>
      </c>
    </row>
    <row r="874" spans="1:3" ht="20.100000000000001" customHeight="1" x14ac:dyDescent="0.25">
      <c r="A874" s="1" t="s">
        <v>572</v>
      </c>
      <c r="B874" s="2" t="s">
        <v>1174</v>
      </c>
      <c r="C874" s="4" t="s">
        <v>1182</v>
      </c>
    </row>
    <row r="875" spans="1:3" ht="20.100000000000001" customHeight="1" x14ac:dyDescent="0.25">
      <c r="A875" s="1" t="s">
        <v>573</v>
      </c>
      <c r="B875" s="2" t="s">
        <v>1175</v>
      </c>
      <c r="C875" s="4" t="s">
        <v>1182</v>
      </c>
    </row>
    <row r="876" spans="1:3" ht="20.100000000000001" customHeight="1" x14ac:dyDescent="0.25">
      <c r="A876" s="1" t="s">
        <v>574</v>
      </c>
      <c r="B876" s="2" t="s">
        <v>1176</v>
      </c>
      <c r="C876" s="4" t="s">
        <v>1182</v>
      </c>
    </row>
    <row r="877" spans="1:3" ht="20.100000000000001" customHeight="1" x14ac:dyDescent="0.25">
      <c r="A877" s="1" t="s">
        <v>575</v>
      </c>
      <c r="B877" s="2" t="s">
        <v>1177</v>
      </c>
      <c r="C877" s="4" t="s">
        <v>1182</v>
      </c>
    </row>
    <row r="878" spans="1:3" ht="20.100000000000001" customHeight="1" x14ac:dyDescent="0.25">
      <c r="A878" s="1" t="s">
        <v>576</v>
      </c>
      <c r="B878" s="2" t="s">
        <v>1178</v>
      </c>
      <c r="C878" s="4" t="s">
        <v>1182</v>
      </c>
    </row>
    <row r="879" spans="1:3" ht="20.100000000000001" customHeight="1" x14ac:dyDescent="0.25">
      <c r="A879" s="1" t="s">
        <v>577</v>
      </c>
      <c r="B879" s="2" t="s">
        <v>1179</v>
      </c>
      <c r="C879" s="4" t="s">
        <v>1182</v>
      </c>
    </row>
    <row r="880" spans="1:3" ht="20.100000000000001" customHeight="1" x14ac:dyDescent="0.25">
      <c r="A880" s="1" t="s">
        <v>578</v>
      </c>
      <c r="B880" s="2" t="s">
        <v>1180</v>
      </c>
      <c r="C880" s="4" t="s">
        <v>1182</v>
      </c>
    </row>
    <row r="881" spans="1:3" ht="20.100000000000001" customHeight="1" x14ac:dyDescent="0.25">
      <c r="A881" s="1" t="s">
        <v>579</v>
      </c>
      <c r="B881" s="2" t="s">
        <v>1181</v>
      </c>
      <c r="C881" s="4" t="s">
        <v>1182</v>
      </c>
    </row>
    <row r="882" spans="1:3" ht="20.100000000000001" customHeight="1" x14ac:dyDescent="0.25">
      <c r="A882" s="15"/>
      <c r="B882" s="23"/>
      <c r="C882" s="28"/>
    </row>
    <row r="883" spans="1:3" ht="20.100000000000001" customHeight="1" x14ac:dyDescent="0.25">
      <c r="A883" s="15"/>
      <c r="B883" s="23"/>
      <c r="C883" s="28"/>
    </row>
    <row r="884" spans="1:3" ht="20.100000000000001" customHeight="1" x14ac:dyDescent="0.25">
      <c r="A884" s="15"/>
      <c r="B884" s="23"/>
      <c r="C884" s="28"/>
    </row>
    <row r="885" spans="1:3" ht="20.100000000000001" customHeight="1" x14ac:dyDescent="0.25">
      <c r="A885" s="15"/>
      <c r="B885" s="23"/>
      <c r="C885" s="28"/>
    </row>
    <row r="886" spans="1:3" ht="20.100000000000001" customHeight="1" x14ac:dyDescent="0.25">
      <c r="A886" s="15"/>
      <c r="B886" s="23"/>
      <c r="C886" s="28"/>
    </row>
    <row r="887" spans="1:3" ht="20.100000000000001" customHeight="1" x14ac:dyDescent="0.25">
      <c r="A887" s="15"/>
      <c r="B887" s="23"/>
      <c r="C887" s="28"/>
    </row>
    <row r="888" spans="1:3" ht="20.100000000000001" customHeight="1" x14ac:dyDescent="0.25">
      <c r="A888" s="15"/>
      <c r="B888" s="23"/>
      <c r="C888" s="28"/>
    </row>
    <row r="889" spans="1:3" ht="20.100000000000001" customHeight="1" x14ac:dyDescent="0.25">
      <c r="A889" s="15"/>
      <c r="B889" s="23"/>
      <c r="C889" s="28"/>
    </row>
    <row r="890" spans="1:3" ht="20.100000000000001" customHeight="1" x14ac:dyDescent="0.25">
      <c r="A890" s="15"/>
      <c r="B890" s="23"/>
      <c r="C890" s="28"/>
    </row>
    <row r="891" spans="1:3" ht="20.100000000000001" customHeight="1" x14ac:dyDescent="0.25">
      <c r="A891" s="15"/>
      <c r="B891" s="23"/>
      <c r="C891" s="28"/>
    </row>
    <row r="892" spans="1:3" ht="20.100000000000001" customHeight="1" x14ac:dyDescent="0.25">
      <c r="A892" s="15"/>
      <c r="B892" s="23"/>
      <c r="C892" s="28"/>
    </row>
    <row r="893" spans="1:3" ht="20.100000000000001" customHeight="1" x14ac:dyDescent="0.25">
      <c r="A893" s="15"/>
      <c r="B893" s="23"/>
      <c r="C893" s="28"/>
    </row>
    <row r="894" spans="1:3" ht="20.100000000000001" customHeight="1" x14ac:dyDescent="0.25">
      <c r="A894" s="15"/>
      <c r="B894" s="23"/>
      <c r="C894" s="28"/>
    </row>
    <row r="895" spans="1:3" ht="20.100000000000001" customHeight="1" x14ac:dyDescent="0.25">
      <c r="A895" s="15"/>
      <c r="B895" s="23"/>
      <c r="C895" s="28"/>
    </row>
    <row r="896" spans="1:3" ht="20.100000000000001" customHeight="1" x14ac:dyDescent="0.25">
      <c r="A896" s="15"/>
      <c r="B896" s="23"/>
      <c r="C896" s="28"/>
    </row>
    <row r="897" spans="1:3" ht="20.100000000000001" customHeight="1" x14ac:dyDescent="0.25">
      <c r="A897" s="15"/>
      <c r="B897" s="23"/>
      <c r="C897" s="28"/>
    </row>
    <row r="898" spans="1:3" ht="20.100000000000001" customHeight="1" x14ac:dyDescent="0.25">
      <c r="A898" s="9" t="s">
        <v>1</v>
      </c>
      <c r="B898" s="9" t="s">
        <v>2</v>
      </c>
      <c r="C898" s="9" t="s">
        <v>3</v>
      </c>
    </row>
    <row r="899" spans="1:3" ht="20.100000000000001" customHeight="1" x14ac:dyDescent="0.25">
      <c r="A899" s="20" t="s">
        <v>580</v>
      </c>
      <c r="B899" s="21" t="s">
        <v>1253</v>
      </c>
      <c r="C899" s="22" t="s">
        <v>1251</v>
      </c>
    </row>
    <row r="900" spans="1:3" ht="20.100000000000001" customHeight="1" x14ac:dyDescent="0.25">
      <c r="A900" s="1" t="s">
        <v>581</v>
      </c>
      <c r="B900" s="2" t="s">
        <v>1183</v>
      </c>
      <c r="C900" s="3" t="s">
        <v>1251</v>
      </c>
    </row>
    <row r="901" spans="1:3" ht="20.100000000000001" customHeight="1" x14ac:dyDescent="0.25">
      <c r="A901" s="1" t="s">
        <v>582</v>
      </c>
      <c r="B901" s="2" t="s">
        <v>1187</v>
      </c>
      <c r="C901" s="3" t="s">
        <v>1251</v>
      </c>
    </row>
    <row r="902" spans="1:3" ht="20.100000000000001" customHeight="1" x14ac:dyDescent="0.25">
      <c r="A902" s="1" t="s">
        <v>583</v>
      </c>
      <c r="B902" s="2" t="s">
        <v>1184</v>
      </c>
      <c r="C902" s="3" t="s">
        <v>1251</v>
      </c>
    </row>
    <row r="903" spans="1:3" ht="20.100000000000001" customHeight="1" x14ac:dyDescent="0.25">
      <c r="A903" s="1" t="s">
        <v>584</v>
      </c>
      <c r="B903" s="2" t="s">
        <v>1186</v>
      </c>
      <c r="C903" s="3" t="s">
        <v>1251</v>
      </c>
    </row>
    <row r="904" spans="1:3" ht="20.100000000000001" customHeight="1" x14ac:dyDescent="0.25">
      <c r="A904" s="1" t="s">
        <v>585</v>
      </c>
      <c r="B904" s="2" t="s">
        <v>1254</v>
      </c>
      <c r="C904" s="3" t="s">
        <v>1251</v>
      </c>
    </row>
    <row r="905" spans="1:3" ht="20.100000000000001" customHeight="1" x14ac:dyDescent="0.25">
      <c r="A905" s="1" t="s">
        <v>586</v>
      </c>
      <c r="B905" s="2" t="s">
        <v>1255</v>
      </c>
      <c r="C905" s="3" t="s">
        <v>1251</v>
      </c>
    </row>
    <row r="906" spans="1:3" ht="20.100000000000001" customHeight="1" x14ac:dyDescent="0.25">
      <c r="A906" s="1" t="s">
        <v>587</v>
      </c>
      <c r="B906" s="2" t="s">
        <v>1185</v>
      </c>
      <c r="C906" s="3" t="s">
        <v>1251</v>
      </c>
    </row>
    <row r="907" spans="1:3" ht="20.100000000000001" customHeight="1" x14ac:dyDescent="0.25">
      <c r="A907" s="1" t="s">
        <v>588</v>
      </c>
      <c r="B907" s="2" t="s">
        <v>1256</v>
      </c>
      <c r="C907" s="3" t="s">
        <v>1251</v>
      </c>
    </row>
    <row r="908" spans="1:3" ht="20.100000000000001" customHeight="1" x14ac:dyDescent="0.25">
      <c r="A908" s="1" t="s">
        <v>589</v>
      </c>
      <c r="B908" s="2" t="s">
        <v>1188</v>
      </c>
      <c r="C908" s="3" t="s">
        <v>1251</v>
      </c>
    </row>
    <row r="909" spans="1:3" ht="20.100000000000001" customHeight="1" x14ac:dyDescent="0.25">
      <c r="A909" s="1" t="s">
        <v>590</v>
      </c>
      <c r="B909" s="2" t="s">
        <v>1189</v>
      </c>
      <c r="C909" s="3" t="s">
        <v>1251</v>
      </c>
    </row>
    <row r="910" spans="1:3" ht="20.100000000000001" customHeight="1" x14ac:dyDescent="0.25">
      <c r="A910" s="1" t="s">
        <v>591</v>
      </c>
      <c r="B910" s="2" t="s">
        <v>1192</v>
      </c>
      <c r="C910" s="3" t="s">
        <v>1251</v>
      </c>
    </row>
    <row r="911" spans="1:3" ht="20.100000000000001" customHeight="1" x14ac:dyDescent="0.25">
      <c r="A911" s="1" t="s">
        <v>592</v>
      </c>
      <c r="B911" s="2" t="s">
        <v>1191</v>
      </c>
      <c r="C911" s="3" t="s">
        <v>1251</v>
      </c>
    </row>
    <row r="912" spans="1:3" ht="20.100000000000001" customHeight="1" x14ac:dyDescent="0.25">
      <c r="A912" s="1" t="s">
        <v>593</v>
      </c>
      <c r="B912" s="2" t="s">
        <v>1190</v>
      </c>
      <c r="C912" s="3" t="s">
        <v>1251</v>
      </c>
    </row>
    <row r="913" spans="1:3" ht="20.100000000000001" customHeight="1" x14ac:dyDescent="0.25">
      <c r="A913" s="1" t="s">
        <v>594</v>
      </c>
      <c r="B913" s="2" t="s">
        <v>1257</v>
      </c>
      <c r="C913" s="3" t="s">
        <v>1251</v>
      </c>
    </row>
    <row r="914" spans="1:3" ht="20.100000000000001" customHeight="1" x14ac:dyDescent="0.25">
      <c r="A914" s="1" t="s">
        <v>595</v>
      </c>
      <c r="B914" s="2" t="s">
        <v>1193</v>
      </c>
      <c r="C914" s="3" t="s">
        <v>1251</v>
      </c>
    </row>
    <row r="915" spans="1:3" ht="20.100000000000001" customHeight="1" x14ac:dyDescent="0.25">
      <c r="A915" s="1" t="s">
        <v>596</v>
      </c>
      <c r="B915" s="7" t="s">
        <v>1194</v>
      </c>
      <c r="C915" s="3" t="s">
        <v>1251</v>
      </c>
    </row>
    <row r="916" spans="1:3" ht="20.100000000000001" customHeight="1" x14ac:dyDescent="0.25">
      <c r="A916" s="1" t="s">
        <v>597</v>
      </c>
      <c r="B916" s="2" t="s">
        <v>1258</v>
      </c>
      <c r="C916" s="3" t="s">
        <v>1251</v>
      </c>
    </row>
    <row r="917" spans="1:3" ht="20.100000000000001" customHeight="1" x14ac:dyDescent="0.25">
      <c r="A917" s="1" t="s">
        <v>598</v>
      </c>
      <c r="B917" s="2" t="s">
        <v>1195</v>
      </c>
      <c r="C917" s="3" t="s">
        <v>1251</v>
      </c>
    </row>
    <row r="918" spans="1:3" ht="20.100000000000001" customHeight="1" x14ac:dyDescent="0.25">
      <c r="A918" s="1" t="s">
        <v>599</v>
      </c>
      <c r="B918" s="2" t="s">
        <v>1196</v>
      </c>
      <c r="C918" s="3" t="s">
        <v>1251</v>
      </c>
    </row>
    <row r="919" spans="1:3" ht="20.100000000000001" customHeight="1" x14ac:dyDescent="0.25">
      <c r="A919" s="1" t="s">
        <v>600</v>
      </c>
      <c r="B919" s="2" t="s">
        <v>1259</v>
      </c>
      <c r="C919" s="3" t="s">
        <v>1251</v>
      </c>
    </row>
    <row r="920" spans="1:3" ht="20.100000000000001" customHeight="1" x14ac:dyDescent="0.25">
      <c r="A920" s="1" t="s">
        <v>601</v>
      </c>
      <c r="B920" s="2" t="s">
        <v>1260</v>
      </c>
      <c r="C920" s="3" t="s">
        <v>1251</v>
      </c>
    </row>
    <row r="921" spans="1:3" ht="20.100000000000001" customHeight="1" x14ac:dyDescent="0.25">
      <c r="A921" s="1" t="s">
        <v>602</v>
      </c>
      <c r="B921" s="2" t="s">
        <v>1197</v>
      </c>
      <c r="C921" s="3" t="s">
        <v>1251</v>
      </c>
    </row>
    <row r="922" spans="1:3" ht="20.100000000000001" customHeight="1" x14ac:dyDescent="0.25">
      <c r="A922" s="1" t="s">
        <v>603</v>
      </c>
      <c r="B922" s="2" t="s">
        <v>1261</v>
      </c>
      <c r="C922" s="3" t="s">
        <v>1251</v>
      </c>
    </row>
    <row r="923" spans="1:3" ht="20.100000000000001" customHeight="1" x14ac:dyDescent="0.25">
      <c r="A923" s="1" t="s">
        <v>604</v>
      </c>
      <c r="B923" s="2" t="s">
        <v>1198</v>
      </c>
      <c r="C923" s="3" t="s">
        <v>1251</v>
      </c>
    </row>
    <row r="924" spans="1:3" ht="20.100000000000001" customHeight="1" x14ac:dyDescent="0.25">
      <c r="A924" s="1" t="s">
        <v>605</v>
      </c>
      <c r="B924" s="2" t="s">
        <v>1262</v>
      </c>
      <c r="C924" s="3" t="s">
        <v>1251</v>
      </c>
    </row>
    <row r="925" spans="1:3" ht="20.100000000000001" customHeight="1" x14ac:dyDescent="0.25">
      <c r="A925" s="1" t="s">
        <v>606</v>
      </c>
      <c r="B925" s="2" t="s">
        <v>1263</v>
      </c>
      <c r="C925" s="3" t="s">
        <v>1251</v>
      </c>
    </row>
    <row r="926" spans="1:3" ht="20.100000000000001" customHeight="1" x14ac:dyDescent="0.25">
      <c r="A926" s="1" t="s">
        <v>607</v>
      </c>
      <c r="B926" s="2" t="s">
        <v>1264</v>
      </c>
      <c r="C926" s="3" t="s">
        <v>1251</v>
      </c>
    </row>
    <row r="927" spans="1:3" ht="20.100000000000001" customHeight="1" x14ac:dyDescent="0.25">
      <c r="A927" s="1" t="s">
        <v>608</v>
      </c>
      <c r="B927" s="2" t="s">
        <v>1199</v>
      </c>
      <c r="C927" s="3" t="s">
        <v>1251</v>
      </c>
    </row>
    <row r="928" spans="1:3" ht="20.100000000000001" customHeight="1" x14ac:dyDescent="0.25">
      <c r="A928" s="1" t="s">
        <v>609</v>
      </c>
      <c r="B928" s="2" t="s">
        <v>1358</v>
      </c>
      <c r="C928" s="3" t="s">
        <v>1251</v>
      </c>
    </row>
    <row r="929" spans="1:3" ht="20.100000000000001" customHeight="1" x14ac:dyDescent="0.25">
      <c r="A929" s="1" t="s">
        <v>610</v>
      </c>
      <c r="B929" s="2" t="s">
        <v>1201</v>
      </c>
      <c r="C929" s="3" t="s">
        <v>1251</v>
      </c>
    </row>
    <row r="930" spans="1:3" ht="20.100000000000001" customHeight="1" x14ac:dyDescent="0.25">
      <c r="A930" s="1" t="s">
        <v>611</v>
      </c>
      <c r="B930" s="2" t="s">
        <v>1265</v>
      </c>
      <c r="C930" s="3" t="s">
        <v>1251</v>
      </c>
    </row>
    <row r="931" spans="1:3" ht="20.100000000000001" customHeight="1" x14ac:dyDescent="0.25">
      <c r="A931" s="1" t="s">
        <v>612</v>
      </c>
      <c r="B931" s="2" t="s">
        <v>1200</v>
      </c>
      <c r="C931" s="3" t="s">
        <v>1251</v>
      </c>
    </row>
    <row r="932" spans="1:3" ht="20.100000000000001" customHeight="1" x14ac:dyDescent="0.25">
      <c r="A932" s="1" t="s">
        <v>613</v>
      </c>
      <c r="B932" s="2" t="s">
        <v>1203</v>
      </c>
      <c r="C932" s="3" t="s">
        <v>1251</v>
      </c>
    </row>
    <row r="933" spans="1:3" ht="20.100000000000001" customHeight="1" x14ac:dyDescent="0.25">
      <c r="A933" s="1" t="s">
        <v>614</v>
      </c>
      <c r="B933" s="2" t="s">
        <v>1202</v>
      </c>
      <c r="C933" s="3" t="s">
        <v>1251</v>
      </c>
    </row>
    <row r="934" spans="1:3" ht="20.100000000000001" customHeight="1" x14ac:dyDescent="0.25">
      <c r="A934" s="1" t="s">
        <v>615</v>
      </c>
      <c r="B934" s="2" t="s">
        <v>1204</v>
      </c>
      <c r="C934" s="3" t="s">
        <v>1251</v>
      </c>
    </row>
    <row r="935" spans="1:3" ht="20.100000000000001" customHeight="1" x14ac:dyDescent="0.25">
      <c r="A935" s="1" t="s">
        <v>616</v>
      </c>
      <c r="B935" s="2" t="s">
        <v>1205</v>
      </c>
      <c r="C935" s="3" t="s">
        <v>1251</v>
      </c>
    </row>
    <row r="936" spans="1:3" ht="20.100000000000001" customHeight="1" x14ac:dyDescent="0.25">
      <c r="A936" s="1" t="s">
        <v>617</v>
      </c>
      <c r="B936" s="2" t="s">
        <v>1207</v>
      </c>
      <c r="C936" s="3" t="s">
        <v>1251</v>
      </c>
    </row>
    <row r="937" spans="1:3" ht="20.100000000000001" customHeight="1" x14ac:dyDescent="0.25">
      <c r="A937" s="1" t="s">
        <v>618</v>
      </c>
      <c r="B937" s="2" t="s">
        <v>1267</v>
      </c>
      <c r="C937" s="3" t="s">
        <v>1251</v>
      </c>
    </row>
    <row r="938" spans="1:3" ht="20.100000000000001" customHeight="1" x14ac:dyDescent="0.25">
      <c r="A938" s="1" t="s">
        <v>619</v>
      </c>
      <c r="B938" s="2" t="s">
        <v>1206</v>
      </c>
      <c r="C938" s="3" t="s">
        <v>1251</v>
      </c>
    </row>
    <row r="939" spans="1:3" ht="20.100000000000001" customHeight="1" x14ac:dyDescent="0.25">
      <c r="A939" s="1" t="s">
        <v>620</v>
      </c>
      <c r="B939" s="2" t="s">
        <v>1266</v>
      </c>
      <c r="C939" s="3" t="s">
        <v>1251</v>
      </c>
    </row>
    <row r="940" spans="1:3" ht="20.100000000000001" customHeight="1" x14ac:dyDescent="0.25">
      <c r="A940" s="1" t="s">
        <v>621</v>
      </c>
      <c r="B940" s="2" t="s">
        <v>1268</v>
      </c>
      <c r="C940" s="3" t="s">
        <v>1251</v>
      </c>
    </row>
    <row r="941" spans="1:3" ht="20.100000000000001" customHeight="1" x14ac:dyDescent="0.25">
      <c r="A941" s="1" t="s">
        <v>622</v>
      </c>
      <c r="B941" s="2" t="s">
        <v>1208</v>
      </c>
      <c r="C941" s="3" t="s">
        <v>1251</v>
      </c>
    </row>
    <row r="942" spans="1:3" ht="20.100000000000001" customHeight="1" x14ac:dyDescent="0.25">
      <c r="A942" s="1" t="s">
        <v>623</v>
      </c>
      <c r="B942" s="2" t="s">
        <v>1209</v>
      </c>
      <c r="C942" s="3" t="s">
        <v>1251</v>
      </c>
    </row>
    <row r="943" spans="1:3" ht="20.100000000000001" customHeight="1" x14ac:dyDescent="0.25">
      <c r="A943" s="1" t="s">
        <v>624</v>
      </c>
      <c r="B943" s="2" t="s">
        <v>1210</v>
      </c>
      <c r="C943" s="3" t="s">
        <v>1251</v>
      </c>
    </row>
    <row r="944" spans="1:3" ht="20.100000000000001" customHeight="1" x14ac:dyDescent="0.25">
      <c r="A944" s="1" t="s">
        <v>625</v>
      </c>
      <c r="B944" s="2" t="s">
        <v>1212</v>
      </c>
      <c r="C944" s="3" t="s">
        <v>1251</v>
      </c>
    </row>
    <row r="945" spans="1:3" ht="20.100000000000001" customHeight="1" x14ac:dyDescent="0.25">
      <c r="A945" s="1" t="s">
        <v>626</v>
      </c>
      <c r="B945" s="2" t="s">
        <v>1211</v>
      </c>
      <c r="C945" s="3" t="s">
        <v>1251</v>
      </c>
    </row>
    <row r="946" spans="1:3" ht="20.100000000000001" customHeight="1" x14ac:dyDescent="0.25">
      <c r="A946" s="1" t="s">
        <v>627</v>
      </c>
      <c r="B946" s="2" t="s">
        <v>1270</v>
      </c>
      <c r="C946" s="3" t="s">
        <v>1251</v>
      </c>
    </row>
    <row r="947" spans="1:3" ht="20.100000000000001" customHeight="1" x14ac:dyDescent="0.25">
      <c r="A947" s="1" t="s">
        <v>628</v>
      </c>
      <c r="B947" s="2" t="s">
        <v>1269</v>
      </c>
      <c r="C947" s="3" t="s">
        <v>1251</v>
      </c>
    </row>
    <row r="948" spans="1:3" ht="20.100000000000001" customHeight="1" x14ac:dyDescent="0.25">
      <c r="A948" s="1" t="s">
        <v>629</v>
      </c>
      <c r="B948" s="2" t="s">
        <v>1213</v>
      </c>
      <c r="C948" s="3" t="s">
        <v>1251</v>
      </c>
    </row>
    <row r="949" spans="1:3" ht="20.100000000000001" customHeight="1" x14ac:dyDescent="0.25">
      <c r="A949" s="1" t="s">
        <v>630</v>
      </c>
      <c r="B949" s="2" t="s">
        <v>1271</v>
      </c>
      <c r="C949" s="3" t="s">
        <v>1251</v>
      </c>
    </row>
    <row r="950" spans="1:3" ht="20.100000000000001" customHeight="1" x14ac:dyDescent="0.25">
      <c r="A950" s="1" t="s">
        <v>631</v>
      </c>
      <c r="B950" s="2" t="s">
        <v>1214</v>
      </c>
      <c r="C950" s="3" t="s">
        <v>1251</v>
      </c>
    </row>
    <row r="951" spans="1:3" ht="20.100000000000001" customHeight="1" x14ac:dyDescent="0.25">
      <c r="A951" s="1" t="s">
        <v>632</v>
      </c>
      <c r="B951" s="2" t="s">
        <v>1215</v>
      </c>
      <c r="C951" s="3" t="s">
        <v>1251</v>
      </c>
    </row>
    <row r="952" spans="1:3" ht="20.100000000000001" customHeight="1" x14ac:dyDescent="0.25">
      <c r="A952" s="1" t="s">
        <v>633</v>
      </c>
      <c r="B952" s="2" t="s">
        <v>1217</v>
      </c>
      <c r="C952" s="3" t="s">
        <v>1251</v>
      </c>
    </row>
    <row r="953" spans="1:3" ht="20.100000000000001" customHeight="1" x14ac:dyDescent="0.25">
      <c r="A953" s="1" t="s">
        <v>634</v>
      </c>
      <c r="B953" s="2" t="s">
        <v>1216</v>
      </c>
      <c r="C953" s="3" t="s">
        <v>1251</v>
      </c>
    </row>
    <row r="954" spans="1:3" ht="20.100000000000001" customHeight="1" x14ac:dyDescent="0.25">
      <c r="A954" s="1" t="s">
        <v>635</v>
      </c>
      <c r="B954" s="2" t="s">
        <v>1272</v>
      </c>
      <c r="C954" s="3" t="s">
        <v>1251</v>
      </c>
    </row>
    <row r="955" spans="1:3" ht="20.100000000000001" customHeight="1" x14ac:dyDescent="0.25">
      <c r="A955" s="1" t="s">
        <v>636</v>
      </c>
      <c r="B955" s="2" t="s">
        <v>1218</v>
      </c>
      <c r="C955" s="3" t="s">
        <v>1251</v>
      </c>
    </row>
    <row r="956" spans="1:3" ht="20.100000000000001" customHeight="1" x14ac:dyDescent="0.25">
      <c r="A956" s="1" t="s">
        <v>637</v>
      </c>
      <c r="B956" s="2" t="s">
        <v>1219</v>
      </c>
      <c r="C956" s="3" t="s">
        <v>1251</v>
      </c>
    </row>
    <row r="957" spans="1:3" ht="20.100000000000001" customHeight="1" x14ac:dyDescent="0.25">
      <c r="A957" s="1" t="s">
        <v>638</v>
      </c>
      <c r="B957" s="2" t="s">
        <v>1221</v>
      </c>
      <c r="C957" s="3" t="s">
        <v>1251</v>
      </c>
    </row>
    <row r="958" spans="1:3" ht="20.100000000000001" customHeight="1" x14ac:dyDescent="0.25">
      <c r="A958" s="1" t="s">
        <v>639</v>
      </c>
      <c r="B958" s="2" t="s">
        <v>1220</v>
      </c>
      <c r="C958" s="3" t="s">
        <v>1251</v>
      </c>
    </row>
    <row r="959" spans="1:3" ht="20.100000000000001" customHeight="1" x14ac:dyDescent="0.25">
      <c r="A959" s="1" t="s">
        <v>640</v>
      </c>
      <c r="B959" s="2" t="s">
        <v>1275</v>
      </c>
      <c r="C959" s="3" t="s">
        <v>1251</v>
      </c>
    </row>
    <row r="960" spans="1:3" ht="20.100000000000001" customHeight="1" x14ac:dyDescent="0.25">
      <c r="A960" s="1" t="s">
        <v>641</v>
      </c>
      <c r="B960" s="2" t="s">
        <v>1222</v>
      </c>
      <c r="C960" s="3" t="s">
        <v>1251</v>
      </c>
    </row>
    <row r="961" spans="1:3" ht="20.100000000000001" customHeight="1" x14ac:dyDescent="0.25">
      <c r="A961" s="1" t="s">
        <v>642</v>
      </c>
      <c r="B961" s="2" t="s">
        <v>1224</v>
      </c>
      <c r="C961" s="3" t="s">
        <v>1251</v>
      </c>
    </row>
    <row r="962" spans="1:3" ht="20.100000000000001" customHeight="1" x14ac:dyDescent="0.25">
      <c r="A962" s="1" t="s">
        <v>643</v>
      </c>
      <c r="B962" s="2" t="s">
        <v>1274</v>
      </c>
      <c r="C962" s="3" t="s">
        <v>1251</v>
      </c>
    </row>
    <row r="963" spans="1:3" ht="20.100000000000001" customHeight="1" x14ac:dyDescent="0.25">
      <c r="A963" s="1" t="s">
        <v>644</v>
      </c>
      <c r="B963" s="2" t="s">
        <v>1223</v>
      </c>
      <c r="C963" s="3" t="s">
        <v>1251</v>
      </c>
    </row>
    <row r="964" spans="1:3" ht="20.100000000000001" customHeight="1" x14ac:dyDescent="0.25">
      <c r="A964" s="1" t="s">
        <v>645</v>
      </c>
      <c r="B964" s="2" t="s">
        <v>1225</v>
      </c>
      <c r="C964" s="3" t="s">
        <v>1251</v>
      </c>
    </row>
    <row r="965" spans="1:3" ht="20.100000000000001" customHeight="1" x14ac:dyDescent="0.25">
      <c r="A965" s="1" t="s">
        <v>646</v>
      </c>
      <c r="B965" s="2" t="s">
        <v>1273</v>
      </c>
      <c r="C965" s="3" t="s">
        <v>1251</v>
      </c>
    </row>
    <row r="966" spans="1:3" ht="20.100000000000001" customHeight="1" x14ac:dyDescent="0.25">
      <c r="A966" s="1" t="s">
        <v>647</v>
      </c>
      <c r="B966" s="2" t="s">
        <v>1226</v>
      </c>
      <c r="C966" s="3" t="s">
        <v>1251</v>
      </c>
    </row>
    <row r="967" spans="1:3" ht="20.100000000000001" customHeight="1" x14ac:dyDescent="0.25">
      <c r="A967" s="1" t="s">
        <v>648</v>
      </c>
      <c r="B967" s="2" t="s">
        <v>1227</v>
      </c>
      <c r="C967" s="3" t="s">
        <v>1251</v>
      </c>
    </row>
    <row r="968" spans="1:3" ht="20.100000000000001" customHeight="1" x14ac:dyDescent="0.25">
      <c r="A968" s="1" t="s">
        <v>649</v>
      </c>
      <c r="B968" s="2" t="s">
        <v>1228</v>
      </c>
      <c r="C968" s="3" t="s">
        <v>1251</v>
      </c>
    </row>
    <row r="969" spans="1:3" ht="20.100000000000001" customHeight="1" x14ac:dyDescent="0.25">
      <c r="A969" s="1" t="s">
        <v>650</v>
      </c>
      <c r="B969" s="2" t="s">
        <v>1276</v>
      </c>
      <c r="C969" s="3" t="s">
        <v>1251</v>
      </c>
    </row>
    <row r="970" spans="1:3" ht="20.100000000000001" customHeight="1" x14ac:dyDescent="0.25">
      <c r="A970" s="1" t="s">
        <v>651</v>
      </c>
      <c r="B970" s="2" t="s">
        <v>1277</v>
      </c>
      <c r="C970" s="3" t="s">
        <v>1251</v>
      </c>
    </row>
    <row r="971" spans="1:3" ht="20.100000000000001" customHeight="1" x14ac:dyDescent="0.25">
      <c r="A971" s="1" t="s">
        <v>652</v>
      </c>
      <c r="B971" s="2" t="s">
        <v>1230</v>
      </c>
      <c r="C971" s="3" t="s">
        <v>1251</v>
      </c>
    </row>
    <row r="972" spans="1:3" ht="20.100000000000001" customHeight="1" x14ac:dyDescent="0.25">
      <c r="A972" s="1" t="s">
        <v>653</v>
      </c>
      <c r="B972" s="2" t="s">
        <v>1229</v>
      </c>
      <c r="C972" s="3" t="s">
        <v>1251</v>
      </c>
    </row>
    <row r="973" spans="1:3" ht="20.100000000000001" customHeight="1" x14ac:dyDescent="0.25">
      <c r="A973" s="1" t="s">
        <v>654</v>
      </c>
      <c r="B973" s="2" t="s">
        <v>1278</v>
      </c>
      <c r="C973" s="3" t="s">
        <v>1251</v>
      </c>
    </row>
    <row r="974" spans="1:3" ht="20.100000000000001" customHeight="1" x14ac:dyDescent="0.25">
      <c r="A974" s="1" t="s">
        <v>655</v>
      </c>
      <c r="B974" s="2" t="s">
        <v>1231</v>
      </c>
      <c r="C974" s="3" t="s">
        <v>1251</v>
      </c>
    </row>
    <row r="975" spans="1:3" ht="20.100000000000001" customHeight="1" x14ac:dyDescent="0.25">
      <c r="A975" s="1" t="s">
        <v>656</v>
      </c>
      <c r="B975" s="2" t="s">
        <v>1232</v>
      </c>
      <c r="C975" s="3" t="s">
        <v>1251</v>
      </c>
    </row>
    <row r="976" spans="1:3" ht="20.100000000000001" customHeight="1" x14ac:dyDescent="0.25">
      <c r="A976" s="1" t="s">
        <v>657</v>
      </c>
      <c r="B976" s="2" t="s">
        <v>1234</v>
      </c>
      <c r="C976" s="3" t="s">
        <v>1251</v>
      </c>
    </row>
    <row r="977" spans="1:3" ht="20.100000000000001" customHeight="1" x14ac:dyDescent="0.25">
      <c r="A977" s="1" t="s">
        <v>658</v>
      </c>
      <c r="B977" s="2" t="s">
        <v>1236</v>
      </c>
      <c r="C977" s="3" t="s">
        <v>1251</v>
      </c>
    </row>
    <row r="978" spans="1:3" ht="20.100000000000001" customHeight="1" x14ac:dyDescent="0.25">
      <c r="A978" s="1" t="s">
        <v>659</v>
      </c>
      <c r="B978" s="2" t="s">
        <v>1280</v>
      </c>
      <c r="C978" s="3" t="s">
        <v>1251</v>
      </c>
    </row>
    <row r="979" spans="1:3" ht="20.100000000000001" customHeight="1" x14ac:dyDescent="0.25">
      <c r="A979" s="1" t="s">
        <v>660</v>
      </c>
      <c r="B979" s="2" t="s">
        <v>1233</v>
      </c>
      <c r="C979" s="3" t="s">
        <v>1251</v>
      </c>
    </row>
    <row r="980" spans="1:3" ht="20.100000000000001" customHeight="1" x14ac:dyDescent="0.25">
      <c r="A980" s="1" t="s">
        <v>661</v>
      </c>
      <c r="B980" s="2" t="s">
        <v>1279</v>
      </c>
      <c r="C980" s="3" t="s">
        <v>1251</v>
      </c>
    </row>
    <row r="981" spans="1:3" ht="20.100000000000001" customHeight="1" x14ac:dyDescent="0.25">
      <c r="A981" s="1" t="s">
        <v>662</v>
      </c>
      <c r="B981" s="2" t="s">
        <v>1235</v>
      </c>
      <c r="C981" s="3" t="s">
        <v>1251</v>
      </c>
    </row>
    <row r="982" spans="1:3" ht="20.100000000000001" customHeight="1" x14ac:dyDescent="0.25">
      <c r="A982" s="1" t="s">
        <v>663</v>
      </c>
      <c r="B982" s="2" t="s">
        <v>1237</v>
      </c>
      <c r="C982" s="3" t="s">
        <v>1251</v>
      </c>
    </row>
    <row r="983" spans="1:3" ht="20.100000000000001" customHeight="1" x14ac:dyDescent="0.25">
      <c r="A983" s="1" t="s">
        <v>664</v>
      </c>
      <c r="B983" s="2" t="s">
        <v>1281</v>
      </c>
      <c r="C983" s="3" t="s">
        <v>1251</v>
      </c>
    </row>
    <row r="984" spans="1:3" ht="20.100000000000001" customHeight="1" x14ac:dyDescent="0.25">
      <c r="A984" s="1" t="s">
        <v>665</v>
      </c>
      <c r="B984" s="2" t="s">
        <v>1238</v>
      </c>
      <c r="C984" s="3" t="s">
        <v>1251</v>
      </c>
    </row>
    <row r="985" spans="1:3" ht="20.100000000000001" customHeight="1" x14ac:dyDescent="0.25">
      <c r="A985" s="1" t="s">
        <v>666</v>
      </c>
      <c r="B985" s="2" t="s">
        <v>1282</v>
      </c>
      <c r="C985" s="3" t="s">
        <v>1251</v>
      </c>
    </row>
    <row r="986" spans="1:3" ht="20.100000000000001" customHeight="1" x14ac:dyDescent="0.25">
      <c r="A986" s="1" t="s">
        <v>667</v>
      </c>
      <c r="B986" s="2" t="s">
        <v>1239</v>
      </c>
      <c r="C986" s="3" t="s">
        <v>1251</v>
      </c>
    </row>
    <row r="987" spans="1:3" ht="20.100000000000001" customHeight="1" x14ac:dyDescent="0.25">
      <c r="A987" s="1" t="s">
        <v>668</v>
      </c>
      <c r="B987" s="2" t="s">
        <v>1240</v>
      </c>
      <c r="C987" s="3" t="s">
        <v>1251</v>
      </c>
    </row>
    <row r="988" spans="1:3" ht="20.100000000000001" customHeight="1" x14ac:dyDescent="0.25">
      <c r="A988" s="1" t="s">
        <v>669</v>
      </c>
      <c r="B988" s="2" t="s">
        <v>1243</v>
      </c>
      <c r="C988" s="3" t="s">
        <v>1251</v>
      </c>
    </row>
    <row r="989" spans="1:3" ht="20.100000000000001" customHeight="1" x14ac:dyDescent="0.25">
      <c r="A989" s="1" t="s">
        <v>670</v>
      </c>
      <c r="B989" s="2" t="s">
        <v>1283</v>
      </c>
      <c r="C989" s="3" t="s">
        <v>1251</v>
      </c>
    </row>
    <row r="990" spans="1:3" ht="20.100000000000001" customHeight="1" x14ac:dyDescent="0.25">
      <c r="A990" s="1" t="s">
        <v>671</v>
      </c>
      <c r="B990" s="2" t="s">
        <v>1241</v>
      </c>
      <c r="C990" s="3" t="s">
        <v>1251</v>
      </c>
    </row>
    <row r="991" spans="1:3" ht="20.100000000000001" customHeight="1" x14ac:dyDescent="0.25">
      <c r="A991" s="1" t="s">
        <v>672</v>
      </c>
      <c r="B991" s="2" t="s">
        <v>1242</v>
      </c>
      <c r="C991" s="3" t="s">
        <v>1251</v>
      </c>
    </row>
    <row r="992" spans="1:3" ht="20.100000000000001" customHeight="1" x14ac:dyDescent="0.25">
      <c r="A992" s="1" t="s">
        <v>673</v>
      </c>
      <c r="B992" s="2" t="s">
        <v>1244</v>
      </c>
      <c r="C992" s="3" t="s">
        <v>1251</v>
      </c>
    </row>
    <row r="993" spans="1:3" ht="20.100000000000001" customHeight="1" x14ac:dyDescent="0.25">
      <c r="A993" s="1" t="s">
        <v>674</v>
      </c>
      <c r="B993" s="2" t="s">
        <v>1245</v>
      </c>
      <c r="C993" s="3" t="s">
        <v>1251</v>
      </c>
    </row>
    <row r="994" spans="1:3" ht="20.100000000000001" customHeight="1" x14ac:dyDescent="0.25">
      <c r="A994" s="1" t="s">
        <v>675</v>
      </c>
      <c r="B994" s="2" t="s">
        <v>1246</v>
      </c>
      <c r="C994" s="3" t="s">
        <v>1251</v>
      </c>
    </row>
    <row r="995" spans="1:3" ht="20.100000000000001" customHeight="1" x14ac:dyDescent="0.25">
      <c r="A995" s="1" t="s">
        <v>676</v>
      </c>
      <c r="B995" s="2" t="s">
        <v>1247</v>
      </c>
      <c r="C995" s="3" t="s">
        <v>1251</v>
      </c>
    </row>
    <row r="996" spans="1:3" ht="20.100000000000001" customHeight="1" x14ac:dyDescent="0.25">
      <c r="A996" s="1" t="s">
        <v>677</v>
      </c>
      <c r="B996" s="2" t="s">
        <v>1250</v>
      </c>
      <c r="C996" s="3" t="s">
        <v>1251</v>
      </c>
    </row>
    <row r="997" spans="1:3" ht="20.100000000000001" customHeight="1" x14ac:dyDescent="0.25">
      <c r="A997" s="1" t="s">
        <v>678</v>
      </c>
      <c r="B997" s="2" t="s">
        <v>1249</v>
      </c>
      <c r="C997" s="3" t="s">
        <v>1251</v>
      </c>
    </row>
    <row r="998" spans="1:3" ht="20.100000000000001" customHeight="1" x14ac:dyDescent="0.25">
      <c r="A998" s="1" t="s">
        <v>1359</v>
      </c>
      <c r="B998" s="2" t="s">
        <v>1248</v>
      </c>
      <c r="C998" s="3" t="s">
        <v>1251</v>
      </c>
    </row>
    <row r="999" spans="1:3" ht="20.100000000000001" customHeight="1" x14ac:dyDescent="0.25"/>
    <row r="1000" spans="1:3" ht="20.100000000000001" customHeight="1" x14ac:dyDescent="0.25"/>
    <row r="1001" spans="1:3" ht="20.100000000000001" customHeight="1" x14ac:dyDescent="0.25"/>
    <row r="1002" spans="1:3" ht="20.100000000000001" customHeight="1" x14ac:dyDescent="0.25"/>
    <row r="1003" spans="1:3" ht="20.100000000000001" customHeight="1" x14ac:dyDescent="0.25"/>
    <row r="1004" spans="1:3" ht="20.100000000000001" customHeight="1" x14ac:dyDescent="0.25"/>
    <row r="1005" spans="1:3" ht="20.100000000000001" customHeight="1" x14ac:dyDescent="0.25"/>
    <row r="1006" spans="1:3" ht="20.100000000000001" customHeight="1" x14ac:dyDescent="0.25"/>
    <row r="1007" spans="1:3" ht="20.100000000000001" customHeight="1" x14ac:dyDescent="0.25"/>
    <row r="1008" spans="1:3" ht="20.100000000000001" customHeight="1" x14ac:dyDescent="0.25"/>
    <row r="1009" ht="20.100000000000001" customHeight="1" x14ac:dyDescent="0.25"/>
    <row r="1010" ht="20.100000000000001" customHeight="1" x14ac:dyDescent="0.25"/>
    <row r="1011" ht="20.100000000000001" customHeight="1" x14ac:dyDescent="0.25"/>
    <row r="1012" ht="20.100000000000001" customHeight="1" x14ac:dyDescent="0.25"/>
    <row r="1013" ht="20.100000000000001" customHeight="1" x14ac:dyDescent="0.25"/>
    <row r="1014" ht="20.100000000000001" customHeight="1" x14ac:dyDescent="0.25"/>
    <row r="1015" ht="20.100000000000001" customHeight="1" x14ac:dyDescent="0.25"/>
    <row r="1016" ht="20.100000000000001" customHeight="1" x14ac:dyDescent="0.25"/>
    <row r="1017" ht="20.100000000000001" customHeight="1" x14ac:dyDescent="0.25"/>
    <row r="1018" ht="20.100000000000001" customHeight="1" x14ac:dyDescent="0.25"/>
    <row r="1019" ht="20.100000000000001" customHeight="1" x14ac:dyDescent="0.25"/>
    <row r="1020" ht="20.100000000000001" customHeight="1" x14ac:dyDescent="0.25"/>
    <row r="1021" ht="20.100000000000001" customHeight="1" x14ac:dyDescent="0.25"/>
    <row r="1022" ht="20.100000000000001" customHeight="1" x14ac:dyDescent="0.25"/>
    <row r="1023" ht="20.100000000000001" customHeight="1" x14ac:dyDescent="0.25"/>
    <row r="1024" ht="20.100000000000001" customHeight="1" x14ac:dyDescent="0.25"/>
    <row r="1025" ht="20.100000000000001" customHeight="1" x14ac:dyDescent="0.25"/>
    <row r="1026" ht="20.100000000000001" customHeight="1" x14ac:dyDescent="0.25"/>
    <row r="1027" ht="20.100000000000001" customHeight="1" x14ac:dyDescent="0.25"/>
    <row r="1028" ht="20.100000000000001" customHeight="1" x14ac:dyDescent="0.25"/>
    <row r="1029" ht="20.100000000000001" customHeight="1" x14ac:dyDescent="0.25"/>
    <row r="1030" ht="20.100000000000001" customHeight="1" x14ac:dyDescent="0.25"/>
    <row r="1031" ht="20.100000000000001" customHeight="1" x14ac:dyDescent="0.25"/>
    <row r="1032" ht="20.100000000000001" customHeight="1" x14ac:dyDescent="0.25"/>
    <row r="1033" ht="20.100000000000001" customHeight="1" x14ac:dyDescent="0.25"/>
    <row r="1034" ht="20.100000000000001" customHeight="1" x14ac:dyDescent="0.25"/>
    <row r="1035" ht="20.100000000000001" customHeight="1" x14ac:dyDescent="0.25"/>
    <row r="1036" ht="20.100000000000001" customHeight="1" x14ac:dyDescent="0.25"/>
    <row r="1037" ht="20.100000000000001" customHeight="1" x14ac:dyDescent="0.25"/>
    <row r="1038" ht="20.100000000000001" customHeight="1" x14ac:dyDescent="0.25"/>
    <row r="1039" ht="20.100000000000001" customHeight="1" x14ac:dyDescent="0.25"/>
    <row r="1040" ht="20.100000000000001" customHeight="1" x14ac:dyDescent="0.25"/>
    <row r="1041" ht="20.100000000000001" customHeight="1" x14ac:dyDescent="0.25"/>
    <row r="1042" ht="20.100000000000001" customHeight="1" x14ac:dyDescent="0.25"/>
    <row r="1043" ht="20.100000000000001" customHeight="1" x14ac:dyDescent="0.25"/>
    <row r="1044" ht="20.100000000000001" customHeight="1" x14ac:dyDescent="0.25"/>
    <row r="1045" ht="20.100000000000001" customHeight="1" x14ac:dyDescent="0.25"/>
    <row r="1046" ht="20.100000000000001" customHeight="1" x14ac:dyDescent="0.25"/>
    <row r="1047" ht="20.100000000000001" customHeight="1" x14ac:dyDescent="0.25"/>
    <row r="1048" ht="20.100000000000001" customHeight="1" x14ac:dyDescent="0.25"/>
    <row r="1049" ht="20.100000000000001" customHeight="1" x14ac:dyDescent="0.25"/>
    <row r="1050" ht="20.100000000000001" customHeight="1" x14ac:dyDescent="0.25"/>
    <row r="1051" ht="20.100000000000001" customHeight="1" x14ac:dyDescent="0.25"/>
    <row r="1052" ht="20.100000000000001" customHeight="1" x14ac:dyDescent="0.25"/>
    <row r="1053" ht="20.100000000000001" customHeight="1" x14ac:dyDescent="0.25"/>
    <row r="1054" ht="20.100000000000001" customHeight="1" x14ac:dyDescent="0.25"/>
    <row r="1055" ht="20.100000000000001" customHeight="1" x14ac:dyDescent="0.25"/>
    <row r="1056" ht="20.100000000000001" customHeight="1" x14ac:dyDescent="0.25"/>
    <row r="1057" ht="20.100000000000001" customHeight="1" x14ac:dyDescent="0.25"/>
    <row r="1058" ht="20.100000000000001" customHeight="1" x14ac:dyDescent="0.25"/>
    <row r="1059" ht="20.100000000000001" customHeight="1" x14ac:dyDescent="0.25"/>
    <row r="1060" ht="20.100000000000001" customHeight="1" x14ac:dyDescent="0.25"/>
    <row r="1061" ht="20.100000000000001" customHeight="1" x14ac:dyDescent="0.25"/>
    <row r="1062" ht="20.100000000000001" customHeight="1" x14ac:dyDescent="0.25"/>
    <row r="1063" ht="20.100000000000001" customHeight="1" x14ac:dyDescent="0.25"/>
    <row r="1064" ht="20.100000000000001" customHeight="1" x14ac:dyDescent="0.25"/>
    <row r="1065" ht="20.100000000000001" customHeight="1" x14ac:dyDescent="0.25"/>
    <row r="1066" ht="20.100000000000001" customHeight="1" x14ac:dyDescent="0.25"/>
    <row r="1067" ht="20.100000000000001" customHeight="1" x14ac:dyDescent="0.25"/>
    <row r="1068" ht="20.100000000000001" customHeight="1" x14ac:dyDescent="0.25"/>
    <row r="1069" ht="20.100000000000001" customHeight="1" x14ac:dyDescent="0.25"/>
    <row r="1070" ht="20.100000000000001" customHeight="1" x14ac:dyDescent="0.25"/>
    <row r="1071" ht="20.100000000000001" customHeight="1" x14ac:dyDescent="0.25"/>
    <row r="1072" ht="20.100000000000001" customHeight="1" x14ac:dyDescent="0.25"/>
    <row r="1073" ht="20.100000000000001" customHeight="1" x14ac:dyDescent="0.25"/>
    <row r="1074" ht="20.100000000000001" customHeight="1" x14ac:dyDescent="0.25"/>
    <row r="1075" ht="20.100000000000001" customHeight="1" x14ac:dyDescent="0.25"/>
    <row r="1076" ht="20.100000000000001" customHeight="1" x14ac:dyDescent="0.25"/>
    <row r="1077" ht="20.100000000000001" customHeight="1" x14ac:dyDescent="0.25"/>
    <row r="1078" ht="20.100000000000001" customHeight="1" x14ac:dyDescent="0.25"/>
    <row r="1079" ht="20.100000000000001" customHeight="1" x14ac:dyDescent="0.25"/>
    <row r="1080" ht="20.100000000000001" customHeight="1" x14ac:dyDescent="0.25"/>
    <row r="1081" ht="20.100000000000001" customHeight="1" x14ac:dyDescent="0.25"/>
    <row r="1082" ht="20.100000000000001" customHeight="1" x14ac:dyDescent="0.25"/>
    <row r="1083" ht="20.100000000000001" customHeight="1" x14ac:dyDescent="0.25"/>
    <row r="1084" ht="20.100000000000001" customHeight="1" x14ac:dyDescent="0.25"/>
    <row r="1085" ht="20.100000000000001" customHeight="1" x14ac:dyDescent="0.25"/>
    <row r="1086" ht="20.100000000000001" customHeight="1" x14ac:dyDescent="0.25"/>
  </sheetData>
  <mergeCells count="73">
    <mergeCell ref="S48:V49"/>
    <mergeCell ref="W48:AG49"/>
    <mergeCell ref="AE50:AG50"/>
    <mergeCell ref="A53:D54"/>
    <mergeCell ref="E53:M54"/>
    <mergeCell ref="N53:R54"/>
    <mergeCell ref="S53:AA54"/>
    <mergeCell ref="AD53:AG53"/>
    <mergeCell ref="AB54:AG55"/>
    <mergeCell ref="A55:AA55"/>
    <mergeCell ref="A51:C52"/>
    <mergeCell ref="E51:M52"/>
    <mergeCell ref="N51:R52"/>
    <mergeCell ref="S51:AA52"/>
    <mergeCell ref="A48:D49"/>
    <mergeCell ref="E48:R49"/>
    <mergeCell ref="A44:D45"/>
    <mergeCell ref="E44:R45"/>
    <mergeCell ref="S44:V45"/>
    <mergeCell ref="W44:AG45"/>
    <mergeCell ref="A46:D47"/>
    <mergeCell ref="E46:R46"/>
    <mergeCell ref="S46:V47"/>
    <mergeCell ref="W46:AG46"/>
    <mergeCell ref="E47:R47"/>
    <mergeCell ref="W47:AG47"/>
    <mergeCell ref="T34:AD34"/>
    <mergeCell ref="S35:AG41"/>
    <mergeCell ref="A36:G36"/>
    <mergeCell ref="A38:R38"/>
    <mergeCell ref="A42:D43"/>
    <mergeCell ref="E42:R43"/>
    <mergeCell ref="S42:V43"/>
    <mergeCell ref="W42:AG43"/>
    <mergeCell ref="B27:AF27"/>
    <mergeCell ref="L28:X28"/>
    <mergeCell ref="A30:R30"/>
    <mergeCell ref="S30:W30"/>
    <mergeCell ref="X30:AB30"/>
    <mergeCell ref="AC30:AG30"/>
    <mergeCell ref="B26:AF26"/>
    <mergeCell ref="A13:C14"/>
    <mergeCell ref="E13:V14"/>
    <mergeCell ref="W13:AG13"/>
    <mergeCell ref="W14:AG14"/>
    <mergeCell ref="A15:Q15"/>
    <mergeCell ref="R15:V15"/>
    <mergeCell ref="W15:AA15"/>
    <mergeCell ref="AB15:AG15"/>
    <mergeCell ref="A16:Q21"/>
    <mergeCell ref="AB16:AG21"/>
    <mergeCell ref="A22:Q22"/>
    <mergeCell ref="AB22:AG22"/>
    <mergeCell ref="B23:AG23"/>
    <mergeCell ref="A8:C10"/>
    <mergeCell ref="E8:AG8"/>
    <mergeCell ref="J10:M10"/>
    <mergeCell ref="O10:T10"/>
    <mergeCell ref="A11:C12"/>
    <mergeCell ref="E11:R12"/>
    <mergeCell ref="S11:AA11"/>
    <mergeCell ref="AB11:AG11"/>
    <mergeCell ref="S12:AA12"/>
    <mergeCell ref="AB12:AG12"/>
    <mergeCell ref="A5:AA7"/>
    <mergeCell ref="AB5:AG5"/>
    <mergeCell ref="AB6:AG6"/>
    <mergeCell ref="AB7:AG7"/>
    <mergeCell ref="AB1:AG1"/>
    <mergeCell ref="A3:AA3"/>
    <mergeCell ref="AB3:AG3"/>
    <mergeCell ref="A4:AA4"/>
    <mergeCell ref="AB4:AG4"/>
  </mergeCells>
  <printOptions horizontalCentered="1" verticalCentered="1"/>
  <pageMargins left="0" right="0" top="0" bottom="0" header="0.31496062992125984" footer="0.31496062992125984"/>
  <pageSetup paperSize="9" scale="7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O55"/>
  <sheetViews>
    <sheetView topLeftCell="A28" workbookViewId="0">
      <selection activeCell="M36" sqref="M36"/>
    </sheetView>
  </sheetViews>
  <sheetFormatPr defaultRowHeight="15" x14ac:dyDescent="0.25"/>
  <cols>
    <col min="13" max="13" width="13" customWidth="1"/>
    <col min="14" max="14" width="13.140625" customWidth="1"/>
  </cols>
  <sheetData>
    <row r="1" spans="2:14" ht="20.25" x14ac:dyDescent="0.25"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478" t="s">
        <v>1462</v>
      </c>
      <c r="N1" s="478"/>
    </row>
    <row r="2" spans="2:14" ht="15.75" thickBot="1" x14ac:dyDescent="0.3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479"/>
      <c r="N2" s="479"/>
    </row>
    <row r="3" spans="2:14" ht="15.75" x14ac:dyDescent="0.25">
      <c r="B3" s="527" t="s">
        <v>1463</v>
      </c>
      <c r="C3" s="528"/>
      <c r="D3" s="528"/>
      <c r="E3" s="528"/>
      <c r="F3" s="528"/>
      <c r="G3" s="528"/>
      <c r="H3" s="528"/>
      <c r="I3" s="528"/>
      <c r="J3" s="528"/>
      <c r="K3" s="529"/>
      <c r="L3" s="526" t="s">
        <v>1464</v>
      </c>
      <c r="M3" s="466"/>
      <c r="N3" s="467"/>
    </row>
    <row r="4" spans="2:14" x14ac:dyDescent="0.25">
      <c r="B4" s="455" t="s">
        <v>1465</v>
      </c>
      <c r="C4" s="456"/>
      <c r="D4" s="456"/>
      <c r="E4" s="456"/>
      <c r="F4" s="456"/>
      <c r="G4" s="456"/>
      <c r="H4" s="456"/>
      <c r="I4" s="456"/>
      <c r="J4" s="456"/>
      <c r="K4" s="457"/>
      <c r="L4" s="451" t="s">
        <v>1466</v>
      </c>
      <c r="M4" s="452"/>
      <c r="N4" s="525"/>
    </row>
    <row r="5" spans="2:14" ht="15.75" thickBot="1" x14ac:dyDescent="0.3">
      <c r="B5" s="545" t="s">
        <v>1467</v>
      </c>
      <c r="C5" s="546"/>
      <c r="D5" s="546"/>
      <c r="E5" s="546"/>
      <c r="F5" s="546"/>
      <c r="G5" s="546"/>
      <c r="H5" s="546"/>
      <c r="I5" s="546"/>
      <c r="J5" s="546"/>
      <c r="K5" s="547"/>
      <c r="L5" s="542" t="s">
        <v>1468</v>
      </c>
      <c r="M5" s="543"/>
      <c r="N5" s="544"/>
    </row>
    <row r="6" spans="2:14" x14ac:dyDescent="0.25">
      <c r="B6" s="509" t="s">
        <v>1422</v>
      </c>
      <c r="C6" s="505"/>
      <c r="D6" s="506"/>
      <c r="E6" s="536"/>
      <c r="F6" s="537"/>
      <c r="G6" s="537"/>
      <c r="H6" s="537"/>
      <c r="I6" s="537"/>
      <c r="J6" s="537"/>
      <c r="K6" s="537"/>
      <c r="L6" s="537"/>
      <c r="M6" s="537"/>
      <c r="N6" s="538"/>
    </row>
    <row r="7" spans="2:14" x14ac:dyDescent="0.25">
      <c r="B7" s="533"/>
      <c r="C7" s="534"/>
      <c r="D7" s="535"/>
      <c r="E7" s="539"/>
      <c r="F7" s="540"/>
      <c r="G7" s="540"/>
      <c r="H7" s="540"/>
      <c r="I7" s="540"/>
      <c r="J7" s="540"/>
      <c r="K7" s="540"/>
      <c r="L7" s="540"/>
      <c r="M7" s="540"/>
      <c r="N7" s="541"/>
    </row>
    <row r="8" spans="2:14" x14ac:dyDescent="0.25">
      <c r="B8" s="517" t="s">
        <v>1469</v>
      </c>
      <c r="C8" s="518"/>
      <c r="D8" s="519"/>
      <c r="E8" s="511" t="s">
        <v>1470</v>
      </c>
      <c r="F8" s="512"/>
      <c r="G8" s="512"/>
      <c r="H8" s="512"/>
      <c r="I8" s="512"/>
      <c r="J8" s="512"/>
      <c r="K8" s="512"/>
      <c r="L8" s="512"/>
      <c r="M8" s="512"/>
      <c r="N8" s="513"/>
    </row>
    <row r="9" spans="2:14" x14ac:dyDescent="0.25">
      <c r="B9" s="533"/>
      <c r="C9" s="534"/>
      <c r="D9" s="535"/>
      <c r="E9" s="530"/>
      <c r="F9" s="531"/>
      <c r="G9" s="531"/>
      <c r="H9" s="531"/>
      <c r="I9" s="531"/>
      <c r="J9" s="531"/>
      <c r="K9" s="531"/>
      <c r="L9" s="531"/>
      <c r="M9" s="531"/>
      <c r="N9" s="532"/>
    </row>
    <row r="10" spans="2:14" x14ac:dyDescent="0.25">
      <c r="B10" s="517" t="s">
        <v>1425</v>
      </c>
      <c r="C10" s="518"/>
      <c r="D10" s="519"/>
      <c r="E10" s="511" t="s">
        <v>1471</v>
      </c>
      <c r="F10" s="512"/>
      <c r="G10" s="512"/>
      <c r="H10" s="512"/>
      <c r="I10" s="512"/>
      <c r="J10" s="512"/>
      <c r="K10" s="512"/>
      <c r="L10" s="512"/>
      <c r="M10" s="512"/>
      <c r="N10" s="513"/>
    </row>
    <row r="11" spans="2:14" ht="15.75" thickBot="1" x14ac:dyDescent="0.3">
      <c r="B11" s="510"/>
      <c r="C11" s="507"/>
      <c r="D11" s="508"/>
      <c r="E11" s="514"/>
      <c r="F11" s="515"/>
      <c r="G11" s="515"/>
      <c r="H11" s="515"/>
      <c r="I11" s="515"/>
      <c r="J11" s="515"/>
      <c r="K11" s="515"/>
      <c r="L11" s="515"/>
      <c r="M11" s="515"/>
      <c r="N11" s="516"/>
    </row>
    <row r="12" spans="2:14" x14ac:dyDescent="0.25">
      <c r="B12" s="509" t="s">
        <v>1429</v>
      </c>
      <c r="C12" s="505"/>
      <c r="D12" s="506"/>
      <c r="E12" s="495" t="s">
        <v>1428</v>
      </c>
      <c r="F12" s="505"/>
      <c r="G12" s="505"/>
      <c r="H12" s="505"/>
      <c r="I12" s="506"/>
      <c r="J12" s="501" t="s">
        <v>1430</v>
      </c>
      <c r="K12" s="502"/>
      <c r="L12" s="499" t="s">
        <v>1472</v>
      </c>
      <c r="M12" s="495" t="s">
        <v>1431</v>
      </c>
      <c r="N12" s="496"/>
    </row>
    <row r="13" spans="2:14" ht="29.25" customHeight="1" thickBot="1" x14ac:dyDescent="0.3">
      <c r="B13" s="510"/>
      <c r="C13" s="507"/>
      <c r="D13" s="508"/>
      <c r="E13" s="497"/>
      <c r="F13" s="507"/>
      <c r="G13" s="507"/>
      <c r="H13" s="507"/>
      <c r="I13" s="508"/>
      <c r="J13" s="503"/>
      <c r="K13" s="504"/>
      <c r="L13" s="500"/>
      <c r="M13" s="497"/>
      <c r="N13" s="498"/>
    </row>
    <row r="14" spans="2:14" x14ac:dyDescent="0.25">
      <c r="B14" s="489"/>
      <c r="C14" s="490"/>
      <c r="D14" s="488"/>
      <c r="E14" s="520" t="str">
        <f>DV!A16</f>
        <v>CA re: Risk Resiliency Program thru Cash for Training and Work (RRP-CFTW) in the Municipality of Loreto, Agusan del Sur</v>
      </c>
      <c r="F14" s="521"/>
      <c r="G14" s="521"/>
      <c r="H14" s="521"/>
      <c r="I14" s="522"/>
      <c r="J14" s="487"/>
      <c r="K14" s="488"/>
      <c r="L14" s="174"/>
      <c r="M14" s="491">
        <f>DV!AB16</f>
        <v>5955651</v>
      </c>
      <c r="N14" s="492"/>
    </row>
    <row r="15" spans="2:14" x14ac:dyDescent="0.25">
      <c r="B15" s="480"/>
      <c r="C15" s="481"/>
      <c r="D15" s="482"/>
      <c r="E15" s="523"/>
      <c r="F15" s="452"/>
      <c r="G15" s="452"/>
      <c r="H15" s="452"/>
      <c r="I15" s="524"/>
      <c r="J15" s="483"/>
      <c r="K15" s="484"/>
      <c r="L15" s="156"/>
      <c r="M15" s="493"/>
      <c r="N15" s="494"/>
    </row>
    <row r="16" spans="2:14" x14ac:dyDescent="0.25">
      <c r="B16" s="480"/>
      <c r="C16" s="481"/>
      <c r="D16" s="482"/>
      <c r="E16" s="523"/>
      <c r="F16" s="452"/>
      <c r="G16" s="452"/>
      <c r="H16" s="452"/>
      <c r="I16" s="524"/>
      <c r="J16" s="483"/>
      <c r="K16" s="484"/>
      <c r="L16" s="156"/>
      <c r="M16" s="493"/>
      <c r="N16" s="494"/>
    </row>
    <row r="17" spans="2:15" x14ac:dyDescent="0.25">
      <c r="B17" s="480"/>
      <c r="C17" s="481"/>
      <c r="D17" s="482"/>
      <c r="E17" s="523"/>
      <c r="F17" s="452"/>
      <c r="G17" s="452"/>
      <c r="H17" s="452"/>
      <c r="I17" s="524"/>
      <c r="J17" s="483"/>
      <c r="K17" s="484"/>
      <c r="L17" s="156"/>
      <c r="M17" s="493"/>
      <c r="N17" s="494"/>
    </row>
    <row r="18" spans="2:15" x14ac:dyDescent="0.25">
      <c r="B18" s="480"/>
      <c r="C18" s="481"/>
      <c r="D18" s="482"/>
      <c r="E18" s="523"/>
      <c r="F18" s="452"/>
      <c r="G18" s="452"/>
      <c r="H18" s="452"/>
      <c r="I18" s="524"/>
      <c r="J18" s="483"/>
      <c r="K18" s="484"/>
      <c r="L18" s="159"/>
      <c r="M18" s="493"/>
      <c r="N18" s="494"/>
    </row>
    <row r="19" spans="2:15" x14ac:dyDescent="0.25">
      <c r="B19" s="480"/>
      <c r="C19" s="481"/>
      <c r="D19" s="482"/>
      <c r="E19" s="523"/>
      <c r="F19" s="452"/>
      <c r="G19" s="452"/>
      <c r="H19" s="452"/>
      <c r="I19" s="524"/>
      <c r="J19" s="483"/>
      <c r="K19" s="484"/>
      <c r="L19" s="159"/>
      <c r="M19" s="493"/>
      <c r="N19" s="494"/>
    </row>
    <row r="20" spans="2:15" x14ac:dyDescent="0.25">
      <c r="B20" s="480"/>
      <c r="C20" s="481"/>
      <c r="D20" s="482"/>
      <c r="E20" s="523"/>
      <c r="F20" s="452"/>
      <c r="G20" s="452"/>
      <c r="H20" s="452"/>
      <c r="I20" s="524"/>
      <c r="J20" s="483"/>
      <c r="K20" s="484"/>
      <c r="L20" s="159"/>
      <c r="M20" s="493"/>
      <c r="N20" s="494"/>
    </row>
    <row r="21" spans="2:15" x14ac:dyDescent="0.25">
      <c r="B21" s="480"/>
      <c r="C21" s="481"/>
      <c r="D21" s="482"/>
      <c r="E21" s="523"/>
      <c r="F21" s="452"/>
      <c r="G21" s="452"/>
      <c r="H21" s="452"/>
      <c r="I21" s="524"/>
      <c r="J21" s="483"/>
      <c r="K21" s="484"/>
      <c r="L21" s="159"/>
      <c r="M21" s="493"/>
      <c r="N21" s="494"/>
    </row>
    <row r="22" spans="2:15" ht="15.75" thickBot="1" x14ac:dyDescent="0.3">
      <c r="B22" s="475"/>
      <c r="C22" s="476"/>
      <c r="D22" s="477"/>
      <c r="E22" s="472" t="s">
        <v>1473</v>
      </c>
      <c r="F22" s="473"/>
      <c r="G22" s="473"/>
      <c r="H22" s="473"/>
      <c r="I22" s="474"/>
      <c r="J22" s="470"/>
      <c r="K22" s="471"/>
      <c r="L22" s="150"/>
      <c r="M22" s="485">
        <f>VALUE(M14)</f>
        <v>5955651</v>
      </c>
      <c r="N22" s="486"/>
    </row>
    <row r="23" spans="2:15" x14ac:dyDescent="0.25">
      <c r="B23" s="468" t="s">
        <v>1377</v>
      </c>
      <c r="C23" s="175"/>
      <c r="D23" s="93"/>
      <c r="E23" s="466" t="s">
        <v>1474</v>
      </c>
      <c r="F23" s="466"/>
      <c r="G23" s="466"/>
      <c r="H23" s="466"/>
      <c r="I23" s="467"/>
      <c r="J23" s="464" t="s">
        <v>1379</v>
      </c>
      <c r="K23" s="151"/>
      <c r="L23" s="93"/>
      <c r="M23" s="93"/>
      <c r="N23" s="160"/>
    </row>
    <row r="24" spans="2:15" x14ac:dyDescent="0.25">
      <c r="B24" s="469"/>
      <c r="C24" s="462" t="s">
        <v>1440</v>
      </c>
      <c r="D24" s="463"/>
      <c r="E24" s="437"/>
      <c r="F24" s="437"/>
      <c r="G24" s="437"/>
      <c r="H24" s="437"/>
      <c r="I24" s="438"/>
      <c r="J24" s="465"/>
      <c r="K24" s="152" t="s">
        <v>1475</v>
      </c>
      <c r="L24" s="93"/>
      <c r="M24" s="93"/>
      <c r="N24" s="160"/>
    </row>
    <row r="25" spans="2:15" x14ac:dyDescent="0.25">
      <c r="B25" s="153"/>
      <c r="C25" s="432" t="s">
        <v>1476</v>
      </c>
      <c r="D25" s="432"/>
      <c r="E25" s="432"/>
      <c r="F25" s="432"/>
      <c r="G25" s="432"/>
      <c r="H25" s="432"/>
      <c r="I25" s="433"/>
      <c r="J25" s="157"/>
      <c r="K25" s="93" t="s">
        <v>1477</v>
      </c>
      <c r="L25" s="93"/>
      <c r="M25" s="93"/>
      <c r="N25" s="160"/>
    </row>
    <row r="26" spans="2:15" x14ac:dyDescent="0.25">
      <c r="B26" s="450"/>
      <c r="C26" s="93" t="s">
        <v>1478</v>
      </c>
      <c r="D26" s="93"/>
      <c r="E26" s="93"/>
      <c r="F26" s="93"/>
      <c r="G26" s="93"/>
      <c r="H26" s="93"/>
      <c r="I26" s="160"/>
      <c r="J26" s="93"/>
      <c r="K26" s="93" t="s">
        <v>1479</v>
      </c>
      <c r="L26" s="93"/>
      <c r="M26" s="93"/>
      <c r="N26" s="160"/>
    </row>
    <row r="27" spans="2:15" x14ac:dyDescent="0.25">
      <c r="B27" s="450"/>
      <c r="C27" s="93"/>
      <c r="D27" s="93"/>
      <c r="E27" s="93"/>
      <c r="F27" s="93"/>
      <c r="G27" s="93"/>
      <c r="H27" s="93"/>
      <c r="I27" s="160"/>
      <c r="J27" s="93"/>
      <c r="K27" s="93"/>
      <c r="L27" s="93"/>
      <c r="M27" s="93"/>
      <c r="N27" s="160"/>
    </row>
    <row r="28" spans="2:15" x14ac:dyDescent="0.25">
      <c r="B28" s="439" t="s">
        <v>1480</v>
      </c>
      <c r="C28" s="440"/>
      <c r="D28" s="458" t="s">
        <v>1481</v>
      </c>
      <c r="E28" s="458"/>
      <c r="F28" s="458"/>
      <c r="G28" s="458"/>
      <c r="H28" s="458"/>
      <c r="I28" s="459"/>
      <c r="J28" s="93" t="s">
        <v>1482</v>
      </c>
      <c r="K28" s="93"/>
      <c r="L28" s="161" t="s">
        <v>1507</v>
      </c>
      <c r="M28" s="93"/>
      <c r="N28" s="160"/>
      <c r="O28" s="160"/>
    </row>
    <row r="29" spans="2:15" x14ac:dyDescent="0.25">
      <c r="B29" s="162"/>
      <c r="C29" s="158"/>
      <c r="D29" s="154"/>
      <c r="E29" s="154"/>
      <c r="F29" s="154"/>
      <c r="G29" s="154"/>
      <c r="H29" s="158"/>
      <c r="I29" s="163"/>
      <c r="J29" s="93"/>
      <c r="K29" s="93"/>
      <c r="L29" s="93"/>
      <c r="M29" s="93"/>
      <c r="N29" s="160"/>
    </row>
    <row r="30" spans="2:15" x14ac:dyDescent="0.25">
      <c r="B30" s="455" t="s">
        <v>1517</v>
      </c>
      <c r="C30" s="456"/>
      <c r="D30" s="456"/>
      <c r="E30" s="456"/>
      <c r="F30" s="456"/>
      <c r="G30" s="456"/>
      <c r="H30" s="456"/>
      <c r="I30" s="457"/>
      <c r="J30" s="93" t="s">
        <v>1483</v>
      </c>
      <c r="K30" s="93"/>
      <c r="L30" s="186" t="s">
        <v>1523</v>
      </c>
      <c r="M30" s="152"/>
      <c r="N30" s="160"/>
    </row>
    <row r="31" spans="2:15" x14ac:dyDescent="0.25">
      <c r="B31" s="162"/>
      <c r="C31" s="158"/>
      <c r="D31" s="164"/>
      <c r="E31" s="164"/>
      <c r="F31" s="164"/>
      <c r="G31" s="164"/>
      <c r="H31" s="158"/>
      <c r="I31" s="163"/>
      <c r="J31" s="93"/>
      <c r="K31" s="93"/>
      <c r="L31" s="93"/>
      <c r="M31" s="93"/>
      <c r="N31" s="160"/>
    </row>
    <row r="32" spans="2:15" x14ac:dyDescent="0.25">
      <c r="B32" s="439" t="s">
        <v>1484</v>
      </c>
      <c r="C32" s="440"/>
      <c r="D32" s="437" t="s">
        <v>1518</v>
      </c>
      <c r="E32" s="437"/>
      <c r="F32" s="437"/>
      <c r="G32" s="437"/>
      <c r="H32" s="437"/>
      <c r="I32" s="438"/>
      <c r="J32" s="93" t="s">
        <v>1484</v>
      </c>
      <c r="K32" s="93"/>
      <c r="L32" s="161" t="s">
        <v>1485</v>
      </c>
      <c r="M32" s="93"/>
      <c r="N32" s="160"/>
    </row>
    <row r="33" spans="2:14" x14ac:dyDescent="0.25">
      <c r="B33" s="162"/>
      <c r="C33" s="453" t="s">
        <v>1486</v>
      </c>
      <c r="D33" s="453"/>
      <c r="E33" s="453"/>
      <c r="F33" s="453"/>
      <c r="G33" s="453"/>
      <c r="H33" s="453"/>
      <c r="I33" s="454"/>
      <c r="K33" s="93" t="s">
        <v>1487</v>
      </c>
      <c r="L33" s="181"/>
      <c r="M33" s="181"/>
      <c r="N33" s="180"/>
    </row>
    <row r="34" spans="2:14" x14ac:dyDescent="0.25">
      <c r="B34" s="451" t="s">
        <v>1488</v>
      </c>
      <c r="C34" s="452"/>
      <c r="D34" s="437" t="s">
        <v>1481</v>
      </c>
      <c r="E34" s="437"/>
      <c r="F34" s="437"/>
      <c r="G34" s="437"/>
      <c r="H34" s="437"/>
      <c r="I34" s="438"/>
      <c r="J34" s="93" t="s">
        <v>1489</v>
      </c>
      <c r="K34" s="93"/>
      <c r="L34" s="93" t="s">
        <v>1508</v>
      </c>
      <c r="M34" s="93"/>
      <c r="N34" s="160"/>
    </row>
    <row r="35" spans="2:14" ht="15.75" thickBot="1" x14ac:dyDescent="0.3">
      <c r="B35" s="165"/>
      <c r="C35" s="166"/>
      <c r="D35" s="166"/>
      <c r="E35" s="166"/>
      <c r="F35" s="166"/>
      <c r="G35" s="166"/>
      <c r="H35" s="166"/>
      <c r="I35" s="167"/>
      <c r="J35" s="149"/>
      <c r="K35" s="149"/>
      <c r="L35" s="149"/>
      <c r="M35" s="149"/>
      <c r="N35" s="155"/>
    </row>
    <row r="36" spans="2:14" ht="15.75" thickBot="1" x14ac:dyDescent="0.3">
      <c r="B36" s="168"/>
      <c r="C36" s="169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1"/>
    </row>
    <row r="37" spans="2:14" ht="15.75" thickBot="1" x14ac:dyDescent="0.3">
      <c r="B37" s="176" t="s">
        <v>1378</v>
      </c>
      <c r="C37" s="434" t="s">
        <v>1490</v>
      </c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436"/>
    </row>
    <row r="38" spans="2:14" ht="15.75" thickBot="1" x14ac:dyDescent="0.3">
      <c r="B38" s="449" t="s">
        <v>1491</v>
      </c>
      <c r="C38" s="435"/>
      <c r="D38" s="435"/>
      <c r="E38" s="435"/>
      <c r="F38" s="435"/>
      <c r="G38" s="435"/>
      <c r="H38" s="436"/>
      <c r="I38" s="449" t="s">
        <v>1431</v>
      </c>
      <c r="J38" s="435"/>
      <c r="K38" s="435"/>
      <c r="L38" s="435"/>
      <c r="M38" s="435"/>
      <c r="N38" s="436"/>
    </row>
    <row r="39" spans="2:14" x14ac:dyDescent="0.25">
      <c r="B39" s="431" t="s">
        <v>1453</v>
      </c>
      <c r="C39" s="446" t="s">
        <v>1428</v>
      </c>
      <c r="D39" s="447"/>
      <c r="E39" s="447"/>
      <c r="F39" s="444" t="s">
        <v>1492</v>
      </c>
      <c r="G39" s="440"/>
      <c r="H39" s="445"/>
      <c r="I39" s="431" t="s">
        <v>1493</v>
      </c>
      <c r="J39" s="429" t="s">
        <v>1494</v>
      </c>
      <c r="K39" s="430"/>
      <c r="L39" s="443" t="s">
        <v>1495</v>
      </c>
      <c r="M39" s="441" t="s">
        <v>1496</v>
      </c>
      <c r="N39" s="442"/>
    </row>
    <row r="40" spans="2:14" ht="30.75" thickBot="1" x14ac:dyDescent="0.3">
      <c r="B40" s="431"/>
      <c r="C40" s="446"/>
      <c r="D40" s="447"/>
      <c r="E40" s="447"/>
      <c r="F40" s="444"/>
      <c r="G40" s="440"/>
      <c r="H40" s="445"/>
      <c r="I40" s="431"/>
      <c r="J40" s="429"/>
      <c r="K40" s="430"/>
      <c r="L40" s="443"/>
      <c r="M40" s="173" t="s">
        <v>1497</v>
      </c>
      <c r="N40" s="172" t="s">
        <v>1498</v>
      </c>
    </row>
    <row r="41" spans="2:14" ht="15.75" thickBot="1" x14ac:dyDescent="0.3">
      <c r="B41" s="448"/>
      <c r="C41" s="446"/>
      <c r="D41" s="447"/>
      <c r="E41" s="447"/>
      <c r="F41" s="444"/>
      <c r="G41" s="440"/>
      <c r="H41" s="445"/>
      <c r="I41" s="182" t="s">
        <v>1499</v>
      </c>
      <c r="J41" s="427" t="s">
        <v>1500</v>
      </c>
      <c r="K41" s="428"/>
      <c r="L41" s="177" t="s">
        <v>1501</v>
      </c>
      <c r="M41" s="178" t="s">
        <v>1502</v>
      </c>
      <c r="N41" s="179" t="s">
        <v>1503</v>
      </c>
    </row>
    <row r="42" spans="2:14" ht="15.75" thickBot="1" x14ac:dyDescent="0.3">
      <c r="B42" s="183"/>
      <c r="C42" s="460"/>
      <c r="D42" s="460"/>
      <c r="E42" s="460"/>
      <c r="F42" s="461"/>
      <c r="G42" s="461"/>
      <c r="H42" s="461"/>
      <c r="I42" s="184"/>
      <c r="J42" s="548"/>
      <c r="K42" s="549"/>
      <c r="L42" s="185"/>
      <c r="M42" s="184"/>
      <c r="N42" s="184"/>
    </row>
    <row r="43" spans="2:14" ht="15.75" thickBot="1" x14ac:dyDescent="0.3">
      <c r="B43" s="183"/>
      <c r="C43" s="460"/>
      <c r="D43" s="460"/>
      <c r="E43" s="460"/>
      <c r="F43" s="461"/>
      <c r="G43" s="461"/>
      <c r="H43" s="461"/>
      <c r="I43" s="184"/>
      <c r="J43" s="548"/>
      <c r="K43" s="549"/>
      <c r="L43" s="185"/>
      <c r="M43" s="184"/>
      <c r="N43" s="184"/>
    </row>
    <row r="44" spans="2:14" ht="15.75" thickBot="1" x14ac:dyDescent="0.3">
      <c r="B44" s="183"/>
      <c r="C44" s="460"/>
      <c r="D44" s="460"/>
      <c r="E44" s="460"/>
      <c r="F44" s="461"/>
      <c r="G44" s="461"/>
      <c r="H44" s="461"/>
      <c r="I44" s="184"/>
      <c r="J44" s="548"/>
      <c r="K44" s="549"/>
      <c r="L44" s="185"/>
      <c r="M44" s="184"/>
      <c r="N44" s="184"/>
    </row>
    <row r="45" spans="2:14" ht="15.75" thickBot="1" x14ac:dyDescent="0.3">
      <c r="B45" s="183"/>
      <c r="C45" s="460"/>
      <c r="D45" s="460"/>
      <c r="E45" s="460"/>
      <c r="F45" s="461"/>
      <c r="G45" s="461"/>
      <c r="H45" s="461"/>
      <c r="I45" s="184"/>
      <c r="J45" s="548"/>
      <c r="K45" s="549"/>
      <c r="L45" s="185"/>
      <c r="M45" s="184"/>
      <c r="N45" s="184"/>
    </row>
    <row r="46" spans="2:14" ht="15.75" thickBot="1" x14ac:dyDescent="0.3">
      <c r="B46" s="183"/>
      <c r="C46" s="460"/>
      <c r="D46" s="460"/>
      <c r="E46" s="460"/>
      <c r="F46" s="461"/>
      <c r="G46" s="461"/>
      <c r="H46" s="461"/>
      <c r="I46" s="184"/>
      <c r="J46" s="548"/>
      <c r="K46" s="549"/>
      <c r="L46" s="185"/>
      <c r="M46" s="184"/>
      <c r="N46" s="184"/>
    </row>
    <row r="47" spans="2:14" ht="15.75" thickBot="1" x14ac:dyDescent="0.3">
      <c r="B47" s="183"/>
      <c r="C47" s="460"/>
      <c r="D47" s="460"/>
      <c r="E47" s="460"/>
      <c r="F47" s="461"/>
      <c r="G47" s="461"/>
      <c r="H47" s="461"/>
      <c r="I47" s="184"/>
      <c r="J47" s="548"/>
      <c r="K47" s="549"/>
      <c r="L47" s="185"/>
      <c r="M47" s="184"/>
      <c r="N47" s="184"/>
    </row>
    <row r="48" spans="2:14" ht="15.75" thickBot="1" x14ac:dyDescent="0.3">
      <c r="B48" s="183"/>
      <c r="C48" s="460"/>
      <c r="D48" s="460"/>
      <c r="E48" s="460"/>
      <c r="F48" s="461"/>
      <c r="G48" s="461"/>
      <c r="H48" s="461"/>
      <c r="I48" s="184"/>
      <c r="J48" s="548"/>
      <c r="K48" s="549"/>
      <c r="L48" s="185"/>
      <c r="M48" s="184"/>
      <c r="N48" s="184"/>
    </row>
    <row r="49" spans="2:14" ht="15.75" thickBot="1" x14ac:dyDescent="0.3">
      <c r="B49" s="183"/>
      <c r="C49" s="460"/>
      <c r="D49" s="460"/>
      <c r="E49" s="460"/>
      <c r="F49" s="461"/>
      <c r="G49" s="461"/>
      <c r="H49" s="461"/>
      <c r="I49" s="184"/>
      <c r="J49" s="548"/>
      <c r="K49" s="549"/>
      <c r="L49" s="185"/>
      <c r="M49" s="184"/>
      <c r="N49" s="184"/>
    </row>
    <row r="50" spans="2:14" ht="15.75" thickBot="1" x14ac:dyDescent="0.3">
      <c r="B50" s="183"/>
      <c r="C50" s="460"/>
      <c r="D50" s="460"/>
      <c r="E50" s="460"/>
      <c r="F50" s="461"/>
      <c r="G50" s="461"/>
      <c r="H50" s="461"/>
      <c r="I50" s="184"/>
      <c r="J50" s="548"/>
      <c r="K50" s="549"/>
      <c r="L50" s="185"/>
      <c r="M50" s="184"/>
      <c r="N50" s="184"/>
    </row>
    <row r="51" spans="2:14" ht="15.75" thickBot="1" x14ac:dyDescent="0.3">
      <c r="B51" s="183"/>
      <c r="C51" s="460"/>
      <c r="D51" s="460"/>
      <c r="E51" s="460"/>
      <c r="F51" s="461"/>
      <c r="G51" s="461"/>
      <c r="H51" s="461"/>
      <c r="I51" s="184"/>
      <c r="J51" s="548"/>
      <c r="K51" s="549"/>
      <c r="L51" s="185"/>
      <c r="M51" s="184"/>
      <c r="N51" s="184"/>
    </row>
    <row r="52" spans="2:14" ht="15.75" thickBot="1" x14ac:dyDescent="0.3">
      <c r="B52" s="183"/>
      <c r="C52" s="460"/>
      <c r="D52" s="460"/>
      <c r="E52" s="460"/>
      <c r="F52" s="461"/>
      <c r="G52" s="461"/>
      <c r="H52" s="461"/>
      <c r="I52" s="184"/>
      <c r="J52" s="548"/>
      <c r="K52" s="549"/>
      <c r="L52" s="185"/>
      <c r="M52" s="184"/>
      <c r="N52" s="184"/>
    </row>
    <row r="53" spans="2:14" ht="15.75" thickBot="1" x14ac:dyDescent="0.3">
      <c r="B53" s="183"/>
      <c r="C53" s="460"/>
      <c r="D53" s="460"/>
      <c r="E53" s="460"/>
      <c r="F53" s="461"/>
      <c r="G53" s="461"/>
      <c r="H53" s="461"/>
      <c r="I53" s="184"/>
      <c r="J53" s="548"/>
      <c r="K53" s="549"/>
      <c r="L53" s="185"/>
      <c r="M53" s="184"/>
      <c r="N53" s="184"/>
    </row>
    <row r="54" spans="2:14" ht="15.75" thickBot="1" x14ac:dyDescent="0.3">
      <c r="B54" s="183"/>
      <c r="C54" s="460"/>
      <c r="D54" s="460"/>
      <c r="E54" s="460"/>
      <c r="F54" s="461"/>
      <c r="G54" s="461"/>
      <c r="H54" s="461"/>
      <c r="I54" s="184"/>
      <c r="J54" s="548"/>
      <c r="K54" s="549"/>
      <c r="L54" s="185"/>
      <c r="M54" s="184"/>
      <c r="N54" s="184"/>
    </row>
    <row r="55" spans="2:14" ht="15.75" thickBot="1" x14ac:dyDescent="0.3">
      <c r="B55" s="183"/>
      <c r="C55" s="460"/>
      <c r="D55" s="460"/>
      <c r="E55" s="460"/>
      <c r="F55" s="461"/>
      <c r="G55" s="461"/>
      <c r="H55" s="461"/>
      <c r="I55" s="184"/>
      <c r="J55" s="426"/>
      <c r="K55" s="426"/>
      <c r="L55" s="185"/>
      <c r="M55" s="184"/>
      <c r="N55" s="184"/>
    </row>
  </sheetData>
  <mergeCells count="108">
    <mergeCell ref="C44:E44"/>
    <mergeCell ref="F44:H44"/>
    <mergeCell ref="J44:K44"/>
    <mergeCell ref="C45:E45"/>
    <mergeCell ref="F45:H45"/>
    <mergeCell ref="J45:K45"/>
    <mergeCell ref="C48:E48"/>
    <mergeCell ref="F48:H48"/>
    <mergeCell ref="J48:K48"/>
    <mergeCell ref="C46:E46"/>
    <mergeCell ref="F46:H46"/>
    <mergeCell ref="J46:K46"/>
    <mergeCell ref="C47:E47"/>
    <mergeCell ref="F47:H47"/>
    <mergeCell ref="J47:K47"/>
    <mergeCell ref="C55:E55"/>
    <mergeCell ref="F55:H55"/>
    <mergeCell ref="J42:K42"/>
    <mergeCell ref="C43:E43"/>
    <mergeCell ref="F43:H43"/>
    <mergeCell ref="J43:K43"/>
    <mergeCell ref="C49:E49"/>
    <mergeCell ref="F49:H49"/>
    <mergeCell ref="J49:K49"/>
    <mergeCell ref="C53:E53"/>
    <mergeCell ref="F53:H53"/>
    <mergeCell ref="J53:K53"/>
    <mergeCell ref="C52:E52"/>
    <mergeCell ref="F52:H52"/>
    <mergeCell ref="J52:K52"/>
    <mergeCell ref="C54:E54"/>
    <mergeCell ref="F54:H54"/>
    <mergeCell ref="J54:K54"/>
    <mergeCell ref="C50:E50"/>
    <mergeCell ref="F50:H50"/>
    <mergeCell ref="J50:K50"/>
    <mergeCell ref="C51:E51"/>
    <mergeCell ref="F51:H51"/>
    <mergeCell ref="J51:K51"/>
    <mergeCell ref="L4:N4"/>
    <mergeCell ref="B4:K4"/>
    <mergeCell ref="L3:N3"/>
    <mergeCell ref="B3:K3"/>
    <mergeCell ref="E8:N9"/>
    <mergeCell ref="B8:D9"/>
    <mergeCell ref="E6:N7"/>
    <mergeCell ref="B6:D7"/>
    <mergeCell ref="L5:N5"/>
    <mergeCell ref="B5:K5"/>
    <mergeCell ref="J16:K16"/>
    <mergeCell ref="B16:D16"/>
    <mergeCell ref="J19:K19"/>
    <mergeCell ref="M12:N13"/>
    <mergeCell ref="L12:L13"/>
    <mergeCell ref="J12:K13"/>
    <mergeCell ref="E12:I13"/>
    <mergeCell ref="B12:D13"/>
    <mergeCell ref="E10:N11"/>
    <mergeCell ref="B10:D11"/>
    <mergeCell ref="E14:I21"/>
    <mergeCell ref="C24:D24"/>
    <mergeCell ref="J23:J24"/>
    <mergeCell ref="E23:I24"/>
    <mergeCell ref="B23:B24"/>
    <mergeCell ref="J22:K22"/>
    <mergeCell ref="E22:I22"/>
    <mergeCell ref="B22:D22"/>
    <mergeCell ref="M1:N1"/>
    <mergeCell ref="M2:N2"/>
    <mergeCell ref="B19:D19"/>
    <mergeCell ref="J18:K18"/>
    <mergeCell ref="B18:D18"/>
    <mergeCell ref="M22:N22"/>
    <mergeCell ref="J21:K21"/>
    <mergeCell ref="B21:D21"/>
    <mergeCell ref="J20:K20"/>
    <mergeCell ref="B20:D20"/>
    <mergeCell ref="J15:K15"/>
    <mergeCell ref="B15:D15"/>
    <mergeCell ref="J14:K14"/>
    <mergeCell ref="B14:D14"/>
    <mergeCell ref="M14:N21"/>
    <mergeCell ref="J17:K17"/>
    <mergeCell ref="B17:D17"/>
    <mergeCell ref="J55:K55"/>
    <mergeCell ref="J41:K41"/>
    <mergeCell ref="J39:K40"/>
    <mergeCell ref="I39:I40"/>
    <mergeCell ref="C25:I25"/>
    <mergeCell ref="C37:N37"/>
    <mergeCell ref="D34:I34"/>
    <mergeCell ref="B28:C28"/>
    <mergeCell ref="M39:N39"/>
    <mergeCell ref="L39:L40"/>
    <mergeCell ref="F39:H41"/>
    <mergeCell ref="C39:E41"/>
    <mergeCell ref="B39:B41"/>
    <mergeCell ref="I38:N38"/>
    <mergeCell ref="B38:H38"/>
    <mergeCell ref="B26:B27"/>
    <mergeCell ref="B34:C34"/>
    <mergeCell ref="C33:I33"/>
    <mergeCell ref="D32:I32"/>
    <mergeCell ref="B32:C32"/>
    <mergeCell ref="B30:I30"/>
    <mergeCell ref="D28:I28"/>
    <mergeCell ref="C42:E42"/>
    <mergeCell ref="F42:H42"/>
  </mergeCells>
  <printOptions horizontalCentered="1"/>
  <pageMargins left="0.19685039370078741" right="0.19685039370078741" top="0.55118110236220474" bottom="0.55118110236220474" header="0.31496062992125984" footer="0.31496062992125984"/>
  <pageSetup paperSize="9" scale="74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50"/>
  <sheetViews>
    <sheetView workbookViewId="0">
      <selection activeCell="J29" sqref="J29"/>
    </sheetView>
  </sheetViews>
  <sheetFormatPr defaultRowHeight="15" x14ac:dyDescent="0.25"/>
  <cols>
    <col min="6" max="6" width="41.28515625" bestFit="1" customWidth="1"/>
  </cols>
  <sheetData>
    <row r="1" spans="1:7" x14ac:dyDescent="0.25">
      <c r="A1" t="s">
        <v>1524</v>
      </c>
      <c r="B1" t="s">
        <v>1567</v>
      </c>
      <c r="C1" t="s">
        <v>1568</v>
      </c>
      <c r="E1" t="str">
        <f>CONCATENATE(A1,", ",B1," ",C1," ",D1)</f>
        <v xml:space="preserve">ABUNDA, CYRIL MUNDIA </v>
      </c>
      <c r="F1" t="s">
        <v>1797</v>
      </c>
      <c r="G1" t="s">
        <v>2223</v>
      </c>
    </row>
    <row r="2" spans="1:7" x14ac:dyDescent="0.25">
      <c r="A2" t="s">
        <v>1524</v>
      </c>
      <c r="B2" t="s">
        <v>1569</v>
      </c>
      <c r="C2" t="s">
        <v>1568</v>
      </c>
      <c r="E2" t="str">
        <f t="shared" ref="E2:E65" si="0">CONCATENATE(A2,", ",B2," ",C2," ",D2)</f>
        <v xml:space="preserve">ABUNDA, SUSAN MUNDIA </v>
      </c>
      <c r="F2" t="s">
        <v>1798</v>
      </c>
    </row>
    <row r="3" spans="1:7" x14ac:dyDescent="0.25">
      <c r="A3" t="s">
        <v>1570</v>
      </c>
      <c r="B3" t="s">
        <v>1571</v>
      </c>
      <c r="C3" t="s">
        <v>1572</v>
      </c>
      <c r="E3" t="str">
        <f t="shared" si="0"/>
        <v xml:space="preserve">AGAGDANG, HELEN TELLEROS </v>
      </c>
      <c r="F3" t="s">
        <v>1799</v>
      </c>
    </row>
    <row r="4" spans="1:7" x14ac:dyDescent="0.25">
      <c r="A4" t="s">
        <v>1573</v>
      </c>
      <c r="B4" t="s">
        <v>1574</v>
      </c>
      <c r="C4" t="s">
        <v>1575</v>
      </c>
      <c r="E4" t="str">
        <f t="shared" si="0"/>
        <v xml:space="preserve">ALVAREZ, ANN JEANETH PENZA </v>
      </c>
      <c r="F4" t="s">
        <v>1800</v>
      </c>
    </row>
    <row r="5" spans="1:7" x14ac:dyDescent="0.25">
      <c r="A5" t="s">
        <v>1576</v>
      </c>
      <c r="B5" t="s">
        <v>1577</v>
      </c>
      <c r="C5" t="s">
        <v>1551</v>
      </c>
      <c r="E5" t="str">
        <f t="shared" si="0"/>
        <v xml:space="preserve">ANGWAS, CARLA ANGELA GOMEZ </v>
      </c>
      <c r="F5" t="s">
        <v>1801</v>
      </c>
    </row>
    <row r="6" spans="1:7" x14ac:dyDescent="0.25">
      <c r="A6" t="s">
        <v>1576</v>
      </c>
      <c r="B6" t="s">
        <v>1578</v>
      </c>
      <c r="C6" t="s">
        <v>1551</v>
      </c>
      <c r="E6" t="str">
        <f t="shared" si="0"/>
        <v xml:space="preserve">ANGWAS, ELFA GOMEZ </v>
      </c>
      <c r="F6" t="s">
        <v>1802</v>
      </c>
    </row>
    <row r="7" spans="1:7" x14ac:dyDescent="0.25">
      <c r="A7" t="s">
        <v>1576</v>
      </c>
      <c r="B7" t="s">
        <v>1579</v>
      </c>
      <c r="C7" t="s">
        <v>1580</v>
      </c>
      <c r="E7" t="str">
        <f t="shared" si="0"/>
        <v xml:space="preserve">ANGWAS, RIZA SANGCO </v>
      </c>
      <c r="F7" t="s">
        <v>1803</v>
      </c>
    </row>
    <row r="8" spans="1:7" x14ac:dyDescent="0.25">
      <c r="A8" t="s">
        <v>1581</v>
      </c>
      <c r="B8" t="s">
        <v>1582</v>
      </c>
      <c r="C8" t="s">
        <v>1583</v>
      </c>
      <c r="E8" t="str">
        <f t="shared" si="0"/>
        <v xml:space="preserve">ANTONIO, ANA DIAHAN </v>
      </c>
      <c r="F8" t="s">
        <v>1804</v>
      </c>
    </row>
    <row r="9" spans="1:7" x14ac:dyDescent="0.25">
      <c r="A9" t="s">
        <v>1581</v>
      </c>
      <c r="B9" t="s">
        <v>1584</v>
      </c>
      <c r="C9" t="s">
        <v>1585</v>
      </c>
      <c r="E9" t="str">
        <f t="shared" si="0"/>
        <v xml:space="preserve">ANTONIO, DIVINA GUTANG </v>
      </c>
      <c r="F9" t="s">
        <v>1805</v>
      </c>
    </row>
    <row r="10" spans="1:7" x14ac:dyDescent="0.25">
      <c r="A10" t="s">
        <v>1581</v>
      </c>
      <c r="B10" t="s">
        <v>1586</v>
      </c>
      <c r="C10" t="s">
        <v>1587</v>
      </c>
      <c r="E10" t="str">
        <f t="shared" si="0"/>
        <v xml:space="preserve">ANTONIO, MARILOU TAMPUS </v>
      </c>
      <c r="F10" t="s">
        <v>1806</v>
      </c>
    </row>
    <row r="11" spans="1:7" x14ac:dyDescent="0.25">
      <c r="A11" t="s">
        <v>1581</v>
      </c>
      <c r="B11" t="s">
        <v>1588</v>
      </c>
      <c r="C11" t="s">
        <v>1589</v>
      </c>
      <c r="D11" t="s">
        <v>1544</v>
      </c>
      <c r="E11" t="str">
        <f t="shared" si="0"/>
        <v>ANTONIO, NARINO IRAOLA JR</v>
      </c>
      <c r="F11" t="s">
        <v>1807</v>
      </c>
    </row>
    <row r="12" spans="1:7" x14ac:dyDescent="0.25">
      <c r="A12" t="s">
        <v>1581</v>
      </c>
      <c r="B12" t="s">
        <v>1590</v>
      </c>
      <c r="C12" t="s">
        <v>1591</v>
      </c>
      <c r="E12" t="str">
        <f t="shared" si="0"/>
        <v xml:space="preserve">ANTONIO, REYMOND TAMPOS </v>
      </c>
      <c r="F12" t="s">
        <v>1808</v>
      </c>
    </row>
    <row r="13" spans="1:7" x14ac:dyDescent="0.25">
      <c r="A13" t="s">
        <v>1581</v>
      </c>
      <c r="B13" t="s">
        <v>1592</v>
      </c>
      <c r="C13" t="s">
        <v>1528</v>
      </c>
      <c r="E13" t="str">
        <f t="shared" si="0"/>
        <v xml:space="preserve">ANTONIO, ROSALY TAWIDE </v>
      </c>
      <c r="F13" t="s">
        <v>1809</v>
      </c>
    </row>
    <row r="14" spans="1:7" x14ac:dyDescent="0.25">
      <c r="A14" t="s">
        <v>1593</v>
      </c>
      <c r="B14" t="s">
        <v>1594</v>
      </c>
      <c r="C14" t="s">
        <v>1595</v>
      </c>
      <c r="D14" t="s">
        <v>1544</v>
      </c>
      <c r="E14" t="str">
        <f t="shared" si="0"/>
        <v>BANTILLO, ARTURO ALCANTARA JR</v>
      </c>
      <c r="F14" t="s">
        <v>1810</v>
      </c>
    </row>
    <row r="15" spans="1:7" x14ac:dyDescent="0.25">
      <c r="A15" t="s">
        <v>1593</v>
      </c>
      <c r="B15" t="s">
        <v>1596</v>
      </c>
      <c r="C15" t="s">
        <v>1597</v>
      </c>
      <c r="E15" t="str">
        <f t="shared" si="0"/>
        <v xml:space="preserve">BANTILLO, ARTURO III CADIENTE </v>
      </c>
      <c r="F15" t="s">
        <v>1811</v>
      </c>
    </row>
    <row r="16" spans="1:7" x14ac:dyDescent="0.25">
      <c r="A16" t="s">
        <v>1526</v>
      </c>
      <c r="B16" t="s">
        <v>1545</v>
      </c>
      <c r="C16" t="s">
        <v>1598</v>
      </c>
      <c r="E16" t="str">
        <f t="shared" si="0"/>
        <v xml:space="preserve">BANTUASAN, MARLON ORLANDEZ </v>
      </c>
      <c r="F16" t="s">
        <v>1812</v>
      </c>
    </row>
    <row r="17" spans="1:6" x14ac:dyDescent="0.25">
      <c r="A17" t="s">
        <v>1526</v>
      </c>
      <c r="B17" t="s">
        <v>1552</v>
      </c>
      <c r="C17" t="s">
        <v>1537</v>
      </c>
      <c r="E17" t="str">
        <f t="shared" si="0"/>
        <v xml:space="preserve">BANTUASAN, SATURNINO SANGGOD </v>
      </c>
      <c r="F17" t="s">
        <v>1813</v>
      </c>
    </row>
    <row r="18" spans="1:6" x14ac:dyDescent="0.25">
      <c r="A18" t="s">
        <v>1599</v>
      </c>
      <c r="B18" t="s">
        <v>1600</v>
      </c>
      <c r="C18" t="s">
        <v>1601</v>
      </c>
      <c r="E18" t="str">
        <f t="shared" si="0"/>
        <v xml:space="preserve">BERMIL, DIORY PAGAYON </v>
      </c>
      <c r="F18" t="s">
        <v>1814</v>
      </c>
    </row>
    <row r="19" spans="1:6" x14ac:dyDescent="0.25">
      <c r="A19" t="s">
        <v>1602</v>
      </c>
      <c r="B19" t="s">
        <v>1603</v>
      </c>
      <c r="C19" t="s">
        <v>1604</v>
      </c>
      <c r="E19" t="str">
        <f t="shared" si="0"/>
        <v xml:space="preserve">BUENAVISTA, MARY ANN LIGUYAN </v>
      </c>
      <c r="F19" t="s">
        <v>1815</v>
      </c>
    </row>
    <row r="20" spans="1:6" x14ac:dyDescent="0.25">
      <c r="A20" t="s">
        <v>1605</v>
      </c>
      <c r="B20" t="s">
        <v>1606</v>
      </c>
      <c r="C20" t="s">
        <v>1607</v>
      </c>
      <c r="E20" t="str">
        <f t="shared" si="0"/>
        <v xml:space="preserve">CAHAYAG, NILO ROYO </v>
      </c>
      <c r="F20" t="s">
        <v>1816</v>
      </c>
    </row>
    <row r="21" spans="1:6" x14ac:dyDescent="0.25">
      <c r="A21" t="s">
        <v>1608</v>
      </c>
      <c r="B21" t="s">
        <v>1609</v>
      </c>
      <c r="C21" t="s">
        <v>1561</v>
      </c>
      <c r="E21" t="str">
        <f t="shared" si="0"/>
        <v xml:space="preserve">CALLEZA, JONATHAN MANGUINIMBA </v>
      </c>
      <c r="F21" t="s">
        <v>1817</v>
      </c>
    </row>
    <row r="22" spans="1:6" x14ac:dyDescent="0.25">
      <c r="A22" t="s">
        <v>1610</v>
      </c>
      <c r="B22" t="s">
        <v>1611</v>
      </c>
      <c r="C22" t="s">
        <v>1612</v>
      </c>
      <c r="E22" t="str">
        <f t="shared" si="0"/>
        <v xml:space="preserve">CAÑETE, JANETH TELEN </v>
      </c>
      <c r="F22" t="s">
        <v>1818</v>
      </c>
    </row>
    <row r="23" spans="1:6" x14ac:dyDescent="0.25">
      <c r="A23" t="s">
        <v>1536</v>
      </c>
      <c r="B23" t="s">
        <v>1613</v>
      </c>
      <c r="C23" t="s">
        <v>1614</v>
      </c>
      <c r="E23" t="str">
        <f t="shared" si="0"/>
        <v xml:space="preserve">CASAL, BERCELEY SAGUIWAN </v>
      </c>
      <c r="F23" t="s">
        <v>1819</v>
      </c>
    </row>
    <row r="24" spans="1:6" x14ac:dyDescent="0.25">
      <c r="A24" t="s">
        <v>1536</v>
      </c>
      <c r="B24" t="s">
        <v>1615</v>
      </c>
      <c r="C24" t="s">
        <v>1616</v>
      </c>
      <c r="E24" t="str">
        <f t="shared" si="0"/>
        <v xml:space="preserve">CASAL, EDEN SUMONDA </v>
      </c>
      <c r="F24" t="s">
        <v>1820</v>
      </c>
    </row>
    <row r="25" spans="1:6" x14ac:dyDescent="0.25">
      <c r="A25" t="s">
        <v>1536</v>
      </c>
      <c r="B25" t="s">
        <v>1562</v>
      </c>
      <c r="C25" t="s">
        <v>1561</v>
      </c>
      <c r="E25" t="str">
        <f t="shared" si="0"/>
        <v xml:space="preserve">CASAL, GEMMA MANGUINIMBA </v>
      </c>
      <c r="F25" t="s">
        <v>1821</v>
      </c>
    </row>
    <row r="26" spans="1:6" x14ac:dyDescent="0.25">
      <c r="A26" t="s">
        <v>1536</v>
      </c>
      <c r="B26" t="s">
        <v>1617</v>
      </c>
      <c r="C26" t="s">
        <v>1614</v>
      </c>
      <c r="E26" t="str">
        <f t="shared" si="0"/>
        <v xml:space="preserve">CASAL, JANNA SAGUIWAN </v>
      </c>
      <c r="F26" t="s">
        <v>1822</v>
      </c>
    </row>
    <row r="27" spans="1:6" x14ac:dyDescent="0.25">
      <c r="A27" t="s">
        <v>1536</v>
      </c>
      <c r="B27" t="s">
        <v>1618</v>
      </c>
      <c r="C27" t="s">
        <v>1526</v>
      </c>
      <c r="E27" t="str">
        <f t="shared" si="0"/>
        <v xml:space="preserve">CASAL, JARRY BANTUASAN </v>
      </c>
      <c r="F27" t="s">
        <v>1823</v>
      </c>
    </row>
    <row r="28" spans="1:6" x14ac:dyDescent="0.25">
      <c r="A28" t="s">
        <v>1536</v>
      </c>
      <c r="B28" t="s">
        <v>1619</v>
      </c>
      <c r="C28" t="s">
        <v>1526</v>
      </c>
      <c r="E28" t="str">
        <f t="shared" si="0"/>
        <v xml:space="preserve">CASAL, JOVELYN BANTUASAN </v>
      </c>
      <c r="F28" t="s">
        <v>1824</v>
      </c>
    </row>
    <row r="29" spans="1:6" x14ac:dyDescent="0.25">
      <c r="A29" t="s">
        <v>1536</v>
      </c>
      <c r="B29" t="s">
        <v>1620</v>
      </c>
      <c r="C29" t="s">
        <v>1526</v>
      </c>
      <c r="E29" t="str">
        <f t="shared" si="0"/>
        <v xml:space="preserve">CASAL, LANIE BANTUASAN </v>
      </c>
      <c r="F29" t="s">
        <v>1825</v>
      </c>
    </row>
    <row r="30" spans="1:6" x14ac:dyDescent="0.25">
      <c r="A30" t="s">
        <v>1536</v>
      </c>
      <c r="B30" t="s">
        <v>1621</v>
      </c>
      <c r="C30" t="s">
        <v>1537</v>
      </c>
      <c r="E30" t="str">
        <f t="shared" si="0"/>
        <v xml:space="preserve">CASAL, MARGIE SANGGOD </v>
      </c>
      <c r="F30" t="s">
        <v>1826</v>
      </c>
    </row>
    <row r="31" spans="1:6" x14ac:dyDescent="0.25">
      <c r="A31" t="s">
        <v>1536</v>
      </c>
      <c r="B31" t="s">
        <v>1622</v>
      </c>
      <c r="C31" t="s">
        <v>1542</v>
      </c>
      <c r="E31" t="str">
        <f t="shared" si="0"/>
        <v xml:space="preserve">CASAL, NELSON GONZALES </v>
      </c>
      <c r="F31" t="s">
        <v>1827</v>
      </c>
    </row>
    <row r="32" spans="1:6" x14ac:dyDescent="0.25">
      <c r="A32" t="s">
        <v>1536</v>
      </c>
      <c r="B32" t="s">
        <v>1623</v>
      </c>
      <c r="C32" t="s">
        <v>1559</v>
      </c>
      <c r="E32" t="str">
        <f t="shared" si="0"/>
        <v xml:space="preserve">CASAL, REYNALDO ENDRIO </v>
      </c>
      <c r="F32" t="s">
        <v>1828</v>
      </c>
    </row>
    <row r="33" spans="1:6" x14ac:dyDescent="0.25">
      <c r="A33" t="s">
        <v>1536</v>
      </c>
      <c r="B33" t="s">
        <v>1624</v>
      </c>
      <c r="C33" t="s">
        <v>1537</v>
      </c>
      <c r="E33" t="str">
        <f t="shared" si="0"/>
        <v xml:space="preserve">CASAL, RICKY SANGGOD </v>
      </c>
      <c r="F33" t="s">
        <v>1829</v>
      </c>
    </row>
    <row r="34" spans="1:6" x14ac:dyDescent="0.25">
      <c r="A34" t="s">
        <v>1536</v>
      </c>
      <c r="B34" t="s">
        <v>1625</v>
      </c>
      <c r="C34" t="s">
        <v>1559</v>
      </c>
      <c r="E34" t="str">
        <f t="shared" si="0"/>
        <v xml:space="preserve">CASAL, ROGELIO ENDRIO </v>
      </c>
      <c r="F34" t="s">
        <v>1830</v>
      </c>
    </row>
    <row r="35" spans="1:6" x14ac:dyDescent="0.25">
      <c r="A35" t="s">
        <v>1536</v>
      </c>
      <c r="B35" t="s">
        <v>1626</v>
      </c>
      <c r="C35" t="s">
        <v>1627</v>
      </c>
      <c r="E35" t="str">
        <f t="shared" si="0"/>
        <v xml:space="preserve">CASAL, ROSELYN LACERDA </v>
      </c>
      <c r="F35" t="s">
        <v>1831</v>
      </c>
    </row>
    <row r="36" spans="1:6" x14ac:dyDescent="0.25">
      <c r="A36" t="s">
        <v>1536</v>
      </c>
      <c r="B36" t="s">
        <v>1628</v>
      </c>
      <c r="C36" t="s">
        <v>1526</v>
      </c>
      <c r="E36" t="str">
        <f t="shared" si="0"/>
        <v xml:space="preserve">CASAL, ROWENA BANTUASAN </v>
      </c>
      <c r="F36" t="s">
        <v>1832</v>
      </c>
    </row>
    <row r="37" spans="1:6" x14ac:dyDescent="0.25">
      <c r="A37" t="s">
        <v>1629</v>
      </c>
      <c r="B37" t="s">
        <v>1630</v>
      </c>
      <c r="C37" t="s">
        <v>1631</v>
      </c>
      <c r="E37" t="str">
        <f t="shared" si="0"/>
        <v xml:space="preserve">CORDOVA, ISAGANI GOLORAN </v>
      </c>
      <c r="F37" t="s">
        <v>1833</v>
      </c>
    </row>
    <row r="38" spans="1:6" x14ac:dyDescent="0.25">
      <c r="A38" t="s">
        <v>1629</v>
      </c>
      <c r="B38" t="s">
        <v>1609</v>
      </c>
      <c r="C38" t="s">
        <v>1563</v>
      </c>
      <c r="E38" t="str">
        <f t="shared" si="0"/>
        <v xml:space="preserve">CORDOVA, JONATHAN SUBLA </v>
      </c>
      <c r="F38" t="s">
        <v>1834</v>
      </c>
    </row>
    <row r="39" spans="1:6" x14ac:dyDescent="0.25">
      <c r="A39" t="s">
        <v>1629</v>
      </c>
      <c r="B39" t="s">
        <v>1632</v>
      </c>
      <c r="C39" t="s">
        <v>1633</v>
      </c>
      <c r="E39" t="str">
        <f t="shared" si="0"/>
        <v xml:space="preserve">CORDOVA, MARIO PADILLA </v>
      </c>
      <c r="F39" t="s">
        <v>1835</v>
      </c>
    </row>
    <row r="40" spans="1:6" x14ac:dyDescent="0.25">
      <c r="A40" t="s">
        <v>1629</v>
      </c>
      <c r="B40" t="s">
        <v>1634</v>
      </c>
      <c r="C40" t="s">
        <v>1534</v>
      </c>
      <c r="E40" t="str">
        <f t="shared" si="0"/>
        <v xml:space="preserve">CORDOVA, TRINITA TORRES </v>
      </c>
      <c r="F40" t="s">
        <v>1836</v>
      </c>
    </row>
    <row r="41" spans="1:6" x14ac:dyDescent="0.25">
      <c r="A41" t="s">
        <v>1635</v>
      </c>
      <c r="B41" t="s">
        <v>1636</v>
      </c>
      <c r="C41" t="s">
        <v>1637</v>
      </c>
      <c r="E41" t="str">
        <f t="shared" si="0"/>
        <v xml:space="preserve">DUGAY, EVANGELINE ARTIZA </v>
      </c>
      <c r="F41" t="s">
        <v>1837</v>
      </c>
    </row>
    <row r="42" spans="1:6" x14ac:dyDescent="0.25">
      <c r="A42" t="s">
        <v>1638</v>
      </c>
      <c r="B42" t="s">
        <v>1530</v>
      </c>
      <c r="C42" t="s">
        <v>1542</v>
      </c>
      <c r="E42" t="str">
        <f t="shared" si="0"/>
        <v xml:space="preserve">ECNAS, ESTILITA GONZALES </v>
      </c>
      <c r="F42" t="s">
        <v>1838</v>
      </c>
    </row>
    <row r="43" spans="1:6" x14ac:dyDescent="0.25">
      <c r="A43" t="s">
        <v>1638</v>
      </c>
      <c r="B43" t="s">
        <v>1639</v>
      </c>
      <c r="C43" t="s">
        <v>1536</v>
      </c>
      <c r="E43" t="str">
        <f t="shared" si="0"/>
        <v xml:space="preserve">ECNAS, JULITA CASAL </v>
      </c>
      <c r="F43" t="s">
        <v>1839</v>
      </c>
    </row>
    <row r="44" spans="1:6" x14ac:dyDescent="0.25">
      <c r="A44" t="s">
        <v>1640</v>
      </c>
      <c r="B44" t="s">
        <v>1555</v>
      </c>
      <c r="C44" t="s">
        <v>1641</v>
      </c>
      <c r="E44" t="str">
        <f t="shared" si="0"/>
        <v xml:space="preserve">ENCABO, JAIME ACERNA </v>
      </c>
      <c r="F44" t="s">
        <v>1840</v>
      </c>
    </row>
    <row r="45" spans="1:6" x14ac:dyDescent="0.25">
      <c r="A45" t="s">
        <v>1642</v>
      </c>
      <c r="B45" t="s">
        <v>1643</v>
      </c>
      <c r="C45" t="s">
        <v>1644</v>
      </c>
      <c r="D45" t="s">
        <v>1544</v>
      </c>
      <c r="E45" t="str">
        <f t="shared" si="0"/>
        <v>FERNANDEZ, ALIPIO PELONIO JR</v>
      </c>
      <c r="F45" t="s">
        <v>1841</v>
      </c>
    </row>
    <row r="46" spans="1:6" x14ac:dyDescent="0.25">
      <c r="A46" t="s">
        <v>1549</v>
      </c>
      <c r="B46" t="s">
        <v>1645</v>
      </c>
      <c r="C46" t="s">
        <v>1540</v>
      </c>
      <c r="E46" t="str">
        <f t="shared" si="0"/>
        <v xml:space="preserve">FRANCISCO, LUZVILLA VELOSO </v>
      </c>
      <c r="F46" t="s">
        <v>1842</v>
      </c>
    </row>
    <row r="47" spans="1:6" x14ac:dyDescent="0.25">
      <c r="A47" t="s">
        <v>1646</v>
      </c>
      <c r="B47" t="s">
        <v>1647</v>
      </c>
      <c r="E47" t="str">
        <f t="shared" si="0"/>
        <v xml:space="preserve">FRIAS, MARIVELLE  </v>
      </c>
      <c r="F47" t="s">
        <v>1843</v>
      </c>
    </row>
    <row r="48" spans="1:6" x14ac:dyDescent="0.25">
      <c r="A48" t="s">
        <v>1648</v>
      </c>
      <c r="B48" t="s">
        <v>1649</v>
      </c>
      <c r="C48" t="s">
        <v>1542</v>
      </c>
      <c r="E48" t="str">
        <f t="shared" si="0"/>
        <v xml:space="preserve">GIGANTONE, ELSA GONZALES </v>
      </c>
      <c r="F48" t="s">
        <v>1844</v>
      </c>
    </row>
    <row r="49" spans="1:6" x14ac:dyDescent="0.25">
      <c r="A49" t="s">
        <v>1551</v>
      </c>
      <c r="B49" t="s">
        <v>1650</v>
      </c>
      <c r="C49" t="s">
        <v>1651</v>
      </c>
      <c r="E49" t="str">
        <f t="shared" si="0"/>
        <v xml:space="preserve">GOMEZ, EUGINE ALEJANDRO </v>
      </c>
      <c r="F49" t="s">
        <v>1845</v>
      </c>
    </row>
    <row r="50" spans="1:6" x14ac:dyDescent="0.25">
      <c r="A50" t="s">
        <v>1551</v>
      </c>
      <c r="B50" t="s">
        <v>1652</v>
      </c>
      <c r="C50" t="s">
        <v>1653</v>
      </c>
      <c r="E50" t="str">
        <f t="shared" si="0"/>
        <v xml:space="preserve">GOMEZ, FELIPE MARAVILLA </v>
      </c>
      <c r="F50" t="s">
        <v>1846</v>
      </c>
    </row>
    <row r="51" spans="1:6" x14ac:dyDescent="0.25">
      <c r="A51" t="s">
        <v>1551</v>
      </c>
      <c r="B51" t="s">
        <v>1654</v>
      </c>
      <c r="C51" t="s">
        <v>1573</v>
      </c>
      <c r="E51" t="str">
        <f t="shared" si="0"/>
        <v xml:space="preserve">GOMEZ, JELYN ALVAREZ </v>
      </c>
      <c r="F51" t="s">
        <v>1847</v>
      </c>
    </row>
    <row r="52" spans="1:6" x14ac:dyDescent="0.25">
      <c r="A52" t="s">
        <v>1551</v>
      </c>
      <c r="B52" t="s">
        <v>1655</v>
      </c>
      <c r="C52" t="s">
        <v>1656</v>
      </c>
      <c r="E52" t="str">
        <f t="shared" si="0"/>
        <v xml:space="preserve">GOMEZ, JORIC BANGLID </v>
      </c>
      <c r="F52" t="s">
        <v>1848</v>
      </c>
    </row>
    <row r="53" spans="1:6" x14ac:dyDescent="0.25">
      <c r="A53" t="s">
        <v>1551</v>
      </c>
      <c r="B53" t="s">
        <v>1657</v>
      </c>
      <c r="C53" t="s">
        <v>1653</v>
      </c>
      <c r="E53" t="str">
        <f t="shared" si="0"/>
        <v xml:space="preserve">GOMEZ, QUIRINO MARAVILLA </v>
      </c>
      <c r="F53" t="s">
        <v>1849</v>
      </c>
    </row>
    <row r="54" spans="1:6" x14ac:dyDescent="0.25">
      <c r="A54" t="s">
        <v>1551</v>
      </c>
      <c r="B54" t="s">
        <v>1658</v>
      </c>
      <c r="C54" t="s">
        <v>1653</v>
      </c>
      <c r="D54" t="s">
        <v>1533</v>
      </c>
      <c r="E54" t="str">
        <f t="shared" si="0"/>
        <v>GOMEZ, RICARDO MARAVILLA SR</v>
      </c>
      <c r="F54" t="s">
        <v>1850</v>
      </c>
    </row>
    <row r="55" spans="1:6" x14ac:dyDescent="0.25">
      <c r="A55" t="s">
        <v>1551</v>
      </c>
      <c r="B55" t="s">
        <v>1659</v>
      </c>
      <c r="C55" t="s">
        <v>1653</v>
      </c>
      <c r="E55" t="str">
        <f t="shared" si="0"/>
        <v xml:space="preserve">GOMEZ, ROMEO MARAVILLA </v>
      </c>
      <c r="F55" t="s">
        <v>1851</v>
      </c>
    </row>
    <row r="56" spans="1:6" x14ac:dyDescent="0.25">
      <c r="A56" t="s">
        <v>1551</v>
      </c>
      <c r="B56" t="s">
        <v>1660</v>
      </c>
      <c r="C56" t="s">
        <v>1651</v>
      </c>
      <c r="E56" t="str">
        <f t="shared" si="0"/>
        <v xml:space="preserve">GOMEZ, SANNY BOY ALEJANDRO </v>
      </c>
      <c r="F56" t="s">
        <v>1852</v>
      </c>
    </row>
    <row r="57" spans="1:6" x14ac:dyDescent="0.25">
      <c r="A57" t="s">
        <v>1542</v>
      </c>
      <c r="B57" t="s">
        <v>1661</v>
      </c>
      <c r="C57" t="s">
        <v>1662</v>
      </c>
      <c r="E57" t="str">
        <f t="shared" si="0"/>
        <v xml:space="preserve">GONZALES, ALON BAT-AW </v>
      </c>
      <c r="F57" t="s">
        <v>1853</v>
      </c>
    </row>
    <row r="58" spans="1:6" x14ac:dyDescent="0.25">
      <c r="A58" t="s">
        <v>1542</v>
      </c>
      <c r="B58" t="s">
        <v>1663</v>
      </c>
      <c r="C58" t="s">
        <v>1664</v>
      </c>
      <c r="E58" t="str">
        <f t="shared" si="0"/>
        <v xml:space="preserve">GONZALES, CHRISMAL BENGGA </v>
      </c>
      <c r="F58" t="s">
        <v>1854</v>
      </c>
    </row>
    <row r="59" spans="1:6" x14ac:dyDescent="0.25">
      <c r="A59" t="s">
        <v>1542</v>
      </c>
      <c r="B59" t="s">
        <v>1665</v>
      </c>
      <c r="C59" t="s">
        <v>1570</v>
      </c>
      <c r="E59" t="str">
        <f t="shared" si="0"/>
        <v xml:space="preserve">GONZALES, DOMINICA AGAGDANG </v>
      </c>
      <c r="F59" t="s">
        <v>1855</v>
      </c>
    </row>
    <row r="60" spans="1:6" x14ac:dyDescent="0.25">
      <c r="A60" t="s">
        <v>1542</v>
      </c>
      <c r="B60" t="s">
        <v>1666</v>
      </c>
      <c r="C60" t="s">
        <v>1560</v>
      </c>
      <c r="E60" t="str">
        <f t="shared" si="0"/>
        <v xml:space="preserve">GONZALES, JOHNRICH SIMPROSO </v>
      </c>
      <c r="F60" t="s">
        <v>1856</v>
      </c>
    </row>
    <row r="61" spans="1:6" x14ac:dyDescent="0.25">
      <c r="A61" t="s">
        <v>1542</v>
      </c>
      <c r="B61" t="s">
        <v>1667</v>
      </c>
      <c r="C61" t="s">
        <v>1668</v>
      </c>
      <c r="E61" t="str">
        <f t="shared" si="0"/>
        <v xml:space="preserve">GONZALES, MARVIN NGOJO </v>
      </c>
      <c r="F61" t="s">
        <v>1857</v>
      </c>
    </row>
    <row r="62" spans="1:6" x14ac:dyDescent="0.25">
      <c r="A62" t="s">
        <v>1542</v>
      </c>
      <c r="B62" t="s">
        <v>1550</v>
      </c>
      <c r="C62" t="s">
        <v>1664</v>
      </c>
      <c r="E62" t="str">
        <f t="shared" si="0"/>
        <v xml:space="preserve">GONZALES, VIVIAN BENGGA </v>
      </c>
      <c r="F62" t="s">
        <v>1858</v>
      </c>
    </row>
    <row r="63" spans="1:6" x14ac:dyDescent="0.25">
      <c r="A63" t="s">
        <v>1669</v>
      </c>
      <c r="B63" t="s">
        <v>1670</v>
      </c>
      <c r="C63" t="s">
        <v>1671</v>
      </c>
      <c r="E63" t="str">
        <f t="shared" si="0"/>
        <v xml:space="preserve">HALLARDA, ARLY BANDIANON </v>
      </c>
      <c r="F63" t="s">
        <v>1859</v>
      </c>
    </row>
    <row r="64" spans="1:6" x14ac:dyDescent="0.25">
      <c r="A64" t="s">
        <v>1554</v>
      </c>
      <c r="B64" t="s">
        <v>1672</v>
      </c>
      <c r="C64" t="s">
        <v>1536</v>
      </c>
      <c r="E64" t="str">
        <f t="shared" si="0"/>
        <v xml:space="preserve">HAVANA, MICHELL CASAL </v>
      </c>
      <c r="F64" t="s">
        <v>1860</v>
      </c>
    </row>
    <row r="65" spans="1:6" x14ac:dyDescent="0.25">
      <c r="A65" t="s">
        <v>1565</v>
      </c>
      <c r="B65" t="s">
        <v>1673</v>
      </c>
      <c r="C65" t="s">
        <v>1537</v>
      </c>
      <c r="E65" t="str">
        <f t="shared" si="0"/>
        <v xml:space="preserve">HEGUITAN, MERLINDA SANGGOD </v>
      </c>
      <c r="F65" t="s">
        <v>1861</v>
      </c>
    </row>
    <row r="66" spans="1:6" x14ac:dyDescent="0.25">
      <c r="A66" t="s">
        <v>1674</v>
      </c>
      <c r="B66" t="s">
        <v>1675</v>
      </c>
      <c r="C66" t="s">
        <v>1676</v>
      </c>
      <c r="E66" t="str">
        <f t="shared" ref="E66:E129" si="1">CONCATENATE(A66,", ",B66," ",C66," ",D66)</f>
        <v xml:space="preserve">HERBRUELA, RICHARD DORIMON </v>
      </c>
      <c r="F66" t="s">
        <v>1862</v>
      </c>
    </row>
    <row r="67" spans="1:6" x14ac:dyDescent="0.25">
      <c r="A67" t="s">
        <v>1677</v>
      </c>
      <c r="B67" t="s">
        <v>1678</v>
      </c>
      <c r="C67" t="s">
        <v>1573</v>
      </c>
      <c r="E67" t="str">
        <f t="shared" si="1"/>
        <v xml:space="preserve">INTONG, JENNY ALVAREZ </v>
      </c>
      <c r="F67" t="s">
        <v>1863</v>
      </c>
    </row>
    <row r="68" spans="1:6" x14ac:dyDescent="0.25">
      <c r="A68" t="s">
        <v>1679</v>
      </c>
      <c r="B68" t="s">
        <v>1680</v>
      </c>
      <c r="C68" t="s">
        <v>1681</v>
      </c>
      <c r="E68" t="str">
        <f t="shared" si="1"/>
        <v xml:space="preserve">JUADA, LEONIDO BUYANTE </v>
      </c>
      <c r="F68" t="s">
        <v>1864</v>
      </c>
    </row>
    <row r="69" spans="1:6" x14ac:dyDescent="0.25">
      <c r="A69" t="s">
        <v>1682</v>
      </c>
      <c r="B69" t="s">
        <v>1683</v>
      </c>
      <c r="C69" t="s">
        <v>1561</v>
      </c>
      <c r="D69" t="s">
        <v>1544</v>
      </c>
      <c r="E69" t="str">
        <f t="shared" si="1"/>
        <v>LAPNO, FELIX MANGUINIMBA JR</v>
      </c>
      <c r="F69" t="s">
        <v>1865</v>
      </c>
    </row>
    <row r="70" spans="1:6" x14ac:dyDescent="0.25">
      <c r="A70" t="s">
        <v>1684</v>
      </c>
      <c r="B70" t="s">
        <v>1685</v>
      </c>
      <c r="C70" t="s">
        <v>1629</v>
      </c>
      <c r="E70" t="str">
        <f t="shared" si="1"/>
        <v xml:space="preserve">LINDAHAY, ELIA CORDOVA </v>
      </c>
      <c r="F70" t="s">
        <v>1866</v>
      </c>
    </row>
    <row r="71" spans="1:6" x14ac:dyDescent="0.25">
      <c r="A71" t="s">
        <v>1686</v>
      </c>
      <c r="B71" t="s">
        <v>1687</v>
      </c>
      <c r="C71" t="s">
        <v>1688</v>
      </c>
      <c r="E71" t="str">
        <f t="shared" si="1"/>
        <v xml:space="preserve">LLENA, AZENITH PACLIBAR </v>
      </c>
      <c r="F71" t="s">
        <v>1867</v>
      </c>
    </row>
    <row r="72" spans="1:6" x14ac:dyDescent="0.25">
      <c r="A72" t="s">
        <v>1689</v>
      </c>
      <c r="B72" t="s">
        <v>1690</v>
      </c>
      <c r="C72" t="s">
        <v>1542</v>
      </c>
      <c r="E72" t="str">
        <f t="shared" si="1"/>
        <v xml:space="preserve">LONGOS, CARMELITA GONZALES </v>
      </c>
      <c r="F72" t="s">
        <v>1868</v>
      </c>
    </row>
    <row r="73" spans="1:6" x14ac:dyDescent="0.25">
      <c r="A73" t="s">
        <v>1689</v>
      </c>
      <c r="B73" t="s">
        <v>1691</v>
      </c>
      <c r="C73" t="s">
        <v>1608</v>
      </c>
      <c r="E73" t="str">
        <f t="shared" si="1"/>
        <v xml:space="preserve">LONGOS, CHRISTOPHER CALLEZA </v>
      </c>
      <c r="F73" t="s">
        <v>1869</v>
      </c>
    </row>
    <row r="74" spans="1:6" x14ac:dyDescent="0.25">
      <c r="A74" t="s">
        <v>1689</v>
      </c>
      <c r="B74" t="s">
        <v>1692</v>
      </c>
      <c r="C74" t="s">
        <v>1542</v>
      </c>
      <c r="E74" t="str">
        <f t="shared" si="1"/>
        <v xml:space="preserve">LONGOS, DANDY GONZALES </v>
      </c>
      <c r="F74" t="s">
        <v>1870</v>
      </c>
    </row>
    <row r="75" spans="1:6" x14ac:dyDescent="0.25">
      <c r="A75" t="s">
        <v>1689</v>
      </c>
      <c r="B75" t="s">
        <v>1693</v>
      </c>
      <c r="C75" t="s">
        <v>1542</v>
      </c>
      <c r="E75" t="str">
        <f t="shared" si="1"/>
        <v xml:space="preserve">LONGOS, JANIE GONZALES </v>
      </c>
      <c r="F75" t="s">
        <v>1871</v>
      </c>
    </row>
    <row r="76" spans="1:6" x14ac:dyDescent="0.25">
      <c r="A76" t="s">
        <v>1689</v>
      </c>
      <c r="B76" t="s">
        <v>1694</v>
      </c>
      <c r="C76" t="s">
        <v>1542</v>
      </c>
      <c r="E76" t="str">
        <f t="shared" si="1"/>
        <v xml:space="preserve">LONGOS, JEPY GONZALES </v>
      </c>
      <c r="F76" t="s">
        <v>1872</v>
      </c>
    </row>
    <row r="77" spans="1:6" x14ac:dyDescent="0.25">
      <c r="A77" t="s">
        <v>1689</v>
      </c>
      <c r="B77" t="s">
        <v>1695</v>
      </c>
      <c r="C77" t="s">
        <v>1608</v>
      </c>
      <c r="E77" t="str">
        <f t="shared" si="1"/>
        <v xml:space="preserve">LONGOS, JHUNTY CALLEZA </v>
      </c>
      <c r="F77" t="s">
        <v>1873</v>
      </c>
    </row>
    <row r="78" spans="1:6" x14ac:dyDescent="0.25">
      <c r="A78" t="s">
        <v>1689</v>
      </c>
      <c r="B78" t="s">
        <v>1696</v>
      </c>
      <c r="C78" t="s">
        <v>1528</v>
      </c>
      <c r="E78" t="str">
        <f t="shared" si="1"/>
        <v xml:space="preserve">LONGOS, JOLITA TAWIDE </v>
      </c>
      <c r="F78" t="s">
        <v>1874</v>
      </c>
    </row>
    <row r="79" spans="1:6" x14ac:dyDescent="0.25">
      <c r="A79" t="s">
        <v>1689</v>
      </c>
      <c r="B79" t="s">
        <v>1697</v>
      </c>
      <c r="C79" t="s">
        <v>1542</v>
      </c>
      <c r="E79" t="str">
        <f t="shared" si="1"/>
        <v xml:space="preserve">LONGOS, MEKI GONZALES </v>
      </c>
      <c r="F79" t="s">
        <v>1875</v>
      </c>
    </row>
    <row r="80" spans="1:6" x14ac:dyDescent="0.25">
      <c r="A80" t="s">
        <v>1689</v>
      </c>
      <c r="B80" t="s">
        <v>1698</v>
      </c>
      <c r="C80" t="s">
        <v>1542</v>
      </c>
      <c r="E80" t="str">
        <f t="shared" si="1"/>
        <v xml:space="preserve">LONGOS, MEME GONZALES </v>
      </c>
      <c r="F80" t="s">
        <v>1876</v>
      </c>
    </row>
    <row r="81" spans="1:6" x14ac:dyDescent="0.25">
      <c r="A81" t="s">
        <v>1689</v>
      </c>
      <c r="B81" t="s">
        <v>1539</v>
      </c>
      <c r="C81" t="s">
        <v>1542</v>
      </c>
      <c r="E81" t="str">
        <f t="shared" si="1"/>
        <v xml:space="preserve">LONGOS, SAMUEL GONZALES </v>
      </c>
      <c r="F81" t="s">
        <v>1877</v>
      </c>
    </row>
    <row r="82" spans="1:6" x14ac:dyDescent="0.25">
      <c r="A82" t="s">
        <v>1689</v>
      </c>
      <c r="B82" t="s">
        <v>1699</v>
      </c>
      <c r="C82" t="s">
        <v>1542</v>
      </c>
      <c r="E82" t="str">
        <f t="shared" si="1"/>
        <v xml:space="preserve">LONGOS, SANTOS GONZALES </v>
      </c>
      <c r="F82" t="s">
        <v>1878</v>
      </c>
    </row>
    <row r="83" spans="1:6" x14ac:dyDescent="0.25">
      <c r="A83" t="s">
        <v>1535</v>
      </c>
      <c r="B83" t="s">
        <v>1700</v>
      </c>
      <c r="C83" t="s">
        <v>1563</v>
      </c>
      <c r="E83" t="str">
        <f t="shared" si="1"/>
        <v xml:space="preserve">LOPE, REBECCA SUBLA </v>
      </c>
      <c r="F83" t="s">
        <v>1879</v>
      </c>
    </row>
    <row r="84" spans="1:6" x14ac:dyDescent="0.25">
      <c r="A84" t="s">
        <v>1701</v>
      </c>
      <c r="B84" t="s">
        <v>1702</v>
      </c>
      <c r="C84" t="s">
        <v>1703</v>
      </c>
      <c r="E84" t="str">
        <f t="shared" si="1"/>
        <v xml:space="preserve">LUIB, ANGELITA JAMERA </v>
      </c>
      <c r="F84" t="s">
        <v>1880</v>
      </c>
    </row>
    <row r="85" spans="1:6" x14ac:dyDescent="0.25">
      <c r="A85" t="s">
        <v>1704</v>
      </c>
      <c r="B85" t="s">
        <v>1705</v>
      </c>
      <c r="C85" t="s">
        <v>1528</v>
      </c>
      <c r="E85" t="str">
        <f t="shared" si="1"/>
        <v xml:space="preserve">MAN-ANDILONG, LAOS TAWIDE </v>
      </c>
      <c r="F85" t="s">
        <v>1881</v>
      </c>
    </row>
    <row r="86" spans="1:6" x14ac:dyDescent="0.25">
      <c r="A86" t="s">
        <v>1704</v>
      </c>
      <c r="B86" t="s">
        <v>1706</v>
      </c>
      <c r="C86" t="s">
        <v>1525</v>
      </c>
      <c r="E86" t="str">
        <f t="shared" si="1"/>
        <v xml:space="preserve">MAN-ANDILONG, YOLLY ACOSTA </v>
      </c>
      <c r="F86" t="s">
        <v>1882</v>
      </c>
    </row>
    <row r="87" spans="1:6" x14ac:dyDescent="0.25">
      <c r="A87" t="s">
        <v>1561</v>
      </c>
      <c r="B87" t="s">
        <v>1707</v>
      </c>
      <c r="C87" t="s">
        <v>1704</v>
      </c>
      <c r="E87" t="str">
        <f t="shared" si="1"/>
        <v xml:space="preserve">MANGUINIMBA, CORNELIO MAN-ANDILONG </v>
      </c>
      <c r="F87" t="s">
        <v>1883</v>
      </c>
    </row>
    <row r="88" spans="1:6" x14ac:dyDescent="0.25">
      <c r="A88" t="s">
        <v>1561</v>
      </c>
      <c r="B88" t="s">
        <v>1708</v>
      </c>
      <c r="C88" t="s">
        <v>1709</v>
      </c>
      <c r="E88" t="str">
        <f t="shared" si="1"/>
        <v xml:space="preserve">MANGUINIMBA, JENNIFER LUMONTAD </v>
      </c>
      <c r="F88" t="s">
        <v>1884</v>
      </c>
    </row>
    <row r="89" spans="1:6" x14ac:dyDescent="0.25">
      <c r="A89" t="s">
        <v>1561</v>
      </c>
      <c r="B89" t="s">
        <v>1546</v>
      </c>
      <c r="C89" t="s">
        <v>1704</v>
      </c>
      <c r="E89" t="str">
        <f t="shared" si="1"/>
        <v xml:space="preserve">MANGUINIMBA, JIMMY MAN-ANDILONG </v>
      </c>
      <c r="F89" t="s">
        <v>1885</v>
      </c>
    </row>
    <row r="90" spans="1:6" x14ac:dyDescent="0.25">
      <c r="A90" t="s">
        <v>1710</v>
      </c>
      <c r="B90" t="s">
        <v>1711</v>
      </c>
      <c r="C90" t="s">
        <v>1561</v>
      </c>
      <c r="E90" t="str">
        <f t="shared" si="1"/>
        <v xml:space="preserve">MONDEJAR, ALVIN MANGUINIMBA </v>
      </c>
      <c r="F90" t="s">
        <v>1886</v>
      </c>
    </row>
    <row r="91" spans="1:6" x14ac:dyDescent="0.25">
      <c r="A91" t="s">
        <v>1710</v>
      </c>
      <c r="B91" t="s">
        <v>1712</v>
      </c>
      <c r="C91" t="s">
        <v>1713</v>
      </c>
      <c r="E91" t="str">
        <f t="shared" si="1"/>
        <v xml:space="preserve">MONDEJAR, GABRIEL VERTUDAZO </v>
      </c>
      <c r="F91" t="s">
        <v>1887</v>
      </c>
    </row>
    <row r="92" spans="1:6" x14ac:dyDescent="0.25">
      <c r="A92" t="s">
        <v>1710</v>
      </c>
      <c r="B92" t="s">
        <v>1714</v>
      </c>
      <c r="C92" t="s">
        <v>1561</v>
      </c>
      <c r="E92" t="str">
        <f t="shared" si="1"/>
        <v xml:space="preserve">MONDEJAR, JOREX MANGUINIMBA </v>
      </c>
      <c r="F92" t="s">
        <v>1888</v>
      </c>
    </row>
    <row r="93" spans="1:6" x14ac:dyDescent="0.25">
      <c r="A93" t="s">
        <v>1715</v>
      </c>
      <c r="B93" t="s">
        <v>1716</v>
      </c>
      <c r="C93" t="s">
        <v>1614</v>
      </c>
      <c r="E93" t="str">
        <f t="shared" si="1"/>
        <v xml:space="preserve">MORGADEZ, DARNA SAGUIWAN </v>
      </c>
      <c r="F93" t="s">
        <v>1889</v>
      </c>
    </row>
    <row r="94" spans="1:6" x14ac:dyDescent="0.25">
      <c r="A94" t="s">
        <v>1717</v>
      </c>
      <c r="B94" t="s">
        <v>1718</v>
      </c>
      <c r="C94" t="s">
        <v>1536</v>
      </c>
      <c r="E94" t="str">
        <f t="shared" si="1"/>
        <v xml:space="preserve">MORRONDOZ, CECILE CASAL </v>
      </c>
      <c r="F94" t="s">
        <v>1890</v>
      </c>
    </row>
    <row r="95" spans="1:6" x14ac:dyDescent="0.25">
      <c r="A95" t="s">
        <v>1719</v>
      </c>
      <c r="B95" t="s">
        <v>1720</v>
      </c>
      <c r="C95" t="s">
        <v>1721</v>
      </c>
      <c r="E95" t="str">
        <f t="shared" si="1"/>
        <v xml:space="preserve">MOSQUITO, ARMIN TAGAPULOT </v>
      </c>
      <c r="F95" t="s">
        <v>1891</v>
      </c>
    </row>
    <row r="96" spans="1:6" x14ac:dyDescent="0.25">
      <c r="A96" t="s">
        <v>1719</v>
      </c>
      <c r="B96" t="s">
        <v>1722</v>
      </c>
      <c r="C96" t="s">
        <v>1721</v>
      </c>
      <c r="E96" t="str">
        <f t="shared" si="1"/>
        <v xml:space="preserve">MOSQUITO, JOHNNY TAGAPULOT </v>
      </c>
      <c r="F96" t="s">
        <v>1892</v>
      </c>
    </row>
    <row r="97" spans="1:6" x14ac:dyDescent="0.25">
      <c r="A97" t="s">
        <v>1723</v>
      </c>
      <c r="B97" t="s">
        <v>1541</v>
      </c>
      <c r="C97" t="s">
        <v>1681</v>
      </c>
      <c r="E97" t="str">
        <f t="shared" si="1"/>
        <v xml:space="preserve">NAPUCO, EDDIE BUYANTE </v>
      </c>
      <c r="F97" t="s">
        <v>1893</v>
      </c>
    </row>
    <row r="98" spans="1:6" x14ac:dyDescent="0.25">
      <c r="A98" t="s">
        <v>1724</v>
      </c>
      <c r="B98" t="s">
        <v>1725</v>
      </c>
      <c r="C98" t="s">
        <v>1572</v>
      </c>
      <c r="E98" t="str">
        <f t="shared" si="1"/>
        <v xml:space="preserve">NONO, MYRNA TELLEROS </v>
      </c>
      <c r="F98" t="s">
        <v>1894</v>
      </c>
    </row>
    <row r="99" spans="1:6" x14ac:dyDescent="0.25">
      <c r="A99" t="s">
        <v>1726</v>
      </c>
      <c r="B99" t="s">
        <v>1727</v>
      </c>
      <c r="C99" t="s">
        <v>1728</v>
      </c>
      <c r="E99" t="str">
        <f t="shared" si="1"/>
        <v xml:space="preserve">OBLIGAR, MARIANITA MIRALLES </v>
      </c>
      <c r="F99" t="s">
        <v>1895</v>
      </c>
    </row>
    <row r="100" spans="1:6" x14ac:dyDescent="0.25">
      <c r="A100" t="s">
        <v>1729</v>
      </c>
      <c r="B100" t="s">
        <v>1730</v>
      </c>
      <c r="C100" t="s">
        <v>1629</v>
      </c>
      <c r="E100" t="str">
        <f t="shared" si="1"/>
        <v xml:space="preserve">OLIVER, ARMANCIO CORDOVA </v>
      </c>
      <c r="F100" t="s">
        <v>1896</v>
      </c>
    </row>
    <row r="101" spans="1:6" x14ac:dyDescent="0.25">
      <c r="A101" t="s">
        <v>1731</v>
      </c>
      <c r="B101" t="s">
        <v>1543</v>
      </c>
      <c r="C101" t="s">
        <v>1551</v>
      </c>
      <c r="E101" t="str">
        <f t="shared" si="1"/>
        <v xml:space="preserve">OSTOS, ROLDAN GOMEZ </v>
      </c>
      <c r="F101" t="s">
        <v>1897</v>
      </c>
    </row>
    <row r="102" spans="1:6" x14ac:dyDescent="0.25">
      <c r="A102" t="s">
        <v>1732</v>
      </c>
      <c r="B102" t="s">
        <v>1558</v>
      </c>
      <c r="C102" t="s">
        <v>1733</v>
      </c>
      <c r="E102" t="str">
        <f t="shared" si="1"/>
        <v xml:space="preserve">PAGARAN, JERRY LAWATAN </v>
      </c>
      <c r="F102" t="s">
        <v>1898</v>
      </c>
    </row>
    <row r="103" spans="1:6" x14ac:dyDescent="0.25">
      <c r="A103" t="s">
        <v>1734</v>
      </c>
      <c r="B103" t="s">
        <v>1735</v>
      </c>
      <c r="C103" t="s">
        <v>1736</v>
      </c>
      <c r="E103" t="str">
        <f t="shared" si="1"/>
        <v xml:space="preserve">PALMA, CARLOU VERTOSO </v>
      </c>
      <c r="F103" t="s">
        <v>1899</v>
      </c>
    </row>
    <row r="104" spans="1:6" x14ac:dyDescent="0.25">
      <c r="A104" t="s">
        <v>1737</v>
      </c>
      <c r="B104" t="s">
        <v>1738</v>
      </c>
      <c r="C104" t="s">
        <v>1739</v>
      </c>
      <c r="E104" t="str">
        <f t="shared" si="1"/>
        <v xml:space="preserve">PANAL, NONILON ADARO </v>
      </c>
      <c r="F104" t="s">
        <v>1900</v>
      </c>
    </row>
    <row r="105" spans="1:6" x14ac:dyDescent="0.25">
      <c r="A105" t="s">
        <v>1529</v>
      </c>
      <c r="B105" t="s">
        <v>1558</v>
      </c>
      <c r="C105" t="s">
        <v>1561</v>
      </c>
      <c r="E105" t="str">
        <f t="shared" si="1"/>
        <v xml:space="preserve">PASTOR, JERRY MANGUINIMBA </v>
      </c>
      <c r="F105" t="s">
        <v>1901</v>
      </c>
    </row>
    <row r="106" spans="1:6" x14ac:dyDescent="0.25">
      <c r="A106" t="s">
        <v>1529</v>
      </c>
      <c r="B106" t="s">
        <v>1740</v>
      </c>
      <c r="C106" t="s">
        <v>1741</v>
      </c>
      <c r="E106" t="str">
        <f t="shared" si="1"/>
        <v xml:space="preserve">PASTOR, LEAH TELOCAN </v>
      </c>
      <c r="F106" t="s">
        <v>1902</v>
      </c>
    </row>
    <row r="107" spans="1:6" x14ac:dyDescent="0.25">
      <c r="A107" t="s">
        <v>1529</v>
      </c>
      <c r="B107" t="s">
        <v>1742</v>
      </c>
      <c r="C107" t="s">
        <v>1561</v>
      </c>
      <c r="E107" t="str">
        <f t="shared" si="1"/>
        <v xml:space="preserve">PASTOR, ROSALINDA MANGUINIMBA </v>
      </c>
      <c r="F107" t="s">
        <v>1903</v>
      </c>
    </row>
    <row r="108" spans="1:6" x14ac:dyDescent="0.25">
      <c r="A108" t="s">
        <v>1743</v>
      </c>
      <c r="B108" t="s">
        <v>1744</v>
      </c>
      <c r="C108" t="s">
        <v>1710</v>
      </c>
      <c r="E108" t="str">
        <f t="shared" si="1"/>
        <v xml:space="preserve">POTENCIANO, ESTELLA MONDEJAR </v>
      </c>
      <c r="F108" t="s">
        <v>1904</v>
      </c>
    </row>
    <row r="109" spans="1:6" x14ac:dyDescent="0.25">
      <c r="A109" t="s">
        <v>1566</v>
      </c>
      <c r="B109" t="s">
        <v>1745</v>
      </c>
      <c r="C109" t="s">
        <v>1746</v>
      </c>
      <c r="E109" t="str">
        <f t="shared" si="1"/>
        <v xml:space="preserve">REYES, RAMMIL CADABOS </v>
      </c>
      <c r="F109" t="s">
        <v>1905</v>
      </c>
    </row>
    <row r="110" spans="1:6" x14ac:dyDescent="0.25">
      <c r="A110" t="s">
        <v>1566</v>
      </c>
      <c r="B110" t="s">
        <v>1747</v>
      </c>
      <c r="C110" t="s">
        <v>1710</v>
      </c>
      <c r="E110" t="str">
        <f t="shared" si="1"/>
        <v xml:space="preserve">REYES, RONALD MONDEJAR </v>
      </c>
      <c r="F110" t="s">
        <v>1906</v>
      </c>
    </row>
    <row r="111" spans="1:6" x14ac:dyDescent="0.25">
      <c r="A111" t="s">
        <v>1748</v>
      </c>
      <c r="B111" t="s">
        <v>1556</v>
      </c>
      <c r="C111" t="s">
        <v>1710</v>
      </c>
      <c r="E111" t="str">
        <f t="shared" si="1"/>
        <v xml:space="preserve">RILLERA, EDWIN MONDEJAR </v>
      </c>
      <c r="F111" t="s">
        <v>1907</v>
      </c>
    </row>
    <row r="112" spans="1:6" x14ac:dyDescent="0.25">
      <c r="A112" t="s">
        <v>1749</v>
      </c>
      <c r="B112" t="s">
        <v>1750</v>
      </c>
      <c r="C112" t="s">
        <v>1528</v>
      </c>
      <c r="E112" t="str">
        <f t="shared" si="1"/>
        <v xml:space="preserve">SABILLONA, ROSIE TAWIDE </v>
      </c>
      <c r="F112" t="s">
        <v>1908</v>
      </c>
    </row>
    <row r="113" spans="1:6" x14ac:dyDescent="0.25">
      <c r="A113" t="s">
        <v>1537</v>
      </c>
      <c r="B113" t="s">
        <v>1751</v>
      </c>
      <c r="C113" t="s">
        <v>1535</v>
      </c>
      <c r="E113" t="str">
        <f t="shared" si="1"/>
        <v xml:space="preserve">SANGGOD, GLORIA LOPE </v>
      </c>
      <c r="F113" t="s">
        <v>1909</v>
      </c>
    </row>
    <row r="114" spans="1:6" x14ac:dyDescent="0.25">
      <c r="A114" t="s">
        <v>1537</v>
      </c>
      <c r="B114" t="s">
        <v>1527</v>
      </c>
      <c r="C114" t="s">
        <v>1752</v>
      </c>
      <c r="E114" t="str">
        <f t="shared" si="1"/>
        <v xml:space="preserve">SANGGOD, JOSEPH BISMAR </v>
      </c>
      <c r="F114" t="s">
        <v>1910</v>
      </c>
    </row>
    <row r="115" spans="1:6" x14ac:dyDescent="0.25">
      <c r="A115" t="s">
        <v>1537</v>
      </c>
      <c r="B115" t="s">
        <v>1753</v>
      </c>
      <c r="C115" t="s">
        <v>1752</v>
      </c>
      <c r="E115" t="str">
        <f t="shared" si="1"/>
        <v xml:space="preserve">SANGGOD, LEONIDA BISMAR </v>
      </c>
      <c r="F115" t="s">
        <v>1911</v>
      </c>
    </row>
    <row r="116" spans="1:6" x14ac:dyDescent="0.25">
      <c r="A116" t="s">
        <v>1531</v>
      </c>
      <c r="B116" t="s">
        <v>1754</v>
      </c>
      <c r="C116" t="s">
        <v>1548</v>
      </c>
      <c r="E116" t="str">
        <f t="shared" si="1"/>
        <v xml:space="preserve">SOTERO, JAY LORD FLORIDA </v>
      </c>
      <c r="F116" t="s">
        <v>1912</v>
      </c>
    </row>
    <row r="117" spans="1:6" x14ac:dyDescent="0.25">
      <c r="A117" t="s">
        <v>1528</v>
      </c>
      <c r="B117" t="s">
        <v>1755</v>
      </c>
      <c r="C117" t="s">
        <v>1656</v>
      </c>
      <c r="E117" t="str">
        <f t="shared" si="1"/>
        <v xml:space="preserve">TAWIDE, ANDONG BANGLID </v>
      </c>
      <c r="F117" t="s">
        <v>1913</v>
      </c>
    </row>
    <row r="118" spans="1:6" x14ac:dyDescent="0.25">
      <c r="A118" t="s">
        <v>1528</v>
      </c>
      <c r="B118" t="s">
        <v>1756</v>
      </c>
      <c r="C118" t="s">
        <v>1542</v>
      </c>
      <c r="E118" t="str">
        <f t="shared" si="1"/>
        <v xml:space="preserve">TAWIDE, JINKY GONZALES </v>
      </c>
      <c r="F118" t="s">
        <v>1914</v>
      </c>
    </row>
    <row r="119" spans="1:6" x14ac:dyDescent="0.25">
      <c r="A119" t="s">
        <v>1528</v>
      </c>
      <c r="B119" t="s">
        <v>1757</v>
      </c>
      <c r="C119" t="s">
        <v>1529</v>
      </c>
      <c r="E119" t="str">
        <f t="shared" si="1"/>
        <v xml:space="preserve">TAWIDE, LIZA PASTOR </v>
      </c>
      <c r="F119" t="s">
        <v>1915</v>
      </c>
    </row>
    <row r="120" spans="1:6" x14ac:dyDescent="0.25">
      <c r="A120" t="s">
        <v>1528</v>
      </c>
      <c r="B120" t="s">
        <v>1758</v>
      </c>
      <c r="C120" t="s">
        <v>1715</v>
      </c>
      <c r="E120" t="str">
        <f t="shared" si="1"/>
        <v xml:space="preserve">TAWIDE, ROXAN MORGADEZ </v>
      </c>
      <c r="F120" t="s">
        <v>1916</v>
      </c>
    </row>
    <row r="121" spans="1:6" x14ac:dyDescent="0.25">
      <c r="A121" t="s">
        <v>1528</v>
      </c>
      <c r="B121" t="s">
        <v>1759</v>
      </c>
      <c r="C121" t="s">
        <v>1542</v>
      </c>
      <c r="E121" t="str">
        <f t="shared" si="1"/>
        <v xml:space="preserve">TAWIDE, SHERWIN GONZALES </v>
      </c>
      <c r="F121" t="s">
        <v>1917</v>
      </c>
    </row>
    <row r="122" spans="1:6" x14ac:dyDescent="0.25">
      <c r="A122" t="s">
        <v>1572</v>
      </c>
      <c r="B122" t="s">
        <v>1760</v>
      </c>
      <c r="C122" t="s">
        <v>1554</v>
      </c>
      <c r="E122" t="str">
        <f t="shared" si="1"/>
        <v xml:space="preserve">TELLEROS, JENELYN HAVANA </v>
      </c>
      <c r="F122" t="s">
        <v>1918</v>
      </c>
    </row>
    <row r="123" spans="1:6" x14ac:dyDescent="0.25">
      <c r="A123" t="s">
        <v>1572</v>
      </c>
      <c r="B123" t="s">
        <v>1761</v>
      </c>
      <c r="C123" t="s">
        <v>1554</v>
      </c>
      <c r="E123" t="str">
        <f t="shared" si="1"/>
        <v xml:space="preserve">TELLEROS, JERICK HAVANA </v>
      </c>
      <c r="F123" t="s">
        <v>1919</v>
      </c>
    </row>
    <row r="124" spans="1:6" x14ac:dyDescent="0.25">
      <c r="A124" t="s">
        <v>1572</v>
      </c>
      <c r="B124" t="s">
        <v>1762</v>
      </c>
      <c r="C124" t="s">
        <v>1575</v>
      </c>
      <c r="E124" t="str">
        <f t="shared" si="1"/>
        <v xml:space="preserve">TELLEROS, JULIETO PENZA </v>
      </c>
      <c r="F124" t="s">
        <v>1920</v>
      </c>
    </row>
    <row r="125" spans="1:6" x14ac:dyDescent="0.25">
      <c r="A125" t="s">
        <v>1572</v>
      </c>
      <c r="B125" t="s">
        <v>1763</v>
      </c>
      <c r="C125" t="s">
        <v>1557</v>
      </c>
      <c r="E125" t="str">
        <f t="shared" si="1"/>
        <v xml:space="preserve">TELLEROS, LORENA MAGADAN </v>
      </c>
      <c r="F125" t="s">
        <v>1921</v>
      </c>
    </row>
    <row r="126" spans="1:6" x14ac:dyDescent="0.25">
      <c r="A126" t="s">
        <v>1572</v>
      </c>
      <c r="B126" t="s">
        <v>1764</v>
      </c>
      <c r="C126" t="s">
        <v>1684</v>
      </c>
      <c r="E126" t="str">
        <f t="shared" si="1"/>
        <v xml:space="preserve">TELLEROS, MARCELITO LINDAHAY </v>
      </c>
      <c r="F126" t="s">
        <v>1922</v>
      </c>
    </row>
    <row r="127" spans="1:6" x14ac:dyDescent="0.25">
      <c r="A127" t="s">
        <v>1572</v>
      </c>
      <c r="B127" t="s">
        <v>1764</v>
      </c>
      <c r="C127" t="s">
        <v>1684</v>
      </c>
      <c r="E127" t="str">
        <f t="shared" si="1"/>
        <v xml:space="preserve">TELLEROS, MARCELITO LINDAHAY </v>
      </c>
      <c r="F127" t="s">
        <v>1922</v>
      </c>
    </row>
    <row r="128" spans="1:6" x14ac:dyDescent="0.25">
      <c r="A128" t="s">
        <v>1572</v>
      </c>
      <c r="B128" t="s">
        <v>1532</v>
      </c>
      <c r="C128" t="s">
        <v>1765</v>
      </c>
      <c r="E128" t="str">
        <f t="shared" si="1"/>
        <v xml:space="preserve">TELLEROS, NOEL ARIARTE </v>
      </c>
      <c r="F128" t="s">
        <v>1923</v>
      </c>
    </row>
    <row r="129" spans="1:6" x14ac:dyDescent="0.25">
      <c r="A129" t="s">
        <v>1572</v>
      </c>
      <c r="B129" t="s">
        <v>1766</v>
      </c>
      <c r="C129" t="s">
        <v>1684</v>
      </c>
      <c r="E129" t="str">
        <f t="shared" si="1"/>
        <v xml:space="preserve">TELLEROS, ROMEL LINDAHAY </v>
      </c>
      <c r="F129" t="s">
        <v>1924</v>
      </c>
    </row>
    <row r="130" spans="1:6" x14ac:dyDescent="0.25">
      <c r="A130" t="s">
        <v>1572</v>
      </c>
      <c r="B130" t="s">
        <v>1766</v>
      </c>
      <c r="C130" t="s">
        <v>1684</v>
      </c>
      <c r="E130" t="str">
        <f t="shared" ref="E130:E150" si="2">CONCATENATE(A130,", ",B130," ",C130," ",D130)</f>
        <v xml:space="preserve">TELLEROS, ROMEL LINDAHAY </v>
      </c>
      <c r="F130" t="s">
        <v>1924</v>
      </c>
    </row>
    <row r="131" spans="1:6" x14ac:dyDescent="0.25">
      <c r="A131" t="s">
        <v>1741</v>
      </c>
      <c r="B131" t="s">
        <v>1767</v>
      </c>
      <c r="C131" t="s">
        <v>1768</v>
      </c>
      <c r="E131" t="str">
        <f t="shared" si="2"/>
        <v xml:space="preserve">TELOCAN, AINA VINEFLOR GUIMARY </v>
      </c>
      <c r="F131" t="s">
        <v>1925</v>
      </c>
    </row>
    <row r="132" spans="1:6" x14ac:dyDescent="0.25">
      <c r="A132" t="s">
        <v>1741</v>
      </c>
      <c r="B132" t="s">
        <v>1769</v>
      </c>
      <c r="C132" t="s">
        <v>1536</v>
      </c>
      <c r="E132" t="str">
        <f t="shared" si="2"/>
        <v xml:space="preserve">TELOCAN, BABYLITA CASAL </v>
      </c>
      <c r="F132" t="s">
        <v>1926</v>
      </c>
    </row>
    <row r="133" spans="1:6" x14ac:dyDescent="0.25">
      <c r="A133" t="s">
        <v>1741</v>
      </c>
      <c r="B133" t="s">
        <v>1770</v>
      </c>
      <c r="C133" t="s">
        <v>1771</v>
      </c>
      <c r="E133" t="str">
        <f t="shared" si="2"/>
        <v xml:space="preserve">TELOCAN, BENJIE MAJAQUE </v>
      </c>
      <c r="F133" t="s">
        <v>1927</v>
      </c>
    </row>
    <row r="134" spans="1:6" x14ac:dyDescent="0.25">
      <c r="A134" t="s">
        <v>1741</v>
      </c>
      <c r="B134" t="s">
        <v>1772</v>
      </c>
      <c r="C134" t="s">
        <v>1536</v>
      </c>
      <c r="E134" t="str">
        <f t="shared" si="2"/>
        <v xml:space="preserve">TELOCAN, JUNE CASAL </v>
      </c>
      <c r="F134" t="s">
        <v>1928</v>
      </c>
    </row>
    <row r="135" spans="1:6" x14ac:dyDescent="0.25">
      <c r="A135" t="s">
        <v>1741</v>
      </c>
      <c r="B135" t="s">
        <v>1773</v>
      </c>
      <c r="C135" t="s">
        <v>1561</v>
      </c>
      <c r="E135" t="str">
        <f t="shared" si="2"/>
        <v xml:space="preserve">TELOCAN, MILO MANGUINIMBA </v>
      </c>
      <c r="F135" t="s">
        <v>1929</v>
      </c>
    </row>
    <row r="136" spans="1:6" x14ac:dyDescent="0.25">
      <c r="A136" t="s">
        <v>1774</v>
      </c>
      <c r="B136" t="s">
        <v>1775</v>
      </c>
      <c r="C136" t="s">
        <v>1564</v>
      </c>
      <c r="E136" t="str">
        <f t="shared" si="2"/>
        <v xml:space="preserve">TILOCAN, RUDOLFO TADAY </v>
      </c>
      <c r="F136" t="s">
        <v>1930</v>
      </c>
    </row>
    <row r="137" spans="1:6" x14ac:dyDescent="0.25">
      <c r="A137" t="s">
        <v>1534</v>
      </c>
      <c r="B137" t="s">
        <v>1776</v>
      </c>
      <c r="C137" t="s">
        <v>1684</v>
      </c>
      <c r="E137" t="str">
        <f t="shared" si="2"/>
        <v xml:space="preserve">TORRES, ALMA LINDAHAY </v>
      </c>
      <c r="F137" t="s">
        <v>1931</v>
      </c>
    </row>
    <row r="138" spans="1:6" x14ac:dyDescent="0.25">
      <c r="A138" t="s">
        <v>1534</v>
      </c>
      <c r="B138" t="s">
        <v>1777</v>
      </c>
      <c r="C138" t="s">
        <v>1542</v>
      </c>
      <c r="E138" t="str">
        <f t="shared" si="2"/>
        <v xml:space="preserve">TORRES, ANALYN GONZALES </v>
      </c>
      <c r="F138" t="s">
        <v>1932</v>
      </c>
    </row>
    <row r="139" spans="1:6" x14ac:dyDescent="0.25">
      <c r="A139" t="s">
        <v>1534</v>
      </c>
      <c r="B139" t="s">
        <v>1778</v>
      </c>
      <c r="C139" t="s">
        <v>1542</v>
      </c>
      <c r="E139" t="str">
        <f t="shared" si="2"/>
        <v xml:space="preserve">TORRES, LILIA GONZALES </v>
      </c>
      <c r="F139" t="s">
        <v>1933</v>
      </c>
    </row>
    <row r="140" spans="1:6" x14ac:dyDescent="0.25">
      <c r="A140" t="s">
        <v>1779</v>
      </c>
      <c r="B140" t="s">
        <v>1780</v>
      </c>
      <c r="C140" t="s">
        <v>1542</v>
      </c>
      <c r="E140" t="str">
        <f t="shared" si="2"/>
        <v xml:space="preserve">TUBAO, BERNABE GONZALES </v>
      </c>
      <c r="F140" t="s">
        <v>1934</v>
      </c>
    </row>
    <row r="141" spans="1:6" x14ac:dyDescent="0.25">
      <c r="A141" t="s">
        <v>1547</v>
      </c>
      <c r="B141" t="s">
        <v>1586</v>
      </c>
      <c r="C141" t="s">
        <v>1781</v>
      </c>
      <c r="E141" t="str">
        <f t="shared" si="2"/>
        <v xml:space="preserve">TURA, MARILOU ODOD </v>
      </c>
      <c r="F141" t="s">
        <v>1935</v>
      </c>
    </row>
    <row r="142" spans="1:6" x14ac:dyDescent="0.25">
      <c r="A142" t="s">
        <v>1540</v>
      </c>
      <c r="B142" t="s">
        <v>1782</v>
      </c>
      <c r="C142" t="s">
        <v>1561</v>
      </c>
      <c r="E142" t="str">
        <f t="shared" si="2"/>
        <v xml:space="preserve">VELOSO, LORETA MANGUINIMBA </v>
      </c>
      <c r="F142" t="s">
        <v>1936</v>
      </c>
    </row>
    <row r="143" spans="1:6" x14ac:dyDescent="0.25">
      <c r="A143" t="s">
        <v>1783</v>
      </c>
      <c r="B143" t="s">
        <v>1760</v>
      </c>
      <c r="C143" t="s">
        <v>1784</v>
      </c>
      <c r="E143" t="str">
        <f t="shared" si="2"/>
        <v xml:space="preserve">VICENTE, JENELYN TUNONG </v>
      </c>
      <c r="F143" t="s">
        <v>1937</v>
      </c>
    </row>
    <row r="144" spans="1:6" x14ac:dyDescent="0.25">
      <c r="A144" t="s">
        <v>1785</v>
      </c>
      <c r="B144" t="s">
        <v>1786</v>
      </c>
      <c r="C144" t="s">
        <v>1553</v>
      </c>
      <c r="E144" t="str">
        <f t="shared" si="2"/>
        <v xml:space="preserve">VIPINOZA, ARIEL SANCHEZ </v>
      </c>
      <c r="F144" t="s">
        <v>1938</v>
      </c>
    </row>
    <row r="145" spans="1:6" x14ac:dyDescent="0.25">
      <c r="A145" t="s">
        <v>1787</v>
      </c>
      <c r="B145" t="s">
        <v>1788</v>
      </c>
      <c r="C145" t="s">
        <v>1789</v>
      </c>
      <c r="E145" t="str">
        <f t="shared" si="2"/>
        <v xml:space="preserve">VISTO, FORTUNATO MADRIA </v>
      </c>
      <c r="F145" t="s">
        <v>1939</v>
      </c>
    </row>
    <row r="146" spans="1:6" x14ac:dyDescent="0.25">
      <c r="A146" t="s">
        <v>1790</v>
      </c>
      <c r="B146" t="s">
        <v>1791</v>
      </c>
      <c r="C146" t="s">
        <v>1689</v>
      </c>
      <c r="E146" t="str">
        <f t="shared" si="2"/>
        <v xml:space="preserve">YBAÑEZ, IMELDA LONGOS </v>
      </c>
      <c r="F146" t="s">
        <v>1940</v>
      </c>
    </row>
    <row r="147" spans="1:6" x14ac:dyDescent="0.25">
      <c r="A147" t="s">
        <v>1790</v>
      </c>
      <c r="B147" t="s">
        <v>1792</v>
      </c>
      <c r="C147" t="s">
        <v>1793</v>
      </c>
      <c r="E147" t="str">
        <f t="shared" si="2"/>
        <v xml:space="preserve">YBAÑEZ, JUNEREL ARETANO </v>
      </c>
      <c r="F147" t="s">
        <v>1941</v>
      </c>
    </row>
    <row r="148" spans="1:6" x14ac:dyDescent="0.25">
      <c r="A148" t="s">
        <v>1794</v>
      </c>
      <c r="B148" t="s">
        <v>1538</v>
      </c>
      <c r="C148" t="s">
        <v>1559</v>
      </c>
      <c r="E148" t="str">
        <f t="shared" si="2"/>
        <v xml:space="preserve">YU, ROBERTO ENDRIO </v>
      </c>
      <c r="F148" t="s">
        <v>1942</v>
      </c>
    </row>
    <row r="149" spans="1:6" x14ac:dyDescent="0.25">
      <c r="A149" t="s">
        <v>1794</v>
      </c>
      <c r="B149" t="s">
        <v>1795</v>
      </c>
      <c r="C149" t="s">
        <v>1559</v>
      </c>
      <c r="E149" t="str">
        <f t="shared" si="2"/>
        <v xml:space="preserve">YU, RUDENA ENDRIO </v>
      </c>
      <c r="F149" t="s">
        <v>1943</v>
      </c>
    </row>
    <row r="150" spans="1:6" x14ac:dyDescent="0.25">
      <c r="A150" t="s">
        <v>1794</v>
      </c>
      <c r="B150" t="s">
        <v>1796</v>
      </c>
      <c r="C150" t="s">
        <v>1559</v>
      </c>
      <c r="E150" t="str">
        <f t="shared" si="2"/>
        <v xml:space="preserve">YU, VIOLITA ENDRIO </v>
      </c>
      <c r="F150" t="s">
        <v>1944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AEA33-BCAD-42C0-A2BF-C91179766328}">
  <dimension ref="A1:G278"/>
  <sheetViews>
    <sheetView workbookViewId="0">
      <selection activeCell="G28" sqref="G28"/>
    </sheetView>
  </sheetViews>
  <sheetFormatPr defaultRowHeight="15" x14ac:dyDescent="0.25"/>
  <cols>
    <col min="6" max="6" width="28.140625" bestFit="1" customWidth="1"/>
    <col min="7" max="7" width="13.42578125" bestFit="1" customWidth="1"/>
    <col min="8" max="8" width="28.85546875" bestFit="1" customWidth="1"/>
  </cols>
  <sheetData>
    <row r="1" spans="1:7" x14ac:dyDescent="0.25">
      <c r="A1" t="s">
        <v>1732</v>
      </c>
      <c r="B1" t="s">
        <v>2224</v>
      </c>
      <c r="C1" t="s">
        <v>2225</v>
      </c>
      <c r="E1" t="str">
        <f>_xlfn.CONCAT(A1,", ",B1," ",C1, " ",D1)</f>
        <v xml:space="preserve">PAGARAN, WILMA VALMORIA </v>
      </c>
      <c r="F1" t="s">
        <v>2226</v>
      </c>
      <c r="G1" t="s">
        <v>2227</v>
      </c>
    </row>
    <row r="2" spans="1:7" x14ac:dyDescent="0.25">
      <c r="E2" s="202"/>
      <c r="G2" s="202"/>
    </row>
    <row r="3" spans="1:7" x14ac:dyDescent="0.25">
      <c r="E3" s="202"/>
      <c r="G3" s="202"/>
    </row>
    <row r="4" spans="1:7" x14ac:dyDescent="0.25">
      <c r="E4" s="202"/>
      <c r="G4" s="202"/>
    </row>
    <row r="5" spans="1:7" x14ac:dyDescent="0.25">
      <c r="E5" s="202"/>
      <c r="G5" s="202"/>
    </row>
    <row r="6" spans="1:7" x14ac:dyDescent="0.25">
      <c r="E6" s="202"/>
      <c r="G6" s="202"/>
    </row>
    <row r="7" spans="1:7" x14ac:dyDescent="0.25">
      <c r="E7" s="202"/>
      <c r="G7" s="202"/>
    </row>
    <row r="8" spans="1:7" x14ac:dyDescent="0.25">
      <c r="E8" s="202"/>
      <c r="G8" s="202"/>
    </row>
    <row r="9" spans="1:7" x14ac:dyDescent="0.25">
      <c r="E9" s="202"/>
      <c r="G9" s="202"/>
    </row>
    <row r="10" spans="1:7" x14ac:dyDescent="0.25">
      <c r="E10" s="202"/>
      <c r="G10" s="202"/>
    </row>
    <row r="11" spans="1:7" x14ac:dyDescent="0.25">
      <c r="E11" s="202"/>
      <c r="G11" s="202"/>
    </row>
    <row r="12" spans="1:7" x14ac:dyDescent="0.25">
      <c r="E12" s="202"/>
      <c r="G12" s="202"/>
    </row>
    <row r="13" spans="1:7" x14ac:dyDescent="0.25">
      <c r="E13" s="202"/>
      <c r="G13" s="202"/>
    </row>
    <row r="14" spans="1:7" x14ac:dyDescent="0.25">
      <c r="E14" s="202"/>
      <c r="G14" s="202"/>
    </row>
    <row r="15" spans="1:7" x14ac:dyDescent="0.25">
      <c r="E15" s="202"/>
      <c r="G15" s="202"/>
    </row>
    <row r="16" spans="1:7" x14ac:dyDescent="0.25">
      <c r="E16" s="202"/>
      <c r="G16" s="202"/>
    </row>
    <row r="17" spans="5:7" x14ac:dyDescent="0.25">
      <c r="E17" s="202"/>
      <c r="G17" s="202"/>
    </row>
    <row r="18" spans="5:7" x14ac:dyDescent="0.25">
      <c r="E18" s="202"/>
      <c r="G18" s="202"/>
    </row>
    <row r="19" spans="5:7" x14ac:dyDescent="0.25">
      <c r="E19" s="202"/>
      <c r="G19" s="202"/>
    </row>
    <row r="20" spans="5:7" x14ac:dyDescent="0.25">
      <c r="E20" s="202"/>
      <c r="G20" s="202"/>
    </row>
    <row r="21" spans="5:7" x14ac:dyDescent="0.25">
      <c r="E21" s="202"/>
      <c r="G21" s="202"/>
    </row>
    <row r="22" spans="5:7" x14ac:dyDescent="0.25">
      <c r="E22" s="202"/>
      <c r="G22" s="202"/>
    </row>
    <row r="23" spans="5:7" x14ac:dyDescent="0.25">
      <c r="E23" s="202"/>
      <c r="G23" s="202"/>
    </row>
    <row r="24" spans="5:7" x14ac:dyDescent="0.25">
      <c r="E24" s="202"/>
      <c r="G24" s="202"/>
    </row>
    <row r="25" spans="5:7" x14ac:dyDescent="0.25">
      <c r="E25" s="202"/>
      <c r="G25" s="202"/>
    </row>
    <row r="26" spans="5:7" x14ac:dyDescent="0.25">
      <c r="E26" s="202"/>
      <c r="G26" s="202"/>
    </row>
    <row r="27" spans="5:7" x14ac:dyDescent="0.25">
      <c r="E27" s="202"/>
      <c r="G27" s="202"/>
    </row>
    <row r="28" spans="5:7" x14ac:dyDescent="0.25">
      <c r="E28" s="202"/>
      <c r="G28" s="202"/>
    </row>
    <row r="29" spans="5:7" x14ac:dyDescent="0.25">
      <c r="E29" s="202"/>
      <c r="G29" s="202"/>
    </row>
    <row r="30" spans="5:7" x14ac:dyDescent="0.25">
      <c r="E30" s="202"/>
      <c r="G30" s="202"/>
    </row>
    <row r="31" spans="5:7" x14ac:dyDescent="0.25">
      <c r="E31" s="202"/>
      <c r="G31" s="202"/>
    </row>
    <row r="32" spans="5:7" x14ac:dyDescent="0.25">
      <c r="E32" s="202"/>
      <c r="G32" s="202"/>
    </row>
    <row r="33" spans="5:7" x14ac:dyDescent="0.25">
      <c r="E33" s="202"/>
      <c r="G33" s="202"/>
    </row>
    <row r="34" spans="5:7" x14ac:dyDescent="0.25">
      <c r="E34" s="202"/>
      <c r="G34" s="202"/>
    </row>
    <row r="35" spans="5:7" x14ac:dyDescent="0.25">
      <c r="E35" s="202"/>
      <c r="G35" s="202"/>
    </row>
    <row r="36" spans="5:7" x14ac:dyDescent="0.25">
      <c r="E36" s="202"/>
      <c r="G36" s="202"/>
    </row>
    <row r="37" spans="5:7" x14ac:dyDescent="0.25">
      <c r="E37" s="202"/>
      <c r="G37" s="202"/>
    </row>
    <row r="38" spans="5:7" x14ac:dyDescent="0.25">
      <c r="E38" s="202"/>
      <c r="G38" s="202"/>
    </row>
    <row r="39" spans="5:7" x14ac:dyDescent="0.25">
      <c r="E39" s="202"/>
      <c r="G39" s="202"/>
    </row>
    <row r="40" spans="5:7" x14ac:dyDescent="0.25">
      <c r="E40" s="202"/>
      <c r="G40" s="202"/>
    </row>
    <row r="41" spans="5:7" x14ac:dyDescent="0.25">
      <c r="E41" s="202"/>
      <c r="G41" s="202"/>
    </row>
    <row r="42" spans="5:7" x14ac:dyDescent="0.25">
      <c r="E42" s="202"/>
      <c r="G42" s="202"/>
    </row>
    <row r="43" spans="5:7" x14ac:dyDescent="0.25">
      <c r="E43" s="202"/>
      <c r="G43" s="202"/>
    </row>
    <row r="44" spans="5:7" x14ac:dyDescent="0.25">
      <c r="E44" s="202"/>
      <c r="G44" s="202"/>
    </row>
    <row r="45" spans="5:7" x14ac:dyDescent="0.25">
      <c r="E45" s="202"/>
      <c r="G45" s="202"/>
    </row>
    <row r="46" spans="5:7" x14ac:dyDescent="0.25">
      <c r="E46" s="202"/>
      <c r="G46" s="202"/>
    </row>
    <row r="47" spans="5:7" x14ac:dyDescent="0.25">
      <c r="E47" s="202"/>
      <c r="G47" s="202"/>
    </row>
    <row r="48" spans="5:7" x14ac:dyDescent="0.25">
      <c r="E48" s="202"/>
      <c r="G48" s="202"/>
    </row>
    <row r="49" spans="5:7" x14ac:dyDescent="0.25">
      <c r="E49" s="202"/>
      <c r="G49" s="202"/>
    </row>
    <row r="50" spans="5:7" x14ac:dyDescent="0.25">
      <c r="E50" s="202"/>
      <c r="G50" s="202"/>
    </row>
    <row r="51" spans="5:7" x14ac:dyDescent="0.25">
      <c r="E51" s="202"/>
      <c r="G51" s="202"/>
    </row>
    <row r="52" spans="5:7" x14ac:dyDescent="0.25">
      <c r="E52" s="202"/>
      <c r="G52" s="202"/>
    </row>
    <row r="53" spans="5:7" x14ac:dyDescent="0.25">
      <c r="E53" s="202"/>
      <c r="G53" s="202"/>
    </row>
    <row r="54" spans="5:7" x14ac:dyDescent="0.25">
      <c r="E54" s="202"/>
      <c r="G54" s="202"/>
    </row>
    <row r="55" spans="5:7" x14ac:dyDescent="0.25">
      <c r="E55" s="202"/>
      <c r="G55" s="202"/>
    </row>
    <row r="56" spans="5:7" x14ac:dyDescent="0.25">
      <c r="E56" s="202"/>
      <c r="G56" s="202"/>
    </row>
    <row r="57" spans="5:7" x14ac:dyDescent="0.25">
      <c r="E57" s="202"/>
      <c r="G57" s="202"/>
    </row>
    <row r="58" spans="5:7" x14ac:dyDescent="0.25">
      <c r="E58" s="202"/>
      <c r="G58" s="202"/>
    </row>
    <row r="59" spans="5:7" x14ac:dyDescent="0.25">
      <c r="E59" s="202"/>
      <c r="G59" s="202"/>
    </row>
    <row r="60" spans="5:7" x14ac:dyDescent="0.25">
      <c r="E60" s="202"/>
      <c r="G60" s="202"/>
    </row>
    <row r="61" spans="5:7" x14ac:dyDescent="0.25">
      <c r="E61" s="202"/>
      <c r="G61" s="202"/>
    </row>
    <row r="62" spans="5:7" x14ac:dyDescent="0.25">
      <c r="E62" s="202"/>
      <c r="G62" s="202"/>
    </row>
    <row r="63" spans="5:7" x14ac:dyDescent="0.25">
      <c r="E63" s="202"/>
      <c r="G63" s="202"/>
    </row>
    <row r="64" spans="5:7" x14ac:dyDescent="0.25">
      <c r="E64" s="202"/>
      <c r="G64" s="202"/>
    </row>
    <row r="65" spans="5:7" x14ac:dyDescent="0.25">
      <c r="E65" s="202"/>
      <c r="G65" s="202"/>
    </row>
    <row r="66" spans="5:7" x14ac:dyDescent="0.25">
      <c r="E66" s="202"/>
      <c r="G66" s="202"/>
    </row>
    <row r="67" spans="5:7" x14ac:dyDescent="0.25">
      <c r="E67" s="202"/>
      <c r="G67" s="202"/>
    </row>
    <row r="68" spans="5:7" x14ac:dyDescent="0.25">
      <c r="E68" s="202"/>
      <c r="G68" s="202"/>
    </row>
    <row r="69" spans="5:7" x14ac:dyDescent="0.25">
      <c r="E69" s="202"/>
      <c r="G69" s="202"/>
    </row>
    <row r="70" spans="5:7" x14ac:dyDescent="0.25">
      <c r="E70" s="202"/>
      <c r="G70" s="202"/>
    </row>
    <row r="71" spans="5:7" x14ac:dyDescent="0.25">
      <c r="E71" s="202"/>
      <c r="G71" s="202"/>
    </row>
    <row r="72" spans="5:7" x14ac:dyDescent="0.25">
      <c r="E72" s="202"/>
      <c r="G72" s="202"/>
    </row>
    <row r="73" spans="5:7" x14ac:dyDescent="0.25">
      <c r="E73" s="202"/>
      <c r="G73" s="202"/>
    </row>
    <row r="74" spans="5:7" x14ac:dyDescent="0.25">
      <c r="E74" s="202"/>
      <c r="G74" s="202"/>
    </row>
    <row r="75" spans="5:7" x14ac:dyDescent="0.25">
      <c r="E75" s="202"/>
      <c r="G75" s="202"/>
    </row>
    <row r="76" spans="5:7" x14ac:dyDescent="0.25">
      <c r="E76" s="202"/>
      <c r="G76" s="202"/>
    </row>
    <row r="77" spans="5:7" x14ac:dyDescent="0.25">
      <c r="E77" s="202"/>
      <c r="G77" s="202"/>
    </row>
    <row r="78" spans="5:7" x14ac:dyDescent="0.25">
      <c r="E78" s="202"/>
      <c r="G78" s="202"/>
    </row>
    <row r="79" spans="5:7" x14ac:dyDescent="0.25">
      <c r="E79" s="202"/>
      <c r="G79" s="202"/>
    </row>
    <row r="80" spans="5:7" x14ac:dyDescent="0.25">
      <c r="E80" s="202"/>
      <c r="G80" s="202"/>
    </row>
    <row r="81" spans="5:7" x14ac:dyDescent="0.25">
      <c r="E81" s="202"/>
      <c r="G81" s="202"/>
    </row>
    <row r="82" spans="5:7" x14ac:dyDescent="0.25">
      <c r="E82" s="202"/>
      <c r="G82" s="202"/>
    </row>
    <row r="83" spans="5:7" x14ac:dyDescent="0.25">
      <c r="E83" s="202"/>
      <c r="G83" s="202"/>
    </row>
    <row r="84" spans="5:7" x14ac:dyDescent="0.25">
      <c r="E84" s="202"/>
      <c r="G84" s="202"/>
    </row>
    <row r="85" spans="5:7" x14ac:dyDescent="0.25">
      <c r="E85" s="202"/>
      <c r="G85" s="202"/>
    </row>
    <row r="86" spans="5:7" x14ac:dyDescent="0.25">
      <c r="E86" s="202"/>
      <c r="G86" s="202"/>
    </row>
    <row r="87" spans="5:7" x14ac:dyDescent="0.25">
      <c r="E87" s="202"/>
      <c r="G87" s="202"/>
    </row>
    <row r="88" spans="5:7" x14ac:dyDescent="0.25">
      <c r="E88" s="202"/>
      <c r="G88" s="202"/>
    </row>
    <row r="89" spans="5:7" x14ac:dyDescent="0.25">
      <c r="E89" s="202"/>
      <c r="G89" s="202"/>
    </row>
    <row r="90" spans="5:7" x14ac:dyDescent="0.25">
      <c r="E90" s="202"/>
      <c r="G90" s="202"/>
    </row>
    <row r="91" spans="5:7" x14ac:dyDescent="0.25">
      <c r="E91" s="202"/>
      <c r="G91" s="202"/>
    </row>
    <row r="92" spans="5:7" x14ac:dyDescent="0.25">
      <c r="E92" s="202"/>
      <c r="G92" s="202"/>
    </row>
    <row r="93" spans="5:7" x14ac:dyDescent="0.25">
      <c r="E93" s="202"/>
      <c r="G93" s="202"/>
    </row>
    <row r="94" spans="5:7" x14ac:dyDescent="0.25">
      <c r="E94" s="202"/>
      <c r="G94" s="202"/>
    </row>
    <row r="95" spans="5:7" x14ac:dyDescent="0.25">
      <c r="E95" s="202"/>
      <c r="G95" s="202"/>
    </row>
    <row r="96" spans="5:7" x14ac:dyDescent="0.25">
      <c r="E96" s="202"/>
      <c r="G96" s="202"/>
    </row>
    <row r="97" spans="5:7" x14ac:dyDescent="0.25">
      <c r="E97" s="202"/>
      <c r="G97" s="202"/>
    </row>
    <row r="98" spans="5:7" x14ac:dyDescent="0.25">
      <c r="E98" s="202"/>
      <c r="G98" s="202"/>
    </row>
    <row r="99" spans="5:7" x14ac:dyDescent="0.25">
      <c r="E99" s="202"/>
      <c r="G99" s="202"/>
    </row>
    <row r="100" spans="5:7" x14ac:dyDescent="0.25">
      <c r="E100" s="202"/>
      <c r="G100" s="202"/>
    </row>
    <row r="101" spans="5:7" x14ac:dyDescent="0.25">
      <c r="E101" s="202"/>
      <c r="G101" s="202"/>
    </row>
    <row r="102" spans="5:7" x14ac:dyDescent="0.25">
      <c r="E102" s="202"/>
      <c r="G102" s="202"/>
    </row>
    <row r="103" spans="5:7" x14ac:dyDescent="0.25">
      <c r="E103" s="202"/>
      <c r="G103" s="202"/>
    </row>
    <row r="104" spans="5:7" x14ac:dyDescent="0.25">
      <c r="E104" s="202"/>
      <c r="G104" s="202"/>
    </row>
    <row r="105" spans="5:7" x14ac:dyDescent="0.25">
      <c r="E105" s="202"/>
      <c r="G105" s="202"/>
    </row>
    <row r="106" spans="5:7" x14ac:dyDescent="0.25">
      <c r="E106" s="202"/>
      <c r="G106" s="202"/>
    </row>
    <row r="107" spans="5:7" x14ac:dyDescent="0.25">
      <c r="E107" s="202"/>
      <c r="G107" s="202"/>
    </row>
    <row r="108" spans="5:7" x14ac:dyDescent="0.25">
      <c r="E108" s="202"/>
      <c r="G108" s="202"/>
    </row>
    <row r="109" spans="5:7" x14ac:dyDescent="0.25">
      <c r="E109" s="202"/>
      <c r="G109" s="202"/>
    </row>
    <row r="110" spans="5:7" x14ac:dyDescent="0.25">
      <c r="E110" s="202"/>
      <c r="G110" s="202"/>
    </row>
    <row r="111" spans="5:7" x14ac:dyDescent="0.25">
      <c r="E111" s="202"/>
      <c r="G111" s="202"/>
    </row>
    <row r="112" spans="5:7" x14ac:dyDescent="0.25">
      <c r="E112" s="202"/>
      <c r="G112" s="202"/>
    </row>
    <row r="113" spans="5:7" x14ac:dyDescent="0.25">
      <c r="E113" s="202"/>
      <c r="G113" s="202"/>
    </row>
    <row r="114" spans="5:7" x14ac:dyDescent="0.25">
      <c r="E114" s="202"/>
      <c r="G114" s="202"/>
    </row>
    <row r="115" spans="5:7" x14ac:dyDescent="0.25">
      <c r="E115" s="202"/>
      <c r="G115" s="202"/>
    </row>
    <row r="116" spans="5:7" x14ac:dyDescent="0.25">
      <c r="E116" s="202"/>
      <c r="G116" s="202"/>
    </row>
    <row r="117" spans="5:7" x14ac:dyDescent="0.25">
      <c r="E117" s="202"/>
      <c r="G117" s="202"/>
    </row>
    <row r="118" spans="5:7" x14ac:dyDescent="0.25">
      <c r="E118" s="202"/>
      <c r="G118" s="202"/>
    </row>
    <row r="119" spans="5:7" x14ac:dyDescent="0.25">
      <c r="E119" s="202"/>
      <c r="G119" s="202"/>
    </row>
    <row r="120" spans="5:7" x14ac:dyDescent="0.25">
      <c r="E120" s="202"/>
      <c r="G120" s="202"/>
    </row>
    <row r="121" spans="5:7" x14ac:dyDescent="0.25">
      <c r="E121" s="202"/>
      <c r="G121" s="202"/>
    </row>
    <row r="122" spans="5:7" x14ac:dyDescent="0.25">
      <c r="E122" s="202"/>
      <c r="G122" s="202"/>
    </row>
    <row r="123" spans="5:7" x14ac:dyDescent="0.25">
      <c r="E123" s="202"/>
      <c r="G123" s="202"/>
    </row>
    <row r="124" spans="5:7" x14ac:dyDescent="0.25">
      <c r="E124" s="202"/>
      <c r="G124" s="202"/>
    </row>
    <row r="125" spans="5:7" x14ac:dyDescent="0.25">
      <c r="E125" s="202"/>
      <c r="G125" s="202"/>
    </row>
    <row r="126" spans="5:7" x14ac:dyDescent="0.25">
      <c r="E126" s="202"/>
      <c r="G126" s="202"/>
    </row>
    <row r="127" spans="5:7" x14ac:dyDescent="0.25">
      <c r="E127" s="202"/>
      <c r="G127" s="202"/>
    </row>
    <row r="128" spans="5:7" x14ac:dyDescent="0.25">
      <c r="E128" s="202"/>
      <c r="G128" s="202"/>
    </row>
    <row r="129" spans="5:7" x14ac:dyDescent="0.25">
      <c r="E129" s="202"/>
      <c r="G129" s="202"/>
    </row>
    <row r="130" spans="5:7" x14ac:dyDescent="0.25">
      <c r="E130" s="202"/>
      <c r="G130" s="202"/>
    </row>
    <row r="131" spans="5:7" x14ac:dyDescent="0.25">
      <c r="E131" s="202"/>
      <c r="G131" s="202"/>
    </row>
    <row r="132" spans="5:7" x14ac:dyDescent="0.25">
      <c r="E132" s="202"/>
      <c r="G132" s="202"/>
    </row>
    <row r="133" spans="5:7" x14ac:dyDescent="0.25">
      <c r="E133" s="202"/>
      <c r="G133" s="202"/>
    </row>
    <row r="134" spans="5:7" x14ac:dyDescent="0.25">
      <c r="E134" s="202"/>
      <c r="G134" s="202"/>
    </row>
    <row r="135" spans="5:7" x14ac:dyDescent="0.25">
      <c r="E135" s="202"/>
      <c r="G135" s="202"/>
    </row>
    <row r="136" spans="5:7" x14ac:dyDescent="0.25">
      <c r="E136" s="202"/>
      <c r="G136" s="202"/>
    </row>
    <row r="137" spans="5:7" x14ac:dyDescent="0.25">
      <c r="E137" s="202"/>
      <c r="G137" s="202"/>
    </row>
    <row r="138" spans="5:7" x14ac:dyDescent="0.25">
      <c r="E138" s="202"/>
      <c r="G138" s="202"/>
    </row>
    <row r="139" spans="5:7" x14ac:dyDescent="0.25">
      <c r="E139" s="202"/>
      <c r="G139" s="202"/>
    </row>
    <row r="140" spans="5:7" x14ac:dyDescent="0.25">
      <c r="E140" s="202"/>
      <c r="G140" s="202"/>
    </row>
    <row r="141" spans="5:7" x14ac:dyDescent="0.25">
      <c r="E141" s="202"/>
      <c r="G141" s="202"/>
    </row>
    <row r="142" spans="5:7" x14ac:dyDescent="0.25">
      <c r="E142" s="202"/>
      <c r="G142" s="202"/>
    </row>
    <row r="143" spans="5:7" x14ac:dyDescent="0.25">
      <c r="E143" s="202"/>
      <c r="G143" s="202"/>
    </row>
    <row r="144" spans="5:7" x14ac:dyDescent="0.25">
      <c r="E144" s="202"/>
      <c r="G144" s="202"/>
    </row>
    <row r="145" spans="5:7" x14ac:dyDescent="0.25">
      <c r="E145" s="202"/>
      <c r="G145" s="202"/>
    </row>
    <row r="146" spans="5:7" x14ac:dyDescent="0.25">
      <c r="E146" s="202"/>
      <c r="G146" s="202"/>
    </row>
    <row r="147" spans="5:7" x14ac:dyDescent="0.25">
      <c r="E147" s="202"/>
      <c r="G147" s="202"/>
    </row>
    <row r="148" spans="5:7" x14ac:dyDescent="0.25">
      <c r="E148" s="202"/>
      <c r="G148" s="202"/>
    </row>
    <row r="149" spans="5:7" x14ac:dyDescent="0.25">
      <c r="E149" s="202"/>
      <c r="G149" s="202"/>
    </row>
    <row r="150" spans="5:7" x14ac:dyDescent="0.25">
      <c r="E150" s="202"/>
      <c r="G150" s="202"/>
    </row>
    <row r="151" spans="5:7" x14ac:dyDescent="0.25">
      <c r="E151" s="202"/>
      <c r="G151" s="202"/>
    </row>
    <row r="152" spans="5:7" x14ac:dyDescent="0.25">
      <c r="E152" s="202"/>
      <c r="G152" s="202"/>
    </row>
    <row r="153" spans="5:7" x14ac:dyDescent="0.25">
      <c r="E153" s="202"/>
      <c r="G153" s="202"/>
    </row>
    <row r="154" spans="5:7" x14ac:dyDescent="0.25">
      <c r="E154" s="202"/>
      <c r="G154" s="202"/>
    </row>
    <row r="155" spans="5:7" x14ac:dyDescent="0.25">
      <c r="E155" s="202"/>
      <c r="G155" s="202"/>
    </row>
    <row r="156" spans="5:7" x14ac:dyDescent="0.25">
      <c r="E156" s="202"/>
      <c r="G156" s="202"/>
    </row>
    <row r="157" spans="5:7" x14ac:dyDescent="0.25">
      <c r="E157" s="202"/>
      <c r="G157" s="202"/>
    </row>
    <row r="158" spans="5:7" x14ac:dyDescent="0.25">
      <c r="E158" s="202"/>
      <c r="G158" s="202"/>
    </row>
    <row r="159" spans="5:7" x14ac:dyDescent="0.25">
      <c r="E159" s="202"/>
      <c r="G159" s="202"/>
    </row>
    <row r="160" spans="5:7" x14ac:dyDescent="0.25">
      <c r="E160" s="202"/>
      <c r="G160" s="202"/>
    </row>
    <row r="161" spans="5:7" x14ac:dyDescent="0.25">
      <c r="E161" s="202"/>
      <c r="G161" s="202"/>
    </row>
    <row r="162" spans="5:7" x14ac:dyDescent="0.25">
      <c r="E162" s="202"/>
      <c r="G162" s="202"/>
    </row>
    <row r="163" spans="5:7" x14ac:dyDescent="0.25">
      <c r="E163" s="202"/>
      <c r="G163" s="202"/>
    </row>
    <row r="164" spans="5:7" x14ac:dyDescent="0.25">
      <c r="E164" s="202"/>
      <c r="G164" s="202"/>
    </row>
    <row r="165" spans="5:7" x14ac:dyDescent="0.25">
      <c r="E165" s="202"/>
      <c r="G165" s="202"/>
    </row>
    <row r="166" spans="5:7" x14ac:dyDescent="0.25">
      <c r="E166" s="202"/>
      <c r="G166" s="202"/>
    </row>
    <row r="167" spans="5:7" x14ac:dyDescent="0.25">
      <c r="E167" s="202"/>
      <c r="G167" s="202"/>
    </row>
    <row r="168" spans="5:7" x14ac:dyDescent="0.25">
      <c r="E168" s="202"/>
      <c r="G168" s="202"/>
    </row>
    <row r="169" spans="5:7" x14ac:dyDescent="0.25">
      <c r="E169" s="202"/>
      <c r="G169" s="202"/>
    </row>
    <row r="170" spans="5:7" x14ac:dyDescent="0.25">
      <c r="E170" s="202"/>
      <c r="G170" s="202"/>
    </row>
    <row r="171" spans="5:7" x14ac:dyDescent="0.25">
      <c r="E171" s="202"/>
      <c r="G171" s="202"/>
    </row>
    <row r="172" spans="5:7" x14ac:dyDescent="0.25">
      <c r="E172" s="202"/>
      <c r="G172" s="202"/>
    </row>
    <row r="173" spans="5:7" x14ac:dyDescent="0.25">
      <c r="E173" s="202"/>
      <c r="G173" s="202"/>
    </row>
    <row r="174" spans="5:7" x14ac:dyDescent="0.25">
      <c r="E174" s="202"/>
      <c r="G174" s="202"/>
    </row>
    <row r="175" spans="5:7" x14ac:dyDescent="0.25">
      <c r="E175" s="202"/>
      <c r="G175" s="202"/>
    </row>
    <row r="176" spans="5:7" x14ac:dyDescent="0.25">
      <c r="E176" s="202"/>
      <c r="G176" s="202"/>
    </row>
    <row r="177" spans="5:7" x14ac:dyDescent="0.25">
      <c r="E177" s="202"/>
      <c r="G177" s="202"/>
    </row>
    <row r="178" spans="5:7" x14ac:dyDescent="0.25">
      <c r="E178" s="202"/>
      <c r="G178" s="202"/>
    </row>
    <row r="179" spans="5:7" x14ac:dyDescent="0.25">
      <c r="E179" s="202"/>
      <c r="G179" s="202"/>
    </row>
    <row r="180" spans="5:7" x14ac:dyDescent="0.25">
      <c r="E180" s="202"/>
      <c r="G180" s="202"/>
    </row>
    <row r="181" spans="5:7" x14ac:dyDescent="0.25">
      <c r="E181" s="202"/>
      <c r="G181" s="202"/>
    </row>
    <row r="182" spans="5:7" x14ac:dyDescent="0.25">
      <c r="E182" s="202"/>
      <c r="G182" s="202"/>
    </row>
    <row r="183" spans="5:7" x14ac:dyDescent="0.25">
      <c r="E183" s="202"/>
      <c r="G183" s="202"/>
    </row>
    <row r="184" spans="5:7" x14ac:dyDescent="0.25">
      <c r="E184" s="202"/>
      <c r="G184" s="202"/>
    </row>
    <row r="185" spans="5:7" x14ac:dyDescent="0.25">
      <c r="E185" s="202"/>
      <c r="G185" s="202"/>
    </row>
    <row r="186" spans="5:7" x14ac:dyDescent="0.25">
      <c r="E186" s="202"/>
      <c r="G186" s="202"/>
    </row>
    <row r="187" spans="5:7" x14ac:dyDescent="0.25">
      <c r="E187" s="202"/>
      <c r="G187" s="202"/>
    </row>
    <row r="188" spans="5:7" x14ac:dyDescent="0.25">
      <c r="E188" s="202"/>
      <c r="G188" s="202"/>
    </row>
    <row r="189" spans="5:7" x14ac:dyDescent="0.25">
      <c r="E189" s="202"/>
      <c r="G189" s="202"/>
    </row>
    <row r="190" spans="5:7" x14ac:dyDescent="0.25">
      <c r="E190" s="202"/>
      <c r="G190" s="202"/>
    </row>
    <row r="191" spans="5:7" x14ac:dyDescent="0.25">
      <c r="E191" s="202"/>
      <c r="G191" s="202"/>
    </row>
    <row r="192" spans="5:7" x14ac:dyDescent="0.25">
      <c r="E192" s="202"/>
      <c r="G192" s="202"/>
    </row>
    <row r="193" spans="5:7" x14ac:dyDescent="0.25">
      <c r="E193" s="202"/>
      <c r="G193" s="202"/>
    </row>
    <row r="194" spans="5:7" x14ac:dyDescent="0.25">
      <c r="E194" s="202"/>
      <c r="G194" s="202"/>
    </row>
    <row r="195" spans="5:7" x14ac:dyDescent="0.25">
      <c r="E195" s="202"/>
      <c r="G195" s="202"/>
    </row>
    <row r="196" spans="5:7" x14ac:dyDescent="0.25">
      <c r="E196" s="202"/>
      <c r="G196" s="202"/>
    </row>
    <row r="197" spans="5:7" x14ac:dyDescent="0.25">
      <c r="E197" s="202"/>
      <c r="G197" s="202"/>
    </row>
    <row r="198" spans="5:7" x14ac:dyDescent="0.25">
      <c r="E198" s="202"/>
      <c r="G198" s="202"/>
    </row>
    <row r="199" spans="5:7" x14ac:dyDescent="0.25">
      <c r="E199" s="202"/>
      <c r="G199" s="202"/>
    </row>
    <row r="200" spans="5:7" x14ac:dyDescent="0.25">
      <c r="E200" s="202"/>
      <c r="G200" s="202"/>
    </row>
    <row r="201" spans="5:7" x14ac:dyDescent="0.25">
      <c r="E201" s="202"/>
      <c r="G201" s="202"/>
    </row>
    <row r="202" spans="5:7" x14ac:dyDescent="0.25">
      <c r="E202" s="202"/>
      <c r="G202" s="202"/>
    </row>
    <row r="203" spans="5:7" x14ac:dyDescent="0.25">
      <c r="E203" s="202"/>
      <c r="G203" s="202"/>
    </row>
    <row r="204" spans="5:7" x14ac:dyDescent="0.25">
      <c r="E204" s="202"/>
      <c r="G204" s="202"/>
    </row>
    <row r="205" spans="5:7" x14ac:dyDescent="0.25">
      <c r="E205" s="202"/>
      <c r="G205" s="202"/>
    </row>
    <row r="206" spans="5:7" x14ac:dyDescent="0.25">
      <c r="E206" s="202"/>
      <c r="G206" s="202"/>
    </row>
    <row r="207" spans="5:7" x14ac:dyDescent="0.25">
      <c r="E207" s="202"/>
      <c r="G207" s="202"/>
    </row>
    <row r="208" spans="5:7" x14ac:dyDescent="0.25">
      <c r="E208" s="202"/>
      <c r="G208" s="202"/>
    </row>
    <row r="209" spans="5:7" x14ac:dyDescent="0.25">
      <c r="E209" s="202"/>
      <c r="G209" s="202"/>
    </row>
    <row r="210" spans="5:7" x14ac:dyDescent="0.25">
      <c r="E210" s="202"/>
      <c r="G210" s="202"/>
    </row>
    <row r="211" spans="5:7" x14ac:dyDescent="0.25">
      <c r="E211" s="202"/>
      <c r="G211" s="202"/>
    </row>
    <row r="212" spans="5:7" x14ac:dyDescent="0.25">
      <c r="E212" s="202"/>
      <c r="G212" s="202"/>
    </row>
    <row r="213" spans="5:7" x14ac:dyDescent="0.25">
      <c r="E213" s="202"/>
      <c r="G213" s="202"/>
    </row>
    <row r="214" spans="5:7" x14ac:dyDescent="0.25">
      <c r="E214" s="202"/>
      <c r="G214" s="202"/>
    </row>
    <row r="215" spans="5:7" x14ac:dyDescent="0.25">
      <c r="E215" s="202"/>
      <c r="G215" s="202"/>
    </row>
    <row r="216" spans="5:7" x14ac:dyDescent="0.25">
      <c r="E216" s="202"/>
      <c r="G216" s="202"/>
    </row>
    <row r="217" spans="5:7" x14ac:dyDescent="0.25">
      <c r="E217" s="202"/>
      <c r="G217" s="202"/>
    </row>
    <row r="218" spans="5:7" x14ac:dyDescent="0.25">
      <c r="E218" s="202"/>
      <c r="G218" s="202"/>
    </row>
    <row r="219" spans="5:7" x14ac:dyDescent="0.25">
      <c r="E219" s="202"/>
      <c r="G219" s="202"/>
    </row>
    <row r="220" spans="5:7" x14ac:dyDescent="0.25">
      <c r="E220" s="202"/>
      <c r="G220" s="202"/>
    </row>
    <row r="221" spans="5:7" x14ac:dyDescent="0.25">
      <c r="E221" s="202"/>
      <c r="G221" s="202"/>
    </row>
    <row r="222" spans="5:7" x14ac:dyDescent="0.25">
      <c r="E222" s="202"/>
      <c r="G222" s="202"/>
    </row>
    <row r="223" spans="5:7" x14ac:dyDescent="0.25">
      <c r="E223" s="202"/>
      <c r="G223" s="202"/>
    </row>
    <row r="224" spans="5:7" x14ac:dyDescent="0.25">
      <c r="E224" s="202"/>
      <c r="G224" s="202"/>
    </row>
    <row r="225" spans="5:7" x14ac:dyDescent="0.25">
      <c r="E225" s="202"/>
      <c r="G225" s="202"/>
    </row>
    <row r="226" spans="5:7" x14ac:dyDescent="0.25">
      <c r="E226" s="202"/>
      <c r="G226" s="202"/>
    </row>
    <row r="227" spans="5:7" x14ac:dyDescent="0.25">
      <c r="E227" s="202"/>
      <c r="G227" s="202"/>
    </row>
    <row r="228" spans="5:7" x14ac:dyDescent="0.25">
      <c r="E228" s="202"/>
      <c r="G228" s="202"/>
    </row>
    <row r="229" spans="5:7" x14ac:dyDescent="0.25">
      <c r="E229" s="202"/>
      <c r="G229" s="202"/>
    </row>
    <row r="230" spans="5:7" x14ac:dyDescent="0.25">
      <c r="E230" s="202"/>
      <c r="G230" s="202"/>
    </row>
    <row r="231" spans="5:7" x14ac:dyDescent="0.25">
      <c r="E231" s="202"/>
      <c r="G231" s="202"/>
    </row>
    <row r="232" spans="5:7" x14ac:dyDescent="0.25">
      <c r="E232" s="202"/>
      <c r="G232" s="202"/>
    </row>
    <row r="233" spans="5:7" x14ac:dyDescent="0.25">
      <c r="E233" s="202"/>
      <c r="G233" s="202"/>
    </row>
    <row r="234" spans="5:7" x14ac:dyDescent="0.25">
      <c r="E234" s="202"/>
      <c r="G234" s="202"/>
    </row>
    <row r="235" spans="5:7" x14ac:dyDescent="0.25">
      <c r="E235" s="202"/>
      <c r="G235" s="202"/>
    </row>
    <row r="236" spans="5:7" x14ac:dyDescent="0.25">
      <c r="E236" s="202"/>
      <c r="G236" s="202"/>
    </row>
    <row r="237" spans="5:7" x14ac:dyDescent="0.25">
      <c r="E237" s="202"/>
      <c r="G237" s="202"/>
    </row>
    <row r="238" spans="5:7" x14ac:dyDescent="0.25">
      <c r="E238" s="202"/>
      <c r="G238" s="202"/>
    </row>
    <row r="239" spans="5:7" x14ac:dyDescent="0.25">
      <c r="E239" s="202"/>
      <c r="G239" s="202"/>
    </row>
    <row r="240" spans="5:7" x14ac:dyDescent="0.25">
      <c r="E240" s="202"/>
      <c r="G240" s="202"/>
    </row>
    <row r="241" spans="5:7" x14ac:dyDescent="0.25">
      <c r="E241" s="202"/>
      <c r="G241" s="202"/>
    </row>
    <row r="242" spans="5:7" x14ac:dyDescent="0.25">
      <c r="E242" s="202"/>
      <c r="G242" s="202"/>
    </row>
    <row r="243" spans="5:7" x14ac:dyDescent="0.25">
      <c r="E243" s="202"/>
      <c r="G243" s="202"/>
    </row>
    <row r="244" spans="5:7" x14ac:dyDescent="0.25">
      <c r="E244" s="202"/>
      <c r="G244" s="202"/>
    </row>
    <row r="245" spans="5:7" x14ac:dyDescent="0.25">
      <c r="E245" s="202"/>
      <c r="G245" s="202"/>
    </row>
    <row r="246" spans="5:7" x14ac:dyDescent="0.25">
      <c r="E246" s="202"/>
      <c r="G246" s="202"/>
    </row>
    <row r="247" spans="5:7" x14ac:dyDescent="0.25">
      <c r="E247" s="202"/>
      <c r="G247" s="202"/>
    </row>
    <row r="248" spans="5:7" x14ac:dyDescent="0.25">
      <c r="E248" s="202"/>
      <c r="G248" s="202"/>
    </row>
    <row r="249" spans="5:7" x14ac:dyDescent="0.25">
      <c r="E249" s="202"/>
      <c r="G249" s="202"/>
    </row>
    <row r="250" spans="5:7" x14ac:dyDescent="0.25">
      <c r="E250" s="202"/>
      <c r="G250" s="202"/>
    </row>
    <row r="251" spans="5:7" x14ac:dyDescent="0.25">
      <c r="E251" s="202"/>
      <c r="G251" s="202"/>
    </row>
    <row r="252" spans="5:7" x14ac:dyDescent="0.25">
      <c r="E252" s="202"/>
      <c r="G252" s="202"/>
    </row>
    <row r="253" spans="5:7" x14ac:dyDescent="0.25">
      <c r="E253" s="202"/>
      <c r="G253" s="202"/>
    </row>
    <row r="254" spans="5:7" x14ac:dyDescent="0.25">
      <c r="E254" s="202"/>
      <c r="G254" s="202"/>
    </row>
    <row r="255" spans="5:7" x14ac:dyDescent="0.25">
      <c r="E255" s="202"/>
      <c r="G255" s="202"/>
    </row>
    <row r="256" spans="5:7" x14ac:dyDescent="0.25">
      <c r="E256" s="202"/>
      <c r="G256" s="202"/>
    </row>
    <row r="257" spans="5:7" x14ac:dyDescent="0.25">
      <c r="E257" s="202"/>
      <c r="G257" s="202"/>
    </row>
    <row r="258" spans="5:7" x14ac:dyDescent="0.25">
      <c r="E258" s="202"/>
      <c r="G258" s="202"/>
    </row>
    <row r="259" spans="5:7" x14ac:dyDescent="0.25">
      <c r="E259" s="202"/>
      <c r="G259" s="202"/>
    </row>
    <row r="260" spans="5:7" x14ac:dyDescent="0.25">
      <c r="E260" s="202"/>
      <c r="G260" s="202"/>
    </row>
    <row r="261" spans="5:7" x14ac:dyDescent="0.25">
      <c r="E261" s="202"/>
      <c r="G261" s="202"/>
    </row>
    <row r="262" spans="5:7" x14ac:dyDescent="0.25">
      <c r="E262" s="202"/>
      <c r="G262" s="202"/>
    </row>
    <row r="263" spans="5:7" x14ac:dyDescent="0.25">
      <c r="E263" s="202"/>
      <c r="G263" s="202"/>
    </row>
    <row r="264" spans="5:7" x14ac:dyDescent="0.25">
      <c r="E264" s="202"/>
      <c r="G264" s="202"/>
    </row>
    <row r="265" spans="5:7" x14ac:dyDescent="0.25">
      <c r="E265" s="202"/>
      <c r="G265" s="202"/>
    </row>
    <row r="266" spans="5:7" x14ac:dyDescent="0.25">
      <c r="E266" s="202"/>
      <c r="G266" s="202"/>
    </row>
    <row r="267" spans="5:7" x14ac:dyDescent="0.25">
      <c r="E267" s="202"/>
      <c r="G267" s="202"/>
    </row>
    <row r="268" spans="5:7" x14ac:dyDescent="0.25">
      <c r="E268" s="202"/>
      <c r="G268" s="202"/>
    </row>
    <row r="269" spans="5:7" x14ac:dyDescent="0.25">
      <c r="E269" s="202"/>
      <c r="G269" s="202"/>
    </row>
    <row r="270" spans="5:7" x14ac:dyDescent="0.25">
      <c r="E270" s="202"/>
      <c r="G270" s="202"/>
    </row>
    <row r="271" spans="5:7" x14ac:dyDescent="0.25">
      <c r="E271" s="202"/>
      <c r="G271" s="202"/>
    </row>
    <row r="272" spans="5:7" x14ac:dyDescent="0.25">
      <c r="E272" s="202"/>
      <c r="G272" s="202"/>
    </row>
    <row r="273" spans="5:7" x14ac:dyDescent="0.25">
      <c r="E273" s="202"/>
      <c r="G273" s="202"/>
    </row>
    <row r="274" spans="5:7" x14ac:dyDescent="0.25">
      <c r="E274" s="202"/>
      <c r="G274" s="202"/>
    </row>
    <row r="275" spans="5:7" x14ac:dyDescent="0.25">
      <c r="E275" s="202"/>
      <c r="G275" s="202"/>
    </row>
    <row r="276" spans="5:7" x14ac:dyDescent="0.25">
      <c r="E276" s="202"/>
      <c r="G276" s="202"/>
    </row>
    <row r="277" spans="5:7" x14ac:dyDescent="0.25">
      <c r="E277" s="202"/>
      <c r="G277" s="202"/>
    </row>
    <row r="278" spans="5:7" x14ac:dyDescent="0.25">
      <c r="E278" s="202"/>
      <c r="G278" s="2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BAROBO</vt:lpstr>
      <vt:lpstr>Sheet3</vt:lpstr>
      <vt:lpstr>request for CA</vt:lpstr>
      <vt:lpstr>DV</vt:lpstr>
      <vt:lpstr>OBS</vt:lpstr>
      <vt:lpstr>BOA</vt:lpstr>
      <vt:lpstr>CABUNGA-AN</vt:lpstr>
      <vt:lpstr>BAROBO!Print_Area</vt:lpstr>
      <vt:lpstr>DV!Print_Area</vt:lpstr>
      <vt:lpstr>OBS!Print_Area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maryann</dc:creator>
  <cp:lastModifiedBy>John Mark Agustin Acido</cp:lastModifiedBy>
  <cp:lastPrinted>2025-12-26T03:03:47Z</cp:lastPrinted>
  <dcterms:created xsi:type="dcterms:W3CDTF">2019-02-15T06:54:32Z</dcterms:created>
  <dcterms:modified xsi:type="dcterms:W3CDTF">2025-12-26T09:01:09Z</dcterms:modified>
</cp:coreProperties>
</file>