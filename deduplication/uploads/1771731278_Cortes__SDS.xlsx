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4334"/>
  <workbookPr/>
  <mc:AlternateContent xmlns:mc="http://schemas.openxmlformats.org/markup-compatibility/2006">
    <mc:Choice Requires="x15">
      <x15ac:absPath xmlns:x15ac="http://schemas.microsoft.com/office/spreadsheetml/2010/11/ac" url="D:\This PC\Windows (C)\Users\jmaeacido\Documents\SurSur ECT\"/>
    </mc:Choice>
  </mc:AlternateContent>
  <xr:revisionPtr revIDLastSave="0" documentId="13_ncr:1_{E9EA8041-D394-46C5-8BFC-6C93B9E61D44}" xr6:coauthVersionLast="47" xr6:coauthVersionMax="47" xr10:uidLastSave="{00000000-0000-0000-0000-000000000000}"/>
  <bookViews>
    <workbookView xWindow="-120" yWindow="-120" windowWidth="29040" windowHeight="15720" xr2:uid="{00000000-000D-0000-FFFF-FFFF00000000}"/>
  </bookViews>
  <sheets>
    <sheet name="Beneficiaries" sheetId="1" r:id="rId1"/>
    <sheet name="MEB" sheetId="3" r:id="rId2"/>
  </sheets>
  <definedNames>
    <definedName name="_xlnm._FilterDatabase" localSheetId="1" hidden="1">MEB!$B$12:$AC$502</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 xmlns:xlwcv="http://schemas.microsoft.com/office/spreadsheetml/2024/workbookCompatibilityVersion" uri="{D14903EA-33C4-47F7-8F05-3474C54BE107}">
      <xlwcv:version setVersion="1"/>
    </ext>
  </extLst>
</workbook>
</file>

<file path=xl/calcChain.xml><?xml version="1.0" encoding="utf-8"?>
<calcChain xmlns="http://schemas.openxmlformats.org/spreadsheetml/2006/main">
  <c r="T459" i="3" l="1"/>
  <c r="T457" i="3"/>
  <c r="T322" i="3"/>
  <c r="T29" i="3"/>
  <c r="T456" i="3"/>
  <c r="T461" i="3"/>
  <c r="T458" i="3"/>
  <c r="T460" i="3"/>
  <c r="T33" i="3"/>
  <c r="T296" i="3"/>
  <c r="T313" i="3"/>
  <c r="T273" i="3"/>
  <c r="T247" i="3"/>
  <c r="T146" i="3"/>
  <c r="T368" i="3"/>
  <c r="T36" i="3"/>
  <c r="T152" i="3"/>
  <c r="T140" i="3"/>
  <c r="T143" i="3"/>
  <c r="T151" i="3"/>
  <c r="T148" i="3"/>
  <c r="T153" i="3"/>
  <c r="T150" i="3"/>
  <c r="T147" i="3"/>
  <c r="T145" i="3"/>
  <c r="T142" i="3"/>
  <c r="T144" i="3"/>
  <c r="T155" i="3"/>
  <c r="T154" i="3"/>
  <c r="T237" i="3"/>
  <c r="T240" i="3"/>
  <c r="T238" i="3"/>
  <c r="T30" i="3"/>
  <c r="T243" i="3"/>
  <c r="T244" i="3"/>
  <c r="T246" i="3"/>
  <c r="T51" i="3"/>
  <c r="T480" i="3"/>
  <c r="T479" i="3"/>
  <c r="T478" i="3"/>
  <c r="T472" i="3"/>
  <c r="T471" i="3"/>
  <c r="T467" i="3"/>
  <c r="T466" i="3"/>
  <c r="T465" i="3"/>
  <c r="T356" i="3"/>
  <c r="T354" i="3"/>
  <c r="T454" i="3"/>
  <c r="T405" i="3"/>
  <c r="T347" i="3"/>
  <c r="T373" i="3"/>
  <c r="T455" i="3"/>
  <c r="T451" i="3"/>
  <c r="T450" i="3"/>
  <c r="T449" i="3"/>
  <c r="T448" i="3"/>
  <c r="T447" i="3"/>
  <c r="T442" i="3"/>
  <c r="T441" i="3"/>
  <c r="T440" i="3"/>
  <c r="T438" i="3"/>
  <c r="T439" i="3"/>
  <c r="T437" i="3"/>
  <c r="T435" i="3"/>
  <c r="T436" i="3"/>
  <c r="T434" i="3"/>
  <c r="T431" i="3"/>
  <c r="T430" i="3"/>
  <c r="T429" i="3"/>
  <c r="T428" i="3"/>
  <c r="T427" i="3"/>
  <c r="T426" i="3"/>
  <c r="T423" i="3"/>
  <c r="T422" i="3"/>
  <c r="T418" i="3"/>
  <c r="T421" i="3"/>
  <c r="T419" i="3"/>
  <c r="T420" i="3"/>
  <c r="T417" i="3"/>
  <c r="T416" i="3"/>
  <c r="T415" i="3"/>
  <c r="T414" i="3"/>
  <c r="T408" i="3"/>
  <c r="T407" i="3"/>
  <c r="T406" i="3"/>
  <c r="T402" i="3"/>
  <c r="T401" i="3"/>
  <c r="T400" i="3"/>
  <c r="T399" i="3"/>
  <c r="T398" i="3"/>
  <c r="T397" i="3"/>
  <c r="T396" i="3"/>
  <c r="T395" i="3"/>
  <c r="T394" i="3"/>
  <c r="T393" i="3"/>
  <c r="T391" i="3"/>
  <c r="T390" i="3"/>
  <c r="T389" i="3"/>
  <c r="T387" i="3"/>
  <c r="T386" i="3"/>
  <c r="T384" i="3"/>
  <c r="T382" i="3"/>
  <c r="T381" i="3"/>
  <c r="T383" i="3"/>
  <c r="T380" i="3"/>
  <c r="T379" i="3"/>
  <c r="T378" i="3"/>
  <c r="T377" i="3"/>
  <c r="T376" i="3"/>
  <c r="T375" i="3"/>
  <c r="T374" i="3"/>
  <c r="T372" i="3"/>
  <c r="T364" i="3"/>
  <c r="T362" i="3"/>
  <c r="T359" i="3"/>
  <c r="T358" i="3"/>
  <c r="T357" i="3"/>
  <c r="T355" i="3"/>
  <c r="T353" i="3"/>
  <c r="T351" i="3"/>
  <c r="T352" i="3"/>
  <c r="T349" i="3"/>
  <c r="T350" i="3"/>
  <c r="T348" i="3"/>
  <c r="T344" i="3"/>
  <c r="T343" i="3"/>
  <c r="T339" i="3"/>
  <c r="T340" i="3"/>
  <c r="T336" i="3"/>
  <c r="T335" i="3"/>
  <c r="T334" i="3"/>
  <c r="T332" i="3"/>
  <c r="T331" i="3"/>
  <c r="T333" i="3"/>
  <c r="T330" i="3"/>
  <c r="T329" i="3"/>
  <c r="T328" i="3"/>
  <c r="T327" i="3"/>
  <c r="T323" i="3"/>
  <c r="T321" i="3"/>
  <c r="T320" i="3"/>
  <c r="T319" i="3"/>
  <c r="T318" i="3"/>
  <c r="T284" i="3"/>
  <c r="T279" i="3"/>
  <c r="T317" i="3"/>
  <c r="T316" i="3"/>
  <c r="T315" i="3"/>
  <c r="T314" i="3"/>
  <c r="T311" i="3"/>
  <c r="T312" i="3"/>
  <c r="T310" i="3"/>
  <c r="T307" i="3"/>
  <c r="T308" i="3"/>
  <c r="T309" i="3"/>
  <c r="T306" i="3"/>
  <c r="T305" i="3"/>
  <c r="T303" i="3"/>
  <c r="T301" i="3"/>
  <c r="T300" i="3"/>
  <c r="T299" i="3"/>
  <c r="T297" i="3"/>
  <c r="T298" i="3"/>
  <c r="T295" i="3"/>
  <c r="T294" i="3"/>
  <c r="T293" i="3"/>
  <c r="T292" i="3"/>
  <c r="T291" i="3"/>
  <c r="T290" i="3"/>
  <c r="T289" i="3"/>
  <c r="T288" i="3"/>
  <c r="T287" i="3"/>
  <c r="T286" i="3"/>
  <c r="T283" i="3"/>
  <c r="T281" i="3"/>
  <c r="T276" i="3"/>
  <c r="T277" i="3"/>
  <c r="T280" i="3"/>
  <c r="T278" i="3"/>
  <c r="T275" i="3"/>
  <c r="T274" i="3"/>
  <c r="T272" i="3"/>
  <c r="T271" i="3"/>
  <c r="T270" i="3"/>
  <c r="T269" i="3"/>
  <c r="T268" i="3"/>
  <c r="T267" i="3"/>
  <c r="T266" i="3"/>
  <c r="T265" i="3"/>
  <c r="T264" i="3"/>
  <c r="T263" i="3"/>
  <c r="T262" i="3"/>
  <c r="T259" i="3"/>
  <c r="T258" i="3"/>
  <c r="T257" i="3"/>
  <c r="T255" i="3"/>
  <c r="T256" i="3"/>
  <c r="T254" i="3"/>
  <c r="T253" i="3"/>
  <c r="T252" i="3"/>
  <c r="T251" i="3"/>
  <c r="T250" i="3"/>
  <c r="T249" i="3"/>
  <c r="T235" i="3"/>
  <c r="T234" i="3"/>
  <c r="T233" i="3"/>
  <c r="T232" i="3"/>
  <c r="T231" i="3"/>
  <c r="T230" i="3"/>
  <c r="T229" i="3"/>
  <c r="T226" i="3"/>
  <c r="T225" i="3"/>
  <c r="T222" i="3"/>
  <c r="T221" i="3"/>
  <c r="T220" i="3"/>
  <c r="T219" i="3"/>
  <c r="T218" i="3"/>
  <c r="T217" i="3"/>
  <c r="T215" i="3"/>
  <c r="T216" i="3"/>
  <c r="T214" i="3"/>
  <c r="T212" i="3"/>
  <c r="T213" i="3"/>
  <c r="T211" i="3"/>
  <c r="T210" i="3"/>
  <c r="T207" i="3"/>
  <c r="T206" i="3"/>
  <c r="T204" i="3"/>
  <c r="T202" i="3"/>
  <c r="T201" i="3"/>
  <c r="T195" i="3"/>
  <c r="T198" i="3"/>
  <c r="T200" i="3"/>
  <c r="T199" i="3"/>
  <c r="T196" i="3"/>
  <c r="T197" i="3"/>
  <c r="T194" i="3"/>
  <c r="T193" i="3"/>
  <c r="T192" i="3"/>
  <c r="T191" i="3"/>
  <c r="T189" i="3"/>
  <c r="T190" i="3"/>
  <c r="T186" i="3"/>
  <c r="T185" i="3"/>
  <c r="T183" i="3"/>
  <c r="T184" i="3"/>
  <c r="T182" i="3"/>
  <c r="T180" i="3"/>
  <c r="T179" i="3"/>
  <c r="T178" i="3"/>
  <c r="T177" i="3"/>
  <c r="T176" i="3"/>
  <c r="T175" i="3"/>
  <c r="T174" i="3"/>
  <c r="T172" i="3"/>
  <c r="T173" i="3"/>
  <c r="T171" i="3"/>
  <c r="T170" i="3"/>
  <c r="T169" i="3"/>
  <c r="T166" i="3"/>
  <c r="T165" i="3"/>
  <c r="T164" i="3"/>
  <c r="T163" i="3"/>
  <c r="T162" i="3"/>
  <c r="T160" i="3"/>
  <c r="T159" i="3"/>
  <c r="T158" i="3"/>
  <c r="T157" i="3"/>
  <c r="T137" i="3"/>
  <c r="T139" i="3"/>
  <c r="T138" i="3"/>
  <c r="T136" i="3"/>
  <c r="T122" i="3"/>
  <c r="T119" i="3"/>
  <c r="T108" i="3"/>
  <c r="T111" i="3"/>
  <c r="T97" i="3"/>
  <c r="T126" i="3"/>
  <c r="T125" i="3"/>
  <c r="T127" i="3"/>
  <c r="T93" i="3"/>
  <c r="T114" i="3"/>
  <c r="T99" i="3"/>
  <c r="T132" i="3"/>
  <c r="T133" i="3"/>
  <c r="T116" i="3"/>
  <c r="T134" i="3"/>
  <c r="T110" i="3"/>
  <c r="T124" i="3"/>
  <c r="T121" i="3"/>
  <c r="T92" i="3"/>
  <c r="T115" i="3"/>
  <c r="T135" i="3"/>
  <c r="T129" i="3"/>
  <c r="T123" i="3"/>
  <c r="T120" i="3"/>
  <c r="T118" i="3"/>
  <c r="T113" i="3"/>
  <c r="T109" i="3"/>
  <c r="T106" i="3"/>
  <c r="T104" i="3"/>
  <c r="T105" i="3"/>
  <c r="T103" i="3"/>
  <c r="T102" i="3"/>
  <c r="T101" i="3"/>
  <c r="T98" i="3"/>
  <c r="T96" i="3"/>
  <c r="T95" i="3"/>
  <c r="T94" i="3"/>
  <c r="T90" i="3"/>
  <c r="T89" i="3"/>
  <c r="T88" i="3"/>
  <c r="T87" i="3"/>
  <c r="T85" i="3"/>
  <c r="T86" i="3"/>
  <c r="T84" i="3"/>
  <c r="T83" i="3"/>
  <c r="T82" i="3"/>
  <c r="T81" i="3"/>
  <c r="T80" i="3"/>
  <c r="T79" i="3"/>
  <c r="T78" i="3"/>
  <c r="T76" i="3"/>
  <c r="T77" i="3"/>
  <c r="T74" i="3"/>
  <c r="T75" i="3"/>
  <c r="T73" i="3"/>
  <c r="T72" i="3"/>
  <c r="T70" i="3"/>
  <c r="T69" i="3"/>
  <c r="T68" i="3"/>
  <c r="T67" i="3"/>
  <c r="T66" i="3"/>
  <c r="T65" i="3"/>
  <c r="T64" i="3"/>
  <c r="T63" i="3"/>
  <c r="T62" i="3"/>
  <c r="T61" i="3"/>
  <c r="T59" i="3"/>
  <c r="T60" i="3"/>
  <c r="T58" i="3"/>
  <c r="T57" i="3"/>
  <c r="T56" i="3"/>
  <c r="T55" i="3"/>
  <c r="T54" i="3"/>
  <c r="T53" i="3"/>
  <c r="T52" i="3"/>
  <c r="T48" i="3"/>
  <c r="T47" i="3"/>
  <c r="T46" i="3"/>
  <c r="T44" i="3"/>
  <c r="T43" i="3"/>
  <c r="T42" i="3"/>
  <c r="T41" i="3"/>
  <c r="T40" i="3"/>
  <c r="T39" i="3"/>
  <c r="T38" i="3"/>
  <c r="T37" i="3"/>
  <c r="T35" i="3"/>
  <c r="T34" i="3"/>
  <c r="T32" i="3"/>
  <c r="T31" i="3"/>
  <c r="T28" i="3"/>
  <c r="T27" i="3"/>
  <c r="T24" i="3"/>
  <c r="T23" i="3"/>
  <c r="T22" i="3"/>
  <c r="T21" i="3"/>
  <c r="T19" i="3"/>
  <c r="T18" i="3"/>
  <c r="T16" i="3"/>
  <c r="T15" i="3"/>
  <c r="T14" i="3"/>
  <c r="T13" i="3"/>
  <c r="T346" i="3"/>
  <c r="T345" i="3"/>
  <c r="T342" i="3"/>
  <c r="T337" i="3"/>
  <c r="T338" i="3"/>
  <c r="T341" i="3"/>
  <c r="T324" i="3"/>
  <c r="T304" i="3"/>
  <c r="T302" i="3"/>
  <c r="T285" i="3"/>
  <c r="T282" i="3"/>
  <c r="T261" i="3"/>
  <c r="T260" i="3"/>
  <c r="T228" i="3"/>
  <c r="T227" i="3"/>
  <c r="T224" i="3"/>
  <c r="T223" i="3"/>
  <c r="T208" i="3"/>
  <c r="T209" i="3"/>
  <c r="T205" i="3"/>
  <c r="T203" i="3"/>
  <c r="T188" i="3"/>
  <c r="T187" i="3"/>
  <c r="T181" i="3"/>
  <c r="T168" i="3"/>
  <c r="T167" i="3"/>
  <c r="T161" i="3"/>
  <c r="T100" i="3"/>
  <c r="T130" i="3"/>
  <c r="T131" i="3"/>
  <c r="T128" i="3"/>
  <c r="T117" i="3"/>
  <c r="T112" i="3"/>
  <c r="T107" i="3"/>
  <c r="T91" i="3"/>
  <c r="T71" i="3"/>
  <c r="T50" i="3"/>
  <c r="T49" i="3"/>
  <c r="T45" i="3"/>
  <c r="T25" i="3"/>
  <c r="T26" i="3"/>
  <c r="T20" i="3"/>
  <c r="T464" i="3"/>
  <c r="T366" i="3"/>
  <c r="T463" i="3"/>
  <c r="T17" i="3"/>
  <c r="T462" i="3"/>
  <c r="T241" i="3"/>
  <c r="T326" i="3"/>
  <c r="T325" i="3"/>
  <c r="T149" i="3"/>
  <c r="T248" i="3"/>
  <c r="T156" i="3"/>
  <c r="T239" i="3"/>
  <c r="T141" i="3"/>
  <c r="T245" i="3"/>
  <c r="T242" i="3"/>
  <c r="T477" i="3"/>
  <c r="T476" i="3"/>
  <c r="T475" i="3"/>
  <c r="T474" i="3"/>
  <c r="T473" i="3"/>
  <c r="T470" i="3"/>
  <c r="T469" i="3"/>
  <c r="T468" i="3"/>
  <c r="T453" i="3"/>
  <c r="T452" i="3"/>
  <c r="T446" i="3"/>
  <c r="T445" i="3"/>
  <c r="T444" i="3"/>
  <c r="T443" i="3"/>
  <c r="T433" i="3"/>
  <c r="T432" i="3"/>
  <c r="T425" i="3"/>
  <c r="T424" i="3"/>
  <c r="T413" i="3"/>
  <c r="T412" i="3"/>
  <c r="T411" i="3"/>
  <c r="T410" i="3"/>
  <c r="T409" i="3"/>
  <c r="T404" i="3"/>
  <c r="T403" i="3"/>
  <c r="T392" i="3"/>
  <c r="T388" i="3"/>
  <c r="T385" i="3"/>
  <c r="T371" i="3"/>
  <c r="T370" i="3"/>
  <c r="T369" i="3"/>
  <c r="T367" i="3"/>
  <c r="T365" i="3"/>
  <c r="T363" i="3"/>
  <c r="T361" i="3"/>
  <c r="T360" i="3"/>
  <c r="G502" i="3" l="1"/>
  <c r="F502" i="3"/>
  <c r="G500" i="3"/>
  <c r="F500" i="3"/>
  <c r="L497" i="3"/>
  <c r="K497" i="3"/>
  <c r="G497" i="3"/>
  <c r="F497" i="3"/>
  <c r="L496" i="3"/>
  <c r="K496" i="3"/>
  <c r="G496" i="3"/>
  <c r="F496" i="3"/>
  <c r="L495" i="3"/>
  <c r="K495" i="3"/>
  <c r="L494" i="3"/>
  <c r="K494" i="3"/>
  <c r="G494" i="3"/>
  <c r="F494" i="3"/>
  <c r="L493" i="3"/>
  <c r="K493" i="3"/>
  <c r="L492" i="3"/>
  <c r="K492" i="3"/>
  <c r="G492" i="3"/>
  <c r="F492" i="3"/>
  <c r="L491" i="3"/>
  <c r="K491" i="3"/>
  <c r="G491" i="3"/>
  <c r="F491" i="3"/>
  <c r="L490" i="3"/>
  <c r="K490" i="3"/>
  <c r="G490" i="3"/>
  <c r="F490" i="3"/>
  <c r="L489" i="3"/>
  <c r="K489" i="3"/>
  <c r="L488" i="3"/>
  <c r="K488" i="3"/>
  <c r="G488" i="3"/>
  <c r="F488" i="3"/>
  <c r="L487" i="3"/>
  <c r="K487" i="3"/>
  <c r="G493" i="3" s="1"/>
  <c r="G487" i="3"/>
  <c r="F487" i="3"/>
  <c r="T483" i="3"/>
  <c r="AB482" i="3"/>
  <c r="AA482" i="3"/>
  <c r="Z482" i="3"/>
  <c r="Y482" i="3"/>
  <c r="X482" i="3"/>
  <c r="W482" i="3"/>
  <c r="V482" i="3"/>
  <c r="U482" i="3"/>
  <c r="T482" i="3"/>
  <c r="S482" i="3"/>
  <c r="Q482" i="3"/>
  <c r="P482" i="3"/>
  <c r="O482" i="3"/>
  <c r="T481" i="3"/>
  <c r="T236" i="3"/>
  <c r="T12" i="3"/>
  <c r="F495" i="3" l="1"/>
  <c r="G495" i="3"/>
  <c r="E502" i="3"/>
  <c r="E492" i="3"/>
  <c r="F493" i="3"/>
  <c r="E493" i="3" s="1"/>
  <c r="J490" i="3"/>
  <c r="E496" i="3"/>
  <c r="J496" i="3"/>
  <c r="E494" i="3"/>
  <c r="E497" i="3"/>
  <c r="J494" i="3"/>
  <c r="E490" i="3"/>
  <c r="G489" i="3"/>
  <c r="E488" i="3"/>
  <c r="E491" i="3"/>
  <c r="J497" i="3"/>
  <c r="J487" i="3"/>
  <c r="J491" i="3"/>
  <c r="J492" i="3"/>
  <c r="E487" i="3"/>
  <c r="E500" i="3"/>
  <c r="J495" i="3"/>
  <c r="G501" i="3"/>
  <c r="J489" i="3"/>
  <c r="J488" i="3"/>
  <c r="J493" i="3"/>
  <c r="G498" i="3"/>
  <c r="F499" i="3"/>
  <c r="G499" i="3"/>
  <c r="F498" i="3"/>
  <c r="F501" i="3"/>
  <c r="F489" i="3"/>
  <c r="E495" i="3" l="1"/>
  <c r="E501" i="3"/>
  <c r="E498" i="3"/>
  <c r="E489" i="3"/>
  <c r="E499" i="3"/>
</calcChain>
</file>

<file path=xl/sharedStrings.xml><?xml version="1.0" encoding="utf-8"?>
<sst xmlns="http://schemas.openxmlformats.org/spreadsheetml/2006/main" count="22253" uniqueCount="3375">
  <si>
    <t>lastName</t>
  </si>
  <si>
    <t>firstName</t>
  </si>
  <si>
    <t>middleName</t>
  </si>
  <si>
    <t>ext</t>
  </si>
  <si>
    <t>birthDate</t>
  </si>
  <si>
    <t>barangay</t>
  </si>
  <si>
    <t>province</t>
  </si>
  <si>
    <t>lgu</t>
  </si>
  <si>
    <t>rowNumber</t>
  </si>
  <si>
    <t>BAJAO</t>
  </si>
  <si>
    <t>SAN JOSE</t>
  </si>
  <si>
    <t>SURIGAO DEL SUR</t>
  </si>
  <si>
    <t>ENGROVA</t>
  </si>
  <si>
    <t>MORENO</t>
  </si>
  <si>
    <t>LEONY</t>
  </si>
  <si>
    <t>DAVE</t>
  </si>
  <si>
    <t>LOZADA</t>
  </si>
  <si>
    <t>OLIVERIO</t>
  </si>
  <si>
    <t>MURILLO</t>
  </si>
  <si>
    <t>ROBERTO</t>
  </si>
  <si>
    <t>GERALD</t>
  </si>
  <si>
    <t>NESTOR</t>
  </si>
  <si>
    <t>JR</t>
  </si>
  <si>
    <t>ALIMBOYONG</t>
  </si>
  <si>
    <t>JERRY</t>
  </si>
  <si>
    <t>ARMANDO</t>
  </si>
  <si>
    <t>JOSE</t>
  </si>
  <si>
    <t>N/A</t>
  </si>
  <si>
    <t>MACURAY</t>
  </si>
  <si>
    <t>MENDOZA</t>
  </si>
  <si>
    <t>ABAO</t>
  </si>
  <si>
    <t>ROLANDO</t>
  </si>
  <si>
    <t>GONZAGA</t>
  </si>
  <si>
    <t>PALMA</t>
  </si>
  <si>
    <t>MARY ANN</t>
  </si>
  <si>
    <t>MACA</t>
  </si>
  <si>
    <t>MARLON</t>
  </si>
  <si>
    <t>CURAYAG</t>
  </si>
  <si>
    <t>PLAZA</t>
  </si>
  <si>
    <t>HENRY</t>
  </si>
  <si>
    <t>JEROME</t>
  </si>
  <si>
    <t>SUAREZ</t>
  </si>
  <si>
    <t>RODULFO</t>
  </si>
  <si>
    <t>NOEL</t>
  </si>
  <si>
    <t>LYNDON</t>
  </si>
  <si>
    <t>ROSE ANN</t>
  </si>
  <si>
    <t>BUENAFLOR</t>
  </si>
  <si>
    <t>MARILYN</t>
  </si>
  <si>
    <t>JUDITH</t>
  </si>
  <si>
    <t>GOMEZ</t>
  </si>
  <si>
    <t>RIZA</t>
  </si>
  <si>
    <t>RIVAS</t>
  </si>
  <si>
    <t>LOPEZ</t>
  </si>
  <si>
    <t>LAURENTE</t>
  </si>
  <si>
    <t>MIANO</t>
  </si>
  <si>
    <t>RONEL</t>
  </si>
  <si>
    <t>FLORETA</t>
  </si>
  <si>
    <t>MARIO</t>
  </si>
  <si>
    <t>TEJANO</t>
  </si>
  <si>
    <t>BAUTISTA</t>
  </si>
  <si>
    <t>RICKY</t>
  </si>
  <si>
    <t>ROSEMARIE</t>
  </si>
  <si>
    <t>TELLO</t>
  </si>
  <si>
    <t>GLORIA</t>
  </si>
  <si>
    <t>LAGURA</t>
  </si>
  <si>
    <t>ACEVEDO</t>
  </si>
  <si>
    <t>BLASCO</t>
  </si>
  <si>
    <t>JR.</t>
  </si>
  <si>
    <t>EDUARDO</t>
  </si>
  <si>
    <t>MARLYN</t>
  </si>
  <si>
    <t>COMPARATIVO</t>
  </si>
  <si>
    <t>CORAZON</t>
  </si>
  <si>
    <t>ROLLY</t>
  </si>
  <si>
    <t>JUMAWAN</t>
  </si>
  <si>
    <t>ORDINARIO</t>
  </si>
  <si>
    <t>RONALD</t>
  </si>
  <si>
    <t>SR.</t>
  </si>
  <si>
    <t>MONTENEGRO</t>
  </si>
  <si>
    <t>MARTINEZ</t>
  </si>
  <si>
    <t>CORTEZ</t>
  </si>
  <si>
    <t>JOVELYN</t>
  </si>
  <si>
    <t>MONTERO</t>
  </si>
  <si>
    <t>RUTCHIE</t>
  </si>
  <si>
    <t>ERNESTO</t>
  </si>
  <si>
    <t>ROSALINDA</t>
  </si>
  <si>
    <t>CUARTERON</t>
  </si>
  <si>
    <t>CAMPOS</t>
  </si>
  <si>
    <t>JOSOL</t>
  </si>
  <si>
    <t>DEDICATORIA</t>
  </si>
  <si>
    <t>LORETO</t>
  </si>
  <si>
    <t>VALLESCAS</t>
  </si>
  <si>
    <t>ROGELIO</t>
  </si>
  <si>
    <t>CUARTERO</t>
  </si>
  <si>
    <t>MENDIOLA</t>
  </si>
  <si>
    <t>ESTAL</t>
  </si>
  <si>
    <t>PERALTA</t>
  </si>
  <si>
    <t>RICHARD</t>
  </si>
  <si>
    <t>PEREZ</t>
  </si>
  <si>
    <t>QUICO</t>
  </si>
  <si>
    <t>VERANO</t>
  </si>
  <si>
    <t>NAVALES</t>
  </si>
  <si>
    <t>NANCY</t>
  </si>
  <si>
    <t>TECSON</t>
  </si>
  <si>
    <t>BORJA</t>
  </si>
  <si>
    <t>BANGOY</t>
  </si>
  <si>
    <t>QUIJANO</t>
  </si>
  <si>
    <t>SR</t>
  </si>
  <si>
    <t>MARIVIC</t>
  </si>
  <si>
    <t>AWA</t>
  </si>
  <si>
    <t>QUIJADA</t>
  </si>
  <si>
    <t>JOSHUA</t>
  </si>
  <si>
    <t>BOHOL</t>
  </si>
  <si>
    <t>SALAZAR</t>
  </si>
  <si>
    <t>IGNACIO</t>
  </si>
  <si>
    <t>QUINONEZ</t>
  </si>
  <si>
    <t>MALINAO</t>
  </si>
  <si>
    <t>VICENTE</t>
  </si>
  <si>
    <t>LUMANAO</t>
  </si>
  <si>
    <t>ODVINA</t>
  </si>
  <si>
    <t>TIEMPO</t>
  </si>
  <si>
    <t>CANDA</t>
  </si>
  <si>
    <t>CORTES</t>
  </si>
  <si>
    <t>ESTRADA</t>
  </si>
  <si>
    <t>LIEZEL</t>
  </si>
  <si>
    <t>PONTEVEDRA</t>
  </si>
  <si>
    <t>ESPINOZA</t>
  </si>
  <si>
    <t>BENJIE</t>
  </si>
  <si>
    <t>SALVACION</t>
  </si>
  <si>
    <t>BETOY</t>
  </si>
  <si>
    <t>RAMOS</t>
  </si>
  <si>
    <t>EMELYN</t>
  </si>
  <si>
    <t>GALLARDO</t>
  </si>
  <si>
    <t>DELOLA</t>
  </si>
  <si>
    <t>EDGAR</t>
  </si>
  <si>
    <t>CAPUNAN</t>
  </si>
  <si>
    <t>BONIAO</t>
  </si>
  <si>
    <t>RUEL</t>
  </si>
  <si>
    <t>ALBERT</t>
  </si>
  <si>
    <t>JESSIE</t>
  </si>
  <si>
    <t>DIZON</t>
  </si>
  <si>
    <t>PATRICK</t>
  </si>
  <si>
    <t>WILMA</t>
  </si>
  <si>
    <t>FLORA</t>
  </si>
  <si>
    <t>PELISAN</t>
  </si>
  <si>
    <t>ALMA</t>
  </si>
  <si>
    <t>SHERLY</t>
  </si>
  <si>
    <t>ANTONIO</t>
  </si>
  <si>
    <t>JHONEL</t>
  </si>
  <si>
    <t>MAXIMO</t>
  </si>
  <si>
    <t>ROLAND</t>
  </si>
  <si>
    <t>JIMMY</t>
  </si>
  <si>
    <t>JOEL</t>
  </si>
  <si>
    <t>ANTHONY</t>
  </si>
  <si>
    <t>VASQUEZ</t>
  </si>
  <si>
    <t>CHARLIE</t>
  </si>
  <si>
    <t>VISTAL</t>
  </si>
  <si>
    <t>ROBERT</t>
  </si>
  <si>
    <t>SANCHEZ</t>
  </si>
  <si>
    <t>LORNA</t>
  </si>
  <si>
    <t>MEDRANO</t>
  </si>
  <si>
    <t>SUAZO</t>
  </si>
  <si>
    <t>MARY JANE</t>
  </si>
  <si>
    <t>ROWENA</t>
  </si>
  <si>
    <t>JUSTINE</t>
  </si>
  <si>
    <t>TAMAYO</t>
  </si>
  <si>
    <t>ANGELICA</t>
  </si>
  <si>
    <t>REGINE</t>
  </si>
  <si>
    <t>JULIETO</t>
  </si>
  <si>
    <t>VILLANUEVA</t>
  </si>
  <si>
    <t>RACHEL</t>
  </si>
  <si>
    <t>JAMES</t>
  </si>
  <si>
    <t>ABEJERO</t>
  </si>
  <si>
    <t>JOEME</t>
  </si>
  <si>
    <t>CUAREZ</t>
  </si>
  <si>
    <t>AZARCON</t>
  </si>
  <si>
    <t>BALNIG</t>
  </si>
  <si>
    <t>FERNANDEZ</t>
  </si>
  <si>
    <t>BONGADO</t>
  </si>
  <si>
    <t>ESTAPIA</t>
  </si>
  <si>
    <t>BUENAFE</t>
  </si>
  <si>
    <t>EMMELINE</t>
  </si>
  <si>
    <t>TENOSO</t>
  </si>
  <si>
    <t>BUSTILLO</t>
  </si>
  <si>
    <t>TERESA</t>
  </si>
  <si>
    <t>CERRO</t>
  </si>
  <si>
    <t>EDRIAN</t>
  </si>
  <si>
    <t>CAHILOG</t>
  </si>
  <si>
    <t>SALAR</t>
  </si>
  <si>
    <t>DUA</t>
  </si>
  <si>
    <t>EVEALIZA</t>
  </si>
  <si>
    <t>MENDEZ</t>
  </si>
  <si>
    <t>PETILO</t>
  </si>
  <si>
    <t>ANDRES</t>
  </si>
  <si>
    <t>TIKISTIKIS</t>
  </si>
  <si>
    <t>CAGAMPANG</t>
  </si>
  <si>
    <t>CAROLINA</t>
  </si>
  <si>
    <t>FUENTES</t>
  </si>
  <si>
    <t>ENDELYN</t>
  </si>
  <si>
    <t>ANDAMON</t>
  </si>
  <si>
    <t>FUETES</t>
  </si>
  <si>
    <t>ANGELYN</t>
  </si>
  <si>
    <t>LARO</t>
  </si>
  <si>
    <t>JULE</t>
  </si>
  <si>
    <t>LLUVIDO</t>
  </si>
  <si>
    <t>ALDY</t>
  </si>
  <si>
    <t>DOLORIEL</t>
  </si>
  <si>
    <t>PINEDA</t>
  </si>
  <si>
    <t>RODELYN</t>
  </si>
  <si>
    <t>BADANG</t>
  </si>
  <si>
    <t>RAMBOYON</t>
  </si>
  <si>
    <t>MARY GRACE</t>
  </si>
  <si>
    <t>PETEROS</t>
  </si>
  <si>
    <t>ROBILLOS</t>
  </si>
  <si>
    <t>JESUS</t>
  </si>
  <si>
    <t>MONTILLA</t>
  </si>
  <si>
    <t>AGOSTO</t>
  </si>
  <si>
    <t>LUISA</t>
  </si>
  <si>
    <t>PALER</t>
  </si>
  <si>
    <t>AGUILAR</t>
  </si>
  <si>
    <t>CARLITO</t>
  </si>
  <si>
    <t>YU</t>
  </si>
  <si>
    <t>AJOS</t>
  </si>
  <si>
    <t>VIRGENIA</t>
  </si>
  <si>
    <t>ALINSOLOREN</t>
  </si>
  <si>
    <t>GANDAMON</t>
  </si>
  <si>
    <t>ARRO</t>
  </si>
  <si>
    <t>MARK</t>
  </si>
  <si>
    <t>ALLIE</t>
  </si>
  <si>
    <t>AYAD</t>
  </si>
  <si>
    <t>BACONG</t>
  </si>
  <si>
    <t>BANDOY</t>
  </si>
  <si>
    <t>RANDY</t>
  </si>
  <si>
    <t>BIOL</t>
  </si>
  <si>
    <t>DAISY PEARL</t>
  </si>
  <si>
    <t>MANGMANG</t>
  </si>
  <si>
    <t>BRONIOLA</t>
  </si>
  <si>
    <t>LYDIA</t>
  </si>
  <si>
    <t>EBOL</t>
  </si>
  <si>
    <t>CALIT</t>
  </si>
  <si>
    <t>ROGEN</t>
  </si>
  <si>
    <t>CASTRUDES</t>
  </si>
  <si>
    <t>ANITA</t>
  </si>
  <si>
    <t>EMBAY</t>
  </si>
  <si>
    <t>CHERRY</t>
  </si>
  <si>
    <t>DAGAAS</t>
  </si>
  <si>
    <t>ESPENEDO</t>
  </si>
  <si>
    <t>DALANGIN</t>
  </si>
  <si>
    <t>JOSEPHINE</t>
  </si>
  <si>
    <t>ALE</t>
  </si>
  <si>
    <t>DALOGDOG</t>
  </si>
  <si>
    <t>SHEENA</t>
  </si>
  <si>
    <t>GARBOSA</t>
  </si>
  <si>
    <t>ELIPE</t>
  </si>
  <si>
    <t>DUERO</t>
  </si>
  <si>
    <t>EMMA</t>
  </si>
  <si>
    <t>SALAMARES</t>
  </si>
  <si>
    <t>BADANA</t>
  </si>
  <si>
    <t>IGHOT</t>
  </si>
  <si>
    <t>GENALYN</t>
  </si>
  <si>
    <t>EMAN</t>
  </si>
  <si>
    <t>GENOVES</t>
  </si>
  <si>
    <t>JAVERIALYN</t>
  </si>
  <si>
    <t>MILO</t>
  </si>
  <si>
    <t>JORDAN</t>
  </si>
  <si>
    <t>PILAR</t>
  </si>
  <si>
    <t>TAGRA</t>
  </si>
  <si>
    <t>GEMMALYN</t>
  </si>
  <si>
    <t>BANLUTA</t>
  </si>
  <si>
    <t>LASTIMADO</t>
  </si>
  <si>
    <t>WILLY</t>
  </si>
  <si>
    <t>JUNIFER</t>
  </si>
  <si>
    <t>GULTIAN</t>
  </si>
  <si>
    <t>CLEOFE</t>
  </si>
  <si>
    <t>BISCOCHO</t>
  </si>
  <si>
    <t>MAGALLANES</t>
  </si>
  <si>
    <t>RICALDA</t>
  </si>
  <si>
    <t>RUINA</t>
  </si>
  <si>
    <t>WARREN</t>
  </si>
  <si>
    <t>CIRILA</t>
  </si>
  <si>
    <t>GLODOVE</t>
  </si>
  <si>
    <t>MENGUIN</t>
  </si>
  <si>
    <t>ENOVISO</t>
  </si>
  <si>
    <t>MIRANDA</t>
  </si>
  <si>
    <t>JOSELITO</t>
  </si>
  <si>
    <t>MORANG</t>
  </si>
  <si>
    <t>JOHN MICHAEL</t>
  </si>
  <si>
    <t>ORILLANEDA</t>
  </si>
  <si>
    <t>MAYBEE</t>
  </si>
  <si>
    <t>BAUSIN</t>
  </si>
  <si>
    <t>PANO</t>
  </si>
  <si>
    <t>CORIAS</t>
  </si>
  <si>
    <t>PANDELING</t>
  </si>
  <si>
    <t>FERMARAN</t>
  </si>
  <si>
    <t>PATALINGHOG</t>
  </si>
  <si>
    <t>ELIZADE</t>
  </si>
  <si>
    <t>PAQUIDING</t>
  </si>
  <si>
    <t>DOMINADOR</t>
  </si>
  <si>
    <t>JENNIFER</t>
  </si>
  <si>
    <t>SOLIS</t>
  </si>
  <si>
    <t>DEGUZMAN</t>
  </si>
  <si>
    <t>PONO</t>
  </si>
  <si>
    <t>LIZA</t>
  </si>
  <si>
    <t>MANCAO</t>
  </si>
  <si>
    <t>ROA</t>
  </si>
  <si>
    <t>FRETZELEN</t>
  </si>
  <si>
    <t>SARANZA</t>
  </si>
  <si>
    <t>ARLENE</t>
  </si>
  <si>
    <t>SABESAJE</t>
  </si>
  <si>
    <t>SERVILLON</t>
  </si>
  <si>
    <t>MARLOU</t>
  </si>
  <si>
    <t>ANALY</t>
  </si>
  <si>
    <t>SOMOSA</t>
  </si>
  <si>
    <t>VICTOR</t>
  </si>
  <si>
    <t>SUMAGA</t>
  </si>
  <si>
    <t>ROSARIO ROXANNE</t>
  </si>
  <si>
    <t>BOCARIO</t>
  </si>
  <si>
    <t>TENOZO</t>
  </si>
  <si>
    <t>ERIC</t>
  </si>
  <si>
    <t>LAVAREZ</t>
  </si>
  <si>
    <t>VETE</t>
  </si>
  <si>
    <t>IRHA JEAN</t>
  </si>
  <si>
    <t>VILLACORTA</t>
  </si>
  <si>
    <t>IRENE</t>
  </si>
  <si>
    <t>ACLO</t>
  </si>
  <si>
    <t>NORA</t>
  </si>
  <si>
    <t>DIAZ</t>
  </si>
  <si>
    <t>ALBARICO</t>
  </si>
  <si>
    <t>MANZANO</t>
  </si>
  <si>
    <t>ARNIGO</t>
  </si>
  <si>
    <t>JUNREL</t>
  </si>
  <si>
    <t>BORINAGA</t>
  </si>
  <si>
    <t>AYING</t>
  </si>
  <si>
    <t>SHIRLITA</t>
  </si>
  <si>
    <t>ARNEL</t>
  </si>
  <si>
    <t>DE JESUS</t>
  </si>
  <si>
    <t>CASER</t>
  </si>
  <si>
    <t>VICINTA</t>
  </si>
  <si>
    <t>CUADRADO</t>
  </si>
  <si>
    <t>LOLITA</t>
  </si>
  <si>
    <t>DAGOOC</t>
  </si>
  <si>
    <t>REYNALDO</t>
  </si>
  <si>
    <t>ALLEGO</t>
  </si>
  <si>
    <t>RINALYN</t>
  </si>
  <si>
    <t>DANDO</t>
  </si>
  <si>
    <t>LUENGAS</t>
  </si>
  <si>
    <t>BASILIO</t>
  </si>
  <si>
    <t>ORIOSTE</t>
  </si>
  <si>
    <t>LAMELA</t>
  </si>
  <si>
    <t>LISIGUEZ</t>
  </si>
  <si>
    <t>ALICIA</t>
  </si>
  <si>
    <t>OLAYVAR</t>
  </si>
  <si>
    <t>ANECITO</t>
  </si>
  <si>
    <t>NOBLEZA</t>
  </si>
  <si>
    <t>AIMEE</t>
  </si>
  <si>
    <t>OLAY</t>
  </si>
  <si>
    <t>CABODBOD</t>
  </si>
  <si>
    <t>QUEZADA</t>
  </si>
  <si>
    <t>JONATHAN</t>
  </si>
  <si>
    <t>MAQUILING</t>
  </si>
  <si>
    <t>SALCEDO</t>
  </si>
  <si>
    <t>ANGIE</t>
  </si>
  <si>
    <t>CABUGA</t>
  </si>
  <si>
    <t>ALMER</t>
  </si>
  <si>
    <t>FRANCONA</t>
  </si>
  <si>
    <t>ANGELITO</t>
  </si>
  <si>
    <t>MINION</t>
  </si>
  <si>
    <t>KIT JUDE</t>
  </si>
  <si>
    <t>QUIBOD</t>
  </si>
  <si>
    <t>AGAN</t>
  </si>
  <si>
    <t>ANNALYN</t>
  </si>
  <si>
    <t>GEUMBO</t>
  </si>
  <si>
    <t>JERYN</t>
  </si>
  <si>
    <t>DEREGAY</t>
  </si>
  <si>
    <t>RAMIREZ</t>
  </si>
  <si>
    <t>CESAR</t>
  </si>
  <si>
    <t>GAMULO</t>
  </si>
  <si>
    <t>SHIELA MAY</t>
  </si>
  <si>
    <t>TORRICO</t>
  </si>
  <si>
    <t>NORBERTO</t>
  </si>
  <si>
    <t>MORITE</t>
  </si>
  <si>
    <t>RAEL</t>
  </si>
  <si>
    <t>SABENIANO</t>
  </si>
  <si>
    <t>MAHUMOC</t>
  </si>
  <si>
    <t>ROMEL</t>
  </si>
  <si>
    <t>AYOP</t>
  </si>
  <si>
    <t>JOE ANN</t>
  </si>
  <si>
    <t>PASADAS</t>
  </si>
  <si>
    <t>LOAYON</t>
  </si>
  <si>
    <t>CHRISTOPHER</t>
  </si>
  <si>
    <t>JOANN</t>
  </si>
  <si>
    <t>REBUSA</t>
  </si>
  <si>
    <t>SAULITO</t>
  </si>
  <si>
    <t>RONIE</t>
  </si>
  <si>
    <t>RAGAS</t>
  </si>
  <si>
    <t>ASPIRIN</t>
  </si>
  <si>
    <t>LEONCIO</t>
  </si>
  <si>
    <t>PICO</t>
  </si>
  <si>
    <t>DARIN</t>
  </si>
  <si>
    <t>ANTONIETO</t>
  </si>
  <si>
    <t>JUATON</t>
  </si>
  <si>
    <t>MARIUS JOSEPH</t>
  </si>
  <si>
    <t>DALID</t>
  </si>
  <si>
    <t>GIL</t>
  </si>
  <si>
    <t>RENERIO</t>
  </si>
  <si>
    <t>BARROT</t>
  </si>
  <si>
    <t>JOMAR</t>
  </si>
  <si>
    <t>CATAY</t>
  </si>
  <si>
    <t>LANDERO</t>
  </si>
  <si>
    <t>MARIDEL</t>
  </si>
  <si>
    <t>BAJAN</t>
  </si>
  <si>
    <t>MISSIONA</t>
  </si>
  <si>
    <t>GENIVEVE</t>
  </si>
  <si>
    <t>BRONIDOR</t>
  </si>
  <si>
    <t>WILFREDO</t>
  </si>
  <si>
    <t>ALFANTE</t>
  </si>
  <si>
    <t>MAYLINDA</t>
  </si>
  <si>
    <t>ALFORQUE</t>
  </si>
  <si>
    <t>STEPHANIE</t>
  </si>
  <si>
    <t>PARRENAS</t>
  </si>
  <si>
    <t>ARIATE</t>
  </si>
  <si>
    <t>BERNANDITO</t>
  </si>
  <si>
    <t>SERRANO</t>
  </si>
  <si>
    <t>BALOYO</t>
  </si>
  <si>
    <t>ABENTER</t>
  </si>
  <si>
    <t>ALEXANDER</t>
  </si>
  <si>
    <t>GRESONES</t>
  </si>
  <si>
    <t>CABAHUG</t>
  </si>
  <si>
    <t>FAMELA</t>
  </si>
  <si>
    <t>MONTANO</t>
  </si>
  <si>
    <t>CALIHAT</t>
  </si>
  <si>
    <t>SUYMAN</t>
  </si>
  <si>
    <t>DUMANIG</t>
  </si>
  <si>
    <t>JUNEMAR</t>
  </si>
  <si>
    <t>ENGASTON</t>
  </si>
  <si>
    <t>JAPZON</t>
  </si>
  <si>
    <t>MA. SUSANA</t>
  </si>
  <si>
    <t>ARANAZ</t>
  </si>
  <si>
    <t>JUNIO</t>
  </si>
  <si>
    <t>ALPINIANO</t>
  </si>
  <si>
    <t>GAMALE</t>
  </si>
  <si>
    <t>LASQUE</t>
  </si>
  <si>
    <t>LORJEAN</t>
  </si>
  <si>
    <t>TASA</t>
  </si>
  <si>
    <t>MATURAN</t>
  </si>
  <si>
    <t>CYNDE</t>
  </si>
  <si>
    <t>CHUA</t>
  </si>
  <si>
    <t>ORCULLO</t>
  </si>
  <si>
    <t>JOHALIT</t>
  </si>
  <si>
    <t>ARBIOL</t>
  </si>
  <si>
    <t>RENIE</t>
  </si>
  <si>
    <t>PELANDAS</t>
  </si>
  <si>
    <t>CENDERILLA LOVELY</t>
  </si>
  <si>
    <t>LUMBAB</t>
  </si>
  <si>
    <t>RONDINA</t>
  </si>
  <si>
    <t>ADOBO</t>
  </si>
  <si>
    <t>SANTOS</t>
  </si>
  <si>
    <t>ANDOY</t>
  </si>
  <si>
    <t>JORY</t>
  </si>
  <si>
    <t>ASTUDILLO</t>
  </si>
  <si>
    <t>ROGER</t>
  </si>
  <si>
    <t>GARDIGO</t>
  </si>
  <si>
    <t>MATEO</t>
  </si>
  <si>
    <t>DUGUELA</t>
  </si>
  <si>
    <t>BUCA</t>
  </si>
  <si>
    <t>CABATINGAN</t>
  </si>
  <si>
    <t>DANILO</t>
  </si>
  <si>
    <t>GILDORE</t>
  </si>
  <si>
    <t>SHEILA MARIE</t>
  </si>
  <si>
    <t>VILLARENO</t>
  </si>
  <si>
    <t>LIGUTAN</t>
  </si>
  <si>
    <t>JOVANIE</t>
  </si>
  <si>
    <t>ROMALDO</t>
  </si>
  <si>
    <t>MELFE</t>
  </si>
  <si>
    <t>BEKTICAL</t>
  </si>
  <si>
    <t>NASUDYOT</t>
  </si>
  <si>
    <t>ROY</t>
  </si>
  <si>
    <t>LINDAAN</t>
  </si>
  <si>
    <t>ILGENITO</t>
  </si>
  <si>
    <t>SARZONA</t>
  </si>
  <si>
    <t>ALJER</t>
  </si>
  <si>
    <t>LAYNO</t>
  </si>
  <si>
    <t>SIAHAY</t>
  </si>
  <si>
    <t>SABAS</t>
  </si>
  <si>
    <t>RAMEREZ</t>
  </si>
  <si>
    <t>SIEGA</t>
  </si>
  <si>
    <t>MRYNA</t>
  </si>
  <si>
    <t>ANDAYRAN</t>
  </si>
  <si>
    <t>FLORENCIO</t>
  </si>
  <si>
    <t>BRYAN</t>
  </si>
  <si>
    <t>SARCO</t>
  </si>
  <si>
    <t>BARRIOS</t>
  </si>
  <si>
    <t>RAMMEL</t>
  </si>
  <si>
    <t>LUPIO</t>
  </si>
  <si>
    <t>VAPOR</t>
  </si>
  <si>
    <t>LEONARDO</t>
  </si>
  <si>
    <t>BAGOT</t>
  </si>
  <si>
    <t>ANDAYA</t>
  </si>
  <si>
    <t>JONES</t>
  </si>
  <si>
    <t>CECOTE</t>
  </si>
  <si>
    <t>JEMIL</t>
  </si>
  <si>
    <t>OHAD</t>
  </si>
  <si>
    <t>MELANIE</t>
  </si>
  <si>
    <t>DURIANO</t>
  </si>
  <si>
    <t>TIBUASAN</t>
  </si>
  <si>
    <t>BRILLO</t>
  </si>
  <si>
    <t>LUIE JHAN</t>
  </si>
  <si>
    <t>USTAS</t>
  </si>
  <si>
    <t>BUKINLASAN</t>
  </si>
  <si>
    <t>CABRERA</t>
  </si>
  <si>
    <t>ARNULFO</t>
  </si>
  <si>
    <t>LUCIA</t>
  </si>
  <si>
    <t>JUNEL</t>
  </si>
  <si>
    <t>CARPENTERO</t>
  </si>
  <si>
    <t>CATRINA</t>
  </si>
  <si>
    <t>MANATAD</t>
  </si>
  <si>
    <t>CATAPTE</t>
  </si>
  <si>
    <t>PERCILA</t>
  </si>
  <si>
    <t>DONASCO</t>
  </si>
  <si>
    <t>JONEL</t>
  </si>
  <si>
    <t>DOLPHY</t>
  </si>
  <si>
    <t>CATAYAS</t>
  </si>
  <si>
    <t>JUNILYN</t>
  </si>
  <si>
    <t>ANDAYAN</t>
  </si>
  <si>
    <t>KIDDIE</t>
  </si>
  <si>
    <t>MARQUIZA</t>
  </si>
  <si>
    <t>DELICONA</t>
  </si>
  <si>
    <t>JUANITO</t>
  </si>
  <si>
    <t>JAYMART</t>
  </si>
  <si>
    <t>DAWOG</t>
  </si>
  <si>
    <t>JULITO</t>
  </si>
  <si>
    <t>PAULINE</t>
  </si>
  <si>
    <t>ASCARES</t>
  </si>
  <si>
    <t>MARICRIS</t>
  </si>
  <si>
    <t>FLORES</t>
  </si>
  <si>
    <t>VELASCO</t>
  </si>
  <si>
    <t>LUCILLE</t>
  </si>
  <si>
    <t>MAHINAY</t>
  </si>
  <si>
    <t>ELVIN FRANCIS</t>
  </si>
  <si>
    <t>BAGNOL</t>
  </si>
  <si>
    <t>MALAQUE</t>
  </si>
  <si>
    <t>JENNY</t>
  </si>
  <si>
    <t>CHERRY ANN</t>
  </si>
  <si>
    <t>MATILOS</t>
  </si>
  <si>
    <t>RODEL</t>
  </si>
  <si>
    <t>BAYBAYON</t>
  </si>
  <si>
    <t>NUNCIO</t>
  </si>
  <si>
    <t>JOSELYN</t>
  </si>
  <si>
    <t>PAQUEO</t>
  </si>
  <si>
    <t>GILBERT</t>
  </si>
  <si>
    <t>COLASTE</t>
  </si>
  <si>
    <t>ALLAN</t>
  </si>
  <si>
    <t>CRISMAS</t>
  </si>
  <si>
    <t>QUIZADA</t>
  </si>
  <si>
    <t>GENITA</t>
  </si>
  <si>
    <t>ROJAS</t>
  </si>
  <si>
    <t>MARGELINE</t>
  </si>
  <si>
    <t>CORVERA</t>
  </si>
  <si>
    <t>SALISE</t>
  </si>
  <si>
    <t>MICHELLE</t>
  </si>
  <si>
    <t>TABLA</t>
  </si>
  <si>
    <t>WAOT</t>
  </si>
  <si>
    <t>MARY JOY</t>
  </si>
  <si>
    <t>DANLAG</t>
  </si>
  <si>
    <t>ABENDANO</t>
  </si>
  <si>
    <t>ASADON</t>
  </si>
  <si>
    <t>ESCLAMADO</t>
  </si>
  <si>
    <t>EVELYN</t>
  </si>
  <si>
    <t>LUIB</t>
  </si>
  <si>
    <t>JASON</t>
  </si>
  <si>
    <t>SANICO</t>
  </si>
  <si>
    <t>EDITHA</t>
  </si>
  <si>
    <t>NUEVA</t>
  </si>
  <si>
    <t>SUSANA</t>
  </si>
  <si>
    <t>PATUAL</t>
  </si>
  <si>
    <t>RHUEL</t>
  </si>
  <si>
    <t>CAMPADO</t>
  </si>
  <si>
    <t>VESTRA</t>
  </si>
  <si>
    <t>GONZALES</t>
  </si>
  <si>
    <t>BAJA</t>
  </si>
  <si>
    <t>ENRIQUE</t>
  </si>
  <si>
    <t>YSULAN</t>
  </si>
  <si>
    <t>ABOLOC</t>
  </si>
  <si>
    <t>BONIFACIA</t>
  </si>
  <si>
    <t>AGRABIO</t>
  </si>
  <si>
    <t>BEUNAFLOR</t>
  </si>
  <si>
    <t>ALIBO</t>
  </si>
  <si>
    <t>ARSENIO</t>
  </si>
  <si>
    <t>DELOS SANTOS</t>
  </si>
  <si>
    <t>ANTIDO</t>
  </si>
  <si>
    <t>ASUQUE</t>
  </si>
  <si>
    <t>DOLLIENTE</t>
  </si>
  <si>
    <t>BATIAO</t>
  </si>
  <si>
    <t>JEFFREY</t>
  </si>
  <si>
    <t>BUA</t>
  </si>
  <si>
    <t>JEMELITO</t>
  </si>
  <si>
    <t>BANGUIS</t>
  </si>
  <si>
    <t>BUGARIN</t>
  </si>
  <si>
    <t>FALCON</t>
  </si>
  <si>
    <t>CAPOCANAN</t>
  </si>
  <si>
    <t>HELY</t>
  </si>
  <si>
    <t>CABALTERA</t>
  </si>
  <si>
    <t>CARESUSA</t>
  </si>
  <si>
    <t>GALOPE</t>
  </si>
  <si>
    <t>CORPUS</t>
  </si>
  <si>
    <t>AGNELA</t>
  </si>
  <si>
    <t>CORPUZ</t>
  </si>
  <si>
    <t>ARMAN</t>
  </si>
  <si>
    <t>DE LA CRUZ</t>
  </si>
  <si>
    <t>I</t>
  </si>
  <si>
    <t>ORACION</t>
  </si>
  <si>
    <t>RENATO</t>
  </si>
  <si>
    <t>OHAO</t>
  </si>
  <si>
    <t>GUZMAN</t>
  </si>
  <si>
    <t>PELEGRO</t>
  </si>
  <si>
    <t>FRANKLIN</t>
  </si>
  <si>
    <t>DIOLA</t>
  </si>
  <si>
    <t>BEQUILLA</t>
  </si>
  <si>
    <t>SALIGUMBA</t>
  </si>
  <si>
    <t>REX</t>
  </si>
  <si>
    <t>YANDUG</t>
  </si>
  <si>
    <t>BALDOMERO</t>
  </si>
  <si>
    <t>CASANO</t>
  </si>
  <si>
    <t>EMPLEO</t>
  </si>
  <si>
    <t>ELESHER</t>
  </si>
  <si>
    <t>SERRA</t>
  </si>
  <si>
    <t>CHARLI</t>
  </si>
  <si>
    <t>REQUINA</t>
  </si>
  <si>
    <t>GA</t>
  </si>
  <si>
    <t>HELEN GRACE</t>
  </si>
  <si>
    <t>GUMA</t>
  </si>
  <si>
    <t>GOYONAN</t>
  </si>
  <si>
    <t>LAURON</t>
  </si>
  <si>
    <t>DANICA</t>
  </si>
  <si>
    <t>ORLINE</t>
  </si>
  <si>
    <t>LIBREA</t>
  </si>
  <si>
    <t>EDNA</t>
  </si>
  <si>
    <t>SIGALES</t>
  </si>
  <si>
    <t>REBECCA</t>
  </si>
  <si>
    <t>MANULAT</t>
  </si>
  <si>
    <t>DEONISIO</t>
  </si>
  <si>
    <t>JUNREY</t>
  </si>
  <si>
    <t>VANIZA</t>
  </si>
  <si>
    <t>MARQUEZA</t>
  </si>
  <si>
    <t>MERRA</t>
  </si>
  <si>
    <t>MARJORY-ANN</t>
  </si>
  <si>
    <t>BORCELAS</t>
  </si>
  <si>
    <t>MORETE</t>
  </si>
  <si>
    <t>CLERO</t>
  </si>
  <si>
    <t>JOSE ELMER</t>
  </si>
  <si>
    <t>PAGARAN</t>
  </si>
  <si>
    <t>MASCULINO</t>
  </si>
  <si>
    <t>PALANGPANG</t>
  </si>
  <si>
    <t>LOIDA</t>
  </si>
  <si>
    <t>CHAROX</t>
  </si>
  <si>
    <t>DEBAGUIO</t>
  </si>
  <si>
    <t>ABRIOL</t>
  </si>
  <si>
    <t>REGGIE</t>
  </si>
  <si>
    <t>COSUNG</t>
  </si>
  <si>
    <t>NOELYN</t>
  </si>
  <si>
    <t>LINDA</t>
  </si>
  <si>
    <t>LEON</t>
  </si>
  <si>
    <t>TUMALON</t>
  </si>
  <si>
    <t>TIMKANG</t>
  </si>
  <si>
    <t>GRACE</t>
  </si>
  <si>
    <t>AGANA</t>
  </si>
  <si>
    <t>ELLEN</t>
  </si>
  <si>
    <t>MANDAHON</t>
  </si>
  <si>
    <t>DELIO</t>
  </si>
  <si>
    <t>LOSELITO</t>
  </si>
  <si>
    <t>ABRAD</t>
  </si>
  <si>
    <t>MA. CATHERINE</t>
  </si>
  <si>
    <t>ARMENDAREZ</t>
  </si>
  <si>
    <t>ACEVIDO</t>
  </si>
  <si>
    <t>EDWINITO</t>
  </si>
  <si>
    <t>ELVIGON</t>
  </si>
  <si>
    <t>AMPONG</t>
  </si>
  <si>
    <t>ROSEVIC</t>
  </si>
  <si>
    <t>ABEL</t>
  </si>
  <si>
    <t>PORMENTRA</t>
  </si>
  <si>
    <t>TENIO</t>
  </si>
  <si>
    <t>PONCE</t>
  </si>
  <si>
    <t>ABALO</t>
  </si>
  <si>
    <t>MARC</t>
  </si>
  <si>
    <t>ABIS</t>
  </si>
  <si>
    <t>IBARRA</t>
  </si>
  <si>
    <t>ACA-AC</t>
  </si>
  <si>
    <t>MA.ANTONITA</t>
  </si>
  <si>
    <t>ORCEJOLA</t>
  </si>
  <si>
    <t>ACGUIATAN</t>
  </si>
  <si>
    <t>LEMUEL</t>
  </si>
  <si>
    <t>VERTUDAZO</t>
  </si>
  <si>
    <t>ACQUIATAN</t>
  </si>
  <si>
    <t>NERIO</t>
  </si>
  <si>
    <t>ALFREDO</t>
  </si>
  <si>
    <t>GASIS</t>
  </si>
  <si>
    <t>ALFRENIE</t>
  </si>
  <si>
    <t>ADARLO</t>
  </si>
  <si>
    <t>RHONA</t>
  </si>
  <si>
    <t>AGUHOB</t>
  </si>
  <si>
    <t>CRIS</t>
  </si>
  <si>
    <t>TETCHIE</t>
  </si>
  <si>
    <t>TIU</t>
  </si>
  <si>
    <t>JEANE</t>
  </si>
  <si>
    <t>DELIGERO</t>
  </si>
  <si>
    <t>LUCINA</t>
  </si>
  <si>
    <t>SELADES</t>
  </si>
  <si>
    <t>GOLANDRINA</t>
  </si>
  <si>
    <t>GEMA</t>
  </si>
  <si>
    <t>MAASIN</t>
  </si>
  <si>
    <t>AILYN</t>
  </si>
  <si>
    <t>ALVIZO</t>
  </si>
  <si>
    <t>MEREGILDO</t>
  </si>
  <si>
    <t>GALDIANO</t>
  </si>
  <si>
    <t>AMOGUIS</t>
  </si>
  <si>
    <t>JOSEFENA</t>
  </si>
  <si>
    <t>ANGCA</t>
  </si>
  <si>
    <t>RORELYN</t>
  </si>
  <si>
    <t>PALABON</t>
  </si>
  <si>
    <t>ARCAGUA</t>
  </si>
  <si>
    <t>REVICA</t>
  </si>
  <si>
    <t>RODALYN</t>
  </si>
  <si>
    <t>AZON</t>
  </si>
  <si>
    <t>VIRGINIA</t>
  </si>
  <si>
    <t>ENSO</t>
  </si>
  <si>
    <t>MARIAL</t>
  </si>
  <si>
    <t>SUNSHINE</t>
  </si>
  <si>
    <t>LUCENA</t>
  </si>
  <si>
    <t>WENDY</t>
  </si>
  <si>
    <t>BANGKIL</t>
  </si>
  <si>
    <t>OLVENARIO</t>
  </si>
  <si>
    <t>BIOY</t>
  </si>
  <si>
    <t>BITOR</t>
  </si>
  <si>
    <t>CATHERINE</t>
  </si>
  <si>
    <t>JUNAVEL</t>
  </si>
  <si>
    <t>AQUIATAN</t>
  </si>
  <si>
    <t>BUGSAD</t>
  </si>
  <si>
    <t>BELMA</t>
  </si>
  <si>
    <t>APORBO</t>
  </si>
  <si>
    <t>CALAMBA</t>
  </si>
  <si>
    <t>CIELO</t>
  </si>
  <si>
    <t>TUMAQUIN</t>
  </si>
  <si>
    <t>MERILYN</t>
  </si>
  <si>
    <t>TURAJA</t>
  </si>
  <si>
    <t>CRUZ</t>
  </si>
  <si>
    <t>EVA REGINA</t>
  </si>
  <si>
    <t>BULLO</t>
  </si>
  <si>
    <t>DAPAR</t>
  </si>
  <si>
    <t>EUGENE</t>
  </si>
  <si>
    <t>DELFIN</t>
  </si>
  <si>
    <t>JENIE</t>
  </si>
  <si>
    <t>DOLOREDO</t>
  </si>
  <si>
    <t>NOEMI</t>
  </si>
  <si>
    <t>DOMINGUES</t>
  </si>
  <si>
    <t>EBARLI</t>
  </si>
  <si>
    <t>MARIGOLD</t>
  </si>
  <si>
    <t>ELISAN</t>
  </si>
  <si>
    <t>WILLIAM</t>
  </si>
  <si>
    <t>BACONS</t>
  </si>
  <si>
    <t>ESTOQUE</t>
  </si>
  <si>
    <t>OBEDENCIO</t>
  </si>
  <si>
    <t>MA. DELFINA</t>
  </si>
  <si>
    <t>ARGUELLES</t>
  </si>
  <si>
    <t>FERROLINO</t>
  </si>
  <si>
    <t>ELENITA</t>
  </si>
  <si>
    <t>FIGURACION</t>
  </si>
  <si>
    <t>ADELYN</t>
  </si>
  <si>
    <t>FUROG</t>
  </si>
  <si>
    <t>LOFRANCO</t>
  </si>
  <si>
    <t>BEROY</t>
  </si>
  <si>
    <t>GEMINA</t>
  </si>
  <si>
    <t>RHICHEL MARY ANN</t>
  </si>
  <si>
    <t>RUBE</t>
  </si>
  <si>
    <t>GRANDEROS</t>
  </si>
  <si>
    <t>RITA</t>
  </si>
  <si>
    <t>SOLEJON</t>
  </si>
  <si>
    <t>GUBATERO</t>
  </si>
  <si>
    <t>AMADO</t>
  </si>
  <si>
    <t>PAPAYA</t>
  </si>
  <si>
    <t>HAGOPIT</t>
  </si>
  <si>
    <t>PINKY</t>
  </si>
  <si>
    <t>LOSPIROS</t>
  </si>
  <si>
    <t>HERMAC</t>
  </si>
  <si>
    <t>DEDIOS</t>
  </si>
  <si>
    <t>JUDY ANN</t>
  </si>
  <si>
    <t>ARNOCO</t>
  </si>
  <si>
    <t>LEONARDA</t>
  </si>
  <si>
    <t>MADELO</t>
  </si>
  <si>
    <t>INTAS</t>
  </si>
  <si>
    <t>MARIMEL</t>
  </si>
  <si>
    <t>LEGASPI</t>
  </si>
  <si>
    <t>LISONDRA</t>
  </si>
  <si>
    <t>ELIZABETH</t>
  </si>
  <si>
    <t>ORDENARIO</t>
  </si>
  <si>
    <t>LOBO</t>
  </si>
  <si>
    <t>AURELIO</t>
  </si>
  <si>
    <t>VERGARA</t>
  </si>
  <si>
    <t>LORENZANA</t>
  </si>
  <si>
    <t>MACASO</t>
  </si>
  <si>
    <t>FE</t>
  </si>
  <si>
    <t>BAGUNDOL</t>
  </si>
  <si>
    <t>RUBY</t>
  </si>
  <si>
    <t>RIAN</t>
  </si>
  <si>
    <t>LOMANDAS</t>
  </si>
  <si>
    <t>MAMALIS</t>
  </si>
  <si>
    <t>ERMILINDA</t>
  </si>
  <si>
    <t>JAGMOC</t>
  </si>
  <si>
    <t>MARITES</t>
  </si>
  <si>
    <t>SIBAY</t>
  </si>
  <si>
    <t>MANALO</t>
  </si>
  <si>
    <t>ROSE ANNE</t>
  </si>
  <si>
    <t>RODRIGUEZ</t>
  </si>
  <si>
    <t>MELINDO</t>
  </si>
  <si>
    <t>JULIE ANN</t>
  </si>
  <si>
    <t>GODIN</t>
  </si>
  <si>
    <t>MORANTE</t>
  </si>
  <si>
    <t>JESTY</t>
  </si>
  <si>
    <t>NAVARRO</t>
  </si>
  <si>
    <t>TIPALAN</t>
  </si>
  <si>
    <t>RONELYN</t>
  </si>
  <si>
    <t>ARIENZA</t>
  </si>
  <si>
    <t>ORITO</t>
  </si>
  <si>
    <t>ANALIZA</t>
  </si>
  <si>
    <t>OTACAN</t>
  </si>
  <si>
    <t>DIOSWEL</t>
  </si>
  <si>
    <t>PACALDO</t>
  </si>
  <si>
    <t>RENALYN</t>
  </si>
  <si>
    <t>BULARON</t>
  </si>
  <si>
    <t>PACE</t>
  </si>
  <si>
    <t>VALENTINO</t>
  </si>
  <si>
    <t>BALOCOS</t>
  </si>
  <si>
    <t>PACHA</t>
  </si>
  <si>
    <t>CALE</t>
  </si>
  <si>
    <t>PADIS</t>
  </si>
  <si>
    <t>AVEL</t>
  </si>
  <si>
    <t>DACPANO</t>
  </si>
  <si>
    <t>PANQUICO</t>
  </si>
  <si>
    <t>JANISSA</t>
  </si>
  <si>
    <t>PAZO</t>
  </si>
  <si>
    <t>LEA MAE</t>
  </si>
  <si>
    <t>MIRA</t>
  </si>
  <si>
    <t>PEDOLIN</t>
  </si>
  <si>
    <t>ROCHELYN</t>
  </si>
  <si>
    <t>GEMAO</t>
  </si>
  <si>
    <t>LOUVEN</t>
  </si>
  <si>
    <t>PARAO</t>
  </si>
  <si>
    <t>RENDEZA</t>
  </si>
  <si>
    <t>BABELYN</t>
  </si>
  <si>
    <t>REYNOLD</t>
  </si>
  <si>
    <t>ARNIL</t>
  </si>
  <si>
    <t>PIA</t>
  </si>
  <si>
    <t>CELSO</t>
  </si>
  <si>
    <t>BANGI</t>
  </si>
  <si>
    <t>PINTUYAN</t>
  </si>
  <si>
    <t>PIZARRAS</t>
  </si>
  <si>
    <t>POLINAR</t>
  </si>
  <si>
    <t>ARTEMIO</t>
  </si>
  <si>
    <t>ELISA</t>
  </si>
  <si>
    <t>BAGCAL</t>
  </si>
  <si>
    <t>POLVOROSA</t>
  </si>
  <si>
    <t>CHA CHA</t>
  </si>
  <si>
    <t>SALILIN</t>
  </si>
  <si>
    <t>SUMAYLO</t>
  </si>
  <si>
    <t>GILITA</t>
  </si>
  <si>
    <t>RADA</t>
  </si>
  <si>
    <t>RELAMPAGO</t>
  </si>
  <si>
    <t>FLORIFE</t>
  </si>
  <si>
    <t>REVECHE</t>
  </si>
  <si>
    <t>ERICH JEAN</t>
  </si>
  <si>
    <t>TORMENTO</t>
  </si>
  <si>
    <t>RAQUEL</t>
  </si>
  <si>
    <t>TUMASAN</t>
  </si>
  <si>
    <t>VIOLETA</t>
  </si>
  <si>
    <t>BALLON</t>
  </si>
  <si>
    <t>RUDAS</t>
  </si>
  <si>
    <t>RESVIN</t>
  </si>
  <si>
    <t>CLARETE</t>
  </si>
  <si>
    <t>MARVINO</t>
  </si>
  <si>
    <t>RUALES</t>
  </si>
  <si>
    <t>SANTA</t>
  </si>
  <si>
    <t>MA. CHRISTIAN</t>
  </si>
  <si>
    <t>SAPANZA</t>
  </si>
  <si>
    <t>JANETTE</t>
  </si>
  <si>
    <t>INTELLIGANDO</t>
  </si>
  <si>
    <t>NEREILYN</t>
  </si>
  <si>
    <t>COMETA</t>
  </si>
  <si>
    <t>SOTTO</t>
  </si>
  <si>
    <t>JUDALYN</t>
  </si>
  <si>
    <t>SU</t>
  </si>
  <si>
    <t>MARY JAY</t>
  </si>
  <si>
    <t>GERLYN</t>
  </si>
  <si>
    <t>GAREN</t>
  </si>
  <si>
    <t>JOVAN</t>
  </si>
  <si>
    <t>MEGAN</t>
  </si>
  <si>
    <t>ABELLA</t>
  </si>
  <si>
    <t>BONIA</t>
  </si>
  <si>
    <t>GENA</t>
  </si>
  <si>
    <t>TIGUELO</t>
  </si>
  <si>
    <t>JULY FRED</t>
  </si>
  <si>
    <t>TRUGILLO</t>
  </si>
  <si>
    <t>CHARLOTTE</t>
  </si>
  <si>
    <t>UBAUB</t>
  </si>
  <si>
    <t>ARNOLFO</t>
  </si>
  <si>
    <t>JAMERO</t>
  </si>
  <si>
    <t>VERMIE</t>
  </si>
  <si>
    <t>TORADIO</t>
  </si>
  <si>
    <t>SHAINA MAE</t>
  </si>
  <si>
    <t>BODONG</t>
  </si>
  <si>
    <t>EBORDE</t>
  </si>
  <si>
    <t>VALENTINA</t>
  </si>
  <si>
    <t>MALUMBAY</t>
  </si>
  <si>
    <t>JERWIN</t>
  </si>
  <si>
    <t>NADA</t>
  </si>
  <si>
    <t>ESTRELLETA</t>
  </si>
  <si>
    <t>YPARAGIURRE</t>
  </si>
  <si>
    <t>BALUCANAG</t>
  </si>
  <si>
    <t>STEPHEN</t>
  </si>
  <si>
    <t>RULLORATA</t>
  </si>
  <si>
    <t>AMOR</t>
  </si>
  <si>
    <t>LICO</t>
  </si>
  <si>
    <t>PATINDOL</t>
  </si>
  <si>
    <t>CATALINO</t>
  </si>
  <si>
    <t>GOPEN</t>
  </si>
  <si>
    <t>EUSEBIO</t>
  </si>
  <si>
    <t>EVLOTA</t>
  </si>
  <si>
    <t>SALBIGSAL</t>
  </si>
  <si>
    <t>NYMPHA</t>
  </si>
  <si>
    <t>CABULAD</t>
  </si>
  <si>
    <t>MARLODINDO</t>
  </si>
  <si>
    <t>CLARIT</t>
  </si>
  <si>
    <t>JENNIBEB</t>
  </si>
  <si>
    <t>AGRAVANTE</t>
  </si>
  <si>
    <t>ACODILE</t>
  </si>
  <si>
    <t>HERMENIO</t>
  </si>
  <si>
    <t>JANIL</t>
  </si>
  <si>
    <t>GANATE</t>
  </si>
  <si>
    <t>BURLAS</t>
  </si>
  <si>
    <t>MAGNO</t>
  </si>
  <si>
    <t>GAUDELLA</t>
  </si>
  <si>
    <t>CLEMENTE</t>
  </si>
  <si>
    <t>RESMA</t>
  </si>
  <si>
    <t>LILET</t>
  </si>
  <si>
    <t>ONGAYO</t>
  </si>
  <si>
    <t>PILOTO</t>
  </si>
  <si>
    <t>DURANGO</t>
  </si>
  <si>
    <t>ROZ</t>
  </si>
  <si>
    <t>PECASALES</t>
  </si>
  <si>
    <t>CERENITA</t>
  </si>
  <si>
    <t>URGINO</t>
  </si>
  <si>
    <t>PABELONIA</t>
  </si>
  <si>
    <t>TALIDONG</t>
  </si>
  <si>
    <t>JAYSON</t>
  </si>
  <si>
    <t>ACAB</t>
  </si>
  <si>
    <t>GUINANCIAS</t>
  </si>
  <si>
    <t>JUAGPAO</t>
  </si>
  <si>
    <t>MELISA</t>
  </si>
  <si>
    <t>BEHON</t>
  </si>
  <si>
    <t>CEDRON</t>
  </si>
  <si>
    <t>GARAS</t>
  </si>
  <si>
    <t>JOHNCEIL REY</t>
  </si>
  <si>
    <t>MANTALABA</t>
  </si>
  <si>
    <t>PAN</t>
  </si>
  <si>
    <t>HARREY</t>
  </si>
  <si>
    <t>ARADILLOS</t>
  </si>
  <si>
    <t>CECELIA</t>
  </si>
  <si>
    <t>ADORABLE</t>
  </si>
  <si>
    <t>DULAQUE</t>
  </si>
  <si>
    <t>JOHN RUSSEL</t>
  </si>
  <si>
    <t>REVILLLEZA</t>
  </si>
  <si>
    <t>GODY</t>
  </si>
  <si>
    <t>SIGUISABAL</t>
  </si>
  <si>
    <t>DANIEL</t>
  </si>
  <si>
    <t>TAYPA</t>
  </si>
  <si>
    <t>SOSOSCO</t>
  </si>
  <si>
    <t>ELMER</t>
  </si>
  <si>
    <t>IHAPON</t>
  </si>
  <si>
    <t>ENOCIDA</t>
  </si>
  <si>
    <t>EMELDA</t>
  </si>
  <si>
    <t>DEL VALLE</t>
  </si>
  <si>
    <t>JANETH</t>
  </si>
  <si>
    <t>JAPITANA</t>
  </si>
  <si>
    <t>MELLIAN</t>
  </si>
  <si>
    <t>JERAMEL</t>
  </si>
  <si>
    <t>RASONABLE</t>
  </si>
  <si>
    <t>ABARCA</t>
  </si>
  <si>
    <t>ROSIE</t>
  </si>
  <si>
    <t>CABOG-OS</t>
  </si>
  <si>
    <t>JESSRIEL</t>
  </si>
  <si>
    <t>ELLECO</t>
  </si>
  <si>
    <t>DENSING</t>
  </si>
  <si>
    <t>ANAS</t>
  </si>
  <si>
    <t>DAIGAN</t>
  </si>
  <si>
    <t>ERLINDA</t>
  </si>
  <si>
    <t>MACADINE</t>
  </si>
  <si>
    <t>MICHAEL</t>
  </si>
  <si>
    <t>MACARAYO</t>
  </si>
  <si>
    <t>FELIX</t>
  </si>
  <si>
    <t>RANEZA</t>
  </si>
  <si>
    <t>LEBRIAS</t>
  </si>
  <si>
    <t>LLENOS</t>
  </si>
  <si>
    <t>RONITO</t>
  </si>
  <si>
    <t>COMPEDIO</t>
  </si>
  <si>
    <t>CURADA</t>
  </si>
  <si>
    <t>BAGOOD</t>
  </si>
  <si>
    <t>SIMANGCA</t>
  </si>
  <si>
    <t>HANS EDWARD</t>
  </si>
  <si>
    <t>VELLASCO</t>
  </si>
  <si>
    <t>ALFONSA</t>
  </si>
  <si>
    <t>MAHUSAY</t>
  </si>
  <si>
    <t>DANNYBOY</t>
  </si>
  <si>
    <t>VISITACION</t>
  </si>
  <si>
    <t>MIGRONO</t>
  </si>
  <si>
    <t>DORI</t>
  </si>
  <si>
    <t>VEGA</t>
  </si>
  <si>
    <t>ALJUNE</t>
  </si>
  <si>
    <t>HULBE</t>
  </si>
  <si>
    <t>PAULEN</t>
  </si>
  <si>
    <t>LIMBAGA</t>
  </si>
  <si>
    <t>JHONBERT</t>
  </si>
  <si>
    <t>LEONES</t>
  </si>
  <si>
    <t>TALISIC</t>
  </si>
  <si>
    <t>ANASTACIA</t>
  </si>
  <si>
    <t>CULLANTES</t>
  </si>
  <si>
    <t>MARIA ELMA</t>
  </si>
  <si>
    <t>VALENTIN</t>
  </si>
  <si>
    <t>GALLEON</t>
  </si>
  <si>
    <t>DIOCAMPO</t>
  </si>
  <si>
    <t>VILLALBA</t>
  </si>
  <si>
    <t>ROWEL</t>
  </si>
  <si>
    <t>CALIPI</t>
  </si>
  <si>
    <t>OSITE</t>
  </si>
  <si>
    <t>AWASIAN</t>
  </si>
  <si>
    <t>BAGONG LUNGSOD</t>
  </si>
  <si>
    <t>BIOTO</t>
  </si>
  <si>
    <t>BONGTUD</t>
  </si>
  <si>
    <t>MABUA</t>
  </si>
  <si>
    <t>MABUHAY</t>
  </si>
  <si>
    <t>MAITUM</t>
  </si>
  <si>
    <t>MATICDUM</t>
  </si>
  <si>
    <t>PANGI</t>
  </si>
  <si>
    <t>QUEZON</t>
  </si>
  <si>
    <t>ROSARIO</t>
  </si>
  <si>
    <t>SAN AGUSTIN SUR</t>
  </si>
  <si>
    <t>TELAJE</t>
  </si>
  <si>
    <t>PANDANON</t>
  </si>
  <si>
    <t>BUENAVISTA</t>
  </si>
  <si>
    <t>SAN AGUSTIN NORTE</t>
  </si>
  <si>
    <t>SAN ISIDRO</t>
  </si>
  <si>
    <t>MALUBAY</t>
  </si>
  <si>
    <t>NELITA</t>
  </si>
  <si>
    <t>JEFREY</t>
  </si>
  <si>
    <t>PAME</t>
  </si>
  <si>
    <t>ROSAL</t>
  </si>
  <si>
    <t>MARGIE</t>
  </si>
  <si>
    <t>ROMNICK</t>
  </si>
  <si>
    <t>REYMARK</t>
  </si>
  <si>
    <t>ALJUN</t>
  </si>
  <si>
    <t>ANGELO</t>
  </si>
  <si>
    <t>IRISH</t>
  </si>
  <si>
    <t>1990-04-31</t>
  </si>
  <si>
    <t>1963-04-31</t>
  </si>
  <si>
    <t>Republic of the Philippines</t>
  </si>
  <si>
    <t>CARAGA - Region XIII</t>
  </si>
  <si>
    <t>Province of Surigao del Sur</t>
  </si>
  <si>
    <t>[BARANGAY NAME IF PER BARANGAY]</t>
  </si>
  <si>
    <t>Masterlist of Eligible Beneficiaries</t>
  </si>
  <si>
    <t>Emergency Cash Transfer (ECT)</t>
  </si>
  <si>
    <t>No.</t>
  </si>
  <si>
    <t>NAME</t>
  </si>
  <si>
    <t>PUROK</t>
  </si>
  <si>
    <t>BARANGAY</t>
  </si>
  <si>
    <r>
      <rPr>
        <b/>
        <sz val="12"/>
        <color rgb="FF000000"/>
        <rFont val="Arial"/>
        <family val="2"/>
      </rPr>
      <t xml:space="preserve">BIRTHDATE </t>
    </r>
    <r>
      <rPr>
        <b/>
        <sz val="8"/>
        <color rgb="FF000000"/>
        <rFont val="Arial"/>
        <family val="2"/>
      </rPr>
      <t>(MM/DD/YYYY)</t>
    </r>
  </si>
  <si>
    <t>AGE</t>
  </si>
  <si>
    <t>SEX</t>
  </si>
  <si>
    <t>CIVIL STATUS</t>
  </si>
  <si>
    <t>C L A S S I F I C A T I O N S</t>
  </si>
  <si>
    <t>POOR BASED ON NATIONAL HOUSEHOLD TARGETING SYSTEM FOR POVERTY REDUCTION (NHTS-PR) Listahanan 3</t>
  </si>
  <si>
    <t>IDENTIFIED POOR, MARGINALIZED &amp; DISADVANTAGED BASED ON THE ASSESSMENT OF LSWDO</t>
  </si>
  <si>
    <t>S E C T O R S</t>
  </si>
  <si>
    <t>LAST NAME</t>
  </si>
  <si>
    <t>FIRST NAME</t>
  </si>
  <si>
    <t>MIDDLE NAME</t>
  </si>
  <si>
    <t>Ext.</t>
  </si>
  <si>
    <t>Pantawid Pamilyang Pilipino Program (4Ps)</t>
  </si>
  <si>
    <t>Farmers   (F)</t>
  </si>
  <si>
    <t>Fisher-folks (FF)</t>
  </si>
  <si>
    <t>Informal Sector</t>
  </si>
  <si>
    <t>Indigenous People  (IP)</t>
  </si>
  <si>
    <t>Senior Citizen (SC)</t>
  </si>
  <si>
    <t>Solo Parent (SP)</t>
  </si>
  <si>
    <t>Pregnant Women (PW)</t>
  </si>
  <si>
    <t>Persons with Disability (PWD)</t>
  </si>
  <si>
    <t>Lactating Mother
(LM)</t>
  </si>
  <si>
    <t>Out of School Youth (OSY)</t>
  </si>
  <si>
    <t>Former Rebel (FR)</t>
  </si>
  <si>
    <t>YAKAP Bayan/ Persons Who Used Drugs (YB/PWUDs)</t>
  </si>
  <si>
    <t>LGBTQIA+</t>
  </si>
  <si>
    <t>Slightly or Severely Affected Houses/Families</t>
  </si>
  <si>
    <t>MALE</t>
  </si>
  <si>
    <t>COMMON-LAW</t>
  </si>
  <si>
    <t>/</t>
  </si>
  <si>
    <t/>
  </si>
  <si>
    <t>SLIGHTLY</t>
  </si>
  <si>
    <t>MARRIED</t>
  </si>
  <si>
    <t>FEMALE</t>
  </si>
  <si>
    <t>WIDOWED/WIDOWER</t>
  </si>
  <si>
    <t>NANGKA</t>
  </si>
  <si>
    <t>MANGGA</t>
  </si>
  <si>
    <t>SANTOL</t>
  </si>
  <si>
    <t>SINGLE</t>
  </si>
  <si>
    <t>TUBIG</t>
  </si>
  <si>
    <t>KALIPAYAN</t>
  </si>
  <si>
    <t>SEVERELY</t>
  </si>
  <si>
    <t>BAMBOO</t>
  </si>
  <si>
    <t>SANTAN</t>
  </si>
  <si>
    <t>SAMPAGUITA</t>
  </si>
  <si>
    <t>LANGKA</t>
  </si>
  <si>
    <t>PALMERA</t>
  </si>
  <si>
    <t>RELOCATION</t>
  </si>
  <si>
    <t>NARRA</t>
  </si>
  <si>
    <t>S U M M A R Y</t>
  </si>
  <si>
    <t>PERSONS WITH DISABILITY(PWD) CLASSIFICATION</t>
  </si>
  <si>
    <t xml:space="preserve">    The above-mentioned names listed are of legal age, and residents of Awasian, Tandag City, Province of Surigao del Sur who are affected by Typhoon Basyang which occurred on February 5, 2026. The names listed herein were identified and validated by the LGU who are SLIGHTLY and SEVERELY AFFECTED by Typhoon Basyang. Therefore, they are ELIGIBLE to be the beneficiaries of Emergency Cash Transfer (ECT) and is recommended receive the amount of  ______________________________________   (₱.                    ) from DSWD.                       
This certificate is issued in Tandag City, SDS on _________________
as to certify that the above-mentioned information is true and correct. </t>
  </si>
  <si>
    <t>Disaggregation</t>
  </si>
  <si>
    <t>Total</t>
  </si>
  <si>
    <t>BREAKDOWN</t>
  </si>
  <si>
    <t>Male</t>
  </si>
  <si>
    <t>Female</t>
  </si>
  <si>
    <t>Classification</t>
  </si>
  <si>
    <t>A. Multiple Disabilities</t>
  </si>
  <si>
    <t>B. Intellectual Disability</t>
  </si>
  <si>
    <t>C. Learning Disability</t>
  </si>
  <si>
    <t>Sectors</t>
  </si>
  <si>
    <t>D. Mental Disability</t>
  </si>
  <si>
    <t>Farmers</t>
  </si>
  <si>
    <t>E. Physical Disability (Orthopedic)</t>
  </si>
  <si>
    <t>Fisher folks</t>
  </si>
  <si>
    <t>F. Psychosocial Disability</t>
  </si>
  <si>
    <t>G. Non-apparent Visual Disability</t>
  </si>
  <si>
    <t>Indigenous People</t>
  </si>
  <si>
    <t>H. Non-apparent Speech and Language Impairment</t>
  </si>
  <si>
    <t>Senior Citizen</t>
  </si>
  <si>
    <t>I. Non-apparent Cancer</t>
  </si>
  <si>
    <t>Prepared by:</t>
  </si>
  <si>
    <t xml:space="preserve">Certified by: </t>
  </si>
  <si>
    <t xml:space="preserve">Endorsed by: </t>
  </si>
  <si>
    <t>Solo Parent</t>
  </si>
  <si>
    <t>J. Non-apparent Rare Disease</t>
  </si>
  <si>
    <t xml:space="preserve">                                           </t>
  </si>
  <si>
    <t xml:space="preserve">                                                          </t>
  </si>
  <si>
    <t xml:space="preserve">                                               </t>
  </si>
  <si>
    <t>Pregnant Women</t>
  </si>
  <si>
    <t>K. Deaf/Hard of Hearing Disability</t>
  </si>
  <si>
    <t xml:space="preserve">    Punong Barangay</t>
  </si>
  <si>
    <t>CSWD Officer</t>
  </si>
  <si>
    <t>City/Municipality Mayor</t>
  </si>
  <si>
    <t>Persons With Disability</t>
  </si>
  <si>
    <t>Lactating Mother</t>
  </si>
  <si>
    <t>Recommending Approval:</t>
  </si>
  <si>
    <t>Approved by:</t>
  </si>
  <si>
    <t>Out of School Youth</t>
  </si>
  <si>
    <t>ALDIE MAE A. ANDOY</t>
  </si>
  <si>
    <t>MARI-FLOR A. DOLLAGA-LIBANG</t>
  </si>
  <si>
    <t>Former Rebel</t>
  </si>
  <si>
    <t>OIC-Chief, DRMD</t>
  </si>
  <si>
    <t xml:space="preserve"> DSWD FO Caraga Regional Director</t>
  </si>
  <si>
    <t>Yakap Bayan/Persons Who Used Drugs</t>
  </si>
  <si>
    <t>City of TANDAG</t>
  </si>
  <si>
    <t>LARCIÃ‘A</t>
  </si>
  <si>
    <t>YBAÃ‘EZ</t>
  </si>
  <si>
    <t>CAÃ‘O</t>
  </si>
  <si>
    <t>QUINOÃ‘EZ</t>
  </si>
  <si>
    <t>PEDALEÃ‘A</t>
  </si>
  <si>
    <t>QUIÃ‘ONEZ</t>
  </si>
  <si>
    <t>ESTAÃ‘O</t>
  </si>
  <si>
    <t>QUIÃ‘O</t>
  </si>
  <si>
    <t>CAÃ‘ETE</t>
  </si>
  <si>
    <t>VILLAPAÃ‘E</t>
  </si>
  <si>
    <t>NAHIAL</t>
  </si>
  <si>
    <t>RE JHUN</t>
  </si>
  <si>
    <t>MALULAN</t>
  </si>
  <si>
    <t>196-01-31</t>
  </si>
  <si>
    <t>WIDOWED</t>
  </si>
  <si>
    <t>WIDOW</t>
  </si>
  <si>
    <t>COMMON LAW</t>
  </si>
  <si>
    <t>AGRIDULCE</t>
  </si>
  <si>
    <t>LOVERSTREE</t>
  </si>
  <si>
    <t>PARADISE</t>
  </si>
  <si>
    <t>PULOTAN</t>
  </si>
  <si>
    <t>BOOMBELLS</t>
  </si>
  <si>
    <t>HITAUB</t>
  </si>
  <si>
    <t>RAISING SUN</t>
  </si>
  <si>
    <t>OVER THE RAINBOW</t>
  </si>
  <si>
    <t>CABUGAN</t>
  </si>
  <si>
    <t>TULAY</t>
  </si>
  <si>
    <t>GOLDEN SHOWER</t>
  </si>
  <si>
    <t>MAGANDA</t>
  </si>
  <si>
    <t>RISING SUN</t>
  </si>
  <si>
    <t>MARIPOSA</t>
  </si>
  <si>
    <t>CAIMITO</t>
  </si>
  <si>
    <t>MANGOSTEN</t>
  </si>
  <si>
    <t>MACUPA</t>
  </si>
  <si>
    <t>NICOLASA</t>
  </si>
  <si>
    <t>ABGAO</t>
  </si>
  <si>
    <t>PILI</t>
  </si>
  <si>
    <t>UPPER</t>
  </si>
  <si>
    <t>MILAGROSA</t>
  </si>
  <si>
    <t>PINAG-ARALAN</t>
  </si>
  <si>
    <t>MAUPAYON</t>
  </si>
  <si>
    <t>POOG</t>
  </si>
  <si>
    <t>PINAG-ARALAN 2</t>
  </si>
  <si>
    <t>KARMELO 2</t>
  </si>
  <si>
    <t>BOWAHAN</t>
  </si>
  <si>
    <t>P- GOLDEN HILLS</t>
  </si>
  <si>
    <t>PUROK 3 PARADISE</t>
  </si>
  <si>
    <t>P-GOLDEN HILLS</t>
  </si>
  <si>
    <t>P-GOLDEN HEART</t>
  </si>
  <si>
    <t>P-SUN RISER</t>
  </si>
  <si>
    <t>P-6 GOLDEN SHOWER</t>
  </si>
  <si>
    <t>P-3 PARADISE</t>
  </si>
  <si>
    <t>P-PARADISE</t>
  </si>
  <si>
    <t>P-5 GOLDEN HILLS</t>
  </si>
  <si>
    <t>LINAO</t>
  </si>
  <si>
    <t>KAHAYAG</t>
  </si>
  <si>
    <t>MALIPAYON</t>
  </si>
  <si>
    <t>MADASIGON</t>
  </si>
  <si>
    <t>PAGLAUM</t>
  </si>
  <si>
    <t>PAG-IBIG</t>
  </si>
  <si>
    <t>MAGANDA 2</t>
  </si>
  <si>
    <t>TANABOG</t>
  </si>
  <si>
    <t>MALIGAYA 2</t>
  </si>
  <si>
    <t>TULAY 1</t>
  </si>
  <si>
    <t>KANIPAAN</t>
  </si>
  <si>
    <t>TULAY 2</t>
  </si>
  <si>
    <t>MILLION</t>
  </si>
  <si>
    <t>KASAMAHAN</t>
  </si>
  <si>
    <t>CENTRO</t>
  </si>
  <si>
    <t>SITE</t>
  </si>
  <si>
    <t>RIVER SIDE</t>
  </si>
  <si>
    <t>GEMINI</t>
  </si>
  <si>
    <t>GALAXY</t>
  </si>
  <si>
    <t>MARS</t>
  </si>
  <si>
    <t>NEPTUNE</t>
  </si>
  <si>
    <t>JUPITER</t>
  </si>
  <si>
    <t>CABILES</t>
  </si>
  <si>
    <t>MAUSWAGON</t>
  </si>
  <si>
    <t>HINAUB</t>
  </si>
  <si>
    <t>MALINAWON</t>
  </si>
  <si>
    <t>MALAMPUSON</t>
  </si>
  <si>
    <t>FVR</t>
  </si>
  <si>
    <t>GARCIA</t>
  </si>
  <si>
    <t>OSMEÃ‘A</t>
  </si>
  <si>
    <t>AQUIÃ‘O</t>
  </si>
  <si>
    <t>MARCOS</t>
  </si>
  <si>
    <t>QUIRINO</t>
  </si>
  <si>
    <t>QUIRINIO</t>
  </si>
  <si>
    <t>AQUINO</t>
  </si>
  <si>
    <t>MAGSAYSAY</t>
  </si>
  <si>
    <t>TISA</t>
  </si>
  <si>
    <t>LANSONEZ</t>
  </si>
  <si>
    <t>BUSAY</t>
  </si>
  <si>
    <t>LOVER'S TREE</t>
  </si>
  <si>
    <t>MALIGAYA 1</t>
  </si>
  <si>
    <t>BUWAHAN</t>
  </si>
  <si>
    <t>WIDOWER</t>
  </si>
  <si>
    <t>MARRED</t>
  </si>
  <si>
    <t>SEPARATED</t>
  </si>
  <si>
    <t>CABILAN</t>
  </si>
  <si>
    <t>JOHNSON</t>
  </si>
  <si>
    <t>BATISTIL</t>
  </si>
  <si>
    <t>RIVERA</t>
  </si>
  <si>
    <t>BUGTONG</t>
  </si>
  <si>
    <t>DIONECRIS</t>
  </si>
  <si>
    <t>TIN-AO</t>
  </si>
  <si>
    <t>LABACO</t>
  </si>
  <si>
    <t>MANILYN</t>
  </si>
  <si>
    <t>LORONO</t>
  </si>
  <si>
    <t>RIN</t>
  </si>
  <si>
    <t>RODRIGO</t>
  </si>
  <si>
    <t>CASIO</t>
  </si>
  <si>
    <t>BONGCAYAO</t>
  </si>
  <si>
    <t>NINITA</t>
  </si>
  <si>
    <t>APEQUE</t>
  </si>
  <si>
    <t>MAGAN</t>
  </si>
  <si>
    <t>GALLOGO</t>
  </si>
  <si>
    <t>SITOY</t>
  </si>
  <si>
    <t>DARWEN</t>
  </si>
  <si>
    <t>LUMAYNO</t>
  </si>
  <si>
    <t>LOLITO</t>
  </si>
  <si>
    <t>CUBERO</t>
  </si>
  <si>
    <t>TOLANG</t>
  </si>
  <si>
    <t>REYNANTE</t>
  </si>
  <si>
    <t>MATONDO</t>
  </si>
  <si>
    <t>EGPIT</t>
  </si>
  <si>
    <t>HILARION</t>
  </si>
  <si>
    <t>ALZATE</t>
  </si>
  <si>
    <t>SANDY</t>
  </si>
  <si>
    <t>DESCARTIN</t>
  </si>
  <si>
    <t>HERNAN</t>
  </si>
  <si>
    <t>PEDRENIA</t>
  </si>
  <si>
    <t>TRINIDAD</t>
  </si>
  <si>
    <t>MA. GLENA</t>
  </si>
  <si>
    <t>IGPIT</t>
  </si>
  <si>
    <t>BASELIO</t>
  </si>
  <si>
    <t>BUNSAY</t>
  </si>
  <si>
    <t>BEBIAN</t>
  </si>
  <si>
    <t>QUINONG</t>
  </si>
  <si>
    <t>MARVIN</t>
  </si>
  <si>
    <t>CASTRONUEVO</t>
  </si>
  <si>
    <t>NELLY</t>
  </si>
  <si>
    <t>CAPALIT</t>
  </si>
  <si>
    <t>DEXTER</t>
  </si>
  <si>
    <t>DUBLAS</t>
  </si>
  <si>
    <t>RUPERTO</t>
  </si>
  <si>
    <t>TATO</t>
  </si>
  <si>
    <t>JOSITO</t>
  </si>
  <si>
    <t>ARLOU</t>
  </si>
  <si>
    <t>MONICO</t>
  </si>
  <si>
    <t>REPESO</t>
  </si>
  <si>
    <t>SANDAYA</t>
  </si>
  <si>
    <t>JILMAR</t>
  </si>
  <si>
    <t>DURAY</t>
  </si>
  <si>
    <t>GENELYN</t>
  </si>
  <si>
    <t>APIQUE</t>
  </si>
  <si>
    <t>ROMULO</t>
  </si>
  <si>
    <t>MOSENDE</t>
  </si>
  <si>
    <t>FRANCES</t>
  </si>
  <si>
    <t>ANAJAO</t>
  </si>
  <si>
    <t>JEANNE</t>
  </si>
  <si>
    <t>AMBA</t>
  </si>
  <si>
    <t>GONEFORTE</t>
  </si>
  <si>
    <t>DELA VEGA</t>
  </si>
  <si>
    <t>DARIO</t>
  </si>
  <si>
    <t>OLVIDA</t>
  </si>
  <si>
    <t>ARAÃ‘AS</t>
  </si>
  <si>
    <t>OSCAR</t>
  </si>
  <si>
    <t>DACOYCOY</t>
  </si>
  <si>
    <t>NICOLAS</t>
  </si>
  <si>
    <t>CARMELA</t>
  </si>
  <si>
    <t>DELAVEGA</t>
  </si>
  <si>
    <t>BALAN</t>
  </si>
  <si>
    <t>ARIEL</t>
  </si>
  <si>
    <t>EFONDO</t>
  </si>
  <si>
    <t>CARMELINA</t>
  </si>
  <si>
    <t>TACULAD</t>
  </si>
  <si>
    <t>SARAH</t>
  </si>
  <si>
    <t>BLASQUEZ</t>
  </si>
  <si>
    <t>VIDAL</t>
  </si>
  <si>
    <t>PORALAN</t>
  </si>
  <si>
    <t>JUHNNY</t>
  </si>
  <si>
    <t>EMPERIO</t>
  </si>
  <si>
    <t>MADRONIAL</t>
  </si>
  <si>
    <t>EULALIO</t>
  </si>
  <si>
    <t>CUADRAZAL</t>
  </si>
  <si>
    <t>FELECIANO</t>
  </si>
  <si>
    <t>GATAB</t>
  </si>
  <si>
    <t>SANNY</t>
  </si>
  <si>
    <t>DELA RAMA</t>
  </si>
  <si>
    <t>NINO</t>
  </si>
  <si>
    <t>ULVIDA</t>
  </si>
  <si>
    <t>CASIANO</t>
  </si>
  <si>
    <t>CANDONTOL</t>
  </si>
  <si>
    <t>JOCELYN</t>
  </si>
  <si>
    <t>BITANCUR</t>
  </si>
  <si>
    <t>CRISANTA</t>
  </si>
  <si>
    <t>MARCELLANA</t>
  </si>
  <si>
    <t>JACKSON</t>
  </si>
  <si>
    <t>ARPILLEDA</t>
  </si>
  <si>
    <t>JENEFER</t>
  </si>
  <si>
    <t>URIARTE</t>
  </si>
  <si>
    <t>CERJE</t>
  </si>
  <si>
    <t>MADLOS</t>
  </si>
  <si>
    <t>BORONG</t>
  </si>
  <si>
    <t>HERCOLANO</t>
  </si>
  <si>
    <t>CAONG</t>
  </si>
  <si>
    <t>JULVE</t>
  </si>
  <si>
    <t>ALEJANDRENA</t>
  </si>
  <si>
    <t>ETING</t>
  </si>
  <si>
    <t>REY</t>
  </si>
  <si>
    <t>REDELLO</t>
  </si>
  <si>
    <t>MELLITTE</t>
  </si>
  <si>
    <t>ELPEDANG</t>
  </si>
  <si>
    <t>MORALES</t>
  </si>
  <si>
    <t>TEODORA</t>
  </si>
  <si>
    <t>ANICETA</t>
  </si>
  <si>
    <t>CIRILO</t>
  </si>
  <si>
    <t>PAYAPAYA</t>
  </si>
  <si>
    <t>EDWARD</t>
  </si>
  <si>
    <t>HINANIBAN</t>
  </si>
  <si>
    <t>JACINTO</t>
  </si>
  <si>
    <t>TERESITA</t>
  </si>
  <si>
    <t>AMOZON</t>
  </si>
  <si>
    <t>NEDIA</t>
  </si>
  <si>
    <t>CERELO</t>
  </si>
  <si>
    <t>REQUIRME</t>
  </si>
  <si>
    <t>MEDINA</t>
  </si>
  <si>
    <t>LIMPOT</t>
  </si>
  <si>
    <t>DAYO</t>
  </si>
  <si>
    <t>BRYLLE</t>
  </si>
  <si>
    <t>GUILBERTO</t>
  </si>
  <si>
    <t>LADAGA</t>
  </si>
  <si>
    <t>RONNIE</t>
  </si>
  <si>
    <t>BACOLOD</t>
  </si>
  <si>
    <t>ESPANCHO</t>
  </si>
  <si>
    <t>CUANAN</t>
  </si>
  <si>
    <t>JUANITA</t>
  </si>
  <si>
    <t>TAC AN</t>
  </si>
  <si>
    <t>DARAMAN</t>
  </si>
  <si>
    <t>ARVIN</t>
  </si>
  <si>
    <t>LAGUA</t>
  </si>
  <si>
    <t>MATUNDO</t>
  </si>
  <si>
    <t>MERCEDITA</t>
  </si>
  <si>
    <t>DANTE</t>
  </si>
  <si>
    <t>PULVERA</t>
  </si>
  <si>
    <t>ZENONA</t>
  </si>
  <si>
    <t>BERNABE/BERNIE</t>
  </si>
  <si>
    <t>ALIDON</t>
  </si>
  <si>
    <t>ANALYN</t>
  </si>
  <si>
    <t>ALNGOG</t>
  </si>
  <si>
    <t>EDUSMA</t>
  </si>
  <si>
    <t>JORGEN</t>
  </si>
  <si>
    <t>NANTES</t>
  </si>
  <si>
    <t>COSMIANO</t>
  </si>
  <si>
    <t>RAVELO</t>
  </si>
  <si>
    <t>MERLINDA</t>
  </si>
  <si>
    <t>TORIN</t>
  </si>
  <si>
    <t>ALEJANDRO</t>
  </si>
  <si>
    <t>TRANQUILAN</t>
  </si>
  <si>
    <t>JUAN</t>
  </si>
  <si>
    <t>REYES</t>
  </si>
  <si>
    <t>MARIANITO</t>
  </si>
  <si>
    <t>PASCUAL</t>
  </si>
  <si>
    <t>GULTIANO</t>
  </si>
  <si>
    <t>CESARIA</t>
  </si>
  <si>
    <t>BUCHAN</t>
  </si>
  <si>
    <t>LIZAMEL</t>
  </si>
  <si>
    <t>RAPON</t>
  </si>
  <si>
    <t>BERONG</t>
  </si>
  <si>
    <t>EMELIANO</t>
  </si>
  <si>
    <t>MAURINO</t>
  </si>
  <si>
    <t>DELEGENCIA</t>
  </si>
  <si>
    <t>ALBERTO</t>
  </si>
  <si>
    <t>RANEL</t>
  </si>
  <si>
    <t>ESCALADA</t>
  </si>
  <si>
    <t>CEFRIANO</t>
  </si>
  <si>
    <t>LADRIDO</t>
  </si>
  <si>
    <t>IBIE</t>
  </si>
  <si>
    <t>IGBALIK</t>
  </si>
  <si>
    <t>ORBOC</t>
  </si>
  <si>
    <t>MA. LINETH</t>
  </si>
  <si>
    <t>CRUEZ</t>
  </si>
  <si>
    <t>CAMELO</t>
  </si>
  <si>
    <t>BUIZA</t>
  </si>
  <si>
    <t>LOAY</t>
  </si>
  <si>
    <t>LATRAS</t>
  </si>
  <si>
    <t>VANSUELA</t>
  </si>
  <si>
    <t>PONGCOL</t>
  </si>
  <si>
    <t>ETOC</t>
  </si>
  <si>
    <t>ARNULFO JR</t>
  </si>
  <si>
    <t>LIGASPE</t>
  </si>
  <si>
    <t>LEVY</t>
  </si>
  <si>
    <t>EPONDULAN</t>
  </si>
  <si>
    <t>CRESANTO</t>
  </si>
  <si>
    <t>RAMON</t>
  </si>
  <si>
    <t>MARGARITA</t>
  </si>
  <si>
    <t>ROLUNA</t>
  </si>
  <si>
    <t>EARL BRYAN</t>
  </si>
  <si>
    <t>AMPO</t>
  </si>
  <si>
    <t>BAT-AO</t>
  </si>
  <si>
    <t>JONE</t>
  </si>
  <si>
    <t>HELEN</t>
  </si>
  <si>
    <t>BELORIA</t>
  </si>
  <si>
    <t>JUNIEL</t>
  </si>
  <si>
    <t>LUNESIO</t>
  </si>
  <si>
    <t>MEGARBIO</t>
  </si>
  <si>
    <t>ALEMAR</t>
  </si>
  <si>
    <t>DOLLENTE</t>
  </si>
  <si>
    <t>MARINA</t>
  </si>
  <si>
    <t>JABAY</t>
  </si>
  <si>
    <t>MARICAR</t>
  </si>
  <si>
    <t>ANAHAO</t>
  </si>
  <si>
    <t>MEJORADA</t>
  </si>
  <si>
    <t>ASTERIO</t>
  </si>
  <si>
    <t>JIMENEZ</t>
  </si>
  <si>
    <t>KIRTH</t>
  </si>
  <si>
    <t>SALINAS</t>
  </si>
  <si>
    <t>DAILYN</t>
  </si>
  <si>
    <t>HAYOLA</t>
  </si>
  <si>
    <t>LILITH</t>
  </si>
  <si>
    <t>SUCO</t>
  </si>
  <si>
    <t>JOY</t>
  </si>
  <si>
    <t>MICO</t>
  </si>
  <si>
    <t>PATAC</t>
  </si>
  <si>
    <t>CHARLITO JR.</t>
  </si>
  <si>
    <t>ANTOJADO</t>
  </si>
  <si>
    <t>PEDRO</t>
  </si>
  <si>
    <t>JOVIE</t>
  </si>
  <si>
    <t>IGBALIC</t>
  </si>
  <si>
    <t>ALBASIN</t>
  </si>
  <si>
    <t>LEGASPO</t>
  </si>
  <si>
    <t>CAPAPAS</t>
  </si>
  <si>
    <t>MARJE</t>
  </si>
  <si>
    <t>DONAIRE</t>
  </si>
  <si>
    <t>DIOSDADO</t>
  </si>
  <si>
    <t>ROMERO</t>
  </si>
  <si>
    <t>ERWIN</t>
  </si>
  <si>
    <t>MAURICIO</t>
  </si>
  <si>
    <t>LERIO</t>
  </si>
  <si>
    <t>TARTAR</t>
  </si>
  <si>
    <t>CHRISTIAN</t>
  </si>
  <si>
    <t>DONALD</t>
  </si>
  <si>
    <t>MARYJOY</t>
  </si>
  <si>
    <t>TULANG</t>
  </si>
  <si>
    <t>ROEL</t>
  </si>
  <si>
    <t>ESPIDITO</t>
  </si>
  <si>
    <t>ESPIDITO PLAZA GONZALES</t>
  </si>
  <si>
    <t>EULITO</t>
  </si>
  <si>
    <t>POCOT</t>
  </si>
  <si>
    <t>DEMETRIO</t>
  </si>
  <si>
    <t>TUBO</t>
  </si>
  <si>
    <t>CAMPUS</t>
  </si>
  <si>
    <t>WENDELSON</t>
  </si>
  <si>
    <t>ROMELITO</t>
  </si>
  <si>
    <t>CABANELES</t>
  </si>
  <si>
    <t>JEPREY</t>
  </si>
  <si>
    <t>ROCKY CHARLIE</t>
  </si>
  <si>
    <t>GANADE</t>
  </si>
  <si>
    <t>CRISANTO</t>
  </si>
  <si>
    <t>BALLARES</t>
  </si>
  <si>
    <t>TRUMAN</t>
  </si>
  <si>
    <t>MARTIZANO</t>
  </si>
  <si>
    <t>JEMAR</t>
  </si>
  <si>
    <t>ISIDRO</t>
  </si>
  <si>
    <t>TERSE</t>
  </si>
  <si>
    <t>GERALDINO</t>
  </si>
  <si>
    <t>LONGOS</t>
  </si>
  <si>
    <t>EDILBERTO</t>
  </si>
  <si>
    <t>ALBA</t>
  </si>
  <si>
    <t>LIBRIAS</t>
  </si>
  <si>
    <t>JIOE</t>
  </si>
  <si>
    <t>MILLITAR</t>
  </si>
  <si>
    <t>MARYLIN</t>
  </si>
  <si>
    <t>JESABEL</t>
  </si>
  <si>
    <t>MASION</t>
  </si>
  <si>
    <t>ISABELO</t>
  </si>
  <si>
    <t>ELRISSAJOY</t>
  </si>
  <si>
    <t>SAMUEL</t>
  </si>
  <si>
    <t>CRISULITO</t>
  </si>
  <si>
    <t>AUGIS</t>
  </si>
  <si>
    <t>CABAÃ‘ELES</t>
  </si>
  <si>
    <t>RINO</t>
  </si>
  <si>
    <t>CHARMIE</t>
  </si>
  <si>
    <t>MARTENEZ</t>
  </si>
  <si>
    <t>RODILLEO</t>
  </si>
  <si>
    <t>EDWIN</t>
  </si>
  <si>
    <t>BENIGA</t>
  </si>
  <si>
    <t>NELSON</t>
  </si>
  <si>
    <t>MULATO</t>
  </si>
  <si>
    <t>ALGEAN</t>
  </si>
  <si>
    <t>TRIJO</t>
  </si>
  <si>
    <t>SUSAN</t>
  </si>
  <si>
    <t>PAYO</t>
  </si>
  <si>
    <t>REGINA</t>
  </si>
  <si>
    <t>CONSORCAI</t>
  </si>
  <si>
    <t>RODOLFU</t>
  </si>
  <si>
    <t>SAROL</t>
  </si>
  <si>
    <t>JOSEPH</t>
  </si>
  <si>
    <t>AMOLAT</t>
  </si>
  <si>
    <t>MALUYA</t>
  </si>
  <si>
    <t>JEYGLEVEN</t>
  </si>
  <si>
    <t>ALEDO</t>
  </si>
  <si>
    <t>ADORES</t>
  </si>
  <si>
    <t>FORTONATO</t>
  </si>
  <si>
    <t>KAGASAN</t>
  </si>
  <si>
    <t>MELIZA</t>
  </si>
  <si>
    <t>GULANDRINA</t>
  </si>
  <si>
    <t>ILIW- ILIW</t>
  </si>
  <si>
    <t>DELLOVA</t>
  </si>
  <si>
    <t>JESRILL</t>
  </si>
  <si>
    <t>JOSIE</t>
  </si>
  <si>
    <t>DORMENDO</t>
  </si>
  <si>
    <t>KEVIN</t>
  </si>
  <si>
    <t>GASES</t>
  </si>
  <si>
    <t>NIMBROD</t>
  </si>
  <si>
    <t>BRAGA</t>
  </si>
  <si>
    <t>FRANCISCO JR</t>
  </si>
  <si>
    <t>BUTRON</t>
  </si>
  <si>
    <t>CERILA</t>
  </si>
  <si>
    <t>GONDAYA</t>
  </si>
  <si>
    <t>BOCA</t>
  </si>
  <si>
    <t>MARKY</t>
  </si>
  <si>
    <t>CHARLITO</t>
  </si>
  <si>
    <t>JUN REY</t>
  </si>
  <si>
    <t>CALUNGSOD</t>
  </si>
  <si>
    <t>JASPER</t>
  </si>
  <si>
    <t>AUGUIS</t>
  </si>
  <si>
    <t>FELISA</t>
  </si>
  <si>
    <t>JHONREL</t>
  </si>
  <si>
    <t>FRANCISCO   JR</t>
  </si>
  <si>
    <t>CRISTOPHER</t>
  </si>
  <si>
    <t>AYOLA</t>
  </si>
  <si>
    <t>COLETA</t>
  </si>
  <si>
    <t>MARYJANE</t>
  </si>
  <si>
    <t>JAYOLA</t>
  </si>
  <si>
    <t>ROPERTO</t>
  </si>
  <si>
    <t>QUIPANES</t>
  </si>
  <si>
    <t>JUNIEBOY</t>
  </si>
  <si>
    <t>DANELO</t>
  </si>
  <si>
    <t>ROSELYN</t>
  </si>
  <si>
    <t>POQUITA</t>
  </si>
  <si>
    <t>LUCRESIO</t>
  </si>
  <si>
    <t>CONIA</t>
  </si>
  <si>
    <t>ABAYON</t>
  </si>
  <si>
    <t>MARTIN</t>
  </si>
  <si>
    <t>TALA</t>
  </si>
  <si>
    <t>BERNARD</t>
  </si>
  <si>
    <t>BENALDO</t>
  </si>
  <si>
    <t>JAY</t>
  </si>
  <si>
    <t>SEBANDAL</t>
  </si>
  <si>
    <t>PUCOT</t>
  </si>
  <si>
    <t>BENTASAL</t>
  </si>
  <si>
    <t>CRESENTE</t>
  </si>
  <si>
    <t>ESPINOSA</t>
  </si>
  <si>
    <t>JENALYN</t>
  </si>
  <si>
    <t>CHARYS</t>
  </si>
  <si>
    <t>DESPOLO</t>
  </si>
  <si>
    <t>TAC-AN</t>
  </si>
  <si>
    <t>GUANGCO</t>
  </si>
  <si>
    <t>DEVILA</t>
  </si>
  <si>
    <t>CAÃ‘EDO</t>
  </si>
  <si>
    <t>DAYANAN</t>
  </si>
  <si>
    <t>ELIZER</t>
  </si>
  <si>
    <t>ORZALES</t>
  </si>
  <si>
    <t>DARRYL</t>
  </si>
  <si>
    <t>STA ANA</t>
  </si>
  <si>
    <t>UGAW</t>
  </si>
  <si>
    <t>FRUCTOSO</t>
  </si>
  <si>
    <t>PAGLINAWAN</t>
  </si>
  <si>
    <t>RICARDO</t>
  </si>
  <si>
    <t>ABECIA</t>
  </si>
  <si>
    <t>ELISER</t>
  </si>
  <si>
    <t>MARRY CHIE</t>
  </si>
  <si>
    <t>LAMBACO</t>
  </si>
  <si>
    <t>WENEFREDO</t>
  </si>
  <si>
    <t>ALTAMARINO</t>
  </si>
  <si>
    <t>PUCUT</t>
  </si>
  <si>
    <t>MELCHOR</t>
  </si>
  <si>
    <t>SALAS</t>
  </si>
  <si>
    <t>ADELFA</t>
  </si>
  <si>
    <t>MINOC</t>
  </si>
  <si>
    <t>CHESKA JOY</t>
  </si>
  <si>
    <t>PAYAO</t>
  </si>
  <si>
    <t>LIBRANDO</t>
  </si>
  <si>
    <t>LILIBETH</t>
  </si>
  <si>
    <t>LEONILO</t>
  </si>
  <si>
    <t>RAYMOND</t>
  </si>
  <si>
    <t>JOHNRY</t>
  </si>
  <si>
    <t>JIL</t>
  </si>
  <si>
    <t>FERNANDO</t>
  </si>
  <si>
    <t>NAPAL</t>
  </si>
  <si>
    <t>JOSEFA</t>
  </si>
  <si>
    <t>NENITO</t>
  </si>
  <si>
    <t>NAVAREZ</t>
  </si>
  <si>
    <t>MIELYN</t>
  </si>
  <si>
    <t>PADLAN</t>
  </si>
  <si>
    <t>CHETIE</t>
  </si>
  <si>
    <t>MECARTE</t>
  </si>
  <si>
    <t>LILIA</t>
  </si>
  <si>
    <t>PRINCESS</t>
  </si>
  <si>
    <t>LICEL</t>
  </si>
  <si>
    <t>BENGIE</t>
  </si>
  <si>
    <t>FELICISIMO</t>
  </si>
  <si>
    <t>ANAHAW</t>
  </si>
  <si>
    <t>SALABE</t>
  </si>
  <si>
    <t>SUMALO</t>
  </si>
  <si>
    <t>ROSALIA</t>
  </si>
  <si>
    <t>JARIEL</t>
  </si>
  <si>
    <t>EMMANUEL</t>
  </si>
  <si>
    <t>ROSITA</t>
  </si>
  <si>
    <t>ESTRELLA</t>
  </si>
  <si>
    <t>LUBANG</t>
  </si>
  <si>
    <t>TEOFILA</t>
  </si>
  <si>
    <t>MEGUEL</t>
  </si>
  <si>
    <t>VALLISCAS</t>
  </si>
  <si>
    <t>RULIDA</t>
  </si>
  <si>
    <t>ELISEO</t>
  </si>
  <si>
    <t>PUYAT</t>
  </si>
  <si>
    <t>GRACE MARIE</t>
  </si>
  <si>
    <t>NONITO</t>
  </si>
  <si>
    <t>LORENTE</t>
  </si>
  <si>
    <t>JOSEFINA</t>
  </si>
  <si>
    <t>ALENSOLORIN</t>
  </si>
  <si>
    <t>EPEPANIA</t>
  </si>
  <si>
    <t>CARMINA</t>
  </si>
  <si>
    <t>BAGONA</t>
  </si>
  <si>
    <t>SOFIA</t>
  </si>
  <si>
    <t>CERELA</t>
  </si>
  <si>
    <t>GAYO</t>
  </si>
  <si>
    <t>VILLARUEL</t>
  </si>
  <si>
    <t>REBAYLA</t>
  </si>
  <si>
    <t>ALICE</t>
  </si>
  <si>
    <t>DESOLOC</t>
  </si>
  <si>
    <t>DAPITAN</t>
  </si>
  <si>
    <t>DENNY</t>
  </si>
  <si>
    <t>DEFENSOR</t>
  </si>
  <si>
    <t>DUAZO</t>
  </si>
  <si>
    <t>CAMILO</t>
  </si>
  <si>
    <t>ARAZAN</t>
  </si>
  <si>
    <t>TUBAL</t>
  </si>
  <si>
    <t>DAMARILLO</t>
  </si>
  <si>
    <t>DE GUZMAN</t>
  </si>
  <si>
    <t>PAREJA</t>
  </si>
  <si>
    <t>CASTRODES</t>
  </si>
  <si>
    <t>URQUIA</t>
  </si>
  <si>
    <t>LYNEL</t>
  </si>
  <si>
    <t>LABESORES</t>
  </si>
  <si>
    <t>ARAYAN</t>
  </si>
  <si>
    <t>TANAKA</t>
  </si>
  <si>
    <t>GREATCHEN</t>
  </si>
  <si>
    <t>BAGUNA</t>
  </si>
  <si>
    <t>DURAN</t>
  </si>
  <si>
    <t>NILDA</t>
  </si>
  <si>
    <t>REVIRA</t>
  </si>
  <si>
    <t>JENIFER</t>
  </si>
  <si>
    <t>MALAZA</t>
  </si>
  <si>
    <t>CAGAT-CAGAT</t>
  </si>
  <si>
    <t>EUTIQUIA</t>
  </si>
  <si>
    <t>TALISAY</t>
  </si>
  <si>
    <t>ILAN</t>
  </si>
  <si>
    <t>YAP</t>
  </si>
  <si>
    <t>AUGUSTO</t>
  </si>
  <si>
    <t>MANOLITO</t>
  </si>
  <si>
    <t>ANG</t>
  </si>
  <si>
    <t>ALCHER</t>
  </si>
  <si>
    <t>TENCHAVEZ</t>
  </si>
  <si>
    <t>DELMAR</t>
  </si>
  <si>
    <t>SINAHON</t>
  </si>
  <si>
    <t>ARIOL</t>
  </si>
  <si>
    <t>LEAL</t>
  </si>
  <si>
    <t>NARCISO</t>
  </si>
  <si>
    <t>NORLIE</t>
  </si>
  <si>
    <t>DAGA-ANG</t>
  </si>
  <si>
    <t>ADTOON</t>
  </si>
  <si>
    <t>QEUZADA</t>
  </si>
  <si>
    <t>PATRICIO</t>
  </si>
  <si>
    <t>PADONG</t>
  </si>
  <si>
    <t>CASIPONG</t>
  </si>
  <si>
    <t>ORLYN</t>
  </si>
  <si>
    <t>BETER</t>
  </si>
  <si>
    <t>ORIT</t>
  </si>
  <si>
    <t>PAMAUS</t>
  </si>
  <si>
    <t>DANNIE</t>
  </si>
  <si>
    <t>ESTANIO</t>
  </si>
  <si>
    <t>PASCO</t>
  </si>
  <si>
    <t>JUDEL</t>
  </si>
  <si>
    <t>QUEJADA</t>
  </si>
  <si>
    <t>HELBERT</t>
  </si>
  <si>
    <t>CABONBON</t>
  </si>
  <si>
    <t>ELPEDIO</t>
  </si>
  <si>
    <t>POSON</t>
  </si>
  <si>
    <t>ANTONIETA</t>
  </si>
  <si>
    <t>DONGCOY</t>
  </si>
  <si>
    <t>ROWELL</t>
  </si>
  <si>
    <t>SILVOZA</t>
  </si>
  <si>
    <t>CASARE</t>
  </si>
  <si>
    <t>FERMILINA</t>
  </si>
  <si>
    <t>LLORATA</t>
  </si>
  <si>
    <t>JAY-AR</t>
  </si>
  <si>
    <t>MIGULLAS</t>
  </si>
  <si>
    <t>PORFERIO</t>
  </si>
  <si>
    <t>BUCAY</t>
  </si>
  <si>
    <t>MANNIE</t>
  </si>
  <si>
    <t>SAMMY</t>
  </si>
  <si>
    <t>CESENIA</t>
  </si>
  <si>
    <t>BALILI</t>
  </si>
  <si>
    <t>PHILIP</t>
  </si>
  <si>
    <t>SARTE</t>
  </si>
  <si>
    <t>NICANOR</t>
  </si>
  <si>
    <t>BRINA</t>
  </si>
  <si>
    <t>LAPASANDA</t>
  </si>
  <si>
    <t>ERVIN</t>
  </si>
  <si>
    <t>AMELITA</t>
  </si>
  <si>
    <t>BALDON</t>
  </si>
  <si>
    <t>CRIBELLO</t>
  </si>
  <si>
    <t>GUBAYNON</t>
  </si>
  <si>
    <t>MARCIANA</t>
  </si>
  <si>
    <t>JOVENTINO</t>
  </si>
  <si>
    <t>GUIDOVIA</t>
  </si>
  <si>
    <t>LAGARE</t>
  </si>
  <si>
    <t>PAÃ‘O</t>
  </si>
  <si>
    <t>CEDNE</t>
  </si>
  <si>
    <t>PAPELLERO</t>
  </si>
  <si>
    <t>ESPERIDION</t>
  </si>
  <si>
    <t>LUMANCAS</t>
  </si>
  <si>
    <t>NONITA</t>
  </si>
  <si>
    <t>MANGADLAO</t>
  </si>
  <si>
    <t>JOCEL</t>
  </si>
  <si>
    <t>MERIJELDO</t>
  </si>
  <si>
    <t>MALABAR</t>
  </si>
  <si>
    <t>CLYDE</t>
  </si>
  <si>
    <t>CARESOSA</t>
  </si>
  <si>
    <t>CRUDA</t>
  </si>
  <si>
    <t>ARUYAL</t>
  </si>
  <si>
    <t>MILDRED</t>
  </si>
  <si>
    <t>GUIRAL</t>
  </si>
  <si>
    <t>QUIÃ‘ONES</t>
  </si>
  <si>
    <t>NERIE</t>
  </si>
  <si>
    <t>LIPRANON</t>
  </si>
  <si>
    <t>ROMAN</t>
  </si>
  <si>
    <t>BEQUIO</t>
  </si>
  <si>
    <t>BARAQUEL</t>
  </si>
  <si>
    <t>JENNETTE</t>
  </si>
  <si>
    <t>WARLITA</t>
  </si>
  <si>
    <t>DUNGOG</t>
  </si>
  <si>
    <t>REY ANTHONY</t>
  </si>
  <si>
    <t>DIANA</t>
  </si>
  <si>
    <t>ROCHE</t>
  </si>
  <si>
    <t>LIGOTAN</t>
  </si>
  <si>
    <t>JAYNE</t>
  </si>
  <si>
    <t>CARESUA</t>
  </si>
  <si>
    <t>GERRY</t>
  </si>
  <si>
    <t>PUSON</t>
  </si>
  <si>
    <t>MELBERT</t>
  </si>
  <si>
    <t>LUNA</t>
  </si>
  <si>
    <t>GUINSOD</t>
  </si>
  <si>
    <t>OLIVER</t>
  </si>
  <si>
    <t>BANSIG</t>
  </si>
  <si>
    <t>JANICE</t>
  </si>
  <si>
    <t>SABANDAL</t>
  </si>
  <si>
    <t>JUNRY</t>
  </si>
  <si>
    <t>MALINGIN</t>
  </si>
  <si>
    <t>MARICRES</t>
  </si>
  <si>
    <t>ANNOR</t>
  </si>
  <si>
    <t>TORALBA</t>
  </si>
  <si>
    <t>SUMASTRE</t>
  </si>
  <si>
    <t>RASEL</t>
  </si>
  <si>
    <t>VENERANDO</t>
  </si>
  <si>
    <t>JARIOL</t>
  </si>
  <si>
    <t>JOUIE</t>
  </si>
  <si>
    <t>VALEROSO</t>
  </si>
  <si>
    <t>CARMELITO</t>
  </si>
  <si>
    <t>EVILLLA</t>
  </si>
  <si>
    <t>MANGHINO</t>
  </si>
  <si>
    <t>LEONIL</t>
  </si>
  <si>
    <t>BERNABE</t>
  </si>
  <si>
    <t>FLAVIANO</t>
  </si>
  <si>
    <t>LADERA</t>
  </si>
  <si>
    <t>HONDRIA</t>
  </si>
  <si>
    <t>RANCE</t>
  </si>
  <si>
    <t>BONTOR</t>
  </si>
  <si>
    <t>TAN</t>
  </si>
  <si>
    <t>JOREBERT</t>
  </si>
  <si>
    <t>DOLORIDO</t>
  </si>
  <si>
    <t>HILDA</t>
  </si>
  <si>
    <t>MELONA</t>
  </si>
  <si>
    <t>ALETA</t>
  </si>
  <si>
    <t>ZALDY</t>
  </si>
  <si>
    <t>ASEQUIA</t>
  </si>
  <si>
    <t>AWID</t>
  </si>
  <si>
    <t>EMI</t>
  </si>
  <si>
    <t>DERIGAY</t>
  </si>
  <si>
    <t>MERGIE</t>
  </si>
  <si>
    <t>ARLYN</t>
  </si>
  <si>
    <t>ABADINES</t>
  </si>
  <si>
    <t>JULYEN</t>
  </si>
  <si>
    <t>RUBI</t>
  </si>
  <si>
    <t>ENTEGRO</t>
  </si>
  <si>
    <t>PALACIO</t>
  </si>
  <si>
    <t>REDILLO</t>
  </si>
  <si>
    <t>JOREL</t>
  </si>
  <si>
    <t>LISALYN</t>
  </si>
  <si>
    <t>BASILISA</t>
  </si>
  <si>
    <t>LIBRES</t>
  </si>
  <si>
    <t>FELIPE</t>
  </si>
  <si>
    <t>ELIOCOD</t>
  </si>
  <si>
    <t>FUDERANAN</t>
  </si>
  <si>
    <t>RUSSEL</t>
  </si>
  <si>
    <t>DOLIENTE</t>
  </si>
  <si>
    <t>MURILLA</t>
  </si>
  <si>
    <t>ABDULA</t>
  </si>
  <si>
    <t>DOISA</t>
  </si>
  <si>
    <t>VENANCIO</t>
  </si>
  <si>
    <t>MONGYA</t>
  </si>
  <si>
    <t>QUIMPAN</t>
  </si>
  <si>
    <t>ANANIAS</t>
  </si>
  <si>
    <t>BONIFACIO</t>
  </si>
  <si>
    <t>CASIÃ‘O</t>
  </si>
  <si>
    <t>ESTABAYA</t>
  </si>
  <si>
    <t>CURAMBAO</t>
  </si>
  <si>
    <t>SHEILA MAE</t>
  </si>
  <si>
    <t>EBON</t>
  </si>
  <si>
    <t>MAYLEN</t>
  </si>
  <si>
    <t>PRUTO</t>
  </si>
  <si>
    <t>JERALD</t>
  </si>
  <si>
    <t>JOAQUINO</t>
  </si>
  <si>
    <t>ORLANDO</t>
  </si>
  <si>
    <t>MARTINA</t>
  </si>
  <si>
    <t>JAPAY</t>
  </si>
  <si>
    <t>STEVE</t>
  </si>
  <si>
    <t>MELO</t>
  </si>
  <si>
    <t>ANGEL BERTO</t>
  </si>
  <si>
    <t>TAMBASACAN</t>
  </si>
  <si>
    <t>ROSILA</t>
  </si>
  <si>
    <t>ANGOY</t>
  </si>
  <si>
    <t>DOLORES</t>
  </si>
  <si>
    <t>FORTUGALIZA</t>
  </si>
  <si>
    <t>ERICSON</t>
  </si>
  <si>
    <t>BANDO</t>
  </si>
  <si>
    <t>LEDESLITA</t>
  </si>
  <si>
    <t>ISIANG</t>
  </si>
  <si>
    <t>ABALA</t>
  </si>
  <si>
    <t>JUNIE</t>
  </si>
  <si>
    <t>QUIMPAM</t>
  </si>
  <si>
    <t>SILAGAN</t>
  </si>
  <si>
    <t>PEÃ‘ALOSA</t>
  </si>
  <si>
    <t>MANONGAS</t>
  </si>
  <si>
    <t>CLAR</t>
  </si>
  <si>
    <t>BAGA</t>
  </si>
  <si>
    <t>CALA</t>
  </si>
  <si>
    <t>BAGUASAN</t>
  </si>
  <si>
    <t>SHEM</t>
  </si>
  <si>
    <t>JULIMEN</t>
  </si>
  <si>
    <t>BAMIE JHUN</t>
  </si>
  <si>
    <t>BESINGA</t>
  </si>
  <si>
    <t>THELMA</t>
  </si>
  <si>
    <t>TESADO</t>
  </si>
  <si>
    <t>IRENEO</t>
  </si>
  <si>
    <t>GRAN</t>
  </si>
  <si>
    <t>NAOMY</t>
  </si>
  <si>
    <t>ROMMIE</t>
  </si>
  <si>
    <t>RATONEL</t>
  </si>
  <si>
    <t>MEORAM</t>
  </si>
  <si>
    <t>RENARIO</t>
  </si>
  <si>
    <t>BULILAN</t>
  </si>
  <si>
    <t>JAO</t>
  </si>
  <si>
    <t>DERLINA</t>
  </si>
  <si>
    <t>DUISA</t>
  </si>
  <si>
    <t>GERMA</t>
  </si>
  <si>
    <t>ORTEGA</t>
  </si>
  <si>
    <t>MELCHONA</t>
  </si>
  <si>
    <t>LIANOS</t>
  </si>
  <si>
    <t>CEMANES</t>
  </si>
  <si>
    <t>PACHECO</t>
  </si>
  <si>
    <t>SHARON</t>
  </si>
  <si>
    <t>BEBAT</t>
  </si>
  <si>
    <t>JANE</t>
  </si>
  <si>
    <t>CAYSIDO</t>
  </si>
  <si>
    <t>GIMINA</t>
  </si>
  <si>
    <t>MANSUETO</t>
  </si>
  <si>
    <t>SOEJIMA</t>
  </si>
  <si>
    <t>PUDE</t>
  </si>
  <si>
    <t>SATURNINO</t>
  </si>
  <si>
    <t>ALAS</t>
  </si>
  <si>
    <t>CONDRADO</t>
  </si>
  <si>
    <t>SOPONIAS</t>
  </si>
  <si>
    <t>CEMAR</t>
  </si>
  <si>
    <t>FERMINA</t>
  </si>
  <si>
    <t>RUMULO</t>
  </si>
  <si>
    <t>AVE</t>
  </si>
  <si>
    <t>LILIAN</t>
  </si>
  <si>
    <t>GARAY</t>
  </si>
  <si>
    <t>RAZ</t>
  </si>
  <si>
    <t>ADORACION</t>
  </si>
  <si>
    <t>BESARIO</t>
  </si>
  <si>
    <t>MOJICA</t>
  </si>
  <si>
    <t>MARICEL</t>
  </si>
  <si>
    <t>QUIVEN</t>
  </si>
  <si>
    <t>KRISTEL JANE</t>
  </si>
  <si>
    <t>PUZON</t>
  </si>
  <si>
    <t>WALTER</t>
  </si>
  <si>
    <t>SOPRIANO</t>
  </si>
  <si>
    <t>RANARIO</t>
  </si>
  <si>
    <t>GALELA</t>
  </si>
  <si>
    <t>FIDEL</t>
  </si>
  <si>
    <t>OBUT</t>
  </si>
  <si>
    <t>EVANGELISTA</t>
  </si>
  <si>
    <t>PICATE</t>
  </si>
  <si>
    <t>SILVOSA</t>
  </si>
  <si>
    <t>KIVIN</t>
  </si>
  <si>
    <t>QUALQUERA</t>
  </si>
  <si>
    <t>MARK ANTHONY</t>
  </si>
  <si>
    <t>DESTRIZO</t>
  </si>
  <si>
    <t>GOYANO</t>
  </si>
  <si>
    <t>ELEZER</t>
  </si>
  <si>
    <t>ABABAN</t>
  </si>
  <si>
    <t>JESSAH MAE</t>
  </si>
  <si>
    <t>ANDY</t>
  </si>
  <si>
    <t>PENOTE</t>
  </si>
  <si>
    <t>ROLAN</t>
  </si>
  <si>
    <t>RULFREDO</t>
  </si>
  <si>
    <t>NYMWIL</t>
  </si>
  <si>
    <t>TIRSO</t>
  </si>
  <si>
    <t>HAROLD</t>
  </si>
  <si>
    <t>MARTINOTE</t>
  </si>
  <si>
    <t>TORRES</t>
  </si>
  <si>
    <t>VICTORIA</t>
  </si>
  <si>
    <t>AGAD</t>
  </si>
  <si>
    <t>JANEFIR</t>
  </si>
  <si>
    <t>MIRAFUENTES</t>
  </si>
  <si>
    <t>CRISTINE</t>
  </si>
  <si>
    <t>PRADO</t>
  </si>
  <si>
    <t>GONTINIAS</t>
  </si>
  <si>
    <t>TIBURCIO</t>
  </si>
  <si>
    <t>TENCHAVES</t>
  </si>
  <si>
    <t>JONALD</t>
  </si>
  <si>
    <t>BARIQUIT</t>
  </si>
  <si>
    <t>JUBIE</t>
  </si>
  <si>
    <t>LEPRANON</t>
  </si>
  <si>
    <t>AMADA</t>
  </si>
  <si>
    <t>ALAMBAG</t>
  </si>
  <si>
    <t>ROSIL</t>
  </si>
  <si>
    <t>ACDAL</t>
  </si>
  <si>
    <t>ARCELI</t>
  </si>
  <si>
    <t>GALO</t>
  </si>
  <si>
    <t>SARIO</t>
  </si>
  <si>
    <t>PETER</t>
  </si>
  <si>
    <t>GEORGE</t>
  </si>
  <si>
    <t>PEÃ‘ERO</t>
  </si>
  <si>
    <t>BACQUIAL</t>
  </si>
  <si>
    <t>MALACAD</t>
  </si>
  <si>
    <t>NOE</t>
  </si>
  <si>
    <t>Q</t>
  </si>
  <si>
    <t>ERMALYN</t>
  </si>
  <si>
    <t>EDDIE</t>
  </si>
  <si>
    <t>JEMUEL</t>
  </si>
  <si>
    <t>JOMAOAS</t>
  </si>
  <si>
    <t>LEVIE</t>
  </si>
  <si>
    <t>MARAPAO</t>
  </si>
  <si>
    <t>RAUL</t>
  </si>
  <si>
    <t>JUMAD-AS</t>
  </si>
  <si>
    <t>CARIDAD</t>
  </si>
  <si>
    <t>WALING</t>
  </si>
  <si>
    <t>JERVEN</t>
  </si>
  <si>
    <t>TONGON</t>
  </si>
  <si>
    <t>ROMEO</t>
  </si>
  <si>
    <t>BACLAYON</t>
  </si>
  <si>
    <t>HILARIA</t>
  </si>
  <si>
    <t>CHARLIEMAINE</t>
  </si>
  <si>
    <t>GAUDENCIO</t>
  </si>
  <si>
    <t>SEVERINO</t>
  </si>
  <si>
    <t>MIRAFLOR</t>
  </si>
  <si>
    <t>ROSARIO ISABEL</t>
  </si>
  <si>
    <t>RAMILLANO</t>
  </si>
  <si>
    <t>ESCALANTE</t>
  </si>
  <si>
    <t>QUEVEDO</t>
  </si>
  <si>
    <t>COSTUYA</t>
  </si>
  <si>
    <t>BINANBAN</t>
  </si>
  <si>
    <t>EUCIL</t>
  </si>
  <si>
    <t>ENGAYAS</t>
  </si>
  <si>
    <t>ARONES</t>
  </si>
  <si>
    <t>MILLANO</t>
  </si>
  <si>
    <t>WINCHARCH</t>
  </si>
  <si>
    <t>HANDUNGAN</t>
  </si>
  <si>
    <t>AMELITO</t>
  </si>
  <si>
    <t>JEMILITO</t>
  </si>
  <si>
    <t>PAVILA</t>
  </si>
  <si>
    <t>RUDENCIO</t>
  </si>
  <si>
    <t>REQUIZ</t>
  </si>
  <si>
    <t>RAMIL</t>
  </si>
  <si>
    <t>MAPUTOL</t>
  </si>
  <si>
    <t>JULIUS</t>
  </si>
  <si>
    <t>COBERO</t>
  </si>
  <si>
    <t>ROGELII</t>
  </si>
  <si>
    <t>RITO</t>
  </si>
  <si>
    <t>ANNA ROSE</t>
  </si>
  <si>
    <t>CANEDO</t>
  </si>
  <si>
    <t>MALINGN</t>
  </si>
  <si>
    <t>ALVIN</t>
  </si>
  <si>
    <t>JUMAO-AS</t>
  </si>
  <si>
    <t>MOHAMIRAN</t>
  </si>
  <si>
    <t>FELICIDAD</t>
  </si>
  <si>
    <t>LOYOLA</t>
  </si>
  <si>
    <t>JOMELYN</t>
  </si>
  <si>
    <t>APELLANES</t>
  </si>
  <si>
    <t>ALCALA</t>
  </si>
  <si>
    <t>MARNIE</t>
  </si>
  <si>
    <t>CASE</t>
  </si>
  <si>
    <t>LAYNITA</t>
  </si>
  <si>
    <t>BOROE</t>
  </si>
  <si>
    <t>SALUPAN</t>
  </si>
  <si>
    <t>VERJUN</t>
  </si>
  <si>
    <t>LARRY</t>
  </si>
  <si>
    <t>KINONTAO</t>
  </si>
  <si>
    <t>VINCENT</t>
  </si>
  <si>
    <t>GINA</t>
  </si>
  <si>
    <t>BARITA</t>
  </si>
  <si>
    <t>MADEL</t>
  </si>
  <si>
    <t>FRANKLY</t>
  </si>
  <si>
    <t>LEVI</t>
  </si>
  <si>
    <t>TORAJA</t>
  </si>
  <si>
    <t>JEMELYN</t>
  </si>
  <si>
    <t>JOVITO</t>
  </si>
  <si>
    <t>JOLITO</t>
  </si>
  <si>
    <t>DATILES</t>
  </si>
  <si>
    <t>REXAN</t>
  </si>
  <si>
    <t>LAVILLA</t>
  </si>
  <si>
    <t>EMMALYN</t>
  </si>
  <si>
    <t>HONORATA</t>
  </si>
  <si>
    <t>ALEDON</t>
  </si>
  <si>
    <t>FABIANA</t>
  </si>
  <si>
    <t>JANEL</t>
  </si>
  <si>
    <t>ESTABAYAN</t>
  </si>
  <si>
    <t>EVILLA</t>
  </si>
  <si>
    <t>PINOTE</t>
  </si>
  <si>
    <t>WILSON</t>
  </si>
  <si>
    <t>ANICOY</t>
  </si>
  <si>
    <t>OMAC</t>
  </si>
  <si>
    <t>CASANO HYPE</t>
  </si>
  <si>
    <t>SYLVIA</t>
  </si>
  <si>
    <t>PRUDENCIO</t>
  </si>
  <si>
    <t>OMOTONG</t>
  </si>
  <si>
    <t>OIVINA JEAN</t>
  </si>
  <si>
    <t>NACUA</t>
  </si>
  <si>
    <t>AMON</t>
  </si>
  <si>
    <t>ARTURO</t>
  </si>
  <si>
    <t>PADERUG</t>
  </si>
  <si>
    <t>ANALUZ</t>
  </si>
  <si>
    <t>SUIZANIE</t>
  </si>
  <si>
    <t>OSTERO</t>
  </si>
  <si>
    <t>PETERONILO</t>
  </si>
  <si>
    <t>LARONG</t>
  </si>
  <si>
    <t>ALGIN</t>
  </si>
  <si>
    <t>MARCIAL</t>
  </si>
  <si>
    <t>LLANOS</t>
  </si>
  <si>
    <t>PABLITA</t>
  </si>
  <si>
    <t>BICAR</t>
  </si>
  <si>
    <t>ELUETERIO</t>
  </si>
  <si>
    <t>GALANO</t>
  </si>
  <si>
    <t>ARGENTINA</t>
  </si>
  <si>
    <t>ALAMBATIN</t>
  </si>
  <si>
    <t>CABADONGA</t>
  </si>
  <si>
    <t>BURIAS</t>
  </si>
  <si>
    <t>ELSON</t>
  </si>
  <si>
    <t>MUSICO</t>
  </si>
  <si>
    <t>MYSEL</t>
  </si>
  <si>
    <t>BUIT</t>
  </si>
  <si>
    <t>ANDREA</t>
  </si>
  <si>
    <t>VIRANDA</t>
  </si>
  <si>
    <t>SANNCHEZ</t>
  </si>
  <si>
    <t>GABRIEL</t>
  </si>
  <si>
    <t>MARVIL</t>
  </si>
  <si>
    <t>AUGOSTO</t>
  </si>
  <si>
    <t>CASTRO</t>
  </si>
  <si>
    <t>RONILO</t>
  </si>
  <si>
    <t>DIOSANA</t>
  </si>
  <si>
    <t>TOBULADO</t>
  </si>
  <si>
    <t>MALIKSE</t>
  </si>
  <si>
    <t>GERMANIANO</t>
  </si>
  <si>
    <t>REMEO</t>
  </si>
  <si>
    <t>VORIALUEL</t>
  </si>
  <si>
    <t>ARGOTE</t>
  </si>
  <si>
    <t>VIANNY</t>
  </si>
  <si>
    <t>HILOTIN</t>
  </si>
  <si>
    <t>JUSEL</t>
  </si>
  <si>
    <t>MORIT</t>
  </si>
  <si>
    <t>LEVILYN</t>
  </si>
  <si>
    <t>ALECANTE</t>
  </si>
  <si>
    <t>JOHN REIGAN</t>
  </si>
  <si>
    <t>DEGUITO</t>
  </si>
  <si>
    <t>RACIL</t>
  </si>
  <si>
    <t>LACNO</t>
  </si>
  <si>
    <t>QUESADA</t>
  </si>
  <si>
    <t>MELVIE</t>
  </si>
  <si>
    <t>HEDE</t>
  </si>
  <si>
    <t>LEOPOLDO</t>
  </si>
  <si>
    <t>GARY</t>
  </si>
  <si>
    <t>APARECIO</t>
  </si>
  <si>
    <t>ARCHE</t>
  </si>
  <si>
    <t>EGNALIG</t>
  </si>
  <si>
    <t>CALIMBO</t>
  </si>
  <si>
    <t>BEJON</t>
  </si>
  <si>
    <t>ATIENZA</t>
  </si>
  <si>
    <t>RESTY</t>
  </si>
  <si>
    <t>ANOS</t>
  </si>
  <si>
    <t>BRADY</t>
  </si>
  <si>
    <t>CERO</t>
  </si>
  <si>
    <t>MALICSE</t>
  </si>
  <si>
    <t>MARIA</t>
  </si>
  <si>
    <t>DERIADA</t>
  </si>
  <si>
    <t>MARIQUEL</t>
  </si>
  <si>
    <t>QUARLQUERA</t>
  </si>
  <si>
    <t>JUANA</t>
  </si>
  <si>
    <t>JOSHIEN</t>
  </si>
  <si>
    <t>BO</t>
  </si>
  <si>
    <t>SAJORGA</t>
  </si>
  <si>
    <t>HAZEL RUTH</t>
  </si>
  <si>
    <t>BERTO</t>
  </si>
  <si>
    <t>ILIGAN</t>
  </si>
  <si>
    <t>FELICIANA</t>
  </si>
  <si>
    <t>RENEBOY</t>
  </si>
  <si>
    <t>AYATON</t>
  </si>
  <si>
    <t>ADRINO</t>
  </si>
  <si>
    <t>BEDO</t>
  </si>
  <si>
    <t>REYCEL</t>
  </si>
  <si>
    <t>BORDE</t>
  </si>
  <si>
    <t>EDMUND</t>
  </si>
  <si>
    <t>BRUZON</t>
  </si>
  <si>
    <t>POGOSA</t>
  </si>
  <si>
    <t>PAYONG</t>
  </si>
  <si>
    <t>GEORGREN</t>
  </si>
  <si>
    <t>ALTERADO</t>
  </si>
  <si>
    <t>SALES</t>
  </si>
  <si>
    <t>ELEONOR</t>
  </si>
  <si>
    <t>CLARITA</t>
  </si>
  <si>
    <t>CASCAS</t>
  </si>
  <si>
    <t>CHARLY</t>
  </si>
  <si>
    <t>MELGAR</t>
  </si>
  <si>
    <t>PATRICIA</t>
  </si>
  <si>
    <t>APARESCIO</t>
  </si>
  <si>
    <t>VIRGINITA</t>
  </si>
  <si>
    <t>SAJULGA</t>
  </si>
  <si>
    <t>ARNOLD</t>
  </si>
  <si>
    <t>BACALA</t>
  </si>
  <si>
    <t>LACIA</t>
  </si>
  <si>
    <t>BASILAN</t>
  </si>
  <si>
    <t>BESAGAS</t>
  </si>
  <si>
    <t>LURA</t>
  </si>
  <si>
    <t>NICANORA</t>
  </si>
  <si>
    <t>ANNABELLE</t>
  </si>
  <si>
    <t>DELLOSA</t>
  </si>
  <si>
    <t>BECOY</t>
  </si>
  <si>
    <t>MEJOS</t>
  </si>
  <si>
    <t>CASTANTE</t>
  </si>
  <si>
    <t>CONCORDIA</t>
  </si>
  <si>
    <t>GRIPALDO</t>
  </si>
  <si>
    <t>FRANCIS RONE</t>
  </si>
  <si>
    <t>SATORRE</t>
  </si>
  <si>
    <t>ABOYOT</t>
  </si>
  <si>
    <t>NELLYBE</t>
  </si>
  <si>
    <t>MANUEL</t>
  </si>
  <si>
    <t>BLASQUES</t>
  </si>
  <si>
    <t>PONLAON</t>
  </si>
  <si>
    <t>MARIONITO</t>
  </si>
  <si>
    <t>FIEL</t>
  </si>
  <si>
    <t>RICHY</t>
  </si>
  <si>
    <t>GINIO</t>
  </si>
  <si>
    <t>PENERO</t>
  </si>
  <si>
    <t>SARAH MAE</t>
  </si>
  <si>
    <t>VERTICAL</t>
  </si>
  <si>
    <t>URCISIO</t>
  </si>
  <si>
    <t>CLODELITA</t>
  </si>
  <si>
    <t>PLAMAD</t>
  </si>
  <si>
    <t>MELVIN</t>
  </si>
  <si>
    <t>SULETA</t>
  </si>
  <si>
    <t>PANFILO</t>
  </si>
  <si>
    <t>JHOBERT</t>
  </si>
  <si>
    <t>JACK DANIEL</t>
  </si>
  <si>
    <t>GILSON</t>
  </si>
  <si>
    <t>VILLAMO</t>
  </si>
  <si>
    <t>JULIETA</t>
  </si>
  <si>
    <t>CONSTANTINA</t>
  </si>
  <si>
    <t>VIRGILIA</t>
  </si>
  <si>
    <t>TRANQUILINO</t>
  </si>
  <si>
    <t>NESEBIE</t>
  </si>
  <si>
    <t>CASTOR</t>
  </si>
  <si>
    <t>CASTOLO</t>
  </si>
  <si>
    <t>RICCA</t>
  </si>
  <si>
    <t>LAPAZ</t>
  </si>
  <si>
    <t>AMANDO</t>
  </si>
  <si>
    <t>TAMBIGA</t>
  </si>
  <si>
    <t>BANGCALI</t>
  </si>
  <si>
    <t>BEBELYN</t>
  </si>
  <si>
    <t>MACARIO</t>
  </si>
  <si>
    <t>NICK JOHN PATRICK</t>
  </si>
  <si>
    <t>HUBERT</t>
  </si>
  <si>
    <t>WELLY</t>
  </si>
  <si>
    <t>ADRIANO</t>
  </si>
  <si>
    <t>SANTOYAS</t>
  </si>
  <si>
    <t>SEMION</t>
  </si>
  <si>
    <t>DATOY</t>
  </si>
  <si>
    <t>VALENZONA</t>
  </si>
  <si>
    <t>MAUREAL</t>
  </si>
  <si>
    <t>LEA</t>
  </si>
  <si>
    <t>POBLACION</t>
  </si>
  <si>
    <t>MABAHIN</t>
  </si>
  <si>
    <t>TIGAO</t>
  </si>
  <si>
    <t>BALIBADON</t>
  </si>
  <si>
    <t>BURGOS</t>
  </si>
  <si>
    <t>MANLICO</t>
  </si>
  <si>
    <t>UBA</t>
  </si>
  <si>
    <t>EMELIO</t>
  </si>
  <si>
    <t>PUEBLAS</t>
  </si>
  <si>
    <t>FURTONATO</t>
  </si>
  <si>
    <t>CAGASAN</t>
  </si>
  <si>
    <t>CARESUSSA</t>
  </si>
  <si>
    <t>JINNY</t>
  </si>
  <si>
    <t>SARMENTO</t>
  </si>
  <si>
    <t>KEESE</t>
  </si>
  <si>
    <t>LUCY</t>
  </si>
  <si>
    <t>FELICITAS</t>
  </si>
  <si>
    <t>FLORENDA</t>
  </si>
  <si>
    <t>GUYANO</t>
  </si>
  <si>
    <t>NENCY</t>
  </si>
  <si>
    <t>GLENDA</t>
  </si>
  <si>
    <t>JAYSA</t>
  </si>
  <si>
    <t>ELEUTERIA</t>
  </si>
  <si>
    <t>EDEN</t>
  </si>
  <si>
    <t>GRUMEZ</t>
  </si>
  <si>
    <t>ANJENNETH</t>
  </si>
  <si>
    <t>CRISLEN</t>
  </si>
  <si>
    <t>MARIVEL</t>
  </si>
  <si>
    <t>JULIET</t>
  </si>
  <si>
    <t>QUINDAO</t>
  </si>
  <si>
    <t>NOVA</t>
  </si>
  <si>
    <t>GEMONAGALA</t>
  </si>
  <si>
    <t>AIREEN</t>
  </si>
  <si>
    <t>ELSA</t>
  </si>
  <si>
    <t>JENELYN</t>
  </si>
  <si>
    <t>ERNITA</t>
  </si>
  <si>
    <t>LITA</t>
  </si>
  <si>
    <t>TANOG</t>
  </si>
  <si>
    <t>MEDELYN</t>
  </si>
  <si>
    <t>RETCHEL</t>
  </si>
  <si>
    <t>MAILYN</t>
  </si>
  <si>
    <t>ANGELITA</t>
  </si>
  <si>
    <t>ROSA</t>
  </si>
  <si>
    <t>JENEATH</t>
  </si>
  <si>
    <t>CAP-ATAN</t>
  </si>
  <si>
    <t>MARISA</t>
  </si>
  <si>
    <t>AMIE</t>
  </si>
  <si>
    <t>BESANA</t>
  </si>
  <si>
    <t>MARRY ANN</t>
  </si>
  <si>
    <t>MARIA REYNA</t>
  </si>
  <si>
    <t>GORGONIA</t>
  </si>
  <si>
    <t>MERLYNDA</t>
  </si>
  <si>
    <t>HYDIE</t>
  </si>
  <si>
    <t>ORDIZ</t>
  </si>
  <si>
    <t>CAUDRAZAL</t>
  </si>
  <si>
    <t>MARCOJOS</t>
  </si>
  <si>
    <t>DIONESEL</t>
  </si>
  <si>
    <t>FUERZAS</t>
  </si>
  <si>
    <t>DADONG</t>
  </si>
  <si>
    <t>ANNARLYN</t>
  </si>
  <si>
    <t>AGOT</t>
  </si>
  <si>
    <t>MATA</t>
  </si>
  <si>
    <t>LOURDES</t>
  </si>
  <si>
    <t>H.</t>
  </si>
  <si>
    <t>SENILLO</t>
  </si>
  <si>
    <t>VANISA</t>
  </si>
  <si>
    <t>PIMENTEL</t>
  </si>
  <si>
    <t>GRACE-AN</t>
  </si>
  <si>
    <t>LUBERTA</t>
  </si>
  <si>
    <t>JENN</t>
  </si>
  <si>
    <t>PABLO</t>
  </si>
  <si>
    <t>DIONESIO</t>
  </si>
  <si>
    <t>NELIA</t>
  </si>
  <si>
    <t>ELMA</t>
  </si>
  <si>
    <t>D.</t>
  </si>
  <si>
    <t>PABIA</t>
  </si>
  <si>
    <t>NERISSA</t>
  </si>
  <si>
    <t>ROSELLA</t>
  </si>
  <si>
    <t>LEONORA</t>
  </si>
  <si>
    <t>PASO</t>
  </si>
  <si>
    <t>NENET</t>
  </si>
  <si>
    <t>DONAYRE</t>
  </si>
  <si>
    <t>MA. VILMA</t>
  </si>
  <si>
    <t>DIVINA</t>
  </si>
  <si>
    <t>GODOFREDO SR.</t>
  </si>
  <si>
    <t>MARIETA</t>
  </si>
  <si>
    <t>NORIELYN</t>
  </si>
  <si>
    <t>S.</t>
  </si>
  <si>
    <t>VILLEGAS</t>
  </si>
  <si>
    <t>ANASARIA</t>
  </si>
  <si>
    <t>EMELY</t>
  </si>
  <si>
    <t>PULINTAN</t>
  </si>
  <si>
    <t>LANIE</t>
  </si>
  <si>
    <t>EPUNDULAN</t>
  </si>
  <si>
    <t>LEONILA</t>
  </si>
  <si>
    <t>MARISSA</t>
  </si>
  <si>
    <t>JANIZA</t>
  </si>
  <si>
    <t>MEREAN</t>
  </si>
  <si>
    <t>HIPOLITA</t>
  </si>
  <si>
    <t>DARAY</t>
  </si>
  <si>
    <t>LUNALIZA</t>
  </si>
  <si>
    <t>RECENTES</t>
  </si>
  <si>
    <t>PRINCESS MAE</t>
  </si>
  <si>
    <t>AIBIE</t>
  </si>
  <si>
    <t>NATHANIEL</t>
  </si>
  <si>
    <t>PORRAS</t>
  </si>
  <si>
    <t>DINA</t>
  </si>
  <si>
    <t>SARDIDO</t>
  </si>
  <si>
    <t>AURIA</t>
  </si>
  <si>
    <t>CADENA</t>
  </si>
  <si>
    <t>MARIASOL</t>
  </si>
  <si>
    <t>JUNALIET</t>
  </si>
  <si>
    <t>ROSALIE</t>
  </si>
  <si>
    <t>LOILYN</t>
  </si>
  <si>
    <t>REMELYN</t>
  </si>
  <si>
    <t>ANNALIZA</t>
  </si>
  <si>
    <t>BANDIBAS</t>
  </si>
  <si>
    <t>MARIBETH</t>
  </si>
  <si>
    <t>MARIBEL</t>
  </si>
  <si>
    <t>AGIEL</t>
  </si>
  <si>
    <t>AMPATER</t>
  </si>
  <si>
    <t>CAMINO</t>
  </si>
  <si>
    <t>MERNALYN</t>
  </si>
  <si>
    <t>RUSLYN</t>
  </si>
  <si>
    <t>GALLEGO</t>
  </si>
  <si>
    <t>GLESERIA</t>
  </si>
  <si>
    <t>GRETCHIN</t>
  </si>
  <si>
    <t>RATILLA</t>
  </si>
  <si>
    <t>MANLAPAZ</t>
  </si>
  <si>
    <t>CRISLYN</t>
  </si>
  <si>
    <t>FELOMINA</t>
  </si>
  <si>
    <t>BINEGA</t>
  </si>
  <si>
    <t>RIVAMONTE</t>
  </si>
  <si>
    <t>VERGILIO</t>
  </si>
  <si>
    <t>REN</t>
  </si>
  <si>
    <t>BUNIEL</t>
  </si>
  <si>
    <t>EUFEMIA</t>
  </si>
  <si>
    <t>CRUZA</t>
  </si>
  <si>
    <t>ANA</t>
  </si>
  <si>
    <t>JAIME</t>
  </si>
  <si>
    <t>SIGNAR</t>
  </si>
  <si>
    <t>ROSALINA</t>
  </si>
  <si>
    <t>GENERVA</t>
  </si>
  <si>
    <t>JOLETA</t>
  </si>
  <si>
    <t>ILIW-ILIW</t>
  </si>
  <si>
    <t>EMILITA</t>
  </si>
  <si>
    <t>JOHN MAXELL</t>
  </si>
  <si>
    <t>ARCELIN</t>
  </si>
  <si>
    <t>JUDECEL</t>
  </si>
  <si>
    <t>TELAN</t>
  </si>
  <si>
    <t>WARQUEZ</t>
  </si>
  <si>
    <t>BEBILYN</t>
  </si>
  <si>
    <t>Q.</t>
  </si>
  <si>
    <t>JELLIE MAR</t>
  </si>
  <si>
    <t>JESEBEL</t>
  </si>
  <si>
    <t>PERMILITO</t>
  </si>
  <si>
    <t>VALERIA</t>
  </si>
  <si>
    <t>OBRERO</t>
  </si>
  <si>
    <t>ARAGON</t>
  </si>
  <si>
    <t>JULIE</t>
  </si>
  <si>
    <t>RULONA</t>
  </si>
  <si>
    <t>ANECITA</t>
  </si>
  <si>
    <t>ESAGA</t>
  </si>
  <si>
    <t>MARYJEAN</t>
  </si>
  <si>
    <t>CARLA</t>
  </si>
  <si>
    <t>PENONAL</t>
  </si>
  <si>
    <t>ALIBANGBANG</t>
  </si>
  <si>
    <t>ERLINA</t>
  </si>
  <si>
    <t>QUIROK</t>
  </si>
  <si>
    <t>JUCEL</t>
  </si>
  <si>
    <t>EMILY</t>
  </si>
  <si>
    <t>LERCANA</t>
  </si>
  <si>
    <t>TISSIE</t>
  </si>
  <si>
    <t>ELMARIE-ROSE</t>
  </si>
  <si>
    <t>ANIROSECEL</t>
  </si>
  <si>
    <t>ANISCAL</t>
  </si>
  <si>
    <t>SANDER</t>
  </si>
  <si>
    <t>ATIBULA</t>
  </si>
  <si>
    <t>BENDEJO</t>
  </si>
  <si>
    <t>PELARIOS</t>
  </si>
  <si>
    <t>CRISTY</t>
  </si>
  <si>
    <t>CITA</t>
  </si>
  <si>
    <t>ROSE</t>
  </si>
  <si>
    <t>CHARIE</t>
  </si>
  <si>
    <t>VILLA</t>
  </si>
  <si>
    <t>CARMELITA</t>
  </si>
  <si>
    <t>SISNEO</t>
  </si>
  <si>
    <t>ENOC</t>
  </si>
  <si>
    <t>BERNALDEZ</t>
  </si>
  <si>
    <t>JHONAH LEE</t>
  </si>
  <si>
    <t>RICO</t>
  </si>
  <si>
    <t>ELVELITA</t>
  </si>
  <si>
    <t>JOCELLE</t>
  </si>
  <si>
    <t>JOJO</t>
  </si>
  <si>
    <t>TUYOR</t>
  </si>
  <si>
    <t>AMOQUES</t>
  </si>
  <si>
    <t>ESPINILA</t>
  </si>
  <si>
    <t>WELMA</t>
  </si>
  <si>
    <t>TUMULAK</t>
  </si>
  <si>
    <t>TERIOTE</t>
  </si>
  <si>
    <t>DENNIS</t>
  </si>
  <si>
    <t>CABALAN</t>
  </si>
  <si>
    <t>HERLENE</t>
  </si>
  <si>
    <t>SAGUIBO</t>
  </si>
  <si>
    <t>BENJAMIN</t>
  </si>
  <si>
    <t>CEDANE</t>
  </si>
  <si>
    <t>TAYABAS</t>
  </si>
  <si>
    <t>IAN</t>
  </si>
  <si>
    <t>CUYNO</t>
  </si>
  <si>
    <t>JAYPOY</t>
  </si>
  <si>
    <t>M</t>
  </si>
  <si>
    <t>ALEJANDRA</t>
  </si>
  <si>
    <t>MITSUYOSHI</t>
  </si>
  <si>
    <t>ZECIAL</t>
  </si>
  <si>
    <t>WILKINY</t>
  </si>
  <si>
    <t>B.</t>
  </si>
  <si>
    <t>NORMA</t>
  </si>
  <si>
    <t>DAGA-AN</t>
  </si>
  <si>
    <t>LELET</t>
  </si>
  <si>
    <t>BORETO</t>
  </si>
  <si>
    <t>J</t>
  </si>
  <si>
    <t>VICTORIANO</t>
  </si>
  <si>
    <t>MERLYNE</t>
  </si>
  <si>
    <t>LEPARTO</t>
  </si>
  <si>
    <t>A.</t>
  </si>
  <si>
    <t>ANABELLE</t>
  </si>
  <si>
    <t>JESSAMAE</t>
  </si>
  <si>
    <t>AMOLO</t>
  </si>
  <si>
    <t>GUILLEN</t>
  </si>
  <si>
    <t>ANA MARIE</t>
  </si>
  <si>
    <t>ARLIN</t>
  </si>
  <si>
    <t>MYRILIE</t>
  </si>
  <si>
    <t>JUDIET</t>
  </si>
  <si>
    <t>J.</t>
  </si>
  <si>
    <t>LUSCHILLE</t>
  </si>
  <si>
    <t>MERYGEAN</t>
  </si>
  <si>
    <t>D</t>
  </si>
  <si>
    <t>REY SHIELA MARIE</t>
  </si>
  <si>
    <t>CARE</t>
  </si>
  <si>
    <t>LENY</t>
  </si>
  <si>
    <t>C.</t>
  </si>
  <si>
    <t>MARYLOU</t>
  </si>
  <si>
    <t>L</t>
  </si>
  <si>
    <t>ROSIEJEN</t>
  </si>
  <si>
    <t>L.</t>
  </si>
  <si>
    <t>SHEILA</t>
  </si>
  <si>
    <t>ELINITA</t>
  </si>
  <si>
    <t>HANELYN</t>
  </si>
  <si>
    <t>CONCORDIO</t>
  </si>
  <si>
    <t>M.</t>
  </si>
  <si>
    <t>FEB ARIAN</t>
  </si>
  <si>
    <t>LOLI</t>
  </si>
  <si>
    <t>ALLEN</t>
  </si>
  <si>
    <t>HONTANOSAS</t>
  </si>
  <si>
    <t>MYRNA</t>
  </si>
  <si>
    <t>JOAN</t>
  </si>
  <si>
    <t>EMMA BALILI</t>
  </si>
  <si>
    <t>MARYCRIS</t>
  </si>
  <si>
    <t>ROBELEN</t>
  </si>
  <si>
    <t>N.</t>
  </si>
  <si>
    <t>MARLY</t>
  </si>
  <si>
    <t>VICENTA</t>
  </si>
  <si>
    <t>SUMAOY</t>
  </si>
  <si>
    <t>RUBELYN</t>
  </si>
  <si>
    <t>LUCENIO</t>
  </si>
  <si>
    <t>PINSON</t>
  </si>
  <si>
    <t>VENESSA</t>
  </si>
  <si>
    <t>MARCELO</t>
  </si>
  <si>
    <t>CRESALIN</t>
  </si>
  <si>
    <t>RAMEL</t>
  </si>
  <si>
    <t>JUMALON</t>
  </si>
  <si>
    <t>KRISTINE JALYN</t>
  </si>
  <si>
    <t>LORIE ANN</t>
  </si>
  <si>
    <t>JESUSITA</t>
  </si>
  <si>
    <t>ABULA</t>
  </si>
  <si>
    <t>LIONICEL</t>
  </si>
  <si>
    <t>Y.</t>
  </si>
  <si>
    <t>EMILDA</t>
  </si>
  <si>
    <t>FELIXGARDAN</t>
  </si>
  <si>
    <t>EILEEN</t>
  </si>
  <si>
    <t>ENAN</t>
  </si>
  <si>
    <t>NECEFONA</t>
  </si>
  <si>
    <t>FLORENCIA</t>
  </si>
  <si>
    <t>MERASOL</t>
  </si>
  <si>
    <t>EDILON</t>
  </si>
  <si>
    <t>LORDELYN</t>
  </si>
  <si>
    <t>SAVE</t>
  </si>
  <si>
    <t>B</t>
  </si>
  <si>
    <t>MAYSA</t>
  </si>
  <si>
    <t>C</t>
  </si>
  <si>
    <t>JUNERY</t>
  </si>
  <si>
    <t>ELWIN</t>
  </si>
  <si>
    <t>ROXAS</t>
  </si>
  <si>
    <t>LORJEN</t>
  </si>
  <si>
    <t>SIMPLICIAN</t>
  </si>
  <si>
    <t>VERGILYN</t>
  </si>
  <si>
    <t>ANLAVON</t>
  </si>
  <si>
    <t>A</t>
  </si>
  <si>
    <t>PACUDAN</t>
  </si>
  <si>
    <t>AIDA</t>
  </si>
  <si>
    <t>MELISSA</t>
  </si>
  <si>
    <t>CELESTINA</t>
  </si>
  <si>
    <t>BACALSO</t>
  </si>
  <si>
    <t>HEYRERA</t>
  </si>
  <si>
    <t>HERMEL</t>
  </si>
  <si>
    <t>KRISTINE SANDY</t>
  </si>
  <si>
    <t>SYMONLOYD</t>
  </si>
  <si>
    <t>ZALDYBAR</t>
  </si>
  <si>
    <t>MERCADO</t>
  </si>
  <si>
    <t>CHARINE</t>
  </si>
  <si>
    <t>AILA</t>
  </si>
  <si>
    <t>ROMIE</t>
  </si>
  <si>
    <t>EVANGELINE</t>
  </si>
  <si>
    <t>P.</t>
  </si>
  <si>
    <t>ROWINA</t>
  </si>
  <si>
    <t>REDELLIO</t>
  </si>
  <si>
    <t>T.</t>
  </si>
  <si>
    <t>JOLINA</t>
  </si>
  <si>
    <t>ESSA</t>
  </si>
  <si>
    <t>JEMMAR</t>
  </si>
  <si>
    <t>F</t>
  </si>
  <si>
    <t>VILMA</t>
  </si>
  <si>
    <t>MARIATA</t>
  </si>
  <si>
    <t>RANULFA</t>
  </si>
  <si>
    <t>SEVERIANA</t>
  </si>
  <si>
    <t>LUCILA</t>
  </si>
  <si>
    <t>ROSALYN</t>
  </si>
  <si>
    <t>LILIBA</t>
  </si>
  <si>
    <t>RECONE</t>
  </si>
  <si>
    <t>PRELYN</t>
  </si>
  <si>
    <t>MYLEN</t>
  </si>
  <si>
    <t>JUVIEL</t>
  </si>
  <si>
    <t>BENADETH</t>
  </si>
  <si>
    <t>PEÃ‘ANUEVA</t>
  </si>
  <si>
    <t>WEBERLYN</t>
  </si>
  <si>
    <t>CONCITA</t>
  </si>
  <si>
    <t>MARICHU</t>
  </si>
  <si>
    <t>PRIMITIVO</t>
  </si>
  <si>
    <t>DUOP</t>
  </si>
  <si>
    <t>YUGEN</t>
  </si>
  <si>
    <t>JONA</t>
  </si>
  <si>
    <t>FLORESITO</t>
  </si>
  <si>
    <t>ANNABELL</t>
  </si>
  <si>
    <t>BABYLYN</t>
  </si>
  <si>
    <t>FERNADEZ</t>
  </si>
  <si>
    <t>MARY-ANN</t>
  </si>
  <si>
    <t>MILDRED JEAN</t>
  </si>
  <si>
    <t>DIONESCIA</t>
  </si>
  <si>
    <t>MEDALLOS</t>
  </si>
  <si>
    <t>ALONA</t>
  </si>
  <si>
    <t>ESTOSE</t>
  </si>
  <si>
    <t>JOBERT</t>
  </si>
  <si>
    <t>MARCUEL</t>
  </si>
  <si>
    <t>P</t>
  </si>
  <si>
    <t>CONCHITA</t>
  </si>
  <si>
    <t>FELANNY</t>
  </si>
  <si>
    <t>LUMANGCAS</t>
  </si>
  <si>
    <t>LETECIA</t>
  </si>
  <si>
    <t>ROBUSTANO</t>
  </si>
  <si>
    <t>AMATEN</t>
  </si>
  <si>
    <t>AMILITA</t>
  </si>
  <si>
    <t>FEDERICA</t>
  </si>
  <si>
    <t>MERECIL</t>
  </si>
  <si>
    <t>NIDA</t>
  </si>
  <si>
    <t>ARNULFA</t>
  </si>
  <si>
    <t>FEBE</t>
  </si>
  <si>
    <t>JUVITA</t>
  </si>
  <si>
    <t>ALICANTE</t>
  </si>
  <si>
    <t>JESEL</t>
  </si>
  <si>
    <t>DIOLAN</t>
  </si>
  <si>
    <t>CHARLIE MAE</t>
  </si>
  <si>
    <t>BUAL</t>
  </si>
  <si>
    <t>JOVITA</t>
  </si>
  <si>
    <t>ANGELIE</t>
  </si>
  <si>
    <t>APARACIO</t>
  </si>
  <si>
    <t>ANNABEL</t>
  </si>
  <si>
    <t>JESSICA</t>
  </si>
  <si>
    <t>KAVENMICHAEL</t>
  </si>
  <si>
    <t>JUDITO</t>
  </si>
  <si>
    <t>DALAYGAY</t>
  </si>
  <si>
    <t>FLAVIO</t>
  </si>
  <si>
    <t>BEBEROSE</t>
  </si>
  <si>
    <t>JULITA</t>
  </si>
  <si>
    <t>MARIFEL</t>
  </si>
  <si>
    <t>JOEBERT</t>
  </si>
  <si>
    <t>CHERLITA</t>
  </si>
  <si>
    <t>TELIN</t>
  </si>
  <si>
    <t>MIRALUNA</t>
  </si>
  <si>
    <t>INOCENCIA</t>
  </si>
  <si>
    <t>ELEONEDA</t>
  </si>
  <si>
    <t>MATIO</t>
  </si>
  <si>
    <t>MARYGRACE</t>
  </si>
  <si>
    <t>BENJAMEN</t>
  </si>
  <si>
    <t>I.</t>
  </si>
  <si>
    <t>VIVIAN</t>
  </si>
  <si>
    <t>ALFRED</t>
  </si>
  <si>
    <t>JULIE QUEEN</t>
  </si>
  <si>
    <t>LATIGA</t>
  </si>
  <si>
    <t>AIZA</t>
  </si>
  <si>
    <t>BRENDA</t>
  </si>
  <si>
    <t>GALDUA</t>
  </si>
  <si>
    <t>RONESIO</t>
  </si>
  <si>
    <t>G</t>
  </si>
  <si>
    <t>BILLY</t>
  </si>
  <si>
    <t>E</t>
  </si>
  <si>
    <t>PANES</t>
  </si>
  <si>
    <t>R</t>
  </si>
  <si>
    <t>MARIA BONITA</t>
  </si>
  <si>
    <t>RITCHIE</t>
  </si>
  <si>
    <t>SOCIMA</t>
  </si>
  <si>
    <t>TEODORILO</t>
  </si>
  <si>
    <t>ELVIRA</t>
  </si>
  <si>
    <t>ROMANICA</t>
  </si>
  <si>
    <t>DIAMADA</t>
  </si>
  <si>
    <t>LODICHO</t>
  </si>
  <si>
    <t>SHELLA MAE</t>
  </si>
  <si>
    <t>CABALIZA</t>
  </si>
  <si>
    <t>CRESILDA</t>
  </si>
  <si>
    <t>SATURNINA</t>
  </si>
  <si>
    <t>HOYOKHOYOK</t>
  </si>
  <si>
    <t>GREYSON BLAKE</t>
  </si>
  <si>
    <t>JULIUS CESAR</t>
  </si>
  <si>
    <t>NOBY</t>
  </si>
  <si>
    <t>EAN DAVE</t>
  </si>
  <si>
    <t>TIAMBONG</t>
  </si>
  <si>
    <t>ELLDRIAN</t>
  </si>
  <si>
    <t>ESTACIO</t>
  </si>
  <si>
    <t>SHERYL</t>
  </si>
  <si>
    <t>PACETE</t>
  </si>
  <si>
    <t>XIMON MIGUEL</t>
  </si>
  <si>
    <t>XANDRA</t>
  </si>
  <si>
    <t>NOLLY</t>
  </si>
  <si>
    <t>ALGER</t>
  </si>
  <si>
    <t>CHAGAS</t>
  </si>
  <si>
    <t>MARIA LOURDES</t>
  </si>
  <si>
    <t>MARCELINO</t>
  </si>
  <si>
    <t>MARCHIE</t>
  </si>
  <si>
    <t>RECHEL</t>
  </si>
  <si>
    <t>JARRIEL</t>
  </si>
  <si>
    <t>E.</t>
  </si>
  <si>
    <t>KEREN</t>
  </si>
  <si>
    <t>JERSON</t>
  </si>
  <si>
    <t>JOHNNY</t>
  </si>
  <si>
    <t>KRSTINE JOY</t>
  </si>
  <si>
    <t>JEAN</t>
  </si>
  <si>
    <t>PEDRITO</t>
  </si>
  <si>
    <t>LOUIE</t>
  </si>
  <si>
    <t>LOURENCE</t>
  </si>
  <si>
    <t>LANCE</t>
  </si>
  <si>
    <t>SAMANTHA</t>
  </si>
  <si>
    <t>MAXINE</t>
  </si>
  <si>
    <t>MARIAN</t>
  </si>
  <si>
    <t>RABELO</t>
  </si>
  <si>
    <t>FRAXIDES</t>
  </si>
  <si>
    <t>WINDONIO</t>
  </si>
  <si>
    <t>FELLANA</t>
  </si>
  <si>
    <t>TRIFONIA</t>
  </si>
  <si>
    <t>BLAZQUEZ</t>
  </si>
  <si>
    <t>NEMESIO</t>
  </si>
  <si>
    <t>DIIOMEDES</t>
  </si>
  <si>
    <t>JEVELYN</t>
  </si>
  <si>
    <t>RJ</t>
  </si>
  <si>
    <t>ARLVHIEN JAY</t>
  </si>
  <si>
    <t>ARKITCH JARIM</t>
  </si>
  <si>
    <t>HADAZA MESHA</t>
  </si>
  <si>
    <t>ADRIEL JAVION</t>
  </si>
  <si>
    <t>JOSUE</t>
  </si>
  <si>
    <t>ADAN</t>
  </si>
  <si>
    <t>DIONEDEN</t>
  </si>
  <si>
    <t>KIM</t>
  </si>
  <si>
    <t>NELJON</t>
  </si>
  <si>
    <t>LOUI JHON</t>
  </si>
  <si>
    <t>HARVEY KLEIN</t>
  </si>
  <si>
    <t>BRENT DAREL</t>
  </si>
  <si>
    <t>STEFFY</t>
  </si>
  <si>
    <t>NOAH</t>
  </si>
  <si>
    <t>FELECIMO</t>
  </si>
  <si>
    <t>HANNAH EUNICE</t>
  </si>
  <si>
    <t>MABAO</t>
  </si>
  <si>
    <t>KEN JARED</t>
  </si>
  <si>
    <t>KENDRA SUMMER</t>
  </si>
  <si>
    <t>KEN GAVIN</t>
  </si>
  <si>
    <t>MARK ACE</t>
  </si>
  <si>
    <t>MARTH JOHN</t>
  </si>
  <si>
    <t>MICHALE</t>
  </si>
  <si>
    <t>JEANECEL</t>
  </si>
  <si>
    <t>REZA</t>
  </si>
  <si>
    <t>ARCHIE</t>
  </si>
  <si>
    <t>APRIL</t>
  </si>
  <si>
    <t>ESTER RUTH</t>
  </si>
  <si>
    <t>EPHRAEM</t>
  </si>
  <si>
    <t>TRISTAN MARC</t>
  </si>
  <si>
    <t>MARIA HOPE</t>
  </si>
  <si>
    <t>RABENTE</t>
  </si>
  <si>
    <t>RAVEN</t>
  </si>
  <si>
    <t>ADVENT JOHN</t>
  </si>
  <si>
    <t>JONNA MAE</t>
  </si>
  <si>
    <t>AMIRAH YSSIE</t>
  </si>
  <si>
    <t>SHEENET</t>
  </si>
  <si>
    <t>RIZA JEAN</t>
  </si>
  <si>
    <t>DAREM</t>
  </si>
  <si>
    <t>DARIEL</t>
  </si>
  <si>
    <t>JUNREX</t>
  </si>
  <si>
    <t>SHARMINE</t>
  </si>
  <si>
    <t>ARIAN</t>
  </si>
  <si>
    <t>MARY CRIS</t>
  </si>
  <si>
    <t>MARJORICAR</t>
  </si>
  <si>
    <t>JEMARLIEDH</t>
  </si>
  <si>
    <t>GORGONIO</t>
  </si>
  <si>
    <t>EUGNE</t>
  </si>
  <si>
    <t>CHARLENE</t>
  </si>
  <si>
    <t>RHYKE ALQUIN</t>
  </si>
  <si>
    <t>PRINCETON</t>
  </si>
  <si>
    <t>LISO</t>
  </si>
  <si>
    <t>ESCARLIT</t>
  </si>
  <si>
    <t>JUDILOUZ</t>
  </si>
  <si>
    <t>LALAINE</t>
  </si>
  <si>
    <t>LOYD</t>
  </si>
  <si>
    <t>PAULA</t>
  </si>
  <si>
    <t>RICKMARK</t>
  </si>
  <si>
    <t>JEMA</t>
  </si>
  <si>
    <t>CHENELYN</t>
  </si>
  <si>
    <t>JUDIE</t>
  </si>
  <si>
    <t>THANICA</t>
  </si>
  <si>
    <t>CHONA</t>
  </si>
  <si>
    <t>SHIELA MAE</t>
  </si>
  <si>
    <t>RYAN</t>
  </si>
  <si>
    <t>VANESSA</t>
  </si>
  <si>
    <t>JACKELYN</t>
  </si>
  <si>
    <t>JUNMAR</t>
  </si>
  <si>
    <t>MIGUEL</t>
  </si>
  <si>
    <t>LARA</t>
  </si>
  <si>
    <t>NORGELYN</t>
  </si>
  <si>
    <t>SARAH ROSE</t>
  </si>
  <si>
    <t>MARY CHEN</t>
  </si>
  <si>
    <t>JAREN</t>
  </si>
  <si>
    <t>JANINE</t>
  </si>
  <si>
    <t>CLAIRE JOY</t>
  </si>
  <si>
    <t>RONNIE JR.</t>
  </si>
  <si>
    <t>JAMES CLYDE</t>
  </si>
  <si>
    <t>CASHEL</t>
  </si>
  <si>
    <t>DEDICATED</t>
  </si>
  <si>
    <t>SHYNEL</t>
  </si>
  <si>
    <t>JELYBIE</t>
  </si>
  <si>
    <t>RONASHYNE</t>
  </si>
  <si>
    <t>IVAN</t>
  </si>
  <si>
    <t>LIEZELL</t>
  </si>
  <si>
    <t>MARLITO</t>
  </si>
  <si>
    <t>KENNETH</t>
  </si>
  <si>
    <t>JUN</t>
  </si>
  <si>
    <t>GODOFREDO JR.</t>
  </si>
  <si>
    <t>AMADELLE</t>
  </si>
  <si>
    <t>GLENN</t>
  </si>
  <si>
    <t>CHAZEL JANE</t>
  </si>
  <si>
    <t>JODIAN</t>
  </si>
  <si>
    <t>CLARIE JEAN</t>
  </si>
  <si>
    <t>JEMBOY</t>
  </si>
  <si>
    <t>MARRY GRACE</t>
  </si>
  <si>
    <t>JOMART</t>
  </si>
  <si>
    <t>ALDRIAN</t>
  </si>
  <si>
    <t>ALDRINE</t>
  </si>
  <si>
    <t>RAYGEBB</t>
  </si>
  <si>
    <t>ROYGEROM</t>
  </si>
  <si>
    <t>LYCA</t>
  </si>
  <si>
    <t>DIVINE GRACE</t>
  </si>
  <si>
    <t>DAISY</t>
  </si>
  <si>
    <t>JEAN MAE</t>
  </si>
  <si>
    <t>ARKIE</t>
  </si>
  <si>
    <t>NIFTALIE</t>
  </si>
  <si>
    <t>CARLOS MIGUEL</t>
  </si>
  <si>
    <t>JAMES ALEXANDER</t>
  </si>
  <si>
    <t>TERSO</t>
  </si>
  <si>
    <t>MARY ROSE</t>
  </si>
  <si>
    <t>ERLIZER</t>
  </si>
  <si>
    <t>NOVE JANE</t>
  </si>
  <si>
    <t>CHEAZEL KAYE</t>
  </si>
  <si>
    <t>MICKAELLA MARIE</t>
  </si>
  <si>
    <t>JOHN RICO</t>
  </si>
  <si>
    <t>JOVICK</t>
  </si>
  <si>
    <t>JOMARK</t>
  </si>
  <si>
    <t>JHON PAUL</t>
  </si>
  <si>
    <t>CHURCHIL</t>
  </si>
  <si>
    <t>CARL EVAN</t>
  </si>
  <si>
    <t>MARYTHEL</t>
  </si>
  <si>
    <t>MARK LOUIE</t>
  </si>
  <si>
    <t>JOCKO</t>
  </si>
  <si>
    <t>NICOLE</t>
  </si>
  <si>
    <t>DENVER</t>
  </si>
  <si>
    <t>CRISSABEL</t>
  </si>
  <si>
    <t>DARYL</t>
  </si>
  <si>
    <t>MABELLE</t>
  </si>
  <si>
    <t>MARY NICOLE</t>
  </si>
  <si>
    <t>SAMANTHA CLAIRE</t>
  </si>
  <si>
    <t>JOHNWIN</t>
  </si>
  <si>
    <t>JAIRUS</t>
  </si>
  <si>
    <t>JIEHAN KIM</t>
  </si>
  <si>
    <t>JIAN JIE</t>
  </si>
  <si>
    <t>KYLE LYNDHON</t>
  </si>
  <si>
    <t>ROELYN</t>
  </si>
  <si>
    <t>MA,EULIZA</t>
  </si>
  <si>
    <t>ANALIE</t>
  </si>
  <si>
    <t>NASH RAFAEAL</t>
  </si>
  <si>
    <t>GALAPIN</t>
  </si>
  <si>
    <t>AIDERSON</t>
  </si>
  <si>
    <t>AMAPATER</t>
  </si>
  <si>
    <t>EUBIE</t>
  </si>
  <si>
    <t>JERELYN</t>
  </si>
  <si>
    <t>JERRECO</t>
  </si>
  <si>
    <t>MELODY</t>
  </si>
  <si>
    <t>CHRIS MARIEL</t>
  </si>
  <si>
    <t>MARY CHRIS</t>
  </si>
  <si>
    <t>EVILYN</t>
  </si>
  <si>
    <t>DAINE</t>
  </si>
  <si>
    <t>OPITAN</t>
  </si>
  <si>
    <t>ELEL</t>
  </si>
  <si>
    <t>EULITO JR</t>
  </si>
  <si>
    <t>ELMARIROSE</t>
  </si>
  <si>
    <t>MARILOU</t>
  </si>
  <si>
    <t>ORTIZ</t>
  </si>
  <si>
    <t>JERICHO</t>
  </si>
  <si>
    <t>ERICA JOY</t>
  </si>
  <si>
    <t>KADUSALE</t>
  </si>
  <si>
    <t>RENZ DHONE</t>
  </si>
  <si>
    <t>JOHN KHURT</t>
  </si>
  <si>
    <t>SHANNEN BEATRIX</t>
  </si>
  <si>
    <t>AJ BOY</t>
  </si>
  <si>
    <t>ELINE MARIE</t>
  </si>
  <si>
    <t>ELVINE</t>
  </si>
  <si>
    <t>RYZA</t>
  </si>
  <si>
    <t>KHRISSA</t>
  </si>
  <si>
    <t>ALWIN</t>
  </si>
  <si>
    <t>NELBERT</t>
  </si>
  <si>
    <t>MA. NIÃ‘A</t>
  </si>
  <si>
    <t>JORICK</t>
  </si>
  <si>
    <t>REGELYN</t>
  </si>
  <si>
    <t>SOLIJON</t>
  </si>
  <si>
    <t>CRISTOBAL</t>
  </si>
  <si>
    <t>JULIE CRIS</t>
  </si>
  <si>
    <t>VIDUYA</t>
  </si>
  <si>
    <t>JONARD</t>
  </si>
  <si>
    <t>JOHN CARLO</t>
  </si>
  <si>
    <t>BUNAFE</t>
  </si>
  <si>
    <t>VELLY</t>
  </si>
  <si>
    <t>JULLIEMAE</t>
  </si>
  <si>
    <t>JOHN KYLE</t>
  </si>
  <si>
    <t>LOVELY ROSE</t>
  </si>
  <si>
    <t>NEFE</t>
  </si>
  <si>
    <t>MICHELLE MAE</t>
  </si>
  <si>
    <t>JOSEM</t>
  </si>
  <si>
    <t>AREAL JHUN</t>
  </si>
  <si>
    <t>ROGELYN</t>
  </si>
  <si>
    <t>MEBOLOS</t>
  </si>
  <si>
    <t>CRISJAY</t>
  </si>
  <si>
    <t>ELMAR</t>
  </si>
  <si>
    <t>DAIRO</t>
  </si>
  <si>
    <t>MARIEL</t>
  </si>
  <si>
    <t>MA.ALIZA</t>
  </si>
  <si>
    <t>ASHER AIDEN</t>
  </si>
  <si>
    <t>JHONRIEL</t>
  </si>
  <si>
    <t>CARINA</t>
  </si>
  <si>
    <t>JOANA</t>
  </si>
  <si>
    <t>JERIC</t>
  </si>
  <si>
    <t>JOEVAL</t>
  </si>
  <si>
    <t>JHON RICO</t>
  </si>
  <si>
    <t>RITCHARD</t>
  </si>
  <si>
    <t>RITCHEL</t>
  </si>
  <si>
    <t>CHARLYN</t>
  </si>
  <si>
    <t>MARIA RIAN NICOLE</t>
  </si>
  <si>
    <t>O</t>
  </si>
  <si>
    <t>NICO</t>
  </si>
  <si>
    <t>AL CHRISTIAN</t>
  </si>
  <si>
    <t>ROSILITO</t>
  </si>
  <si>
    <t>MICKAELLA</t>
  </si>
  <si>
    <t>NATHAN JACOB</t>
  </si>
  <si>
    <t>MISSY</t>
  </si>
  <si>
    <t>ALJUR JAMES</t>
  </si>
  <si>
    <t>KIETH DEXTER</t>
  </si>
  <si>
    <t>ENZOH</t>
  </si>
  <si>
    <t>JESS MAR</t>
  </si>
  <si>
    <t>FEBB MARIE</t>
  </si>
  <si>
    <t>JOHN GUILBERT</t>
  </si>
  <si>
    <t>CAVITE</t>
  </si>
  <si>
    <t>CRIS LYN</t>
  </si>
  <si>
    <t>MECHELLE JOY</t>
  </si>
  <si>
    <t>MAYUMAE</t>
  </si>
  <si>
    <t>MELJHON</t>
  </si>
  <si>
    <t>MELCHIE</t>
  </si>
  <si>
    <t>MELVIN JAY</t>
  </si>
  <si>
    <t>JENNIEL</t>
  </si>
  <si>
    <t>LOIDE BOY</t>
  </si>
  <si>
    <t>NEO</t>
  </si>
  <si>
    <t>JHON LEE</t>
  </si>
  <si>
    <t>RONALIZA</t>
  </si>
  <si>
    <t>LIWAGAN</t>
  </si>
  <si>
    <t>RONIEL</t>
  </si>
  <si>
    <t>RYZA MEA</t>
  </si>
  <si>
    <t>KC</t>
  </si>
  <si>
    <t>HAZEL</t>
  </si>
  <si>
    <t>PEARLY JANE</t>
  </si>
  <si>
    <t>JASMIN</t>
  </si>
  <si>
    <t>LOLIBERT</t>
  </si>
  <si>
    <t>RUFENO</t>
  </si>
  <si>
    <t>KHEVEN</t>
  </si>
  <si>
    <t>PACELAN</t>
  </si>
  <si>
    <t>JUN MARK</t>
  </si>
  <si>
    <t>CHARAMIE</t>
  </si>
  <si>
    <t>JHON EDCEL</t>
  </si>
  <si>
    <t>LIZBETH</t>
  </si>
  <si>
    <t>JAPHET</t>
  </si>
  <si>
    <t>IRISH CRISTINE</t>
  </si>
  <si>
    <t>MICAH</t>
  </si>
  <si>
    <t>XANDER</t>
  </si>
  <si>
    <t>ALEXIS</t>
  </si>
  <si>
    <t>ANASTACIO</t>
  </si>
  <si>
    <t>BAUTE</t>
  </si>
  <si>
    <t>FLORDENIL</t>
  </si>
  <si>
    <t>LIEZA</t>
  </si>
  <si>
    <t>DANICCA</t>
  </si>
  <si>
    <t>DONNA MAE</t>
  </si>
  <si>
    <t>DIANNA</t>
  </si>
  <si>
    <t>JOMARI</t>
  </si>
  <si>
    <t>VERONICA</t>
  </si>
  <si>
    <t>KRISTINE</t>
  </si>
  <si>
    <t>JOHN LOURENCE</t>
  </si>
  <si>
    <t>JAYNEL</t>
  </si>
  <si>
    <t>JAYLAI</t>
  </si>
  <si>
    <t>WIENDHELYN</t>
  </si>
  <si>
    <t>KYLE JHON</t>
  </si>
  <si>
    <t>SAYMAN</t>
  </si>
  <si>
    <t>METCHI AN</t>
  </si>
  <si>
    <t>SHEYN GAYLE</t>
  </si>
  <si>
    <t>ISHI NECOLE</t>
  </si>
  <si>
    <t>JHON MARK</t>
  </si>
  <si>
    <t>JOEY</t>
  </si>
  <si>
    <t>MARY JEAN</t>
  </si>
  <si>
    <t>MADONA</t>
  </si>
  <si>
    <t>LARA CRISTEL</t>
  </si>
  <si>
    <t>LENTONJUNE</t>
  </si>
  <si>
    <t>LIAMJHON</t>
  </si>
  <si>
    <t>REBUZA</t>
  </si>
  <si>
    <t>REA JANE</t>
  </si>
  <si>
    <t>JHON JOSHUA</t>
  </si>
  <si>
    <t>RALFH CLIFORD</t>
  </si>
  <si>
    <t>RHEAN JANE</t>
  </si>
  <si>
    <t>ROBERT JAKE</t>
  </si>
  <si>
    <t>ANICA KIM</t>
  </si>
  <si>
    <t>RHEA</t>
  </si>
  <si>
    <t>JULICEL</t>
  </si>
  <si>
    <t>DAGAMO</t>
  </si>
  <si>
    <t>CRIS ANGELO</t>
  </si>
  <si>
    <t>SCARLET</t>
  </si>
  <si>
    <t>ARCELYN</t>
  </si>
  <si>
    <t>ARLY</t>
  </si>
  <si>
    <t>ARCHEL</t>
  </si>
  <si>
    <t>AREALY</t>
  </si>
  <si>
    <t>EUCLIMAR</t>
  </si>
  <si>
    <t>ERK CRESIL</t>
  </si>
  <si>
    <t>EAROL</t>
  </si>
  <si>
    <t>ELWIN JADE</t>
  </si>
  <si>
    <t>EARL PATRICK</t>
  </si>
  <si>
    <t>LEONERJIE</t>
  </si>
  <si>
    <t>LEA BLESS</t>
  </si>
  <si>
    <t>JANE PRETZ</t>
  </si>
  <si>
    <t>NICEL</t>
  </si>
  <si>
    <t>R.</t>
  </si>
  <si>
    <t>JULLIANA SHANE</t>
  </si>
  <si>
    <t>APREL</t>
  </si>
  <si>
    <t>NOVERN</t>
  </si>
  <si>
    <t>SOLERO</t>
  </si>
  <si>
    <t>KRESILDA</t>
  </si>
  <si>
    <t>MARK ALBERT</t>
  </si>
  <si>
    <t>JOHN REVER</t>
  </si>
  <si>
    <t>JUNEYSON</t>
  </si>
  <si>
    <t>KRISHA MAE</t>
  </si>
  <si>
    <t>KIANE JIE</t>
  </si>
  <si>
    <t>GLADINE</t>
  </si>
  <si>
    <t>JAYLORD</t>
  </si>
  <si>
    <t>JANZEN</t>
  </si>
  <si>
    <t>JONALYN</t>
  </si>
  <si>
    <t>MELREJIE</t>
  </si>
  <si>
    <t>ARJAY</t>
  </si>
  <si>
    <t>HANNAH MONISA</t>
  </si>
  <si>
    <t>MERLYN</t>
  </si>
  <si>
    <t>YURI STEVE</t>
  </si>
  <si>
    <t>JOHN JACOB</t>
  </si>
  <si>
    <t>JARAINE</t>
  </si>
  <si>
    <t>JUNALYN</t>
  </si>
  <si>
    <t>EGY</t>
  </si>
  <si>
    <t>CODIE</t>
  </si>
  <si>
    <t>ZACH OLIVER</t>
  </si>
  <si>
    <t>JOMUAD</t>
  </si>
  <si>
    <t>III</t>
  </si>
  <si>
    <t>MIKAILA</t>
  </si>
  <si>
    <t>MARK RAJORENE</t>
  </si>
  <si>
    <t>MICHAEL JOREN</t>
  </si>
  <si>
    <t>SOPHIA</t>
  </si>
  <si>
    <t>CHAIRA</t>
  </si>
  <si>
    <t>BRIAN JULIUS</t>
  </si>
  <si>
    <t>VINCENT FER</t>
  </si>
  <si>
    <t>ES</t>
  </si>
  <si>
    <t>JOAB</t>
  </si>
  <si>
    <t>MARRY NEMIA</t>
  </si>
  <si>
    <t>JELYCA</t>
  </si>
  <si>
    <t>SHELO NOVA</t>
  </si>
  <si>
    <t>ANGELA</t>
  </si>
  <si>
    <t>HANNAH MARIE</t>
  </si>
  <si>
    <t>MARK MANNASEH</t>
  </si>
  <si>
    <t>JOSHUA KAIROS</t>
  </si>
  <si>
    <t>COQUILLA</t>
  </si>
  <si>
    <t>JAYRAM</t>
  </si>
  <si>
    <t>JERAME</t>
  </si>
  <si>
    <t>JAYVIE BOY</t>
  </si>
  <si>
    <t>ABEGAIL</t>
  </si>
  <si>
    <t>NICOLE KATE</t>
  </si>
  <si>
    <t>MAJEBOY</t>
  </si>
  <si>
    <t>MARK ANHTONY</t>
  </si>
  <si>
    <t>JEO</t>
  </si>
  <si>
    <t>JAY ANN</t>
  </si>
  <si>
    <t>ANAMEL</t>
  </si>
  <si>
    <t>ROSE-ANN</t>
  </si>
  <si>
    <t>AZ ROSE</t>
  </si>
  <si>
    <t>CYRENE</t>
  </si>
  <si>
    <t>ARAN</t>
  </si>
  <si>
    <t>KAREN JANE</t>
  </si>
  <si>
    <t>ZHIANKYLE</t>
  </si>
  <si>
    <t>LONIE</t>
  </si>
  <si>
    <t>AMILIA</t>
  </si>
  <si>
    <t>BRYAN HENRY</t>
  </si>
  <si>
    <t>REA JENNIFER</t>
  </si>
  <si>
    <t>SHERRY ROSE</t>
  </si>
  <si>
    <t>MERINOY</t>
  </si>
  <si>
    <t>JUDE</t>
  </si>
  <si>
    <t>JOHN JOHN</t>
  </si>
  <si>
    <t>ARNIJO</t>
  </si>
  <si>
    <t>REQUIRMI</t>
  </si>
  <si>
    <t>GRETCHEN</t>
  </si>
  <si>
    <t>JENGKY</t>
  </si>
  <si>
    <t>JHOWIE</t>
  </si>
  <si>
    <t>RENZ</t>
  </si>
  <si>
    <t>SHERWIN</t>
  </si>
  <si>
    <t>JOHN LOYD</t>
  </si>
  <si>
    <t>RICA MAE</t>
  </si>
  <si>
    <t>MIA</t>
  </si>
  <si>
    <t>REYBATHALA</t>
  </si>
  <si>
    <t>DONABIL</t>
  </si>
  <si>
    <t>CYRIL MAE</t>
  </si>
  <si>
    <t>CHERRY MAE</t>
  </si>
  <si>
    <t>DANIEL DAVE</t>
  </si>
  <si>
    <t>JIVSON</t>
  </si>
  <si>
    <t>MARIA JOVIE</t>
  </si>
  <si>
    <t>JOVIEMAE</t>
  </si>
  <si>
    <t>VINCE AIZA</t>
  </si>
  <si>
    <t>JAYMAR</t>
  </si>
  <si>
    <t>NIÃ‘A</t>
  </si>
  <si>
    <t>JEVALYN</t>
  </si>
  <si>
    <t>IVAN DAVE</t>
  </si>
  <si>
    <t>IAN JANE</t>
  </si>
  <si>
    <t>JAMES BRYAN</t>
  </si>
  <si>
    <t>RINGO</t>
  </si>
  <si>
    <t>MHEIJO</t>
  </si>
  <si>
    <t>MHEIJEN</t>
  </si>
  <si>
    <t>MHELJHON</t>
  </si>
  <si>
    <t>XILE ANN</t>
  </si>
  <si>
    <t>S</t>
  </si>
  <si>
    <t>DANIELA</t>
  </si>
  <si>
    <t>CHRISTLY EVONNE</t>
  </si>
  <si>
    <t>SHAMEL</t>
  </si>
  <si>
    <t>BETCO</t>
  </si>
  <si>
    <t>ANJOE</t>
  </si>
  <si>
    <t>ANGELIN</t>
  </si>
  <si>
    <t>ANALITO</t>
  </si>
  <si>
    <t>LAWTON KENT</t>
  </si>
  <si>
    <t>ROSILIE</t>
  </si>
  <si>
    <t>GERLY</t>
  </si>
  <si>
    <t>EJBOY</t>
  </si>
  <si>
    <t>SUZETTE</t>
  </si>
  <si>
    <t>II</t>
  </si>
  <si>
    <t>REAN</t>
  </si>
  <si>
    <t>FAITH MARY</t>
  </si>
  <si>
    <t>FLORA MAY</t>
  </si>
  <si>
    <t>FE MARTE BC</t>
  </si>
  <si>
    <t>MARK REAGAN</t>
  </si>
  <si>
    <t>JHON DEXTER</t>
  </si>
  <si>
    <t>ETHAN</t>
  </si>
  <si>
    <t>T</t>
  </si>
  <si>
    <t>NATHALIE GINN</t>
  </si>
  <si>
    <t>REINER JHON</t>
  </si>
  <si>
    <t>REZO</t>
  </si>
  <si>
    <t>VENUS</t>
  </si>
  <si>
    <t>KENNETH DAVE</t>
  </si>
  <si>
    <t>AMALYN</t>
  </si>
  <si>
    <t>SHINE CAFELYN</t>
  </si>
  <si>
    <t>REY JEAN</t>
  </si>
  <si>
    <t>RYLE JEAN</t>
  </si>
  <si>
    <t>JEANY</t>
  </si>
  <si>
    <t>JOHN CALEB</t>
  </si>
  <si>
    <t>JOANNA MARIE</t>
  </si>
  <si>
    <t>JOHN DEVIN</t>
  </si>
  <si>
    <t>KESYAH</t>
  </si>
  <si>
    <t>ARTELIO</t>
  </si>
  <si>
    <t>DONGOG</t>
  </si>
  <si>
    <t>MARIEGOLD</t>
  </si>
  <si>
    <t>AIMIE</t>
  </si>
  <si>
    <t>RYLE ETHAN</t>
  </si>
  <si>
    <t>DAWN BLISSL</t>
  </si>
  <si>
    <t>RENZEN</t>
  </si>
  <si>
    <t>LUZ MARY</t>
  </si>
  <si>
    <t>BEBOY</t>
  </si>
  <si>
    <t>NYGEL</t>
  </si>
  <si>
    <t>THEA ROSE</t>
  </si>
  <si>
    <t>MECA</t>
  </si>
  <si>
    <t>JEAMARIE</t>
  </si>
  <si>
    <t>FRANCIS</t>
  </si>
  <si>
    <t>ROLIE</t>
  </si>
  <si>
    <t>MARK EUJE</t>
  </si>
  <si>
    <t>ALYA MAE</t>
  </si>
  <si>
    <t>LEE</t>
  </si>
  <si>
    <t>LYKA MAE</t>
  </si>
  <si>
    <t>RIAN  MAE</t>
  </si>
  <si>
    <t>PRINCESS ALMERA</t>
  </si>
  <si>
    <t>SHEILYR</t>
  </si>
  <si>
    <t>REY ANGELO</t>
  </si>
  <si>
    <t>TICANTUCAN</t>
  </si>
  <si>
    <t>NEIL JAMES</t>
  </si>
  <si>
    <t>JAZMINE CLAIRE</t>
  </si>
  <si>
    <t>KESHIA ANNE</t>
  </si>
  <si>
    <t>TREXIE KATE</t>
  </si>
  <si>
    <t>JV</t>
  </si>
  <si>
    <t>WINS MICHAEL</t>
  </si>
  <si>
    <t>MICAH SIRAH</t>
  </si>
  <si>
    <t>MITCHIE ION</t>
  </si>
  <si>
    <t>JUAN ANGEL</t>
  </si>
  <si>
    <t>ARIANELLE</t>
  </si>
  <si>
    <t>MEDY JOY</t>
  </si>
  <si>
    <t>ANGINE</t>
  </si>
  <si>
    <t>NOVAJOILINE</t>
  </si>
  <si>
    <t>SHIELA MARIE</t>
  </si>
  <si>
    <t>RICA</t>
  </si>
  <si>
    <t>PRINCE JOSH</t>
  </si>
  <si>
    <t>SON GABRILE</t>
  </si>
  <si>
    <t>LEMON JAY</t>
  </si>
  <si>
    <t>RICHMOND</t>
  </si>
  <si>
    <t>MAXINE ROSE</t>
  </si>
  <si>
    <t>WELJUN</t>
  </si>
  <si>
    <t>AMAD</t>
  </si>
  <si>
    <t>AJ</t>
  </si>
  <si>
    <t>DOMINEC</t>
  </si>
  <si>
    <t>WEN ALIYAH</t>
  </si>
  <si>
    <t>HEDEN RYLE</t>
  </si>
  <si>
    <t>NICAH CHELSIE</t>
  </si>
  <si>
    <t>NINA ANGELA</t>
  </si>
  <si>
    <t>PSYCHE JANE</t>
  </si>
  <si>
    <t>JEMART</t>
  </si>
  <si>
    <t>ANGEL MAE</t>
  </si>
  <si>
    <t>JOMER</t>
  </si>
  <si>
    <t>JADE LOUISE</t>
  </si>
  <si>
    <t>RUSSELL JEFF</t>
  </si>
  <si>
    <t>RYLE JAY</t>
  </si>
  <si>
    <t>JORI</t>
  </si>
  <si>
    <t>MAE MARIANNIE</t>
  </si>
  <si>
    <t>KENETH</t>
  </si>
  <si>
    <t>JESSAMIE</t>
  </si>
  <si>
    <t>JUDITHA</t>
  </si>
  <si>
    <t>KISHAGIN</t>
  </si>
  <si>
    <t>PRINCESS ISABEL</t>
  </si>
  <si>
    <t>PRINCE FRANCIS</t>
  </si>
  <si>
    <t>REDILYN</t>
  </si>
  <si>
    <t>DEDUMO</t>
  </si>
  <si>
    <t>RENANTE</t>
  </si>
  <si>
    <t>JANRIE</t>
  </si>
  <si>
    <t>JUNE</t>
  </si>
  <si>
    <t>JOVIE MAY</t>
  </si>
  <si>
    <t>RENELYN</t>
  </si>
  <si>
    <t>ARGIE</t>
  </si>
  <si>
    <t>CRISMALOU</t>
  </si>
  <si>
    <t>ROWEN</t>
  </si>
  <si>
    <t>AR</t>
  </si>
  <si>
    <t>MARK ELSON</t>
  </si>
  <si>
    <t>JANE MYKA</t>
  </si>
  <si>
    <t>CELESTE MAY</t>
  </si>
  <si>
    <t>DAN MICHAEL</t>
  </si>
  <si>
    <t>RAIPH VINCENT</t>
  </si>
  <si>
    <t>WENDELLA</t>
  </si>
  <si>
    <t>SHANNA</t>
  </si>
  <si>
    <t>JOHN MELCHOR</t>
  </si>
  <si>
    <t>MARY ANNE</t>
  </si>
  <si>
    <t>GREAT</t>
  </si>
  <si>
    <t>NASHELLE YANNI</t>
  </si>
  <si>
    <t>ESTEBAN</t>
  </si>
  <si>
    <t>JHANEN</t>
  </si>
  <si>
    <t>CASEY JASON</t>
  </si>
  <si>
    <t>JOHNVIANNEY</t>
  </si>
  <si>
    <t>JESRYL</t>
  </si>
  <si>
    <t>JADE</t>
  </si>
  <si>
    <t>JERDEN MAE</t>
  </si>
  <si>
    <t>EURIE</t>
  </si>
  <si>
    <t>REI EDRIAN</t>
  </si>
  <si>
    <t>JHON VENCE</t>
  </si>
  <si>
    <t>ROSAMIE</t>
  </si>
  <si>
    <t>LUZMIA MAE</t>
  </si>
  <si>
    <t>JAMES MAUREL</t>
  </si>
  <si>
    <t>JANE ANNITA</t>
  </si>
  <si>
    <t>MATT RAYMOND</t>
  </si>
  <si>
    <t>ALBERT RAY</t>
  </si>
  <si>
    <t>RICO JAY</t>
  </si>
  <si>
    <t>VIANCA MAE</t>
  </si>
  <si>
    <t>JOHN CRISTIAN</t>
  </si>
  <si>
    <t>LEONAEDO</t>
  </si>
  <si>
    <t>JOMARIE</t>
  </si>
  <si>
    <t>JONAS</t>
  </si>
  <si>
    <t>CHIEBOY</t>
  </si>
  <si>
    <t>PATCH</t>
  </si>
  <si>
    <t>RENA MAE</t>
  </si>
  <si>
    <t>RYAN JAY</t>
  </si>
  <si>
    <t>JUDY</t>
  </si>
  <si>
    <t>JESSABEL</t>
  </si>
  <si>
    <t>JENNY LYN</t>
  </si>
  <si>
    <t>PRINCESS ELLA MAE</t>
  </si>
  <si>
    <t>CRISTILE</t>
  </si>
  <si>
    <t>CABILLAR</t>
  </si>
  <si>
    <t>LIMUEL</t>
  </si>
  <si>
    <t>FRETCHIL</t>
  </si>
  <si>
    <t>SAJOLGA</t>
  </si>
  <si>
    <t>SERLYN</t>
  </si>
  <si>
    <t>AVARANDEN</t>
  </si>
  <si>
    <t>JEL MAE</t>
  </si>
  <si>
    <t>JANICA</t>
  </si>
  <si>
    <t>NICA MARES</t>
  </si>
  <si>
    <t>NICOLE MARIE</t>
  </si>
  <si>
    <t>NICHOLAS KURT</t>
  </si>
  <si>
    <t>LUIL</t>
  </si>
  <si>
    <t>ANGELINE</t>
  </si>
  <si>
    <t>REYMART</t>
  </si>
  <si>
    <t>DEVINE GRACE</t>
  </si>
  <si>
    <t>DYANA ROSE</t>
  </si>
  <si>
    <t>MEORUM</t>
  </si>
  <si>
    <t>MICHEL</t>
  </si>
  <si>
    <t>KIM ALBERT</t>
  </si>
  <si>
    <t>KIER ARIEL</t>
  </si>
  <si>
    <t>JOHN MARK</t>
  </si>
  <si>
    <t>RALPH VINCENT</t>
  </si>
  <si>
    <t>RODELITO</t>
  </si>
  <si>
    <t>NICETORA</t>
  </si>
  <si>
    <t>MARY KRISTINE</t>
  </si>
  <si>
    <t>CHARINA</t>
  </si>
  <si>
    <t>OCADO</t>
  </si>
  <si>
    <t>JESSE</t>
  </si>
  <si>
    <t>CEDRIC</t>
  </si>
  <si>
    <t>CYREL</t>
  </si>
  <si>
    <t>REGIN</t>
  </si>
  <si>
    <t>MERRY ROSE</t>
  </si>
  <si>
    <t>MARK ANDRIE</t>
  </si>
  <si>
    <t>RICKY LEE</t>
  </si>
  <si>
    <t>CHEZKAMAE</t>
  </si>
  <si>
    <t>CHRISLIE</t>
  </si>
  <si>
    <t>CONSOLACION</t>
  </si>
  <si>
    <t>GABE ZACHARY</t>
  </si>
  <si>
    <t>MAGLUNOB</t>
  </si>
  <si>
    <t>JOVEL</t>
  </si>
  <si>
    <t>REMELANDO</t>
  </si>
  <si>
    <t>PURISIMA</t>
  </si>
  <si>
    <t>BRYSCELLS</t>
  </si>
  <si>
    <t>DEGRACIA</t>
  </si>
  <si>
    <t>MARTIE</t>
  </si>
  <si>
    <t>CUADRASAL</t>
  </si>
  <si>
    <t>CHARESS</t>
  </si>
  <si>
    <t>CHATLYNE KAYE</t>
  </si>
  <si>
    <t>ANOTADO</t>
  </si>
  <si>
    <t>SUPANGAN</t>
  </si>
  <si>
    <t>AGUSTÃN</t>
  </si>
  <si>
    <t>RENJUN</t>
  </si>
  <si>
    <t>SORDILLA</t>
  </si>
  <si>
    <t>JEAR</t>
  </si>
  <si>
    <t>SOCO</t>
  </si>
  <si>
    <t>ONEZ</t>
  </si>
  <si>
    <t>PREDO</t>
  </si>
  <si>
    <t>GENEROSO</t>
  </si>
  <si>
    <t>BERONIO</t>
  </si>
  <si>
    <t>JEMALYN</t>
  </si>
  <si>
    <t>ANSUBAS</t>
  </si>
  <si>
    <t>HANNY</t>
  </si>
  <si>
    <t>JESSEI</t>
  </si>
  <si>
    <t>CONCEPTION</t>
  </si>
  <si>
    <t>GANGOSO</t>
  </si>
  <si>
    <t>CYAN FINCH</t>
  </si>
  <si>
    <t>KRIZZIALYN</t>
  </si>
  <si>
    <t>CADUYAC</t>
  </si>
  <si>
    <t>MIKA ELA</t>
  </si>
  <si>
    <t>FEDELA</t>
  </si>
  <si>
    <t>FELIPE JR</t>
  </si>
  <si>
    <t>AJOC</t>
  </si>
  <si>
    <t>ANTONETT</t>
  </si>
  <si>
    <t>ALLANIC</t>
  </si>
  <si>
    <t>COSIO</t>
  </si>
  <si>
    <t>RICHELYN</t>
  </si>
  <si>
    <t>MARIE JOVEL</t>
  </si>
  <si>
    <t>JESREL</t>
  </si>
  <si>
    <t>ADLAWAN</t>
  </si>
  <si>
    <t>RICHARVON</t>
  </si>
  <si>
    <t>MARAPO</t>
  </si>
  <si>
    <t>ALTHEA</t>
  </si>
  <si>
    <t>ALJUR</t>
  </si>
  <si>
    <t>OROSCO</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</si>
</sst>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m/d/yyyy"/>
  </numFmts>
  <fonts count="28" x14ac:knownFonts="1">
    <font>
      <sz val="11"/>
      <color theme="1"/>
      <name val="Calibri"/>
      <family val="2"/>
      <scheme val="minor"/>
    </font>
    <font>
      <sz val="12"/>
      <color theme="1"/>
      <name val="Arial"/>
      <family val="2"/>
    </font>
    <font>
      <sz val="11"/>
      <name val="Calibri"/>
      <family val="2"/>
    </font>
    <font>
      <b/>
      <sz val="12"/>
      <color theme="1"/>
      <name val="Arial"/>
      <family val="2"/>
    </font>
    <font>
      <b/>
      <sz val="14"/>
      <color theme="1"/>
      <name val="Arial"/>
      <family val="2"/>
    </font>
    <font>
      <b/>
      <sz val="12"/>
      <color rgb="FF000000"/>
      <name val="Arial"/>
      <family val="2"/>
    </font>
    <font>
      <b/>
      <sz val="8"/>
      <color rgb="FF000000"/>
      <name val="Arial"/>
      <family val="2"/>
    </font>
    <font>
      <b/>
      <sz val="10"/>
      <color theme="1"/>
      <name val="Arial"/>
      <family val="2"/>
    </font>
    <font>
      <sz val="8"/>
      <color theme="1"/>
      <name val="Arial"/>
      <family val="2"/>
    </font>
    <font>
      <sz val="6"/>
      <color theme="1"/>
      <name val="Arial"/>
      <family val="2"/>
    </font>
    <font>
      <sz val="10"/>
      <color theme="1"/>
      <name val="Arial"/>
      <family val="2"/>
    </font>
    <font>
      <sz val="12"/>
      <color theme="1"/>
      <name val="Calibri"/>
      <family val="2"/>
    </font>
    <font>
      <sz val="12"/>
      <color rgb="FF000000"/>
      <name val="Arial"/>
      <family val="2"/>
    </font>
    <font>
      <sz val="9"/>
      <color theme="1"/>
      <name val="Arial"/>
      <family val="2"/>
    </font>
    <font>
      <sz val="11"/>
      <color theme="1"/>
      <name val="Arial"/>
      <family val="2"/>
    </font>
    <font>
      <b/>
      <sz val="12"/>
      <color theme="1"/>
      <name val="Calibri"/>
      <family val="2"/>
    </font>
    <font>
      <sz val="14"/>
      <color rgb="FF000000"/>
      <name val="Arial"/>
      <family val="2"/>
    </font>
    <font>
      <sz val="11"/>
      <color theme="1"/>
      <name val="Calibri"/>
      <family val="2"/>
    </font>
    <font>
      <b/>
      <sz val="8"/>
      <color theme="1"/>
      <name val="Calibri"/>
      <family val="2"/>
    </font>
    <font>
      <sz val="12"/>
      <color rgb="FF000000"/>
      <name val="Calibri"/>
      <family val="2"/>
    </font>
    <font>
      <b/>
      <u/>
      <sz val="12"/>
      <color theme="1"/>
      <name val="Calibri"/>
      <family val="2"/>
    </font>
    <font>
      <sz val="10"/>
      <color theme="1"/>
      <name val="Calibri"/>
      <family val="2"/>
    </font>
    <font>
      <sz val="13"/>
      <color theme="1"/>
      <name val="Arial"/>
      <family val="2"/>
    </font>
    <font>
      <b/>
      <sz val="13"/>
      <color theme="1"/>
      <name val="Arial"/>
      <family val="2"/>
    </font>
    <font>
      <b/>
      <u/>
      <sz val="13"/>
      <color theme="1"/>
      <name val="Arial"/>
      <family val="2"/>
    </font>
    <font>
      <u/>
      <sz val="11"/>
      <name val="Calibri"/>
      <family val="2"/>
    </font>
    <font>
      <b/>
      <sz val="16"/>
      <color rgb="FF000000"/>
      <name val="Arial"/>
      <family val="2"/>
    </font>
    <font>
      <sz val="16"/>
      <color rgb="FF000000"/>
      <name val="Arial"/>
      <family val="2"/>
    </font>
  </fonts>
  <fills count="15">
    <fill>
      <patternFill patternType="none"/>
    </fill>
    <fill>
      <patternFill patternType="gray125"/>
    </fill>
    <fill>
      <patternFill patternType="solid">
        <fgColor theme="0"/>
        <bgColor theme="0"/>
      </patternFill>
    </fill>
    <fill>
      <patternFill patternType="solid">
        <fgColor rgb="FFBFBFBF"/>
        <bgColor rgb="FFBFBFBF"/>
      </patternFill>
    </fill>
    <fill>
      <patternFill patternType="solid">
        <fgColor rgb="FFA8D08D"/>
        <bgColor rgb="FFA8D08D"/>
      </patternFill>
    </fill>
    <fill>
      <patternFill patternType="solid">
        <fgColor rgb="FFC5E0B3"/>
        <bgColor rgb="FFC5E0B3"/>
      </patternFill>
    </fill>
    <fill>
      <patternFill patternType="solid">
        <fgColor rgb="FFBF9000"/>
        <bgColor rgb="FFBF9000"/>
      </patternFill>
    </fill>
    <fill>
      <patternFill patternType="solid">
        <fgColor rgb="FFFFD965"/>
        <bgColor rgb="FFFFD965"/>
      </patternFill>
    </fill>
    <fill>
      <patternFill patternType="solid">
        <fgColor theme="6"/>
        <bgColor theme="6"/>
      </patternFill>
    </fill>
    <fill>
      <patternFill patternType="solid">
        <fgColor rgb="FF9CC2E5"/>
        <bgColor rgb="FF9CC2E5"/>
      </patternFill>
    </fill>
    <fill>
      <patternFill patternType="solid">
        <fgColor rgb="FFBDD6EE"/>
        <bgColor rgb="FFBDD6EE"/>
      </patternFill>
    </fill>
    <fill>
      <patternFill patternType="solid">
        <fgColor rgb="FFFFFFFF"/>
        <bgColor rgb="FFFFFFFF"/>
      </patternFill>
    </fill>
    <fill>
      <patternFill patternType="solid">
        <fgColor rgb="FFD8D8D8"/>
        <bgColor rgb="FFD8D8D8"/>
      </patternFill>
    </fill>
    <fill>
      <patternFill patternType="solid">
        <fgColor rgb="FFDEEAF6"/>
        <bgColor rgb="FFDEEAF6"/>
      </patternFill>
    </fill>
    <fill>
      <patternFill patternType="solid">
        <fgColor theme="0" tint="-0.249977111117893"/>
        <bgColor indexed="64"/>
      </patternFill>
    </fill>
  </fills>
  <borders count="60">
    <border>
      <left/>
      <right/>
      <top/>
      <bottom/>
      <diagonal/>
    </border>
    <border>
      <left style="medium">
        <color rgb="FF000000"/>
      </left>
      <right style="thin">
        <color rgb="FF000000"/>
      </right>
      <top style="medium">
        <color rgb="FF000000"/>
      </top>
      <bottom/>
      <diagonal/>
    </border>
    <border>
      <left style="thin">
        <color rgb="FF000000"/>
      </left>
      <right/>
      <top style="medium">
        <color rgb="FF000000"/>
      </top>
      <bottom/>
      <diagonal/>
    </border>
    <border>
      <left/>
      <right/>
      <top style="medium">
        <color rgb="FF000000"/>
      </top>
      <bottom/>
      <diagonal/>
    </border>
    <border>
      <left/>
      <right style="thin">
        <color rgb="FF000000"/>
      </right>
      <top style="medium">
        <color rgb="FF000000"/>
      </top>
      <bottom/>
      <diagonal/>
    </border>
    <border>
      <left style="thin">
        <color rgb="FF000000"/>
      </left>
      <right style="thin">
        <color rgb="FF000000"/>
      </right>
      <top style="medium">
        <color rgb="FF000000"/>
      </top>
      <bottom/>
      <diagonal/>
    </border>
    <border>
      <left style="thin">
        <color rgb="FF000000"/>
      </left>
      <right style="medium">
        <color rgb="FF000000"/>
      </right>
      <top style="medium">
        <color rgb="FF000000"/>
      </top>
      <bottom/>
      <diagonal/>
    </border>
    <border>
      <left style="medium">
        <color rgb="FF000000"/>
      </left>
      <right/>
      <top style="medium">
        <color rgb="FF000000"/>
      </top>
      <bottom style="medium">
        <color rgb="FF000000"/>
      </bottom>
      <diagonal/>
    </border>
    <border>
      <left/>
      <right/>
      <top style="medium">
        <color rgb="FF000000"/>
      </top>
      <bottom style="medium">
        <color rgb="FF000000"/>
      </bottom>
      <diagonal/>
    </border>
    <border>
      <left style="medium">
        <color rgb="FF000000"/>
      </left>
      <right style="thin">
        <color rgb="FF000000"/>
      </right>
      <top/>
      <bottom/>
      <diagonal/>
    </border>
    <border>
      <left style="thin">
        <color rgb="FF000000"/>
      </left>
      <right/>
      <top/>
      <bottom style="thin">
        <color rgb="FF000000"/>
      </bottom>
      <diagonal/>
    </border>
    <border>
      <left/>
      <right/>
      <top/>
      <bottom style="thin">
        <color rgb="FF000000"/>
      </bottom>
      <diagonal/>
    </border>
    <border>
      <left/>
      <right style="thin">
        <color rgb="FF000000"/>
      </right>
      <top/>
      <bottom style="thin">
        <color rgb="FF000000"/>
      </bottom>
      <diagonal/>
    </border>
    <border>
      <left style="thin">
        <color rgb="FF000000"/>
      </left>
      <right style="thin">
        <color rgb="FF000000"/>
      </right>
      <top/>
      <bottom/>
      <diagonal/>
    </border>
    <border>
      <left style="thin">
        <color rgb="FF000000"/>
      </left>
      <right style="medium">
        <color rgb="FF000000"/>
      </right>
      <top/>
      <bottom/>
      <diagonal/>
    </border>
    <border>
      <left style="medium">
        <color rgb="FF000000"/>
      </left>
      <right style="medium">
        <color rgb="FF000000"/>
      </right>
      <top/>
      <bottom/>
      <diagonal/>
    </border>
    <border>
      <left style="medium">
        <color rgb="FF000000"/>
      </left>
      <right style="thin">
        <color rgb="FF000000"/>
      </right>
      <top/>
      <bottom style="medium">
        <color rgb="FF000000"/>
      </bottom>
      <diagonal/>
    </border>
    <border>
      <left style="thin">
        <color rgb="FF000000"/>
      </left>
      <right style="thin">
        <color rgb="FF000000"/>
      </right>
      <top style="thin">
        <color rgb="FF000000"/>
      </top>
      <bottom style="medium">
        <color rgb="FF000000"/>
      </bottom>
      <diagonal/>
    </border>
    <border>
      <left style="thin">
        <color rgb="FF000000"/>
      </left>
      <right style="thin">
        <color rgb="FF000000"/>
      </right>
      <top/>
      <bottom style="medium">
        <color rgb="FF000000"/>
      </bottom>
      <diagonal/>
    </border>
    <border>
      <left style="medium">
        <color rgb="FF000000"/>
      </left>
      <right style="medium">
        <color rgb="FF000000"/>
      </right>
      <top/>
      <bottom style="medium">
        <color rgb="FF000000"/>
      </bottom>
      <diagonal/>
    </border>
    <border>
      <left style="medium">
        <color rgb="FF000000"/>
      </left>
      <right style="thin">
        <color rgb="FF000000"/>
      </right>
      <top style="medium">
        <color rgb="FF000000"/>
      </top>
      <bottom style="medium">
        <color rgb="FF000000"/>
      </bottom>
      <diagonal/>
    </border>
    <border>
      <left/>
      <right style="thin">
        <color rgb="FF000000"/>
      </right>
      <top style="medium">
        <color rgb="FF000000"/>
      </top>
      <bottom style="medium">
        <color rgb="FF000000"/>
      </bottom>
      <diagonal/>
    </border>
    <border>
      <left style="thin">
        <color rgb="FF000000"/>
      </left>
      <right style="thin">
        <color rgb="FF000000"/>
      </right>
      <top style="medium">
        <color rgb="FF000000"/>
      </top>
      <bottom style="medium">
        <color rgb="FF000000"/>
      </bottom>
      <diagonal/>
    </border>
    <border>
      <left style="thin">
        <color rgb="FF000000"/>
      </left>
      <right/>
      <top style="medium">
        <color rgb="FF000000"/>
      </top>
      <bottom style="medium">
        <color rgb="FF000000"/>
      </bottom>
      <diagonal/>
    </border>
    <border>
      <left style="thin">
        <color rgb="FF000000"/>
      </left>
      <right style="medium">
        <color rgb="FF000000"/>
      </right>
      <top style="medium">
        <color rgb="FF000000"/>
      </top>
      <bottom style="medium">
        <color rgb="FF000000"/>
      </bottom>
      <diagonal/>
    </border>
    <border>
      <left style="thin">
        <color rgb="FF000000"/>
      </left>
      <right style="thin">
        <color rgb="FF000000"/>
      </right>
      <top style="thin">
        <color rgb="FF000000"/>
      </top>
      <bottom style="thin">
        <color rgb="FF000000"/>
      </bottom>
      <diagonal/>
    </border>
    <border>
      <left style="thin">
        <color rgb="FF000000"/>
      </left>
      <right/>
      <top style="thin">
        <color rgb="FF000000"/>
      </top>
      <bottom style="thin">
        <color rgb="FF000000"/>
      </bottom>
      <diagonal/>
    </border>
    <border>
      <left style="thin">
        <color indexed="64"/>
      </left>
      <right style="thin">
        <color indexed="64"/>
      </right>
      <top style="thin">
        <color indexed="64"/>
      </top>
      <bottom style="thin">
        <color indexed="64"/>
      </bottom>
      <diagonal/>
    </border>
    <border>
      <left/>
      <right style="thin">
        <color rgb="FF000000"/>
      </right>
      <top style="thin">
        <color rgb="FF000000"/>
      </top>
      <bottom style="thin">
        <color rgb="FF000000"/>
      </bottom>
      <diagonal/>
    </border>
    <border>
      <left style="thin">
        <color rgb="FF000000"/>
      </left>
      <right style="thin">
        <color rgb="FF000000"/>
      </right>
      <top/>
      <bottom style="thin">
        <color rgb="FF000000"/>
      </bottom>
      <diagonal/>
    </border>
    <border>
      <left/>
      <right/>
      <top style="thin">
        <color rgb="FF000000"/>
      </top>
      <bottom style="thin">
        <color rgb="FF000000"/>
      </bottom>
      <diagonal/>
    </border>
    <border>
      <left/>
      <right style="medium">
        <color rgb="FF000000"/>
      </right>
      <top style="medium">
        <color rgb="FF000000"/>
      </top>
      <bottom style="medium">
        <color rgb="FF000000"/>
      </bottom>
      <diagonal/>
    </border>
    <border>
      <left style="medium">
        <color rgb="FF000000"/>
      </left>
      <right/>
      <top/>
      <bottom/>
      <diagonal/>
    </border>
    <border>
      <left/>
      <right style="medium">
        <color rgb="FF000000"/>
      </right>
      <top/>
      <bottom/>
      <diagonal/>
    </border>
    <border>
      <left style="thin">
        <color rgb="FF000000"/>
      </left>
      <right/>
      <top/>
      <bottom/>
      <diagonal/>
    </border>
    <border>
      <left style="medium">
        <color rgb="FF000000"/>
      </left>
      <right/>
      <top style="medium">
        <color rgb="FF000000"/>
      </top>
      <bottom/>
      <diagonal/>
    </border>
    <border>
      <left/>
      <right style="medium">
        <color rgb="FF000000"/>
      </right>
      <top style="medium">
        <color rgb="FF000000"/>
      </top>
      <bottom/>
      <diagonal/>
    </border>
    <border>
      <left/>
      <right/>
      <top style="medium">
        <color rgb="FFCCCCCC"/>
      </top>
      <bottom/>
      <diagonal/>
    </border>
    <border>
      <left/>
      <right style="thick">
        <color rgb="FF000000"/>
      </right>
      <top style="medium">
        <color rgb="FFCCCCCC"/>
      </top>
      <bottom/>
      <diagonal/>
    </border>
    <border>
      <left style="medium">
        <color rgb="FFCCCCCC"/>
      </left>
      <right style="thick">
        <color rgb="FF000000"/>
      </right>
      <top style="medium">
        <color rgb="FFCCCCCC"/>
      </top>
      <bottom/>
      <diagonal/>
    </border>
    <border>
      <left style="medium">
        <color rgb="FF000000"/>
      </left>
      <right/>
      <top/>
      <bottom style="medium">
        <color rgb="FF000000"/>
      </bottom>
      <diagonal/>
    </border>
    <border>
      <left style="thin">
        <color rgb="FF000000"/>
      </left>
      <right style="medium">
        <color rgb="FF000000"/>
      </right>
      <top/>
      <bottom style="medium">
        <color rgb="FF000000"/>
      </bottom>
      <diagonal/>
    </border>
    <border>
      <left/>
      <right style="thick">
        <color rgb="FF000000"/>
      </right>
      <top/>
      <bottom/>
      <diagonal/>
    </border>
    <border>
      <left style="medium">
        <color rgb="FFCCCCCC"/>
      </left>
      <right style="thick">
        <color rgb="FF000000"/>
      </right>
      <top/>
      <bottom/>
      <diagonal/>
    </border>
    <border>
      <left style="medium">
        <color rgb="FFCCCCCC"/>
      </left>
      <right style="medium">
        <color rgb="FF000000"/>
      </right>
      <top/>
      <bottom/>
      <diagonal/>
    </border>
    <border>
      <left style="thin">
        <color rgb="FF000000"/>
      </left>
      <right/>
      <top style="medium">
        <color rgb="FF000000"/>
      </top>
      <bottom style="thin">
        <color rgb="FF000000"/>
      </bottom>
      <diagonal/>
    </border>
    <border>
      <left/>
      <right style="thin">
        <color rgb="FF000000"/>
      </right>
      <top style="medium">
        <color rgb="FF000000"/>
      </top>
      <bottom style="thin">
        <color rgb="FF000000"/>
      </bottom>
      <diagonal/>
    </border>
    <border>
      <left style="thin">
        <color rgb="FF000000"/>
      </left>
      <right style="thin">
        <color rgb="FF000000"/>
      </right>
      <top style="medium">
        <color rgb="FF000000"/>
      </top>
      <bottom style="thin">
        <color rgb="FF000000"/>
      </bottom>
      <diagonal/>
    </border>
    <border>
      <left style="medium">
        <color rgb="FF000000"/>
      </left>
      <right/>
      <top style="medium">
        <color rgb="FF000000"/>
      </top>
      <bottom style="thin">
        <color rgb="FF000000"/>
      </bottom>
      <diagonal/>
    </border>
    <border>
      <left style="thin">
        <color rgb="FF000000"/>
      </left>
      <right style="medium">
        <color rgb="FF000000"/>
      </right>
      <top style="medium">
        <color rgb="FF000000"/>
      </top>
      <bottom style="thin">
        <color rgb="FF000000"/>
      </bottom>
      <diagonal/>
    </border>
    <border>
      <left style="medium">
        <color rgb="FF000000"/>
      </left>
      <right/>
      <top style="thin">
        <color rgb="FF000000"/>
      </top>
      <bottom style="thin">
        <color rgb="FF000000"/>
      </bottom>
      <diagonal/>
    </border>
    <border>
      <left style="thin">
        <color rgb="FF000000"/>
      </left>
      <right style="medium">
        <color rgb="FF000000"/>
      </right>
      <top style="thin">
        <color rgb="FF000000"/>
      </top>
      <bottom style="thin">
        <color rgb="FF000000"/>
      </bottom>
      <diagonal/>
    </border>
    <border>
      <left style="thin">
        <color rgb="FF000000"/>
      </left>
      <right/>
      <top style="thin">
        <color rgb="FF000000"/>
      </top>
      <bottom/>
      <diagonal/>
    </border>
    <border>
      <left/>
      <right style="thin">
        <color rgb="FF000000"/>
      </right>
      <top style="thin">
        <color rgb="FF000000"/>
      </top>
      <bottom/>
      <diagonal/>
    </border>
    <border>
      <left style="thin">
        <color rgb="FF000000"/>
      </left>
      <right style="thin">
        <color rgb="FF000000"/>
      </right>
      <top style="thin">
        <color rgb="FF000000"/>
      </top>
      <bottom/>
      <diagonal/>
    </border>
    <border>
      <left style="thin">
        <color rgb="FF000000"/>
      </left>
      <right/>
      <top style="thin">
        <color rgb="FF000000"/>
      </top>
      <bottom style="medium">
        <color rgb="FF000000"/>
      </bottom>
      <diagonal/>
    </border>
    <border>
      <left/>
      <right style="thin">
        <color rgb="FF000000"/>
      </right>
      <top style="thin">
        <color rgb="FF000000"/>
      </top>
      <bottom style="medium">
        <color rgb="FF000000"/>
      </bottom>
      <diagonal/>
    </border>
    <border>
      <left style="thin">
        <color rgb="FF000000"/>
      </left>
      <right style="medium">
        <color rgb="FF000000"/>
      </right>
      <top style="thin">
        <color rgb="FF000000"/>
      </top>
      <bottom style="medium">
        <color rgb="FF000000"/>
      </bottom>
      <diagonal/>
    </border>
    <border>
      <left style="medium">
        <color rgb="FF000000"/>
      </left>
      <right/>
      <top style="thin">
        <color rgb="FF000000"/>
      </top>
      <bottom style="medium">
        <color rgb="FF000000"/>
      </bottom>
      <diagonal/>
    </border>
    <border>
      <left/>
      <right/>
      <top/>
      <bottom style="medium">
        <color rgb="FF000000"/>
      </bottom>
      <diagonal/>
    </border>
  </borders>
  <cellStyleXfs count="1">
    <xf numFmtId="0" fontId="0" fillId="0" borderId="0"/>
  </cellStyleXfs>
  <cellXfs count="168">
    <xf numFmtId="0" fontId="0" fillId="0" borderId="0" xfId="0"/>
    <xf numFmtId="14" fontId="0" fillId="0" borderId="0" xfId="0" applyNumberFormat="1"/>
    <xf numFmtId="0" fontId="1" fillId="2" borderId="0" xfId="0" applyFont="1" applyFill="1" applyAlignment="1">
      <alignment horizontal="center"/>
    </xf>
    <xf numFmtId="0" fontId="3" fillId="3" borderId="17" xfId="0" applyFont="1" applyFill="1" applyBorder="1" applyAlignment="1">
      <alignment horizontal="center" vertical="center" wrapText="1"/>
    </xf>
    <xf numFmtId="0" fontId="3" fillId="3" borderId="17" xfId="0" applyFont="1" applyFill="1" applyBorder="1" applyAlignment="1">
      <alignment horizontal="center" vertical="center"/>
    </xf>
    <xf numFmtId="0" fontId="8" fillId="7" borderId="20" xfId="0" applyFont="1" applyFill="1" applyBorder="1" applyAlignment="1">
      <alignment horizontal="center" vertical="center" wrapText="1"/>
    </xf>
    <xf numFmtId="0" fontId="8" fillId="7" borderId="21" xfId="0" applyFont="1" applyFill="1" applyBorder="1" applyAlignment="1">
      <alignment horizontal="center" vertical="center" wrapText="1"/>
    </xf>
    <xf numFmtId="0" fontId="8" fillId="7" borderId="22" xfId="0" applyFont="1" applyFill="1" applyBorder="1" applyAlignment="1">
      <alignment horizontal="center" vertical="center" wrapText="1"/>
    </xf>
    <xf numFmtId="0" fontId="8" fillId="7" borderId="23" xfId="0" applyFont="1" applyFill="1" applyBorder="1" applyAlignment="1">
      <alignment horizontal="center" vertical="center" wrapText="1"/>
    </xf>
    <xf numFmtId="0" fontId="10" fillId="7" borderId="24" xfId="0" applyFont="1" applyFill="1" applyBorder="1" applyAlignment="1">
      <alignment horizontal="center" vertical="center" wrapText="1"/>
    </xf>
    <xf numFmtId="0" fontId="11" fillId="0" borderId="0" xfId="0" applyFont="1"/>
    <xf numFmtId="0" fontId="1" fillId="0" borderId="25" xfId="0" applyFont="1" applyBorder="1"/>
    <xf numFmtId="0" fontId="12" fillId="0" borderId="25" xfId="0" applyFont="1" applyBorder="1" applyAlignment="1">
      <alignment vertical="center"/>
    </xf>
    <xf numFmtId="0" fontId="1" fillId="0" borderId="25" xfId="0" applyFont="1" applyBorder="1" applyAlignment="1">
      <alignment horizontal="center"/>
    </xf>
    <xf numFmtId="14" fontId="1" fillId="0" borderId="25" xfId="0" applyNumberFormat="1" applyFont="1" applyBorder="1" applyAlignment="1">
      <alignment horizontal="center"/>
    </xf>
    <xf numFmtId="0" fontId="1" fillId="0" borderId="26" xfId="0" applyFont="1" applyBorder="1" applyAlignment="1">
      <alignment horizontal="center"/>
    </xf>
    <xf numFmtId="0" fontId="12" fillId="0" borderId="27" xfId="0" applyFont="1" applyBorder="1" applyAlignment="1">
      <alignment horizontal="center" vertical="center"/>
    </xf>
    <xf numFmtId="0" fontId="12" fillId="0" borderId="28" xfId="0" applyFont="1" applyBorder="1" applyAlignment="1">
      <alignment horizontal="center"/>
    </xf>
    <xf numFmtId="0" fontId="12" fillId="0" borderId="25" xfId="0" quotePrefix="1" applyFont="1" applyBorder="1" applyAlignment="1">
      <alignment horizontal="center"/>
    </xf>
    <xf numFmtId="0" fontId="12" fillId="0" borderId="25" xfId="0" applyFont="1" applyBorder="1" applyAlignment="1">
      <alignment horizontal="center"/>
    </xf>
    <xf numFmtId="0" fontId="1" fillId="0" borderId="25" xfId="0" applyFont="1" applyBorder="1" applyAlignment="1">
      <alignment shrinkToFit="1"/>
    </xf>
    <xf numFmtId="14" fontId="1" fillId="0" borderId="26" xfId="0" applyNumberFormat="1" applyFont="1" applyBorder="1" applyAlignment="1">
      <alignment horizontal="center"/>
    </xf>
    <xf numFmtId="0" fontId="12" fillId="0" borderId="27" xfId="0" applyFont="1" applyBorder="1" applyAlignment="1">
      <alignment horizontal="center"/>
    </xf>
    <xf numFmtId="0" fontId="12" fillId="0" borderId="28" xfId="0" quotePrefix="1" applyFont="1" applyBorder="1" applyAlignment="1">
      <alignment horizontal="center"/>
    </xf>
    <xf numFmtId="0" fontId="1" fillId="0" borderId="27" xfId="0" applyFont="1" applyBorder="1" applyAlignment="1">
      <alignment horizontal="center"/>
    </xf>
    <xf numFmtId="0" fontId="12" fillId="0" borderId="25" xfId="0" applyFont="1" applyBorder="1"/>
    <xf numFmtId="0" fontId="13" fillId="0" borderId="25" xfId="0" applyFont="1" applyBorder="1" applyAlignment="1">
      <alignment horizontal="center"/>
    </xf>
    <xf numFmtId="164" fontId="1" fillId="0" borderId="25" xfId="0" applyNumberFormat="1" applyFont="1" applyBorder="1" applyAlignment="1">
      <alignment horizontal="center"/>
    </xf>
    <xf numFmtId="0" fontId="1" fillId="0" borderId="29" xfId="0" applyFont="1" applyBorder="1" applyAlignment="1">
      <alignment horizontal="center"/>
    </xf>
    <xf numFmtId="0" fontId="14" fillId="0" borderId="29" xfId="0" applyFont="1" applyBorder="1" applyAlignment="1">
      <alignment horizontal="center"/>
    </xf>
    <xf numFmtId="0" fontId="1" fillId="0" borderId="29" xfId="0" applyFont="1" applyBorder="1"/>
    <xf numFmtId="0" fontId="3" fillId="0" borderId="25" xfId="0" applyFont="1" applyBorder="1" applyAlignment="1">
      <alignment horizontal="center"/>
    </xf>
    <xf numFmtId="0" fontId="1" fillId="0" borderId="25" xfId="0" applyFont="1" applyBorder="1" applyAlignment="1">
      <alignment horizontal="center" shrinkToFit="1"/>
    </xf>
    <xf numFmtId="0" fontId="11" fillId="0" borderId="0" xfId="0" applyFont="1" applyAlignment="1">
      <alignment horizontal="right"/>
    </xf>
    <xf numFmtId="0" fontId="11" fillId="0" borderId="30" xfId="0" applyFont="1" applyBorder="1"/>
    <xf numFmtId="0" fontId="11" fillId="0" borderId="30" xfId="0" applyFont="1" applyBorder="1" applyAlignment="1">
      <alignment horizontal="center"/>
    </xf>
    <xf numFmtId="14" fontId="11" fillId="0" borderId="30" xfId="0" applyNumberFormat="1" applyFont="1" applyBorder="1" applyAlignment="1">
      <alignment horizontal="center"/>
    </xf>
    <xf numFmtId="0" fontId="1" fillId="0" borderId="30" xfId="0" applyFont="1" applyBorder="1" applyAlignment="1">
      <alignment horizontal="center"/>
    </xf>
    <xf numFmtId="0" fontId="11" fillId="0" borderId="30" xfId="0" applyFont="1" applyBorder="1" applyAlignment="1">
      <alignment horizontal="center" vertical="center"/>
    </xf>
    <xf numFmtId="0" fontId="17" fillId="0" borderId="34" xfId="0" applyFont="1" applyBorder="1"/>
    <xf numFmtId="0" fontId="15" fillId="2" borderId="40" xfId="0" applyFont="1" applyFill="1" applyBorder="1" applyAlignment="1">
      <alignment horizontal="center" vertical="center"/>
    </xf>
    <xf numFmtId="0" fontId="15" fillId="2" borderId="41" xfId="0" applyFont="1" applyFill="1" applyBorder="1" applyAlignment="1">
      <alignment horizontal="center" vertical="center"/>
    </xf>
    <xf numFmtId="0" fontId="15" fillId="11" borderId="43" xfId="0" applyFont="1" applyFill="1" applyBorder="1" applyAlignment="1">
      <alignment horizontal="center" vertical="center" wrapText="1" readingOrder="1"/>
    </xf>
    <xf numFmtId="0" fontId="15" fillId="11" borderId="44" xfId="0" applyFont="1" applyFill="1" applyBorder="1" applyAlignment="1">
      <alignment horizontal="center" vertical="center" wrapText="1" readingOrder="1"/>
    </xf>
    <xf numFmtId="0" fontId="11" fillId="12" borderId="47" xfId="0" applyFont="1" applyFill="1" applyBorder="1" applyAlignment="1">
      <alignment horizontal="center" vertical="center"/>
    </xf>
    <xf numFmtId="0" fontId="11" fillId="2" borderId="29" xfId="0" applyFont="1" applyFill="1" applyBorder="1" applyAlignment="1">
      <alignment horizontal="center" vertical="center"/>
    </xf>
    <xf numFmtId="0" fontId="11" fillId="2" borderId="10" xfId="0" applyFont="1" applyFill="1" applyBorder="1" applyAlignment="1">
      <alignment horizontal="center" vertical="center"/>
    </xf>
    <xf numFmtId="0" fontId="15" fillId="13" borderId="47" xfId="0" applyFont="1" applyFill="1" applyBorder="1" applyAlignment="1">
      <alignment horizontal="center" vertical="center" wrapText="1" readingOrder="1"/>
    </xf>
    <xf numFmtId="0" fontId="17" fillId="0" borderId="47" xfId="0" applyFont="1" applyBorder="1" applyAlignment="1">
      <alignment horizontal="center" vertical="center" wrapText="1" readingOrder="1"/>
    </xf>
    <xf numFmtId="0" fontId="17" fillId="0" borderId="49" xfId="0" applyFont="1" applyBorder="1" applyAlignment="1">
      <alignment horizontal="center" vertical="center" wrapText="1" readingOrder="1"/>
    </xf>
    <xf numFmtId="0" fontId="11" fillId="12" borderId="25" xfId="0" applyFont="1" applyFill="1" applyBorder="1" applyAlignment="1">
      <alignment horizontal="center" vertical="center"/>
    </xf>
    <xf numFmtId="0" fontId="11" fillId="2" borderId="25" xfId="0" applyFont="1" applyFill="1" applyBorder="1" applyAlignment="1">
      <alignment horizontal="center" vertical="center"/>
    </xf>
    <xf numFmtId="0" fontId="11" fillId="2" borderId="26" xfId="0" applyFont="1" applyFill="1" applyBorder="1" applyAlignment="1">
      <alignment horizontal="center" vertical="center"/>
    </xf>
    <xf numFmtId="0" fontId="15" fillId="13" borderId="25" xfId="0" applyFont="1" applyFill="1" applyBorder="1" applyAlignment="1">
      <alignment horizontal="center" vertical="center" wrapText="1" readingOrder="1"/>
    </xf>
    <xf numFmtId="0" fontId="17" fillId="0" borderId="25" xfId="0" applyFont="1" applyBorder="1" applyAlignment="1">
      <alignment horizontal="center" vertical="center" wrapText="1" readingOrder="1"/>
    </xf>
    <xf numFmtId="0" fontId="17" fillId="0" borderId="51" xfId="0" applyFont="1" applyBorder="1" applyAlignment="1">
      <alignment horizontal="center" vertical="center" wrapText="1" readingOrder="1"/>
    </xf>
    <xf numFmtId="0" fontId="20" fillId="3" borderId="54" xfId="0" applyFont="1" applyFill="1" applyBorder="1" applyAlignment="1">
      <alignment horizontal="center" vertical="center"/>
    </xf>
    <xf numFmtId="0" fontId="15" fillId="3" borderId="54" xfId="0" applyFont="1" applyFill="1" applyBorder="1" applyAlignment="1">
      <alignment horizontal="center" vertical="center"/>
    </xf>
    <xf numFmtId="3" fontId="15" fillId="3" borderId="52" xfId="0" applyNumberFormat="1" applyFont="1" applyFill="1" applyBorder="1" applyAlignment="1">
      <alignment horizontal="center" vertical="center"/>
    </xf>
    <xf numFmtId="0" fontId="11" fillId="2" borderId="47" xfId="0" applyFont="1" applyFill="1" applyBorder="1" applyAlignment="1">
      <alignment horizontal="center" vertical="center"/>
    </xf>
    <xf numFmtId="0" fontId="11" fillId="2" borderId="45" xfId="0" applyFont="1" applyFill="1" applyBorder="1" applyAlignment="1">
      <alignment horizontal="center" vertical="center"/>
    </xf>
    <xf numFmtId="0" fontId="22" fillId="2" borderId="0" xfId="0" applyFont="1" applyFill="1" applyAlignment="1">
      <alignment horizontal="center" vertical="top"/>
    </xf>
    <xf numFmtId="0" fontId="22" fillId="2" borderId="0" xfId="0" applyFont="1" applyFill="1" applyAlignment="1">
      <alignment vertical="top"/>
    </xf>
    <xf numFmtId="0" fontId="23" fillId="2" borderId="0" xfId="0" applyFont="1" applyFill="1"/>
    <xf numFmtId="0" fontId="14" fillId="0" borderId="0" xfId="0" applyFont="1" applyAlignment="1">
      <alignment horizontal="center"/>
    </xf>
    <xf numFmtId="0" fontId="24" fillId="2" borderId="0" xfId="0" applyFont="1" applyFill="1" applyAlignment="1">
      <alignment vertical="top"/>
    </xf>
    <xf numFmtId="0" fontId="26" fillId="2" borderId="0" xfId="0" applyFont="1" applyFill="1" applyAlignment="1">
      <alignment horizontal="center" wrapText="1" readingOrder="1"/>
    </xf>
    <xf numFmtId="0" fontId="22" fillId="2" borderId="0" xfId="0" applyFont="1" applyFill="1" applyAlignment="1">
      <alignment vertical="center"/>
    </xf>
    <xf numFmtId="0" fontId="27" fillId="2" borderId="0" xfId="0" applyFont="1" applyFill="1" applyAlignment="1">
      <alignment horizontal="center" vertical="top" wrapText="1" readingOrder="1"/>
    </xf>
    <xf numFmtId="0" fontId="17" fillId="13" borderId="25" xfId="0" applyFont="1" applyFill="1" applyBorder="1" applyAlignment="1">
      <alignment horizontal="center" vertical="center" wrapText="1" readingOrder="1"/>
    </xf>
    <xf numFmtId="0" fontId="17" fillId="0" borderId="25" xfId="0" applyFont="1" applyBorder="1" applyAlignment="1">
      <alignment horizontal="left" vertical="center" wrapText="1" readingOrder="1"/>
    </xf>
    <xf numFmtId="0" fontId="22" fillId="2" borderId="32" xfId="0" applyFont="1" applyFill="1" applyBorder="1" applyAlignment="1">
      <alignment horizontal="center" vertical="top"/>
    </xf>
    <xf numFmtId="0" fontId="1" fillId="2" borderId="32" xfId="0" applyFont="1" applyFill="1" applyBorder="1"/>
    <xf numFmtId="0" fontId="1" fillId="2" borderId="0" xfId="0" applyFont="1" applyFill="1"/>
    <xf numFmtId="0" fontId="22" fillId="2" borderId="0" xfId="0" applyFont="1" applyFill="1" applyAlignment="1">
      <alignment horizontal="center"/>
    </xf>
    <xf numFmtId="0" fontId="22" fillId="2" borderId="0" xfId="0" applyFont="1" applyFill="1"/>
    <xf numFmtId="0" fontId="26" fillId="2" borderId="0" xfId="0" applyFont="1" applyFill="1" applyAlignment="1">
      <alignment horizontal="center" vertical="top" wrapText="1" readingOrder="1"/>
    </xf>
    <xf numFmtId="0" fontId="24" fillId="0" borderId="0" xfId="0" applyFont="1" applyAlignment="1">
      <alignment horizontal="center"/>
    </xf>
    <xf numFmtId="0" fontId="27" fillId="2" borderId="0" xfId="0" applyFont="1" applyFill="1" applyAlignment="1">
      <alignment horizontal="center" wrapText="1" readingOrder="1"/>
    </xf>
    <xf numFmtId="0" fontId="17" fillId="0" borderId="26" xfId="0" applyFont="1" applyBorder="1" applyAlignment="1">
      <alignment horizontal="center" vertical="center" wrapText="1" readingOrder="1"/>
    </xf>
    <xf numFmtId="0" fontId="22" fillId="0" borderId="0" xfId="0" applyFont="1"/>
    <xf numFmtId="0" fontId="22" fillId="0" borderId="0" xfId="0" applyFont="1" applyAlignment="1">
      <alignment horizontal="center"/>
    </xf>
    <xf numFmtId="0" fontId="11" fillId="12" borderId="17" xfId="0" applyFont="1" applyFill="1" applyBorder="1" applyAlignment="1">
      <alignment horizontal="center" vertical="center"/>
    </xf>
    <xf numFmtId="0" fontId="11" fillId="2" borderId="17" xfId="0" applyFont="1" applyFill="1" applyBorder="1" applyAlignment="1">
      <alignment horizontal="center" vertical="center"/>
    </xf>
    <xf numFmtId="0" fontId="11" fillId="2" borderId="57" xfId="0" applyFont="1" applyFill="1" applyBorder="1" applyAlignment="1">
      <alignment horizontal="center" vertical="center"/>
    </xf>
    <xf numFmtId="0" fontId="17" fillId="13" borderId="17" xfId="0" applyFont="1" applyFill="1" applyBorder="1" applyAlignment="1">
      <alignment horizontal="center" vertical="center" wrapText="1" readingOrder="1"/>
    </xf>
    <xf numFmtId="0" fontId="17" fillId="0" borderId="17" xfId="0" applyFont="1" applyBorder="1" applyAlignment="1">
      <alignment horizontal="left" vertical="center" wrapText="1" readingOrder="1"/>
    </xf>
    <xf numFmtId="0" fontId="17" fillId="0" borderId="57" xfId="0" applyFont="1" applyBorder="1" applyAlignment="1">
      <alignment horizontal="center" vertical="center" wrapText="1" readingOrder="1"/>
    </xf>
    <xf numFmtId="0" fontId="11" fillId="0" borderId="59" xfId="0" applyFont="1" applyBorder="1"/>
    <xf numFmtId="0" fontId="11" fillId="0" borderId="11" xfId="0" applyFont="1" applyBorder="1"/>
    <xf numFmtId="0" fontId="11" fillId="2" borderId="11" xfId="0" applyFont="1" applyFill="1" applyBorder="1"/>
    <xf numFmtId="0" fontId="26" fillId="2" borderId="11" xfId="0" applyFont="1" applyFill="1" applyBorder="1" applyAlignment="1">
      <alignment horizontal="center" vertical="top" wrapText="1" readingOrder="1"/>
    </xf>
    <xf numFmtId="0" fontId="17" fillId="0" borderId="0" xfId="0" applyFont="1" applyAlignment="1">
      <alignment horizontal="center"/>
    </xf>
    <xf numFmtId="0" fontId="27" fillId="2" borderId="34" xfId="0" applyFont="1" applyFill="1" applyBorder="1" applyAlignment="1">
      <alignment horizontal="left" vertical="top" wrapText="1" readingOrder="1"/>
    </xf>
    <xf numFmtId="0" fontId="27" fillId="2" borderId="0" xfId="0" applyFont="1" applyFill="1" applyAlignment="1">
      <alignment horizontal="left" vertical="top" wrapText="1" readingOrder="1"/>
    </xf>
    <xf numFmtId="0" fontId="0" fillId="0" borderId="0" xfId="0"/>
    <xf numFmtId="0" fontId="4" fillId="2" borderId="0" xfId="0" applyFont="1" applyFill="1" applyAlignment="1">
      <alignment horizontal="center" vertical="center"/>
    </xf>
    <xf numFmtId="0" fontId="2" fillId="0" borderId="0" xfId="0" applyFont="1"/>
    <xf numFmtId="0" fontId="1" fillId="2" borderId="0" xfId="0" applyFont="1" applyFill="1" applyAlignment="1">
      <alignment horizontal="center" vertical="center"/>
    </xf>
    <xf numFmtId="0" fontId="3" fillId="2" borderId="0" xfId="0" applyFont="1" applyFill="1" applyAlignment="1">
      <alignment horizontal="center" vertical="center"/>
    </xf>
    <xf numFmtId="0" fontId="4" fillId="2" borderId="0" xfId="0" applyFont="1" applyFill="1" applyAlignment="1">
      <alignment horizontal="center"/>
    </xf>
    <xf numFmtId="0" fontId="3" fillId="2" borderId="0" xfId="0" applyFont="1" applyFill="1" applyAlignment="1">
      <alignment horizontal="center" vertical="top"/>
    </xf>
    <xf numFmtId="0" fontId="3" fillId="3" borderId="1" xfId="0" applyFont="1" applyFill="1" applyBorder="1" applyAlignment="1">
      <alignment horizontal="center" vertical="center"/>
    </xf>
    <xf numFmtId="0" fontId="2" fillId="0" borderId="9" xfId="0" applyFont="1" applyBorder="1"/>
    <xf numFmtId="0" fontId="2" fillId="0" borderId="16" xfId="0" applyFont="1" applyBorder="1"/>
    <xf numFmtId="0" fontId="3" fillId="3" borderId="2" xfId="0" applyFont="1" applyFill="1" applyBorder="1" applyAlignment="1">
      <alignment horizontal="center" vertical="center"/>
    </xf>
    <xf numFmtId="0" fontId="2" fillId="0" borderId="3" xfId="0" applyFont="1" applyBorder="1"/>
    <xf numFmtId="0" fontId="2" fillId="0" borderId="4" xfId="0" applyFont="1" applyBorder="1"/>
    <xf numFmtId="0" fontId="2" fillId="0" borderId="10" xfId="0" applyFont="1" applyBorder="1"/>
    <xf numFmtId="0" fontId="2" fillId="0" borderId="11" xfId="0" applyFont="1" applyBorder="1"/>
    <xf numFmtId="0" fontId="2" fillId="0" borderId="12" xfId="0" applyFont="1" applyBorder="1"/>
    <xf numFmtId="0" fontId="3" fillId="3" borderId="5" xfId="0" applyFont="1" applyFill="1" applyBorder="1" applyAlignment="1">
      <alignment horizontal="center" vertical="center"/>
    </xf>
    <xf numFmtId="0" fontId="2" fillId="0" borderId="13" xfId="0" applyFont="1" applyBorder="1"/>
    <xf numFmtId="0" fontId="2" fillId="0" borderId="18" xfId="0" applyFont="1" applyBorder="1"/>
    <xf numFmtId="14" fontId="5" fillId="3" borderId="5" xfId="0" applyNumberFormat="1" applyFont="1" applyFill="1" applyBorder="1" applyAlignment="1">
      <alignment horizontal="center" vertical="center" wrapText="1"/>
    </xf>
    <xf numFmtId="0" fontId="7" fillId="3" borderId="6" xfId="0" applyFont="1" applyFill="1" applyBorder="1" applyAlignment="1">
      <alignment horizontal="center" vertical="center" wrapText="1"/>
    </xf>
    <xf numFmtId="0" fontId="2" fillId="0" borderId="14" xfId="0" applyFont="1" applyBorder="1"/>
    <xf numFmtId="0" fontId="3" fillId="4" borderId="7" xfId="0" applyFont="1" applyFill="1" applyBorder="1" applyAlignment="1">
      <alignment horizontal="center" vertical="center"/>
    </xf>
    <xf numFmtId="0" fontId="2" fillId="0" borderId="8" xfId="0" applyFont="1" applyBorder="1"/>
    <xf numFmtId="0" fontId="8" fillId="5" borderId="15" xfId="0" applyFont="1" applyFill="1" applyBorder="1" applyAlignment="1">
      <alignment horizontal="center" vertical="center" wrapText="1"/>
    </xf>
    <xf numFmtId="0" fontId="2" fillId="0" borderId="19" xfId="0" applyFont="1" applyBorder="1"/>
    <xf numFmtId="0" fontId="9" fillId="5" borderId="15" xfId="0" applyFont="1" applyFill="1" applyBorder="1" applyAlignment="1">
      <alignment horizontal="center" vertical="center" wrapText="1"/>
    </xf>
    <xf numFmtId="0" fontId="7" fillId="6" borderId="7" xfId="0" applyFont="1" applyFill="1" applyBorder="1" applyAlignment="1">
      <alignment horizontal="center" vertical="center"/>
    </xf>
    <xf numFmtId="0" fontId="15" fillId="8" borderId="7" xfId="0" applyFont="1" applyFill="1" applyBorder="1" applyAlignment="1">
      <alignment horizontal="center" vertical="center"/>
    </xf>
    <xf numFmtId="0" fontId="2" fillId="0" borderId="31" xfId="0" applyFont="1" applyBorder="1"/>
    <xf numFmtId="0" fontId="15" fillId="9" borderId="32" xfId="0" applyFont="1" applyFill="1" applyBorder="1" applyAlignment="1">
      <alignment horizontal="center" vertical="top" wrapText="1" readingOrder="1"/>
    </xf>
    <xf numFmtId="0" fontId="2" fillId="0" borderId="33" xfId="0" applyFont="1" applyBorder="1"/>
    <xf numFmtId="0" fontId="16" fillId="2" borderId="32" xfId="0" applyFont="1" applyFill="1" applyBorder="1" applyAlignment="1">
      <alignment horizontal="center" vertical="top" wrapText="1" readingOrder="1"/>
    </xf>
    <xf numFmtId="0" fontId="2" fillId="0" borderId="32" xfId="0" applyFont="1" applyBorder="1"/>
    <xf numFmtId="0" fontId="0" fillId="0" borderId="0" xfId="0"/>
    <xf numFmtId="0" fontId="15" fillId="3" borderId="35" xfId="0" applyFont="1" applyFill="1" applyBorder="1" applyAlignment="1">
      <alignment horizontal="center" vertical="center"/>
    </xf>
    <xf numFmtId="0" fontId="2" fillId="0" borderId="36" xfId="0" applyFont="1" applyBorder="1"/>
    <xf numFmtId="0" fontId="15" fillId="3" borderId="35" xfId="0" applyFont="1" applyFill="1" applyBorder="1" applyAlignment="1">
      <alignment horizontal="center" vertical="center" wrapText="1"/>
    </xf>
    <xf numFmtId="0" fontId="15" fillId="3" borderId="7" xfId="0" applyFont="1" applyFill="1" applyBorder="1" applyAlignment="1">
      <alignment horizontal="center" vertical="center"/>
    </xf>
    <xf numFmtId="0" fontId="15" fillId="10" borderId="37" xfId="0" applyFont="1" applyFill="1" applyBorder="1" applyAlignment="1">
      <alignment horizontal="center" vertical="center" wrapText="1"/>
    </xf>
    <xf numFmtId="0" fontId="2" fillId="0" borderId="38" xfId="0" applyFont="1" applyBorder="1"/>
    <xf numFmtId="0" fontId="2" fillId="0" borderId="42" xfId="0" applyFont="1" applyBorder="1"/>
    <xf numFmtId="0" fontId="15" fillId="10" borderId="39" xfId="0" applyFont="1" applyFill="1" applyBorder="1" applyAlignment="1">
      <alignment horizontal="center" vertical="center" wrapText="1"/>
    </xf>
    <xf numFmtId="0" fontId="2" fillId="0" borderId="43" xfId="0" applyFont="1" applyBorder="1"/>
    <xf numFmtId="0" fontId="15" fillId="10" borderId="7" xfId="0" applyFont="1" applyFill="1" applyBorder="1" applyAlignment="1">
      <alignment horizontal="center" vertical="center" wrapText="1" readingOrder="1"/>
    </xf>
    <xf numFmtId="0" fontId="11" fillId="2" borderId="1" xfId="0" applyFont="1" applyFill="1" applyBorder="1" applyAlignment="1">
      <alignment horizontal="center" vertical="center" textRotation="90" wrapText="1"/>
    </xf>
    <xf numFmtId="0" fontId="18" fillId="2" borderId="45" xfId="0" applyFont="1" applyFill="1" applyBorder="1" applyAlignment="1">
      <alignment horizontal="left" vertical="center" wrapText="1"/>
    </xf>
    <xf numFmtId="0" fontId="2" fillId="0" borderId="46" xfId="0" applyFont="1" applyBorder="1"/>
    <xf numFmtId="0" fontId="19" fillId="11" borderId="48" xfId="0" applyFont="1" applyFill="1" applyBorder="1" applyAlignment="1">
      <alignment horizontal="left" vertical="center" wrapText="1" readingOrder="1"/>
    </xf>
    <xf numFmtId="0" fontId="18" fillId="2" borderId="26" xfId="0" applyFont="1" applyFill="1" applyBorder="1" applyAlignment="1">
      <alignment horizontal="left" vertical="center" wrapText="1"/>
    </xf>
    <xf numFmtId="0" fontId="2" fillId="0" borderId="28" xfId="0" applyFont="1" applyBorder="1"/>
    <xf numFmtId="0" fontId="19" fillId="11" borderId="50" xfId="0" applyFont="1" applyFill="1" applyBorder="1" applyAlignment="1">
      <alignment horizontal="left" vertical="center" wrapText="1" readingOrder="1"/>
    </xf>
    <xf numFmtId="0" fontId="15" fillId="2" borderId="52" xfId="0" applyFont="1" applyFill="1" applyBorder="1" applyAlignment="1">
      <alignment horizontal="left" vertical="center"/>
    </xf>
    <xf numFmtId="0" fontId="2" fillId="0" borderId="53" xfId="0" applyFont="1" applyBorder="1"/>
    <xf numFmtId="0" fontId="22" fillId="2" borderId="0" xfId="0" applyFont="1" applyFill="1" applyAlignment="1">
      <alignment horizontal="center" vertical="top"/>
    </xf>
    <xf numFmtId="0" fontId="21" fillId="2" borderId="45" xfId="0" applyFont="1" applyFill="1" applyBorder="1" applyAlignment="1">
      <alignment horizontal="left" vertical="center"/>
    </xf>
    <xf numFmtId="0" fontId="21" fillId="2" borderId="26" xfId="0" applyFont="1" applyFill="1" applyBorder="1" applyAlignment="1">
      <alignment horizontal="left" vertical="center"/>
    </xf>
    <xf numFmtId="0" fontId="22" fillId="2" borderId="32" xfId="0" applyFont="1" applyFill="1" applyBorder="1" applyAlignment="1">
      <alignment horizontal="left" vertical="top"/>
    </xf>
    <xf numFmtId="0" fontId="22" fillId="2" borderId="0" xfId="0" applyFont="1" applyFill="1" applyAlignment="1">
      <alignment horizontal="right" vertical="top"/>
    </xf>
    <xf numFmtId="0" fontId="17" fillId="11" borderId="50" xfId="0" applyFont="1" applyFill="1" applyBorder="1" applyAlignment="1">
      <alignment horizontal="left" vertical="top" wrapText="1" readingOrder="1"/>
    </xf>
    <xf numFmtId="0" fontId="24" fillId="0" borderId="32" xfId="0" applyFont="1" applyBorder="1" applyAlignment="1">
      <alignment horizontal="center"/>
    </xf>
    <xf numFmtId="0" fontId="24" fillId="0" borderId="0" xfId="0" applyFont="1" applyAlignment="1">
      <alignment horizontal="center"/>
    </xf>
    <xf numFmtId="0" fontId="24" fillId="2" borderId="32" xfId="0" applyFont="1" applyFill="1" applyBorder="1" applyAlignment="1">
      <alignment horizontal="center" vertical="center"/>
    </xf>
    <xf numFmtId="0" fontId="25" fillId="0" borderId="0" xfId="0" applyFont="1"/>
    <xf numFmtId="0" fontId="24" fillId="2" borderId="0" xfId="0" applyFont="1" applyFill="1" applyAlignment="1">
      <alignment horizontal="center" vertical="top"/>
    </xf>
    <xf numFmtId="0" fontId="22" fillId="2" borderId="32" xfId="0" applyFont="1" applyFill="1" applyBorder="1" applyAlignment="1">
      <alignment horizontal="center" vertical="center"/>
    </xf>
    <xf numFmtId="0" fontId="22" fillId="2" borderId="0" xfId="0" applyFont="1" applyFill="1" applyAlignment="1">
      <alignment horizontal="center" vertical="center"/>
    </xf>
    <xf numFmtId="0" fontId="22" fillId="0" borderId="34" xfId="0" applyFont="1" applyBorder="1" applyAlignment="1">
      <alignment horizontal="center"/>
    </xf>
    <xf numFmtId="0" fontId="22" fillId="0" borderId="0" xfId="0" applyFont="1" applyAlignment="1">
      <alignment horizontal="center"/>
    </xf>
    <xf numFmtId="0" fontId="21" fillId="2" borderId="55" xfId="0" applyFont="1" applyFill="1" applyBorder="1" applyAlignment="1">
      <alignment horizontal="left" vertical="center"/>
    </xf>
    <xf numFmtId="0" fontId="2" fillId="0" borderId="56" xfId="0" applyFont="1" applyBorder="1"/>
    <xf numFmtId="0" fontId="17" fillId="11" borderId="58" xfId="0" applyFont="1" applyFill="1" applyBorder="1" applyAlignment="1">
      <alignment horizontal="left" vertical="top" wrapText="1" readingOrder="1"/>
    </xf>
    <xf numFmtId="0" fontId="0" fillId="14" borderId="0" xfId="0" applyFill="1"/>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calcChain" Target="calcChain.xml"/><Relationship Id="rId5" Type="http://schemas.openxmlformats.org/officeDocument/2006/relationships/sharedStrings" Target="sharedStrings.xml"/><Relationship Id="rId4" Type="http://schemas.openxmlformats.org/officeDocument/2006/relationships/styles" Target="styles.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oneCellAnchor>
    <xdr:from>
      <xdr:col>2</xdr:col>
      <xdr:colOff>0</xdr:colOff>
      <xdr:row>0</xdr:row>
      <xdr:rowOff>0</xdr:rowOff>
    </xdr:from>
    <xdr:ext cx="4324350" cy="1419225"/>
    <xdr:pic>
      <xdr:nvPicPr>
        <xdr:cNvPr id="2" name="image1.png" descr="DSWD LOGO new">
          <a:extLst>
            <a:ext uri="{FF2B5EF4-FFF2-40B4-BE49-F238E27FC236}">
              <a16:creationId xmlns:a16="http://schemas.microsoft.com/office/drawing/2014/main" id="{94ECFB62-3655-472E-BEB9-7944C603A5EA}"/>
            </a:ext>
          </a:extLst>
        </xdr:cNvPr>
        <xdr:cNvPicPr preferRelativeResize="0"/>
      </xdr:nvPicPr>
      <xdr:blipFill>
        <a:blip xmlns:r="http://schemas.openxmlformats.org/officeDocument/2006/relationships" r:embed="rId1" cstate="print"/>
        <a:stretch>
          <a:fillRect/>
        </a:stretch>
      </xdr:blipFill>
      <xdr:spPr>
        <a:xfrm>
          <a:off x="971550" y="0"/>
          <a:ext cx="4324350" cy="1419225"/>
        </a:xfrm>
        <a:prstGeom prst="rect">
          <a:avLst/>
        </a:prstGeom>
        <a:noFill/>
      </xdr:spPr>
    </xdr:pic>
    <xdr:clientData fLocksWithSheet="0"/>
  </xdr:one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K8247"/>
  <sheetViews>
    <sheetView tabSelected="1" workbookViewId="0">
      <pane ySplit="1" topLeftCell="A2" activePane="bottomLeft" state="frozen"/>
      <selection pane="bottomLeft" activeCell="A2" sqref="A2"/>
    </sheetView>
  </sheetViews>
  <sheetFormatPr defaultRowHeight="15" x14ac:dyDescent="0.25"/>
  <cols>
    <col min="1" max="1" width="11.7109375" bestFit="1" customWidth="1"/>
    <col min="2" max="2" width="14.5703125" bestFit="1" customWidth="1"/>
    <col min="3" max="3" width="19" bestFit="1" customWidth="1"/>
    <col min="4" max="4" width="25.140625" bestFit="1" customWidth="1"/>
    <col min="5" max="5" width="3.85546875" bestFit="1" customWidth="1"/>
    <col min="6" max="6" width="10.42578125" style="1" bestFit="1" customWidth="1"/>
    <col min="7" max="7" width="11.42578125" bestFit="1" customWidth="1"/>
    <col min="8" max="8" width="7.7109375" bestFit="1" customWidth="1"/>
    <col min="9" max="9" width="16.5703125" bestFit="1" customWidth="1"/>
    <col min="11" max="11" width="10.42578125" style="1" bestFit="1" customWidth="1"/>
  </cols>
  <sheetData>
    <row r="1" spans="1:9" x14ac:dyDescent="0.25">
      <c r="A1" t="s">
        <v>8</v>
      </c>
      <c r="B1" t="s">
        <v>0</v>
      </c>
      <c r="C1" t="s">
        <v>1</v>
      </c>
      <c r="D1" t="s">
        <v>2</v>
      </c>
      <c r="E1" t="s">
        <v>3</v>
      </c>
      <c r="F1" s="1" t="s">
        <v>4</v>
      </c>
      <c r="G1" t="s">
        <v>5</v>
      </c>
      <c r="H1" t="s">
        <v>7</v>
      </c>
      <c r="I1" t="s">
        <v>6</v>
      </c>
    </row>
    <row r="2" spans="1:9" x14ac:dyDescent="0.25">
      <c r="A2">
        <v>1</v>
      </c>
      <c r="B2" t="s">
        <v>1266</v>
      </c>
      <c r="C2" t="s">
        <v>1267</v>
      </c>
      <c r="D2" t="s">
        <v>1268</v>
      </c>
      <c r="F2" s="1">
        <v>34163</v>
      </c>
      <c r="G2" s="167" t="s">
        <v>2272</v>
      </c>
      <c r="H2" s="167" t="s">
        <v>121</v>
      </c>
      <c r="I2" s="167" t="s">
        <v>11</v>
      </c>
    </row>
    <row r="3" spans="1:9" x14ac:dyDescent="0.25">
      <c r="A3">
        <v>2</v>
      </c>
      <c r="B3" t="s">
        <v>1269</v>
      </c>
      <c r="C3" t="s">
        <v>333</v>
      </c>
      <c r="D3" t="s">
        <v>789</v>
      </c>
      <c r="F3" s="1">
        <v>33541</v>
      </c>
      <c r="G3" s="167" t="s">
        <v>2273</v>
      </c>
      <c r="H3" s="167" t="s">
        <v>121</v>
      </c>
      <c r="I3" s="167" t="s">
        <v>11</v>
      </c>
    </row>
    <row r="4" spans="1:9" x14ac:dyDescent="0.25">
      <c r="A4">
        <v>3</v>
      </c>
      <c r="B4" t="s">
        <v>911</v>
      </c>
      <c r="C4" t="s">
        <v>413</v>
      </c>
      <c r="D4" t="s">
        <v>1001</v>
      </c>
      <c r="F4" s="1">
        <v>21567</v>
      </c>
      <c r="G4" s="167" t="s">
        <v>2273</v>
      </c>
      <c r="H4" s="167" t="s">
        <v>121</v>
      </c>
      <c r="I4" s="167" t="s">
        <v>11</v>
      </c>
    </row>
    <row r="5" spans="1:9" x14ac:dyDescent="0.25">
      <c r="A5" s="95">
        <v>4</v>
      </c>
      <c r="B5" t="s">
        <v>1270</v>
      </c>
      <c r="C5" t="s">
        <v>1271</v>
      </c>
      <c r="D5" t="s">
        <v>1272</v>
      </c>
      <c r="F5" s="1">
        <v>29497</v>
      </c>
      <c r="G5" s="167" t="s">
        <v>2273</v>
      </c>
      <c r="H5" s="167" t="s">
        <v>121</v>
      </c>
      <c r="I5" s="167" t="s">
        <v>11</v>
      </c>
    </row>
    <row r="6" spans="1:9" x14ac:dyDescent="0.25">
      <c r="A6" s="95">
        <v>5</v>
      </c>
      <c r="B6" t="s">
        <v>1273</v>
      </c>
      <c r="C6" t="s">
        <v>1274</v>
      </c>
      <c r="D6" t="s">
        <v>1275</v>
      </c>
      <c r="F6" s="1">
        <v>33681</v>
      </c>
      <c r="G6" s="167" t="s">
        <v>2273</v>
      </c>
      <c r="H6" s="167" t="s">
        <v>121</v>
      </c>
      <c r="I6" s="167" t="s">
        <v>11</v>
      </c>
    </row>
    <row r="7" spans="1:9" x14ac:dyDescent="0.25">
      <c r="A7" s="95">
        <v>6</v>
      </c>
      <c r="B7" t="s">
        <v>1276</v>
      </c>
      <c r="C7" t="s">
        <v>1277</v>
      </c>
      <c r="D7" t="s">
        <v>1278</v>
      </c>
      <c r="E7" t="s">
        <v>22</v>
      </c>
      <c r="F7" s="1">
        <v>32372</v>
      </c>
      <c r="G7" s="167" t="s">
        <v>2273</v>
      </c>
      <c r="H7" s="167" t="s">
        <v>121</v>
      </c>
      <c r="I7" s="167" t="s">
        <v>11</v>
      </c>
    </row>
    <row r="8" spans="1:9" x14ac:dyDescent="0.25">
      <c r="A8" s="95">
        <v>7</v>
      </c>
      <c r="B8" t="s">
        <v>1279</v>
      </c>
      <c r="C8" t="s">
        <v>1280</v>
      </c>
      <c r="D8" t="s">
        <v>1281</v>
      </c>
      <c r="F8" s="1">
        <v>23892</v>
      </c>
      <c r="G8" s="167" t="s">
        <v>2273</v>
      </c>
      <c r="H8" s="167" t="s">
        <v>121</v>
      </c>
      <c r="I8" s="167" t="s">
        <v>11</v>
      </c>
    </row>
    <row r="9" spans="1:9" x14ac:dyDescent="0.25">
      <c r="A9" s="95">
        <v>8</v>
      </c>
      <c r="B9" t="s">
        <v>1282</v>
      </c>
      <c r="C9" t="s">
        <v>116</v>
      </c>
      <c r="D9" t="s">
        <v>1283</v>
      </c>
      <c r="E9" t="s">
        <v>22</v>
      </c>
      <c r="F9" s="1">
        <v>28491</v>
      </c>
      <c r="G9" s="167" t="s">
        <v>2273</v>
      </c>
      <c r="H9" s="167" t="s">
        <v>121</v>
      </c>
      <c r="I9" s="167" t="s">
        <v>11</v>
      </c>
    </row>
    <row r="10" spans="1:9" x14ac:dyDescent="0.25">
      <c r="A10" s="95">
        <v>9</v>
      </c>
      <c r="B10" t="s">
        <v>1284</v>
      </c>
      <c r="C10" t="s">
        <v>677</v>
      </c>
      <c r="D10" t="s">
        <v>816</v>
      </c>
      <c r="F10" s="1">
        <v>32990</v>
      </c>
      <c r="G10" s="167" t="s">
        <v>2273</v>
      </c>
      <c r="H10" s="167" t="s">
        <v>121</v>
      </c>
      <c r="I10" s="167" t="s">
        <v>11</v>
      </c>
    </row>
    <row r="11" spans="1:9" x14ac:dyDescent="0.25">
      <c r="A11" s="95">
        <v>10</v>
      </c>
      <c r="B11" t="s">
        <v>782</v>
      </c>
      <c r="C11" t="s">
        <v>1285</v>
      </c>
      <c r="D11" t="s">
        <v>196</v>
      </c>
      <c r="F11" s="1">
        <v>29974</v>
      </c>
      <c r="G11" s="167" t="s">
        <v>2273</v>
      </c>
      <c r="H11" s="167" t="s">
        <v>121</v>
      </c>
      <c r="I11" s="167" t="s">
        <v>11</v>
      </c>
    </row>
    <row r="12" spans="1:9" x14ac:dyDescent="0.25">
      <c r="A12" s="95">
        <v>11</v>
      </c>
      <c r="B12" t="s">
        <v>120</v>
      </c>
      <c r="C12" t="s">
        <v>130</v>
      </c>
      <c r="D12" t="s">
        <v>196</v>
      </c>
      <c r="F12" s="1">
        <v>26120</v>
      </c>
      <c r="G12" s="167" t="s">
        <v>2273</v>
      </c>
      <c r="H12" s="167" t="s">
        <v>121</v>
      </c>
      <c r="I12" s="167" t="s">
        <v>11</v>
      </c>
    </row>
    <row r="13" spans="1:9" x14ac:dyDescent="0.25">
      <c r="A13" s="95">
        <v>12</v>
      </c>
      <c r="B13" t="s">
        <v>1286</v>
      </c>
      <c r="C13" t="s">
        <v>1287</v>
      </c>
      <c r="D13" t="s">
        <v>1288</v>
      </c>
      <c r="F13" s="1">
        <v>30124</v>
      </c>
      <c r="G13" s="167" t="s">
        <v>2273</v>
      </c>
      <c r="H13" s="167" t="s">
        <v>121</v>
      </c>
      <c r="I13" s="167" t="s">
        <v>11</v>
      </c>
    </row>
    <row r="14" spans="1:9" x14ac:dyDescent="0.25">
      <c r="A14" s="95">
        <v>13</v>
      </c>
      <c r="B14" t="s">
        <v>196</v>
      </c>
      <c r="C14" t="s">
        <v>548</v>
      </c>
      <c r="D14" t="s">
        <v>1281</v>
      </c>
      <c r="F14" s="1">
        <v>30888</v>
      </c>
      <c r="G14" s="167" t="s">
        <v>2273</v>
      </c>
      <c r="H14" s="167" t="s">
        <v>121</v>
      </c>
      <c r="I14" s="167" t="s">
        <v>11</v>
      </c>
    </row>
    <row r="15" spans="1:9" x14ac:dyDescent="0.25">
      <c r="A15" s="95">
        <v>14</v>
      </c>
      <c r="B15" t="s">
        <v>1289</v>
      </c>
      <c r="C15" t="s">
        <v>1290</v>
      </c>
      <c r="D15" t="s">
        <v>1291</v>
      </c>
      <c r="F15" s="1">
        <v>29818</v>
      </c>
      <c r="G15" s="167" t="s">
        <v>2273</v>
      </c>
      <c r="H15" s="167" t="s">
        <v>121</v>
      </c>
      <c r="I15" s="167" t="s">
        <v>11</v>
      </c>
    </row>
    <row r="16" spans="1:9" x14ac:dyDescent="0.25">
      <c r="A16" s="95">
        <v>15</v>
      </c>
      <c r="B16" t="s">
        <v>1292</v>
      </c>
      <c r="C16" t="s">
        <v>1293</v>
      </c>
      <c r="D16" t="s">
        <v>1294</v>
      </c>
      <c r="E16" t="s">
        <v>67</v>
      </c>
      <c r="F16" s="1">
        <v>27808</v>
      </c>
      <c r="G16" s="167" t="s">
        <v>2274</v>
      </c>
      <c r="H16" s="167" t="s">
        <v>121</v>
      </c>
      <c r="I16" s="167" t="s">
        <v>11</v>
      </c>
    </row>
    <row r="17" spans="1:9" x14ac:dyDescent="0.25">
      <c r="A17" s="95">
        <v>16</v>
      </c>
      <c r="B17" t="s">
        <v>1275</v>
      </c>
      <c r="C17" t="s">
        <v>1295</v>
      </c>
      <c r="D17" t="s">
        <v>1291</v>
      </c>
      <c r="F17" s="1">
        <v>32334</v>
      </c>
      <c r="G17" s="167" t="s">
        <v>2273</v>
      </c>
      <c r="H17" s="167" t="s">
        <v>121</v>
      </c>
      <c r="I17" s="167" t="s">
        <v>11</v>
      </c>
    </row>
    <row r="18" spans="1:9" x14ac:dyDescent="0.25">
      <c r="A18" s="95">
        <v>17</v>
      </c>
      <c r="B18" t="s">
        <v>1296</v>
      </c>
      <c r="C18" t="s">
        <v>1297</v>
      </c>
      <c r="D18" t="s">
        <v>1298</v>
      </c>
      <c r="F18" s="1">
        <v>31516</v>
      </c>
      <c r="G18" s="167" t="s">
        <v>2273</v>
      </c>
      <c r="H18" s="167" t="s">
        <v>121</v>
      </c>
      <c r="I18" s="167" t="s">
        <v>11</v>
      </c>
    </row>
    <row r="19" spans="1:9" x14ac:dyDescent="0.25">
      <c r="A19" s="95">
        <v>18</v>
      </c>
      <c r="B19" t="s">
        <v>1299</v>
      </c>
      <c r="C19" t="s">
        <v>1300</v>
      </c>
      <c r="D19" t="s">
        <v>1301</v>
      </c>
      <c r="F19" s="1">
        <v>24264</v>
      </c>
      <c r="G19" s="167" t="s">
        <v>2274</v>
      </c>
      <c r="H19" s="167" t="s">
        <v>121</v>
      </c>
      <c r="I19" s="167" t="s">
        <v>11</v>
      </c>
    </row>
    <row r="20" spans="1:9" x14ac:dyDescent="0.25">
      <c r="A20" s="95">
        <v>19</v>
      </c>
      <c r="B20" t="s">
        <v>1275</v>
      </c>
      <c r="C20" t="s">
        <v>1302</v>
      </c>
      <c r="D20" t="s">
        <v>1303</v>
      </c>
      <c r="F20" s="1">
        <v>18448</v>
      </c>
      <c r="G20" s="167" t="s">
        <v>2273</v>
      </c>
      <c r="H20" s="167" t="s">
        <v>121</v>
      </c>
      <c r="I20" s="167" t="s">
        <v>11</v>
      </c>
    </row>
    <row r="21" spans="1:9" x14ac:dyDescent="0.25">
      <c r="A21" s="95">
        <v>20</v>
      </c>
      <c r="B21" t="s">
        <v>1269</v>
      </c>
      <c r="C21" t="s">
        <v>1304</v>
      </c>
      <c r="D21" t="s">
        <v>1269</v>
      </c>
      <c r="F21" s="1">
        <v>27767</v>
      </c>
      <c r="G21" s="167" t="s">
        <v>2273</v>
      </c>
      <c r="H21" s="167" t="s">
        <v>121</v>
      </c>
      <c r="I21" s="167" t="s">
        <v>11</v>
      </c>
    </row>
    <row r="22" spans="1:9" x14ac:dyDescent="0.25">
      <c r="A22" s="95">
        <v>21</v>
      </c>
      <c r="B22" t="s">
        <v>1292</v>
      </c>
      <c r="C22" t="s">
        <v>1293</v>
      </c>
      <c r="D22" t="s">
        <v>1294</v>
      </c>
      <c r="E22" t="s">
        <v>67</v>
      </c>
      <c r="F22" s="1">
        <v>27808</v>
      </c>
      <c r="G22" s="167" t="s">
        <v>2274</v>
      </c>
      <c r="H22" s="167" t="s">
        <v>121</v>
      </c>
      <c r="I22" s="167" t="s">
        <v>11</v>
      </c>
    </row>
    <row r="23" spans="1:9" x14ac:dyDescent="0.25">
      <c r="A23" s="95">
        <v>22</v>
      </c>
      <c r="B23" t="s">
        <v>1289</v>
      </c>
      <c r="C23" t="s">
        <v>340</v>
      </c>
      <c r="D23" t="s">
        <v>1305</v>
      </c>
      <c r="F23" s="1">
        <v>21477</v>
      </c>
      <c r="G23" s="167" t="s">
        <v>2273</v>
      </c>
      <c r="H23" s="167" t="s">
        <v>121</v>
      </c>
      <c r="I23" s="167" t="s">
        <v>11</v>
      </c>
    </row>
    <row r="24" spans="1:9" x14ac:dyDescent="0.25">
      <c r="A24" s="95">
        <v>23</v>
      </c>
      <c r="B24" t="s">
        <v>90</v>
      </c>
      <c r="C24" t="s">
        <v>1306</v>
      </c>
      <c r="D24" t="s">
        <v>1307</v>
      </c>
      <c r="F24" s="1">
        <v>33430</v>
      </c>
      <c r="G24" s="167" t="s">
        <v>2273</v>
      </c>
      <c r="H24" s="167" t="s">
        <v>121</v>
      </c>
      <c r="I24" s="167" t="s">
        <v>11</v>
      </c>
    </row>
    <row r="25" spans="1:9" x14ac:dyDescent="0.25">
      <c r="A25" s="95">
        <v>24</v>
      </c>
      <c r="B25" t="s">
        <v>90</v>
      </c>
      <c r="C25" t="s">
        <v>995</v>
      </c>
      <c r="D25" t="s">
        <v>176</v>
      </c>
      <c r="F25" s="1">
        <v>21119</v>
      </c>
      <c r="G25" s="167" t="s">
        <v>2273</v>
      </c>
      <c r="H25" s="167" t="s">
        <v>121</v>
      </c>
      <c r="I25" s="167" t="s">
        <v>11</v>
      </c>
    </row>
    <row r="26" spans="1:9" x14ac:dyDescent="0.25">
      <c r="A26" s="95">
        <v>25</v>
      </c>
      <c r="B26" t="s">
        <v>196</v>
      </c>
      <c r="C26" t="s">
        <v>1308</v>
      </c>
      <c r="D26" t="s">
        <v>964</v>
      </c>
      <c r="F26" s="1">
        <v>30797</v>
      </c>
      <c r="G26" s="167" t="s">
        <v>2273</v>
      </c>
      <c r="H26" s="167" t="s">
        <v>121</v>
      </c>
      <c r="I26" s="167" t="s">
        <v>11</v>
      </c>
    </row>
    <row r="27" spans="1:9" x14ac:dyDescent="0.25">
      <c r="A27" s="95">
        <v>26</v>
      </c>
      <c r="B27" t="s">
        <v>1309</v>
      </c>
      <c r="C27" t="s">
        <v>1310</v>
      </c>
      <c r="D27" t="s">
        <v>259</v>
      </c>
      <c r="F27" s="1">
        <v>34252</v>
      </c>
      <c r="G27" s="167" t="s">
        <v>2273</v>
      </c>
      <c r="H27" s="167" t="s">
        <v>121</v>
      </c>
      <c r="I27" s="167" t="s">
        <v>11</v>
      </c>
    </row>
    <row r="28" spans="1:9" x14ac:dyDescent="0.25">
      <c r="A28" s="95">
        <v>27</v>
      </c>
      <c r="B28" t="s">
        <v>1311</v>
      </c>
      <c r="C28" t="s">
        <v>1312</v>
      </c>
      <c r="D28" t="s">
        <v>1313</v>
      </c>
      <c r="F28" s="1">
        <v>20155</v>
      </c>
      <c r="G28" s="167" t="s">
        <v>2273</v>
      </c>
      <c r="H28" s="167" t="s">
        <v>121</v>
      </c>
      <c r="I28" s="167" t="s">
        <v>11</v>
      </c>
    </row>
    <row r="29" spans="1:9" x14ac:dyDescent="0.25">
      <c r="A29" s="95">
        <v>28</v>
      </c>
      <c r="B29" t="s">
        <v>1292</v>
      </c>
      <c r="C29" t="s">
        <v>136</v>
      </c>
      <c r="D29" t="s">
        <v>621</v>
      </c>
      <c r="F29" s="1">
        <v>24249</v>
      </c>
      <c r="G29" s="167" t="s">
        <v>2274</v>
      </c>
      <c r="H29" s="167" t="s">
        <v>121</v>
      </c>
      <c r="I29" s="167" t="s">
        <v>11</v>
      </c>
    </row>
    <row r="30" spans="1:9" x14ac:dyDescent="0.25">
      <c r="A30" s="95">
        <v>29</v>
      </c>
      <c r="B30" t="s">
        <v>1292</v>
      </c>
      <c r="C30" t="s">
        <v>91</v>
      </c>
      <c r="D30" t="s">
        <v>621</v>
      </c>
      <c r="F30" s="1">
        <v>19817</v>
      </c>
      <c r="G30" s="167" t="s">
        <v>2274</v>
      </c>
      <c r="H30" s="167" t="s">
        <v>121</v>
      </c>
      <c r="I30" s="167" t="s">
        <v>11</v>
      </c>
    </row>
    <row r="31" spans="1:9" x14ac:dyDescent="0.25">
      <c r="A31" s="95">
        <v>30</v>
      </c>
      <c r="B31" t="s">
        <v>1299</v>
      </c>
      <c r="C31" t="s">
        <v>1314</v>
      </c>
      <c r="D31" t="s">
        <v>298</v>
      </c>
      <c r="F31" s="1">
        <v>28812</v>
      </c>
      <c r="G31" s="167" t="s">
        <v>2274</v>
      </c>
      <c r="H31" s="167" t="s">
        <v>121</v>
      </c>
      <c r="I31" s="167" t="s">
        <v>11</v>
      </c>
    </row>
    <row r="32" spans="1:9" x14ac:dyDescent="0.25">
      <c r="A32" s="95">
        <v>31</v>
      </c>
      <c r="B32" t="s">
        <v>38</v>
      </c>
      <c r="C32" t="s">
        <v>1315</v>
      </c>
      <c r="D32" t="s">
        <v>358</v>
      </c>
      <c r="F32" s="1">
        <v>27393</v>
      </c>
      <c r="G32" s="167" t="s">
        <v>2273</v>
      </c>
      <c r="H32" s="167" t="s">
        <v>121</v>
      </c>
      <c r="I32" s="167" t="s">
        <v>11</v>
      </c>
    </row>
    <row r="33" spans="1:9" x14ac:dyDescent="0.25">
      <c r="A33" s="95">
        <v>32</v>
      </c>
      <c r="B33" t="s">
        <v>839</v>
      </c>
      <c r="C33" t="s">
        <v>1316</v>
      </c>
      <c r="D33" t="s">
        <v>1317</v>
      </c>
      <c r="E33" t="s">
        <v>22</v>
      </c>
      <c r="F33" s="1">
        <v>29795</v>
      </c>
      <c r="G33" s="167" t="s">
        <v>2273</v>
      </c>
      <c r="H33" s="167" t="s">
        <v>121</v>
      </c>
      <c r="I33" s="167" t="s">
        <v>11</v>
      </c>
    </row>
    <row r="34" spans="1:9" x14ac:dyDescent="0.25">
      <c r="A34" s="95">
        <v>33</v>
      </c>
      <c r="B34" t="s">
        <v>1318</v>
      </c>
      <c r="C34" t="s">
        <v>1319</v>
      </c>
      <c r="F34" s="1">
        <v>38048</v>
      </c>
      <c r="G34" s="167" t="s">
        <v>2273</v>
      </c>
      <c r="H34" s="167" t="s">
        <v>121</v>
      </c>
      <c r="I34" s="167" t="s">
        <v>11</v>
      </c>
    </row>
    <row r="35" spans="1:9" x14ac:dyDescent="0.25">
      <c r="A35" s="95">
        <v>34</v>
      </c>
      <c r="B35" t="s">
        <v>1320</v>
      </c>
      <c r="C35" t="s">
        <v>1321</v>
      </c>
      <c r="D35" t="s">
        <v>1322</v>
      </c>
      <c r="F35" s="1">
        <v>38561</v>
      </c>
      <c r="G35" s="167" t="s">
        <v>2273</v>
      </c>
      <c r="H35" s="167" t="s">
        <v>121</v>
      </c>
      <c r="I35" s="167" t="s">
        <v>11</v>
      </c>
    </row>
    <row r="36" spans="1:9" x14ac:dyDescent="0.25">
      <c r="A36" s="95">
        <v>35</v>
      </c>
      <c r="B36" t="s">
        <v>997</v>
      </c>
      <c r="C36" t="s">
        <v>1323</v>
      </c>
      <c r="D36" t="s">
        <v>1324</v>
      </c>
      <c r="F36" s="1">
        <v>22104</v>
      </c>
      <c r="G36" s="167" t="s">
        <v>2273</v>
      </c>
      <c r="H36" s="167" t="s">
        <v>121</v>
      </c>
      <c r="I36" s="167" t="s">
        <v>11</v>
      </c>
    </row>
    <row r="37" spans="1:9" x14ac:dyDescent="0.25">
      <c r="A37" s="95">
        <v>36</v>
      </c>
      <c r="B37" t="s">
        <v>710</v>
      </c>
      <c r="C37" t="s">
        <v>1325</v>
      </c>
      <c r="F37" s="1">
        <v>38913</v>
      </c>
      <c r="G37" s="167" t="s">
        <v>2273</v>
      </c>
      <c r="H37" s="167" t="s">
        <v>121</v>
      </c>
      <c r="I37" s="167" t="s">
        <v>11</v>
      </c>
    </row>
    <row r="38" spans="1:9" x14ac:dyDescent="0.25">
      <c r="A38" s="95">
        <v>37</v>
      </c>
      <c r="B38" t="s">
        <v>1326</v>
      </c>
      <c r="C38" t="s">
        <v>973</v>
      </c>
      <c r="F38" s="1">
        <v>25085</v>
      </c>
      <c r="G38" s="167" t="s">
        <v>2273</v>
      </c>
      <c r="H38" s="167" t="s">
        <v>121</v>
      </c>
      <c r="I38" s="167" t="s">
        <v>11</v>
      </c>
    </row>
    <row r="39" spans="1:9" x14ac:dyDescent="0.25">
      <c r="A39" s="95">
        <v>38</v>
      </c>
      <c r="B39" t="s">
        <v>1292</v>
      </c>
      <c r="C39" t="s">
        <v>1327</v>
      </c>
      <c r="D39" t="s">
        <v>1328</v>
      </c>
      <c r="F39" s="1">
        <v>29140</v>
      </c>
      <c r="G39" s="167" t="s">
        <v>2274</v>
      </c>
      <c r="H39" s="167" t="s">
        <v>121</v>
      </c>
      <c r="I39" s="167" t="s">
        <v>11</v>
      </c>
    </row>
    <row r="40" spans="1:9" x14ac:dyDescent="0.25">
      <c r="A40" s="95">
        <v>39</v>
      </c>
      <c r="B40" t="s">
        <v>1320</v>
      </c>
      <c r="C40" t="s">
        <v>1329</v>
      </c>
      <c r="D40" t="s">
        <v>1330</v>
      </c>
      <c r="F40" s="1">
        <v>28352</v>
      </c>
      <c r="G40" s="167" t="s">
        <v>2273</v>
      </c>
      <c r="H40" s="167" t="s">
        <v>121</v>
      </c>
      <c r="I40" s="167" t="s">
        <v>11</v>
      </c>
    </row>
    <row r="41" spans="1:9" x14ac:dyDescent="0.25">
      <c r="A41" s="95">
        <v>40</v>
      </c>
      <c r="B41" t="s">
        <v>78</v>
      </c>
      <c r="C41" t="s">
        <v>1331</v>
      </c>
      <c r="D41" t="s">
        <v>1332</v>
      </c>
      <c r="F41" s="1">
        <v>29120</v>
      </c>
      <c r="G41" s="167" t="s">
        <v>2274</v>
      </c>
      <c r="H41" s="167" t="s">
        <v>121</v>
      </c>
      <c r="I41" s="167" t="s">
        <v>11</v>
      </c>
    </row>
    <row r="42" spans="1:9" x14ac:dyDescent="0.25">
      <c r="A42" s="95">
        <v>41</v>
      </c>
      <c r="B42" t="s">
        <v>1333</v>
      </c>
      <c r="C42" t="s">
        <v>1334</v>
      </c>
      <c r="D42" t="s">
        <v>1335</v>
      </c>
      <c r="F42" s="1">
        <v>25746</v>
      </c>
      <c r="G42" s="167" t="s">
        <v>2273</v>
      </c>
      <c r="H42" s="167" t="s">
        <v>121</v>
      </c>
      <c r="I42" s="167" t="s">
        <v>11</v>
      </c>
    </row>
    <row r="43" spans="1:9" x14ac:dyDescent="0.25">
      <c r="A43" s="95">
        <v>42</v>
      </c>
      <c r="B43" t="s">
        <v>196</v>
      </c>
      <c r="C43" t="s">
        <v>1336</v>
      </c>
      <c r="D43" t="s">
        <v>1281</v>
      </c>
      <c r="F43" s="1">
        <v>25384</v>
      </c>
      <c r="G43" s="167" t="s">
        <v>2273</v>
      </c>
      <c r="H43" s="167" t="s">
        <v>121</v>
      </c>
      <c r="I43" s="167" t="s">
        <v>11</v>
      </c>
    </row>
    <row r="44" spans="1:9" x14ac:dyDescent="0.25">
      <c r="A44" s="95">
        <v>43</v>
      </c>
      <c r="B44" t="s">
        <v>38</v>
      </c>
      <c r="C44" t="s">
        <v>1315</v>
      </c>
      <c r="D44" t="s">
        <v>358</v>
      </c>
      <c r="F44" s="1">
        <v>27393</v>
      </c>
      <c r="G44" s="167" t="s">
        <v>2273</v>
      </c>
      <c r="H44" s="167" t="s">
        <v>121</v>
      </c>
      <c r="I44" s="167" t="s">
        <v>11</v>
      </c>
    </row>
    <row r="45" spans="1:9" x14ac:dyDescent="0.25">
      <c r="A45" s="95">
        <v>44</v>
      </c>
      <c r="B45" t="s">
        <v>710</v>
      </c>
      <c r="C45" t="s">
        <v>1325</v>
      </c>
      <c r="F45" s="1">
        <v>38913</v>
      </c>
      <c r="G45" s="167" t="s">
        <v>2273</v>
      </c>
      <c r="H45" s="167" t="s">
        <v>121</v>
      </c>
      <c r="I45" s="167" t="s">
        <v>11</v>
      </c>
    </row>
    <row r="46" spans="1:9" x14ac:dyDescent="0.25">
      <c r="A46" s="95">
        <v>45</v>
      </c>
      <c r="B46" t="s">
        <v>816</v>
      </c>
      <c r="C46" t="s">
        <v>1337</v>
      </c>
      <c r="D46" t="s">
        <v>174</v>
      </c>
      <c r="F46" s="1">
        <v>27893</v>
      </c>
      <c r="G46" s="167" t="s">
        <v>2273</v>
      </c>
      <c r="H46" s="167" t="s">
        <v>121</v>
      </c>
      <c r="I46" s="167" t="s">
        <v>11</v>
      </c>
    </row>
    <row r="47" spans="1:9" x14ac:dyDescent="0.25">
      <c r="A47" s="95">
        <v>46</v>
      </c>
      <c r="B47" t="s">
        <v>1318</v>
      </c>
      <c r="C47" t="s">
        <v>1319</v>
      </c>
      <c r="F47" s="1">
        <v>38048</v>
      </c>
      <c r="G47" s="167" t="s">
        <v>2273</v>
      </c>
      <c r="H47" s="167" t="s">
        <v>121</v>
      </c>
      <c r="I47" s="167" t="s">
        <v>11</v>
      </c>
    </row>
    <row r="48" spans="1:9" x14ac:dyDescent="0.25">
      <c r="A48" s="95">
        <v>47</v>
      </c>
      <c r="B48" t="s">
        <v>1292</v>
      </c>
      <c r="C48" t="s">
        <v>136</v>
      </c>
      <c r="D48" t="s">
        <v>621</v>
      </c>
      <c r="F48" s="1">
        <v>24249</v>
      </c>
      <c r="G48" s="167" t="s">
        <v>2274</v>
      </c>
      <c r="H48" s="167" t="s">
        <v>121</v>
      </c>
      <c r="I48" s="167" t="s">
        <v>11</v>
      </c>
    </row>
    <row r="49" spans="1:9" x14ac:dyDescent="0.25">
      <c r="A49" s="95">
        <v>48</v>
      </c>
      <c r="B49" t="s">
        <v>1320</v>
      </c>
      <c r="C49" t="s">
        <v>1329</v>
      </c>
      <c r="D49" t="s">
        <v>1338</v>
      </c>
      <c r="F49" s="1">
        <v>28352</v>
      </c>
      <c r="G49" s="167" t="s">
        <v>2273</v>
      </c>
      <c r="H49" s="167" t="s">
        <v>121</v>
      </c>
      <c r="I49" s="167" t="s">
        <v>11</v>
      </c>
    </row>
    <row r="50" spans="1:9" x14ac:dyDescent="0.25">
      <c r="A50" s="95">
        <v>49</v>
      </c>
      <c r="B50" t="s">
        <v>1339</v>
      </c>
      <c r="C50" t="s">
        <v>1340</v>
      </c>
      <c r="D50" t="s">
        <v>1341</v>
      </c>
      <c r="F50" s="1">
        <v>34884</v>
      </c>
      <c r="G50" s="167" t="s">
        <v>2273</v>
      </c>
      <c r="H50" s="167" t="s">
        <v>121</v>
      </c>
      <c r="I50" s="167" t="s">
        <v>11</v>
      </c>
    </row>
    <row r="51" spans="1:9" x14ac:dyDescent="0.25">
      <c r="A51" s="95">
        <v>50</v>
      </c>
      <c r="B51" t="s">
        <v>997</v>
      </c>
      <c r="C51" t="s">
        <v>1323</v>
      </c>
      <c r="D51" t="s">
        <v>1324</v>
      </c>
      <c r="F51" s="1">
        <v>22104</v>
      </c>
      <c r="G51" s="167" t="s">
        <v>2273</v>
      </c>
      <c r="H51" s="167" t="s">
        <v>121</v>
      </c>
      <c r="I51" s="167" t="s">
        <v>11</v>
      </c>
    </row>
    <row r="52" spans="1:9" x14ac:dyDescent="0.25">
      <c r="A52" s="95">
        <v>51</v>
      </c>
      <c r="B52" t="s">
        <v>81</v>
      </c>
      <c r="C52" t="s">
        <v>231</v>
      </c>
      <c r="D52" t="s">
        <v>124</v>
      </c>
      <c r="F52" s="1">
        <v>31175</v>
      </c>
      <c r="G52" s="167" t="s">
        <v>2274</v>
      </c>
      <c r="H52" s="167" t="s">
        <v>121</v>
      </c>
      <c r="I52" s="167" t="s">
        <v>11</v>
      </c>
    </row>
    <row r="53" spans="1:9" x14ac:dyDescent="0.25">
      <c r="A53" s="95">
        <v>52</v>
      </c>
      <c r="B53" t="s">
        <v>621</v>
      </c>
      <c r="C53" t="s">
        <v>1342</v>
      </c>
      <c r="D53" t="s">
        <v>1343</v>
      </c>
      <c r="F53" s="1">
        <v>16101</v>
      </c>
      <c r="G53" s="167" t="s">
        <v>2274</v>
      </c>
      <c r="H53" s="167" t="s">
        <v>121</v>
      </c>
      <c r="I53" s="167" t="s">
        <v>11</v>
      </c>
    </row>
    <row r="54" spans="1:9" x14ac:dyDescent="0.25">
      <c r="A54" s="95">
        <v>53</v>
      </c>
      <c r="B54" t="s">
        <v>854</v>
      </c>
      <c r="C54" t="s">
        <v>1344</v>
      </c>
      <c r="D54" t="s">
        <v>907</v>
      </c>
      <c r="F54" s="1">
        <v>35930</v>
      </c>
      <c r="G54" s="167" t="s">
        <v>2273</v>
      </c>
      <c r="H54" s="167" t="s">
        <v>121</v>
      </c>
      <c r="I54" s="167" t="s">
        <v>11</v>
      </c>
    </row>
    <row r="55" spans="1:9" x14ac:dyDescent="0.25">
      <c r="A55" s="95">
        <v>54</v>
      </c>
      <c r="B55" t="s">
        <v>38</v>
      </c>
      <c r="C55" t="s">
        <v>254</v>
      </c>
      <c r="D55" t="s">
        <v>1345</v>
      </c>
      <c r="F55" s="1">
        <v>26545</v>
      </c>
      <c r="G55" s="167" t="s">
        <v>2274</v>
      </c>
      <c r="H55" s="167" t="s">
        <v>121</v>
      </c>
      <c r="I55" s="167" t="s">
        <v>11</v>
      </c>
    </row>
    <row r="56" spans="1:9" x14ac:dyDescent="0.25">
      <c r="A56" s="95">
        <v>55</v>
      </c>
      <c r="B56" t="s">
        <v>854</v>
      </c>
      <c r="C56" t="s">
        <v>84</v>
      </c>
      <c r="D56" t="s">
        <v>907</v>
      </c>
      <c r="F56" s="1">
        <v>20543</v>
      </c>
      <c r="G56" s="167" t="s">
        <v>2273</v>
      </c>
      <c r="H56" s="167" t="s">
        <v>121</v>
      </c>
      <c r="I56" s="167" t="s">
        <v>11</v>
      </c>
    </row>
    <row r="57" spans="1:9" x14ac:dyDescent="0.25">
      <c r="A57" s="95">
        <v>56</v>
      </c>
      <c r="B57" t="s">
        <v>38</v>
      </c>
      <c r="C57" t="s">
        <v>1346</v>
      </c>
      <c r="D57" t="s">
        <v>1345</v>
      </c>
      <c r="F57" s="1">
        <v>19834</v>
      </c>
      <c r="G57" s="167" t="s">
        <v>2274</v>
      </c>
      <c r="H57" s="167" t="s">
        <v>121</v>
      </c>
      <c r="I57" s="167" t="s">
        <v>11</v>
      </c>
    </row>
    <row r="58" spans="1:9" x14ac:dyDescent="0.25">
      <c r="A58" s="95">
        <v>57</v>
      </c>
      <c r="B58" t="s">
        <v>1347</v>
      </c>
      <c r="C58" t="s">
        <v>1348</v>
      </c>
      <c r="D58" t="s">
        <v>1349</v>
      </c>
      <c r="F58" s="1">
        <v>30169</v>
      </c>
      <c r="G58" s="167" t="s">
        <v>2273</v>
      </c>
      <c r="H58" s="167" t="s">
        <v>121</v>
      </c>
      <c r="I58" s="167" t="s">
        <v>11</v>
      </c>
    </row>
    <row r="59" spans="1:9" x14ac:dyDescent="0.25">
      <c r="A59" s="95">
        <v>58</v>
      </c>
      <c r="B59" t="s">
        <v>1350</v>
      </c>
      <c r="C59" t="s">
        <v>1351</v>
      </c>
      <c r="D59" t="s">
        <v>361</v>
      </c>
      <c r="E59" t="s">
        <v>67</v>
      </c>
      <c r="F59" s="1">
        <v>26381</v>
      </c>
      <c r="G59" s="167" t="s">
        <v>2274</v>
      </c>
      <c r="H59" s="167" t="s">
        <v>121</v>
      </c>
      <c r="I59" s="167" t="s">
        <v>11</v>
      </c>
    </row>
    <row r="60" spans="1:9" x14ac:dyDescent="0.25">
      <c r="A60" s="95">
        <v>59</v>
      </c>
      <c r="B60" t="s">
        <v>1352</v>
      </c>
      <c r="C60" t="s">
        <v>1353</v>
      </c>
      <c r="D60" t="s">
        <v>1354</v>
      </c>
      <c r="F60" s="1">
        <v>24136</v>
      </c>
      <c r="G60" s="167" t="s">
        <v>2274</v>
      </c>
      <c r="H60" s="167" t="s">
        <v>121</v>
      </c>
      <c r="I60" s="167" t="s">
        <v>11</v>
      </c>
    </row>
    <row r="61" spans="1:9" x14ac:dyDescent="0.25">
      <c r="A61" s="95">
        <v>60</v>
      </c>
      <c r="B61" t="s">
        <v>621</v>
      </c>
      <c r="C61" t="s">
        <v>1355</v>
      </c>
      <c r="D61" t="s">
        <v>1356</v>
      </c>
      <c r="F61" s="1">
        <v>28371</v>
      </c>
      <c r="G61" s="167" t="s">
        <v>2274</v>
      </c>
      <c r="H61" s="167" t="s">
        <v>121</v>
      </c>
      <c r="I61" s="167" t="s">
        <v>11</v>
      </c>
    </row>
    <row r="62" spans="1:9" x14ac:dyDescent="0.25">
      <c r="A62" s="95">
        <v>61</v>
      </c>
      <c r="B62" t="s">
        <v>78</v>
      </c>
      <c r="C62" t="s">
        <v>1357</v>
      </c>
      <c r="D62" t="s">
        <v>1358</v>
      </c>
      <c r="F62" s="1">
        <v>33932</v>
      </c>
      <c r="G62" s="167" t="s">
        <v>2274</v>
      </c>
      <c r="H62" s="167" t="s">
        <v>121</v>
      </c>
      <c r="I62" s="167" t="s">
        <v>11</v>
      </c>
    </row>
    <row r="63" spans="1:9" x14ac:dyDescent="0.25">
      <c r="A63" s="95">
        <v>62</v>
      </c>
      <c r="B63" t="s">
        <v>1352</v>
      </c>
      <c r="C63" t="s">
        <v>1359</v>
      </c>
      <c r="D63" t="s">
        <v>1354</v>
      </c>
      <c r="E63" t="s">
        <v>67</v>
      </c>
      <c r="F63" s="1">
        <v>24991</v>
      </c>
      <c r="G63" s="167" t="s">
        <v>2274</v>
      </c>
      <c r="H63" s="167" t="s">
        <v>121</v>
      </c>
      <c r="I63" s="167" t="s">
        <v>11</v>
      </c>
    </row>
    <row r="64" spans="1:9" x14ac:dyDescent="0.25">
      <c r="A64" s="95">
        <v>63</v>
      </c>
      <c r="B64" t="s">
        <v>1292</v>
      </c>
      <c r="C64" t="s">
        <v>24</v>
      </c>
      <c r="D64" t="s">
        <v>1328</v>
      </c>
      <c r="F64" s="1">
        <v>27917</v>
      </c>
      <c r="G64" s="167" t="s">
        <v>2274</v>
      </c>
      <c r="H64" s="167" t="s">
        <v>121</v>
      </c>
      <c r="I64" s="167" t="s">
        <v>11</v>
      </c>
    </row>
    <row r="65" spans="1:9" x14ac:dyDescent="0.25">
      <c r="A65" s="95">
        <v>64</v>
      </c>
      <c r="B65" t="s">
        <v>1360</v>
      </c>
      <c r="C65" t="s">
        <v>133</v>
      </c>
      <c r="D65" t="s">
        <v>1354</v>
      </c>
      <c r="F65" s="1">
        <v>25430</v>
      </c>
      <c r="G65" s="167" t="s">
        <v>2274</v>
      </c>
      <c r="H65" s="167" t="s">
        <v>121</v>
      </c>
      <c r="I65" s="167" t="s">
        <v>11</v>
      </c>
    </row>
    <row r="66" spans="1:9" x14ac:dyDescent="0.25">
      <c r="A66" s="95">
        <v>65</v>
      </c>
      <c r="B66" t="s">
        <v>1360</v>
      </c>
      <c r="C66" t="s">
        <v>1361</v>
      </c>
      <c r="D66" t="s">
        <v>1326</v>
      </c>
      <c r="F66" s="1">
        <v>24121</v>
      </c>
      <c r="G66" s="167" t="s">
        <v>2274</v>
      </c>
      <c r="H66" s="167" t="s">
        <v>121</v>
      </c>
      <c r="I66" s="167" t="s">
        <v>11</v>
      </c>
    </row>
    <row r="67" spans="1:9" x14ac:dyDescent="0.25">
      <c r="A67" s="95">
        <v>66</v>
      </c>
      <c r="B67" t="s">
        <v>1362</v>
      </c>
      <c r="C67" t="s">
        <v>1363</v>
      </c>
      <c r="D67" t="s">
        <v>1364</v>
      </c>
      <c r="F67" s="1">
        <v>32847</v>
      </c>
      <c r="G67" s="167" t="s">
        <v>2274</v>
      </c>
      <c r="H67" s="167" t="s">
        <v>121</v>
      </c>
      <c r="I67" s="167" t="s">
        <v>11</v>
      </c>
    </row>
    <row r="68" spans="1:9" x14ac:dyDescent="0.25">
      <c r="A68" s="95">
        <v>67</v>
      </c>
      <c r="B68" t="s">
        <v>117</v>
      </c>
      <c r="C68" t="s">
        <v>1365</v>
      </c>
      <c r="D68" t="s">
        <v>1366</v>
      </c>
      <c r="F68" s="1">
        <v>34733</v>
      </c>
      <c r="G68" s="167" t="s">
        <v>2274</v>
      </c>
      <c r="H68" s="167" t="s">
        <v>121</v>
      </c>
      <c r="I68" s="167" t="s">
        <v>11</v>
      </c>
    </row>
    <row r="69" spans="1:9" x14ac:dyDescent="0.25">
      <c r="A69" s="95">
        <v>68</v>
      </c>
      <c r="B69" t="s">
        <v>738</v>
      </c>
      <c r="C69" t="s">
        <v>1367</v>
      </c>
      <c r="D69" t="s">
        <v>1368</v>
      </c>
      <c r="F69" s="1">
        <v>32497</v>
      </c>
      <c r="G69" s="167" t="s">
        <v>2274</v>
      </c>
      <c r="H69" s="167" t="s">
        <v>121</v>
      </c>
      <c r="I69" s="167" t="s">
        <v>11</v>
      </c>
    </row>
    <row r="70" spans="1:9" x14ac:dyDescent="0.25">
      <c r="A70" s="95">
        <v>69</v>
      </c>
      <c r="B70" t="s">
        <v>289</v>
      </c>
      <c r="C70" t="s">
        <v>1369</v>
      </c>
      <c r="D70" t="s">
        <v>1370</v>
      </c>
      <c r="F70" s="1">
        <v>35183</v>
      </c>
      <c r="G70" s="167" t="s">
        <v>2274</v>
      </c>
      <c r="H70" s="167" t="s">
        <v>121</v>
      </c>
      <c r="I70" s="167" t="s">
        <v>11</v>
      </c>
    </row>
    <row r="71" spans="1:9" x14ac:dyDescent="0.25">
      <c r="A71" s="95">
        <v>70</v>
      </c>
      <c r="B71" t="s">
        <v>1371</v>
      </c>
      <c r="C71" t="s">
        <v>1372</v>
      </c>
      <c r="D71" t="s">
        <v>1373</v>
      </c>
      <c r="F71" s="1">
        <v>20879</v>
      </c>
      <c r="G71" s="167" t="s">
        <v>2274</v>
      </c>
      <c r="H71" s="167" t="s">
        <v>121</v>
      </c>
      <c r="I71" s="167" t="s">
        <v>11</v>
      </c>
    </row>
    <row r="72" spans="1:9" x14ac:dyDescent="0.25">
      <c r="A72" s="95">
        <v>71</v>
      </c>
      <c r="B72" t="s">
        <v>1374</v>
      </c>
      <c r="C72" t="s">
        <v>1375</v>
      </c>
      <c r="D72" t="s">
        <v>1376</v>
      </c>
      <c r="F72" s="1">
        <v>24951</v>
      </c>
      <c r="G72" s="167" t="s">
        <v>2274</v>
      </c>
      <c r="H72" s="167" t="s">
        <v>121</v>
      </c>
      <c r="I72" s="167" t="s">
        <v>11</v>
      </c>
    </row>
    <row r="73" spans="1:9" x14ac:dyDescent="0.25">
      <c r="A73" s="95">
        <v>72</v>
      </c>
      <c r="B73" t="s">
        <v>38</v>
      </c>
      <c r="C73" t="s">
        <v>1377</v>
      </c>
      <c r="D73" t="s">
        <v>1378</v>
      </c>
      <c r="F73" s="1">
        <v>34562</v>
      </c>
      <c r="G73" s="167" t="s">
        <v>2274</v>
      </c>
      <c r="H73" s="167" t="s">
        <v>121</v>
      </c>
      <c r="I73" s="167" t="s">
        <v>11</v>
      </c>
    </row>
    <row r="74" spans="1:9" x14ac:dyDescent="0.25">
      <c r="A74" s="95">
        <v>73</v>
      </c>
      <c r="B74" t="s">
        <v>289</v>
      </c>
      <c r="C74" t="s">
        <v>1379</v>
      </c>
      <c r="D74" t="s">
        <v>426</v>
      </c>
      <c r="F74" s="1">
        <v>32922</v>
      </c>
      <c r="G74" s="167" t="s">
        <v>2274</v>
      </c>
      <c r="H74" s="167" t="s">
        <v>121</v>
      </c>
      <c r="I74" s="167" t="s">
        <v>11</v>
      </c>
    </row>
    <row r="75" spans="1:9" x14ac:dyDescent="0.25">
      <c r="A75" s="95">
        <v>74</v>
      </c>
      <c r="B75" t="s">
        <v>1380</v>
      </c>
      <c r="C75" t="s">
        <v>69</v>
      </c>
      <c r="D75" t="s">
        <v>1381</v>
      </c>
      <c r="F75" s="1">
        <v>25352</v>
      </c>
      <c r="G75" s="167" t="s">
        <v>2274</v>
      </c>
      <c r="H75" s="167" t="s">
        <v>121</v>
      </c>
      <c r="I75" s="167" t="s">
        <v>11</v>
      </c>
    </row>
    <row r="76" spans="1:9" x14ac:dyDescent="0.25">
      <c r="A76" s="95">
        <v>75</v>
      </c>
      <c r="B76" t="s">
        <v>1294</v>
      </c>
      <c r="C76" t="s">
        <v>1382</v>
      </c>
      <c r="D76" t="s">
        <v>621</v>
      </c>
      <c r="F76" s="1">
        <v>25658</v>
      </c>
      <c r="G76" s="167" t="s">
        <v>2274</v>
      </c>
      <c r="H76" s="167" t="s">
        <v>121</v>
      </c>
      <c r="I76" s="167" t="s">
        <v>11</v>
      </c>
    </row>
    <row r="77" spans="1:9" x14ac:dyDescent="0.25">
      <c r="A77" s="95">
        <v>76</v>
      </c>
      <c r="B77" t="s">
        <v>1294</v>
      </c>
      <c r="C77" t="s">
        <v>1383</v>
      </c>
      <c r="D77" t="s">
        <v>426</v>
      </c>
      <c r="F77" s="1">
        <v>18431</v>
      </c>
      <c r="G77" s="167" t="s">
        <v>2274</v>
      </c>
      <c r="H77" s="167" t="s">
        <v>121</v>
      </c>
      <c r="I77" s="167" t="s">
        <v>11</v>
      </c>
    </row>
    <row r="78" spans="1:9" x14ac:dyDescent="0.25">
      <c r="A78" s="95">
        <v>77</v>
      </c>
      <c r="B78" t="s">
        <v>1294</v>
      </c>
      <c r="C78" t="s">
        <v>1384</v>
      </c>
      <c r="D78" t="s">
        <v>1350</v>
      </c>
      <c r="F78" s="1">
        <v>25535</v>
      </c>
      <c r="G78" s="167" t="s">
        <v>2274</v>
      </c>
      <c r="H78" s="167" t="s">
        <v>121</v>
      </c>
      <c r="I78" s="167" t="s">
        <v>11</v>
      </c>
    </row>
    <row r="79" spans="1:9" x14ac:dyDescent="0.25">
      <c r="A79" s="95">
        <v>78</v>
      </c>
      <c r="B79" t="s">
        <v>1385</v>
      </c>
      <c r="C79" t="s">
        <v>1386</v>
      </c>
      <c r="D79" t="s">
        <v>1387</v>
      </c>
      <c r="F79" s="1">
        <v>22405</v>
      </c>
      <c r="G79" s="167" t="s">
        <v>2274</v>
      </c>
      <c r="H79" s="167" t="s">
        <v>121</v>
      </c>
      <c r="I79" s="167" t="s">
        <v>11</v>
      </c>
    </row>
    <row r="80" spans="1:9" x14ac:dyDescent="0.25">
      <c r="A80" s="95">
        <v>79</v>
      </c>
      <c r="B80" t="s">
        <v>1373</v>
      </c>
      <c r="C80" t="s">
        <v>1388</v>
      </c>
      <c r="D80" t="s">
        <v>426</v>
      </c>
      <c r="F80" s="1">
        <v>23262</v>
      </c>
      <c r="G80" s="167" t="s">
        <v>2274</v>
      </c>
      <c r="H80" s="167" t="s">
        <v>121</v>
      </c>
      <c r="I80" s="167" t="s">
        <v>11</v>
      </c>
    </row>
    <row r="81" spans="1:9" x14ac:dyDescent="0.25">
      <c r="A81" s="95">
        <v>80</v>
      </c>
      <c r="B81" t="s">
        <v>1360</v>
      </c>
      <c r="C81" t="s">
        <v>1389</v>
      </c>
      <c r="D81" t="s">
        <v>1390</v>
      </c>
      <c r="F81" s="1">
        <v>20256</v>
      </c>
      <c r="G81" s="167" t="s">
        <v>2274</v>
      </c>
      <c r="H81" s="167" t="s">
        <v>121</v>
      </c>
      <c r="I81" s="167" t="s">
        <v>11</v>
      </c>
    </row>
    <row r="82" spans="1:9" x14ac:dyDescent="0.25">
      <c r="A82" s="95">
        <v>81</v>
      </c>
      <c r="B82" t="s">
        <v>1292</v>
      </c>
      <c r="C82" t="s">
        <v>1293</v>
      </c>
      <c r="D82" t="s">
        <v>1294</v>
      </c>
      <c r="E82" t="s">
        <v>67</v>
      </c>
      <c r="F82" s="1">
        <v>27808</v>
      </c>
      <c r="G82" s="167" t="s">
        <v>2274</v>
      </c>
      <c r="H82" s="167" t="s">
        <v>121</v>
      </c>
      <c r="I82" s="167" t="s">
        <v>11</v>
      </c>
    </row>
    <row r="83" spans="1:9" x14ac:dyDescent="0.25">
      <c r="A83" s="95">
        <v>82</v>
      </c>
      <c r="B83" t="s">
        <v>1299</v>
      </c>
      <c r="C83" t="s">
        <v>1300</v>
      </c>
      <c r="D83" t="s">
        <v>1301</v>
      </c>
      <c r="F83" s="1">
        <v>24264</v>
      </c>
      <c r="G83" s="167" t="s">
        <v>2274</v>
      </c>
      <c r="H83" s="167" t="s">
        <v>121</v>
      </c>
      <c r="I83" s="167" t="s">
        <v>11</v>
      </c>
    </row>
    <row r="84" spans="1:9" x14ac:dyDescent="0.25">
      <c r="A84" s="95">
        <v>83</v>
      </c>
      <c r="B84" t="s">
        <v>1391</v>
      </c>
      <c r="C84" t="s">
        <v>1392</v>
      </c>
      <c r="D84" t="s">
        <v>1393</v>
      </c>
      <c r="F84" s="1">
        <v>31811</v>
      </c>
      <c r="G84" s="167" t="s">
        <v>2274</v>
      </c>
      <c r="H84" s="167" t="s">
        <v>121</v>
      </c>
      <c r="I84" s="167" t="s">
        <v>11</v>
      </c>
    </row>
    <row r="85" spans="1:9" x14ac:dyDescent="0.25">
      <c r="A85" s="95">
        <v>84</v>
      </c>
      <c r="B85" t="s">
        <v>1278</v>
      </c>
      <c r="C85" t="s">
        <v>1394</v>
      </c>
      <c r="D85" t="s">
        <v>1395</v>
      </c>
      <c r="F85" s="1">
        <v>46270</v>
      </c>
      <c r="G85" s="167" t="s">
        <v>2273</v>
      </c>
      <c r="H85" s="167" t="s">
        <v>121</v>
      </c>
      <c r="I85" s="167" t="s">
        <v>11</v>
      </c>
    </row>
    <row r="86" spans="1:9" x14ac:dyDescent="0.25">
      <c r="A86" s="95">
        <v>85</v>
      </c>
      <c r="B86" t="s">
        <v>1396</v>
      </c>
      <c r="C86" t="s">
        <v>1397</v>
      </c>
      <c r="D86" t="s">
        <v>81</v>
      </c>
      <c r="F86" s="1">
        <v>33137</v>
      </c>
      <c r="G86" s="167" t="s">
        <v>2273</v>
      </c>
      <c r="H86" s="167" t="s">
        <v>121</v>
      </c>
      <c r="I86" s="167" t="s">
        <v>11</v>
      </c>
    </row>
    <row r="87" spans="1:9" x14ac:dyDescent="0.25">
      <c r="A87" s="95">
        <v>86</v>
      </c>
      <c r="B87" t="s">
        <v>1278</v>
      </c>
      <c r="C87" t="s">
        <v>1394</v>
      </c>
      <c r="D87" t="s">
        <v>1395</v>
      </c>
      <c r="F87" s="1">
        <v>46270</v>
      </c>
      <c r="G87" s="167" t="s">
        <v>2273</v>
      </c>
      <c r="H87" s="167" t="s">
        <v>121</v>
      </c>
      <c r="I87" s="167" t="s">
        <v>11</v>
      </c>
    </row>
    <row r="88" spans="1:9" x14ac:dyDescent="0.25">
      <c r="A88" s="95">
        <v>87</v>
      </c>
      <c r="B88" t="s">
        <v>1269</v>
      </c>
      <c r="C88" t="s">
        <v>1398</v>
      </c>
      <c r="D88" t="s">
        <v>1399</v>
      </c>
      <c r="F88" s="1">
        <v>24886</v>
      </c>
      <c r="G88" s="167" t="s">
        <v>2273</v>
      </c>
      <c r="H88" s="167" t="s">
        <v>121</v>
      </c>
      <c r="I88" s="167" t="s">
        <v>11</v>
      </c>
    </row>
    <row r="89" spans="1:9" x14ac:dyDescent="0.25">
      <c r="A89" s="95">
        <v>88</v>
      </c>
      <c r="B89" t="s">
        <v>782</v>
      </c>
      <c r="C89" t="s">
        <v>1400</v>
      </c>
      <c r="D89" t="s">
        <v>1401</v>
      </c>
      <c r="F89" s="1">
        <v>28774</v>
      </c>
      <c r="G89" s="167" t="s">
        <v>2273</v>
      </c>
      <c r="H89" s="167" t="s">
        <v>121</v>
      </c>
      <c r="I89" s="167" t="s">
        <v>11</v>
      </c>
    </row>
    <row r="90" spans="1:9" x14ac:dyDescent="0.25">
      <c r="A90" s="95">
        <v>89</v>
      </c>
      <c r="B90" t="s">
        <v>1402</v>
      </c>
      <c r="C90" t="s">
        <v>19</v>
      </c>
      <c r="D90" t="s">
        <v>1403</v>
      </c>
      <c r="F90" s="1">
        <v>25206</v>
      </c>
      <c r="G90" s="167" t="s">
        <v>2273</v>
      </c>
      <c r="H90" s="167" t="s">
        <v>121</v>
      </c>
      <c r="I90" s="167" t="s">
        <v>11</v>
      </c>
    </row>
    <row r="91" spans="1:9" x14ac:dyDescent="0.25">
      <c r="A91" s="95">
        <v>90</v>
      </c>
      <c r="B91" t="s">
        <v>1278</v>
      </c>
      <c r="C91" t="s">
        <v>1404</v>
      </c>
      <c r="D91" t="s">
        <v>1405</v>
      </c>
      <c r="F91" s="1">
        <v>19465</v>
      </c>
      <c r="G91" s="167" t="s">
        <v>2273</v>
      </c>
      <c r="H91" s="167" t="s">
        <v>121</v>
      </c>
      <c r="I91" s="167" t="s">
        <v>11</v>
      </c>
    </row>
    <row r="92" spans="1:9" x14ac:dyDescent="0.25">
      <c r="A92" s="95">
        <v>91</v>
      </c>
      <c r="B92" t="s">
        <v>1269</v>
      </c>
      <c r="C92" t="s">
        <v>55</v>
      </c>
      <c r="D92" t="s">
        <v>1406</v>
      </c>
      <c r="F92" s="1">
        <v>27827</v>
      </c>
      <c r="G92" s="167" t="s">
        <v>2273</v>
      </c>
      <c r="H92" s="167" t="s">
        <v>121</v>
      </c>
      <c r="I92" s="167" t="s">
        <v>11</v>
      </c>
    </row>
    <row r="93" spans="1:9" x14ac:dyDescent="0.25">
      <c r="A93" s="95">
        <v>92</v>
      </c>
      <c r="B93" t="s">
        <v>997</v>
      </c>
      <c r="C93" t="s">
        <v>1407</v>
      </c>
      <c r="D93" t="s">
        <v>1408</v>
      </c>
      <c r="F93" s="1">
        <v>28519</v>
      </c>
      <c r="G93" s="167" t="s">
        <v>2273</v>
      </c>
      <c r="H93" s="167" t="s">
        <v>121</v>
      </c>
      <c r="I93" s="167" t="s">
        <v>11</v>
      </c>
    </row>
    <row r="94" spans="1:9" x14ac:dyDescent="0.25">
      <c r="A94" s="95">
        <v>93</v>
      </c>
      <c r="B94" t="s">
        <v>1409</v>
      </c>
      <c r="C94" t="s">
        <v>1410</v>
      </c>
      <c r="D94" t="s">
        <v>997</v>
      </c>
      <c r="F94" s="1">
        <v>24898</v>
      </c>
      <c r="G94" s="167" t="s">
        <v>2273</v>
      </c>
      <c r="H94" s="167" t="s">
        <v>121</v>
      </c>
      <c r="I94" s="167" t="s">
        <v>11</v>
      </c>
    </row>
    <row r="95" spans="1:9" x14ac:dyDescent="0.25">
      <c r="A95" s="95">
        <v>94</v>
      </c>
      <c r="B95" t="s">
        <v>533</v>
      </c>
      <c r="C95" t="s">
        <v>31</v>
      </c>
      <c r="D95" t="s">
        <v>1411</v>
      </c>
      <c r="F95" s="1">
        <v>28731</v>
      </c>
      <c r="G95" s="167" t="s">
        <v>2273</v>
      </c>
      <c r="H95" s="167" t="s">
        <v>121</v>
      </c>
      <c r="I95" s="167" t="s">
        <v>11</v>
      </c>
    </row>
    <row r="96" spans="1:9" x14ac:dyDescent="0.25">
      <c r="A96" s="95">
        <v>95</v>
      </c>
      <c r="B96" t="s">
        <v>1412</v>
      </c>
      <c r="C96" t="s">
        <v>1413</v>
      </c>
      <c r="D96" t="s">
        <v>1299</v>
      </c>
      <c r="F96" s="1">
        <v>15755</v>
      </c>
      <c r="G96" s="167" t="s">
        <v>2273</v>
      </c>
      <c r="H96" s="167" t="s">
        <v>121</v>
      </c>
      <c r="I96" s="167" t="s">
        <v>11</v>
      </c>
    </row>
    <row r="97" spans="1:9" x14ac:dyDescent="0.25">
      <c r="A97" s="95">
        <v>96</v>
      </c>
      <c r="B97" t="s">
        <v>997</v>
      </c>
      <c r="C97" t="s">
        <v>1414</v>
      </c>
      <c r="D97" t="s">
        <v>1415</v>
      </c>
      <c r="F97" s="1">
        <v>32763</v>
      </c>
      <c r="G97" s="167" t="s">
        <v>2273</v>
      </c>
      <c r="H97" s="167" t="s">
        <v>121</v>
      </c>
      <c r="I97" s="167" t="s">
        <v>11</v>
      </c>
    </row>
    <row r="98" spans="1:9" x14ac:dyDescent="0.25">
      <c r="A98" s="95">
        <v>97</v>
      </c>
      <c r="B98" t="s">
        <v>232</v>
      </c>
      <c r="C98" t="s">
        <v>1416</v>
      </c>
      <c r="D98" t="s">
        <v>997</v>
      </c>
      <c r="F98" s="1">
        <v>30466</v>
      </c>
      <c r="G98" s="167" t="s">
        <v>2273</v>
      </c>
      <c r="H98" s="167" t="s">
        <v>121</v>
      </c>
      <c r="I98" s="167" t="s">
        <v>11</v>
      </c>
    </row>
    <row r="99" spans="1:9" x14ac:dyDescent="0.25">
      <c r="A99" s="95">
        <v>98</v>
      </c>
      <c r="B99" t="s">
        <v>710</v>
      </c>
      <c r="C99" t="s">
        <v>1325</v>
      </c>
      <c r="F99" s="1">
        <v>38548</v>
      </c>
      <c r="G99" s="167" t="s">
        <v>2273</v>
      </c>
      <c r="H99" s="167" t="s">
        <v>121</v>
      </c>
      <c r="I99" s="167" t="s">
        <v>11</v>
      </c>
    </row>
    <row r="100" spans="1:9" x14ac:dyDescent="0.25">
      <c r="A100" s="95">
        <v>99</v>
      </c>
      <c r="B100" t="s">
        <v>1352</v>
      </c>
      <c r="C100" t="s">
        <v>526</v>
      </c>
      <c r="D100" t="s">
        <v>1417</v>
      </c>
      <c r="F100" s="1">
        <v>22078</v>
      </c>
      <c r="G100" s="167" t="s">
        <v>2274</v>
      </c>
      <c r="H100" s="167" t="s">
        <v>121</v>
      </c>
      <c r="I100" s="167" t="s">
        <v>11</v>
      </c>
    </row>
    <row r="101" spans="1:9" x14ac:dyDescent="0.25">
      <c r="A101" s="95">
        <v>100</v>
      </c>
      <c r="B101" t="s">
        <v>1276</v>
      </c>
      <c r="C101" t="s">
        <v>21</v>
      </c>
      <c r="D101" t="s">
        <v>1418</v>
      </c>
      <c r="F101" s="1">
        <v>18604</v>
      </c>
      <c r="G101" s="167" t="s">
        <v>2273</v>
      </c>
      <c r="H101" s="167" t="s">
        <v>121</v>
      </c>
      <c r="I101" s="167" t="s">
        <v>11</v>
      </c>
    </row>
    <row r="102" spans="1:9" x14ac:dyDescent="0.25">
      <c r="A102" s="95">
        <v>101</v>
      </c>
      <c r="B102" t="s">
        <v>1352</v>
      </c>
      <c r="C102" t="s">
        <v>1419</v>
      </c>
      <c r="D102" t="s">
        <v>1420</v>
      </c>
      <c r="F102" s="1">
        <v>32246</v>
      </c>
      <c r="G102" s="167" t="s">
        <v>2274</v>
      </c>
      <c r="H102" s="167" t="s">
        <v>121</v>
      </c>
      <c r="I102" s="167" t="s">
        <v>11</v>
      </c>
    </row>
    <row r="103" spans="1:9" x14ac:dyDescent="0.25">
      <c r="A103" s="95">
        <v>102</v>
      </c>
      <c r="B103" t="s">
        <v>1421</v>
      </c>
      <c r="C103" t="s">
        <v>1287</v>
      </c>
      <c r="D103" t="s">
        <v>1422</v>
      </c>
      <c r="F103" s="1">
        <v>26587</v>
      </c>
      <c r="G103" s="167" t="s">
        <v>2273</v>
      </c>
      <c r="H103" s="167" t="s">
        <v>121</v>
      </c>
      <c r="I103" s="167" t="s">
        <v>11</v>
      </c>
    </row>
    <row r="104" spans="1:9" x14ac:dyDescent="0.25">
      <c r="A104" s="95">
        <v>103</v>
      </c>
      <c r="B104" t="s">
        <v>1322</v>
      </c>
      <c r="C104" t="s">
        <v>1423</v>
      </c>
      <c r="D104" t="s">
        <v>53</v>
      </c>
      <c r="F104" s="1">
        <v>23198</v>
      </c>
      <c r="G104" s="167" t="s">
        <v>2273</v>
      </c>
      <c r="H104" s="167" t="s">
        <v>121</v>
      </c>
      <c r="I104" s="167" t="s">
        <v>11</v>
      </c>
    </row>
    <row r="105" spans="1:9" x14ac:dyDescent="0.25">
      <c r="A105" s="95">
        <v>104</v>
      </c>
      <c r="B105" t="s">
        <v>443</v>
      </c>
      <c r="C105" t="s">
        <v>60</v>
      </c>
      <c r="D105" t="s">
        <v>1424</v>
      </c>
      <c r="F105" s="1">
        <v>30223</v>
      </c>
      <c r="G105" s="167" t="s">
        <v>2273</v>
      </c>
      <c r="H105" s="167" t="s">
        <v>121</v>
      </c>
      <c r="I105" s="167" t="s">
        <v>11</v>
      </c>
    </row>
    <row r="106" spans="1:9" x14ac:dyDescent="0.25">
      <c r="A106" s="95">
        <v>105</v>
      </c>
      <c r="B106" t="s">
        <v>1350</v>
      </c>
      <c r="C106" t="s">
        <v>1425</v>
      </c>
      <c r="D106" t="s">
        <v>1426</v>
      </c>
      <c r="E106" t="s">
        <v>67</v>
      </c>
      <c r="F106" s="1">
        <v>27845</v>
      </c>
      <c r="G106" s="167" t="s">
        <v>2274</v>
      </c>
      <c r="H106" s="167" t="s">
        <v>121</v>
      </c>
      <c r="I106" s="167" t="s">
        <v>11</v>
      </c>
    </row>
    <row r="107" spans="1:9" x14ac:dyDescent="0.25">
      <c r="A107" s="95">
        <v>106</v>
      </c>
      <c r="B107" t="s">
        <v>1350</v>
      </c>
      <c r="C107" t="s">
        <v>1427</v>
      </c>
      <c r="D107" t="s">
        <v>1426</v>
      </c>
      <c r="F107" s="1">
        <v>25338</v>
      </c>
      <c r="G107" s="167" t="s">
        <v>2274</v>
      </c>
      <c r="H107" s="167" t="s">
        <v>121</v>
      </c>
      <c r="I107" s="167" t="s">
        <v>11</v>
      </c>
    </row>
    <row r="108" spans="1:9" x14ac:dyDescent="0.25">
      <c r="A108" s="95">
        <v>107</v>
      </c>
      <c r="B108" t="s">
        <v>1415</v>
      </c>
      <c r="C108" t="s">
        <v>570</v>
      </c>
      <c r="D108" t="s">
        <v>331</v>
      </c>
      <c r="F108" s="1">
        <v>22319</v>
      </c>
      <c r="G108" s="167" t="s">
        <v>2273</v>
      </c>
      <c r="H108" s="167" t="s">
        <v>121</v>
      </c>
      <c r="I108" s="167" t="s">
        <v>11</v>
      </c>
    </row>
    <row r="109" spans="1:9" x14ac:dyDescent="0.25">
      <c r="A109" s="95">
        <v>108</v>
      </c>
      <c r="B109" t="s">
        <v>1428</v>
      </c>
      <c r="C109" t="s">
        <v>1429</v>
      </c>
      <c r="D109" t="s">
        <v>1275</v>
      </c>
      <c r="F109" s="1">
        <v>27997</v>
      </c>
      <c r="G109" s="167" t="s">
        <v>2273</v>
      </c>
      <c r="H109" s="167" t="s">
        <v>121</v>
      </c>
      <c r="I109" s="167" t="s">
        <v>11</v>
      </c>
    </row>
    <row r="110" spans="1:9" x14ac:dyDescent="0.25">
      <c r="A110" s="95">
        <v>109</v>
      </c>
      <c r="B110" t="s">
        <v>997</v>
      </c>
      <c r="C110" t="s">
        <v>1430</v>
      </c>
      <c r="D110" t="s">
        <v>1324</v>
      </c>
      <c r="F110" s="1">
        <v>20615</v>
      </c>
      <c r="G110" s="167" t="s">
        <v>2273</v>
      </c>
      <c r="H110" s="167" t="s">
        <v>121</v>
      </c>
      <c r="I110" s="167" t="s">
        <v>11</v>
      </c>
    </row>
    <row r="111" spans="1:9" x14ac:dyDescent="0.25">
      <c r="A111" s="95">
        <v>110</v>
      </c>
      <c r="B111" t="s">
        <v>1431</v>
      </c>
      <c r="C111" t="s">
        <v>1432</v>
      </c>
      <c r="D111" t="s">
        <v>1279</v>
      </c>
      <c r="F111" s="1">
        <v>23851</v>
      </c>
      <c r="G111" s="167" t="s">
        <v>2274</v>
      </c>
      <c r="H111" s="167" t="s">
        <v>121</v>
      </c>
      <c r="I111" s="167" t="s">
        <v>11</v>
      </c>
    </row>
    <row r="112" spans="1:9" x14ac:dyDescent="0.25">
      <c r="A112" s="95">
        <v>111</v>
      </c>
      <c r="B112" t="s">
        <v>1433</v>
      </c>
      <c r="C112" t="s">
        <v>1434</v>
      </c>
      <c r="D112" t="s">
        <v>1435</v>
      </c>
      <c r="F112" s="1">
        <v>32840</v>
      </c>
      <c r="G112" s="167" t="s">
        <v>2273</v>
      </c>
      <c r="H112" s="167" t="s">
        <v>121</v>
      </c>
      <c r="I112" s="167" t="s">
        <v>11</v>
      </c>
    </row>
    <row r="113" spans="1:9" x14ac:dyDescent="0.25">
      <c r="A113" s="95">
        <v>112</v>
      </c>
      <c r="B113" t="s">
        <v>1436</v>
      </c>
      <c r="C113" t="s">
        <v>1437</v>
      </c>
      <c r="D113" t="s">
        <v>361</v>
      </c>
      <c r="F113" s="1">
        <v>23577</v>
      </c>
      <c r="G113" s="167" t="s">
        <v>2273</v>
      </c>
      <c r="H113" s="167" t="s">
        <v>121</v>
      </c>
      <c r="I113" s="167" t="s">
        <v>11</v>
      </c>
    </row>
    <row r="114" spans="1:9" x14ac:dyDescent="0.25">
      <c r="A114" s="95">
        <v>113</v>
      </c>
      <c r="B114" t="s">
        <v>816</v>
      </c>
      <c r="C114" t="s">
        <v>1438</v>
      </c>
      <c r="D114" t="s">
        <v>1278</v>
      </c>
      <c r="F114" s="1">
        <v>25363</v>
      </c>
      <c r="G114" s="167" t="s">
        <v>2273</v>
      </c>
      <c r="H114" s="167" t="s">
        <v>121</v>
      </c>
      <c r="I114" s="167" t="s">
        <v>11</v>
      </c>
    </row>
    <row r="115" spans="1:9" x14ac:dyDescent="0.25">
      <c r="A115" s="95">
        <v>114</v>
      </c>
      <c r="B115" t="s">
        <v>1439</v>
      </c>
      <c r="C115" t="s">
        <v>1440</v>
      </c>
      <c r="D115" t="s">
        <v>1001</v>
      </c>
      <c r="F115" s="1">
        <v>24367</v>
      </c>
      <c r="G115" s="167" t="s">
        <v>2273</v>
      </c>
      <c r="H115" s="167" t="s">
        <v>121</v>
      </c>
      <c r="I115" s="167" t="s">
        <v>11</v>
      </c>
    </row>
    <row r="116" spans="1:9" x14ac:dyDescent="0.25">
      <c r="A116" s="95">
        <v>115</v>
      </c>
      <c r="B116" t="s">
        <v>1289</v>
      </c>
      <c r="C116" t="s">
        <v>1441</v>
      </c>
      <c r="D116" t="s">
        <v>1291</v>
      </c>
      <c r="F116" s="1">
        <v>29626</v>
      </c>
      <c r="G116" s="167" t="s">
        <v>2273</v>
      </c>
      <c r="H116" s="167" t="s">
        <v>121</v>
      </c>
      <c r="I116" s="167" t="s">
        <v>11</v>
      </c>
    </row>
    <row r="117" spans="1:9" x14ac:dyDescent="0.25">
      <c r="A117" s="95">
        <v>116</v>
      </c>
      <c r="B117" t="s">
        <v>1442</v>
      </c>
      <c r="C117" t="s">
        <v>1443</v>
      </c>
      <c r="D117" t="s">
        <v>1444</v>
      </c>
      <c r="F117" s="1">
        <v>25271</v>
      </c>
      <c r="G117" s="167" t="s">
        <v>2273</v>
      </c>
      <c r="H117" s="167" t="s">
        <v>121</v>
      </c>
      <c r="I117" s="167" t="s">
        <v>11</v>
      </c>
    </row>
    <row r="118" spans="1:9" x14ac:dyDescent="0.25">
      <c r="A118" s="95">
        <v>117</v>
      </c>
      <c r="B118" t="s">
        <v>1294</v>
      </c>
      <c r="C118" t="s">
        <v>1445</v>
      </c>
      <c r="D118" t="s">
        <v>1446</v>
      </c>
      <c r="F118" s="1">
        <v>31190</v>
      </c>
      <c r="G118" s="167" t="s">
        <v>2273</v>
      </c>
      <c r="H118" s="167" t="s">
        <v>121</v>
      </c>
      <c r="I118" s="167" t="s">
        <v>11</v>
      </c>
    </row>
    <row r="119" spans="1:9" x14ac:dyDescent="0.25">
      <c r="A119" s="95">
        <v>118</v>
      </c>
      <c r="B119" t="s">
        <v>1447</v>
      </c>
      <c r="C119" t="s">
        <v>1448</v>
      </c>
      <c r="D119" t="s">
        <v>1439</v>
      </c>
      <c r="F119" s="1">
        <v>29719</v>
      </c>
      <c r="G119" s="167" t="s">
        <v>2273</v>
      </c>
      <c r="H119" s="167" t="s">
        <v>121</v>
      </c>
      <c r="I119" s="167" t="s">
        <v>11</v>
      </c>
    </row>
    <row r="120" spans="1:9" x14ac:dyDescent="0.25">
      <c r="A120" s="95">
        <v>119</v>
      </c>
      <c r="B120" t="s">
        <v>1449</v>
      </c>
      <c r="C120" t="s">
        <v>1450</v>
      </c>
      <c r="D120" t="s">
        <v>1451</v>
      </c>
      <c r="E120" t="s">
        <v>67</v>
      </c>
      <c r="F120" s="1">
        <v>23341</v>
      </c>
      <c r="G120" s="167" t="s">
        <v>2273</v>
      </c>
      <c r="H120" s="167" t="s">
        <v>121</v>
      </c>
      <c r="I120" s="167" t="s">
        <v>11</v>
      </c>
    </row>
    <row r="121" spans="1:9" x14ac:dyDescent="0.25">
      <c r="A121" s="95">
        <v>120</v>
      </c>
      <c r="B121" t="s">
        <v>1001</v>
      </c>
      <c r="C121" t="s">
        <v>995</v>
      </c>
      <c r="D121" t="s">
        <v>1452</v>
      </c>
      <c r="F121" s="1">
        <v>34151</v>
      </c>
      <c r="G121" s="167" t="s">
        <v>2273</v>
      </c>
      <c r="H121" s="167" t="s">
        <v>121</v>
      </c>
      <c r="I121" s="167" t="s">
        <v>11</v>
      </c>
    </row>
    <row r="122" spans="1:9" x14ac:dyDescent="0.25">
      <c r="A122" s="95">
        <v>121</v>
      </c>
      <c r="B122" t="s">
        <v>1453</v>
      </c>
      <c r="C122" t="s">
        <v>413</v>
      </c>
      <c r="D122" t="s">
        <v>1454</v>
      </c>
      <c r="F122" s="1">
        <v>59393</v>
      </c>
      <c r="G122" s="167" t="s">
        <v>2273</v>
      </c>
      <c r="H122" s="167" t="s">
        <v>121</v>
      </c>
      <c r="I122" s="167" t="s">
        <v>11</v>
      </c>
    </row>
    <row r="123" spans="1:9" x14ac:dyDescent="0.25">
      <c r="A123" s="95">
        <v>122</v>
      </c>
      <c r="B123" t="s">
        <v>1001</v>
      </c>
      <c r="C123" t="s">
        <v>995</v>
      </c>
      <c r="D123" t="s">
        <v>1455</v>
      </c>
      <c r="E123" t="s">
        <v>67</v>
      </c>
      <c r="F123" s="1">
        <v>24226</v>
      </c>
      <c r="G123" s="167" t="s">
        <v>2273</v>
      </c>
      <c r="H123" s="167" t="s">
        <v>121</v>
      </c>
      <c r="I123" s="167" t="s">
        <v>11</v>
      </c>
    </row>
    <row r="124" spans="1:9" x14ac:dyDescent="0.25">
      <c r="A124" s="95">
        <v>123</v>
      </c>
      <c r="B124" t="s">
        <v>131</v>
      </c>
      <c r="C124" t="s">
        <v>26</v>
      </c>
      <c r="D124" t="s">
        <v>1456</v>
      </c>
      <c r="F124" s="1">
        <v>30212</v>
      </c>
      <c r="G124" s="167" t="s">
        <v>2273</v>
      </c>
      <c r="H124" s="167" t="s">
        <v>121</v>
      </c>
      <c r="I124" s="167" t="s">
        <v>11</v>
      </c>
    </row>
    <row r="125" spans="1:9" x14ac:dyDescent="0.25">
      <c r="A125" s="95">
        <v>124</v>
      </c>
      <c r="B125" t="s">
        <v>1269</v>
      </c>
      <c r="C125" t="s">
        <v>1457</v>
      </c>
      <c r="D125" t="s">
        <v>1458</v>
      </c>
      <c r="E125" t="s">
        <v>22</v>
      </c>
      <c r="F125" s="1">
        <v>30711</v>
      </c>
      <c r="G125" s="167" t="s">
        <v>2273</v>
      </c>
      <c r="H125" s="167" t="s">
        <v>121</v>
      </c>
      <c r="I125" s="167" t="s">
        <v>11</v>
      </c>
    </row>
    <row r="126" spans="1:9" x14ac:dyDescent="0.25">
      <c r="A126" s="95">
        <v>125</v>
      </c>
      <c r="B126" t="s">
        <v>997</v>
      </c>
      <c r="C126" t="s">
        <v>1459</v>
      </c>
      <c r="D126" t="s">
        <v>1408</v>
      </c>
      <c r="F126" s="1">
        <v>32094</v>
      </c>
      <c r="G126" s="167" t="s">
        <v>2273</v>
      </c>
      <c r="H126" s="167" t="s">
        <v>121</v>
      </c>
      <c r="I126" s="167" t="s">
        <v>11</v>
      </c>
    </row>
    <row r="127" spans="1:9" x14ac:dyDescent="0.25">
      <c r="A127" s="95">
        <v>126</v>
      </c>
      <c r="B127" t="s">
        <v>1460</v>
      </c>
      <c r="C127" t="s">
        <v>586</v>
      </c>
      <c r="D127" t="s">
        <v>1373</v>
      </c>
      <c r="F127" s="1">
        <v>20415</v>
      </c>
      <c r="G127" s="167" t="s">
        <v>2273</v>
      </c>
      <c r="H127" s="167" t="s">
        <v>121</v>
      </c>
      <c r="I127" s="167" t="s">
        <v>11</v>
      </c>
    </row>
    <row r="128" spans="1:9" x14ac:dyDescent="0.25">
      <c r="A128" s="95">
        <v>127</v>
      </c>
      <c r="B128" t="s">
        <v>259</v>
      </c>
      <c r="C128" t="s">
        <v>1461</v>
      </c>
      <c r="D128" t="s">
        <v>1294</v>
      </c>
      <c r="F128" s="1">
        <v>21847</v>
      </c>
      <c r="G128" s="167" t="s">
        <v>2273</v>
      </c>
      <c r="H128" s="167" t="s">
        <v>121</v>
      </c>
      <c r="I128" s="167" t="s">
        <v>11</v>
      </c>
    </row>
    <row r="129" spans="1:9" x14ac:dyDescent="0.25">
      <c r="A129" s="95">
        <v>128</v>
      </c>
      <c r="B129" t="s">
        <v>538</v>
      </c>
      <c r="C129" t="s">
        <v>1462</v>
      </c>
      <c r="D129" t="s">
        <v>1001</v>
      </c>
      <c r="F129" s="1">
        <v>31668</v>
      </c>
      <c r="G129" s="167" t="s">
        <v>2273</v>
      </c>
      <c r="H129" s="167" t="s">
        <v>121</v>
      </c>
      <c r="I129" s="167" t="s">
        <v>11</v>
      </c>
    </row>
    <row r="130" spans="1:9" x14ac:dyDescent="0.25">
      <c r="A130" s="95">
        <v>129</v>
      </c>
      <c r="B130" t="s">
        <v>997</v>
      </c>
      <c r="C130" t="s">
        <v>1463</v>
      </c>
      <c r="D130" t="s">
        <v>1408</v>
      </c>
      <c r="F130" s="1">
        <v>21944</v>
      </c>
      <c r="G130" s="167" t="s">
        <v>2273</v>
      </c>
      <c r="H130" s="167" t="s">
        <v>121</v>
      </c>
      <c r="I130" s="167" t="s">
        <v>11</v>
      </c>
    </row>
    <row r="131" spans="1:9" x14ac:dyDescent="0.25">
      <c r="A131" s="95">
        <v>130</v>
      </c>
      <c r="B131" t="s">
        <v>1464</v>
      </c>
      <c r="C131" t="s">
        <v>1465</v>
      </c>
      <c r="D131" t="s">
        <v>1288</v>
      </c>
      <c r="F131" s="1">
        <v>29930</v>
      </c>
      <c r="G131" s="167" t="s">
        <v>2273</v>
      </c>
      <c r="H131" s="167" t="s">
        <v>121</v>
      </c>
      <c r="I131" s="167" t="s">
        <v>11</v>
      </c>
    </row>
    <row r="132" spans="1:9" x14ac:dyDescent="0.25">
      <c r="A132" s="95">
        <v>131</v>
      </c>
      <c r="B132" t="s">
        <v>1466</v>
      </c>
      <c r="C132" t="s">
        <v>592</v>
      </c>
      <c r="D132" t="s">
        <v>1467</v>
      </c>
      <c r="F132" s="1">
        <v>29676</v>
      </c>
      <c r="G132" s="167" t="s">
        <v>2273</v>
      </c>
      <c r="H132" s="167" t="s">
        <v>121</v>
      </c>
      <c r="I132" s="167" t="s">
        <v>11</v>
      </c>
    </row>
    <row r="133" spans="1:9" x14ac:dyDescent="0.25">
      <c r="A133" s="95">
        <v>132</v>
      </c>
      <c r="B133" t="s">
        <v>997</v>
      </c>
      <c r="C133" t="s">
        <v>1468</v>
      </c>
      <c r="D133" t="s">
        <v>1408</v>
      </c>
      <c r="F133" s="1">
        <v>30468</v>
      </c>
      <c r="G133" s="167" t="s">
        <v>2273</v>
      </c>
      <c r="H133" s="167" t="s">
        <v>121</v>
      </c>
      <c r="I133" s="167" t="s">
        <v>11</v>
      </c>
    </row>
    <row r="134" spans="1:9" x14ac:dyDescent="0.25">
      <c r="A134" s="95">
        <v>133</v>
      </c>
      <c r="B134" t="s">
        <v>1292</v>
      </c>
      <c r="C134" t="s">
        <v>1469</v>
      </c>
      <c r="D134" t="s">
        <v>1470</v>
      </c>
      <c r="F134" s="1">
        <v>46177</v>
      </c>
      <c r="G134" s="167" t="s">
        <v>2273</v>
      </c>
      <c r="H134" s="167" t="s">
        <v>121</v>
      </c>
      <c r="I134" s="167" t="s">
        <v>11</v>
      </c>
    </row>
    <row r="135" spans="1:9" x14ac:dyDescent="0.25">
      <c r="A135" s="95">
        <v>134</v>
      </c>
      <c r="B135" t="s">
        <v>1001</v>
      </c>
      <c r="C135" t="s">
        <v>1471</v>
      </c>
      <c r="D135" t="s">
        <v>1455</v>
      </c>
      <c r="F135" s="1">
        <v>24842</v>
      </c>
      <c r="G135" s="167" t="s">
        <v>2273</v>
      </c>
      <c r="H135" s="167" t="s">
        <v>121</v>
      </c>
      <c r="I135" s="167" t="s">
        <v>11</v>
      </c>
    </row>
    <row r="136" spans="1:9" x14ac:dyDescent="0.25">
      <c r="A136" s="95">
        <v>135</v>
      </c>
      <c r="B136" t="s">
        <v>1294</v>
      </c>
      <c r="C136" t="s">
        <v>1472</v>
      </c>
      <c r="D136" t="s">
        <v>1473</v>
      </c>
      <c r="E136" t="s">
        <v>106</v>
      </c>
      <c r="F136" s="1">
        <v>21383</v>
      </c>
      <c r="G136" s="167" t="s">
        <v>2273</v>
      </c>
      <c r="H136" s="167" t="s">
        <v>121</v>
      </c>
      <c r="I136" s="167" t="s">
        <v>11</v>
      </c>
    </row>
    <row r="137" spans="1:9" x14ac:dyDescent="0.25">
      <c r="A137" s="95">
        <v>136</v>
      </c>
      <c r="B137" t="s">
        <v>1294</v>
      </c>
      <c r="C137" t="s">
        <v>1474</v>
      </c>
      <c r="D137" t="s">
        <v>1475</v>
      </c>
      <c r="F137" s="1">
        <v>33943</v>
      </c>
      <c r="G137" s="167" t="s">
        <v>2273</v>
      </c>
      <c r="H137" s="167" t="s">
        <v>121</v>
      </c>
      <c r="I137" s="167" t="s">
        <v>11</v>
      </c>
    </row>
    <row r="138" spans="1:9" x14ac:dyDescent="0.25">
      <c r="A138" s="95">
        <v>137</v>
      </c>
      <c r="B138" t="s">
        <v>331</v>
      </c>
      <c r="C138" t="s">
        <v>1476</v>
      </c>
      <c r="D138" t="s">
        <v>1477</v>
      </c>
      <c r="F138" s="1">
        <v>28387</v>
      </c>
      <c r="G138" s="167" t="s">
        <v>2273</v>
      </c>
      <c r="H138" s="167" t="s">
        <v>121</v>
      </c>
      <c r="I138" s="167" t="s">
        <v>11</v>
      </c>
    </row>
    <row r="139" spans="1:9" x14ac:dyDescent="0.25">
      <c r="A139" s="95">
        <v>138</v>
      </c>
      <c r="B139" t="s">
        <v>327</v>
      </c>
      <c r="C139" t="s">
        <v>1478</v>
      </c>
      <c r="D139" t="s">
        <v>1479</v>
      </c>
      <c r="F139" s="1">
        <v>30590</v>
      </c>
      <c r="G139" s="167" t="s">
        <v>2273</v>
      </c>
      <c r="H139" s="167" t="s">
        <v>121</v>
      </c>
      <c r="I139" s="167" t="s">
        <v>11</v>
      </c>
    </row>
    <row r="140" spans="1:9" x14ac:dyDescent="0.25">
      <c r="A140" s="95">
        <v>139</v>
      </c>
      <c r="B140" t="s">
        <v>1480</v>
      </c>
      <c r="C140" t="s">
        <v>1481</v>
      </c>
      <c r="D140" t="s">
        <v>1294</v>
      </c>
      <c r="F140" s="1">
        <v>21689</v>
      </c>
      <c r="G140" s="167" t="s">
        <v>2273</v>
      </c>
      <c r="H140" s="167" t="s">
        <v>121</v>
      </c>
      <c r="I140" s="167" t="s">
        <v>11</v>
      </c>
    </row>
    <row r="141" spans="1:9" x14ac:dyDescent="0.25">
      <c r="A141" s="95">
        <v>140</v>
      </c>
      <c r="B141" t="s">
        <v>1482</v>
      </c>
      <c r="C141" t="s">
        <v>1483</v>
      </c>
      <c r="D141" t="s">
        <v>1484</v>
      </c>
      <c r="F141" s="1">
        <v>33917</v>
      </c>
      <c r="G141" s="167" t="s">
        <v>2273</v>
      </c>
      <c r="H141" s="167" t="s">
        <v>121</v>
      </c>
      <c r="I141" s="167" t="s">
        <v>11</v>
      </c>
    </row>
    <row r="142" spans="1:9" x14ac:dyDescent="0.25">
      <c r="A142" s="95">
        <v>141</v>
      </c>
      <c r="B142" t="s">
        <v>38</v>
      </c>
      <c r="C142" t="s">
        <v>1485</v>
      </c>
      <c r="D142" t="s">
        <v>1486</v>
      </c>
      <c r="F142" s="1">
        <v>37413</v>
      </c>
      <c r="G142" s="167" t="s">
        <v>2273</v>
      </c>
      <c r="H142" s="167" t="s">
        <v>121</v>
      </c>
      <c r="I142" s="167" t="s">
        <v>11</v>
      </c>
    </row>
    <row r="143" spans="1:9" x14ac:dyDescent="0.25">
      <c r="A143" s="95">
        <v>142</v>
      </c>
      <c r="B143" t="s">
        <v>745</v>
      </c>
      <c r="C143" t="s">
        <v>1487</v>
      </c>
      <c r="D143" t="s">
        <v>1294</v>
      </c>
      <c r="F143" s="1">
        <v>33199</v>
      </c>
      <c r="G143" s="167" t="s">
        <v>2273</v>
      </c>
      <c r="H143" s="167" t="s">
        <v>121</v>
      </c>
      <c r="I143" s="167" t="s">
        <v>11</v>
      </c>
    </row>
    <row r="144" spans="1:9" x14ac:dyDescent="0.25">
      <c r="A144" s="95">
        <v>143</v>
      </c>
      <c r="B144" t="s">
        <v>1488</v>
      </c>
      <c r="C144" t="s">
        <v>1489</v>
      </c>
      <c r="D144" t="s">
        <v>464</v>
      </c>
      <c r="F144" s="1">
        <v>26117</v>
      </c>
      <c r="G144" s="167" t="s">
        <v>2273</v>
      </c>
      <c r="H144" s="167" t="s">
        <v>121</v>
      </c>
      <c r="I144" s="167" t="s">
        <v>11</v>
      </c>
    </row>
    <row r="145" spans="1:9" x14ac:dyDescent="0.25">
      <c r="A145" s="95">
        <v>144</v>
      </c>
      <c r="B145" t="s">
        <v>1249</v>
      </c>
      <c r="C145" t="s">
        <v>424</v>
      </c>
      <c r="D145" t="s">
        <v>59</v>
      </c>
      <c r="F145" s="1">
        <v>23559</v>
      </c>
      <c r="G145" s="167" t="s">
        <v>2273</v>
      </c>
      <c r="H145" s="167" t="s">
        <v>121</v>
      </c>
      <c r="I145" s="167" t="s">
        <v>11</v>
      </c>
    </row>
    <row r="146" spans="1:9" x14ac:dyDescent="0.25">
      <c r="A146" s="95">
        <v>145</v>
      </c>
      <c r="B146" t="s">
        <v>1484</v>
      </c>
      <c r="C146" t="s">
        <v>1490</v>
      </c>
      <c r="D146" t="s">
        <v>1491</v>
      </c>
      <c r="F146" s="1">
        <v>33457</v>
      </c>
      <c r="G146" s="167" t="s">
        <v>2273</v>
      </c>
      <c r="H146" s="167" t="s">
        <v>121</v>
      </c>
      <c r="I146" s="167" t="s">
        <v>11</v>
      </c>
    </row>
    <row r="147" spans="1:9" x14ac:dyDescent="0.25">
      <c r="A147" s="95">
        <v>146</v>
      </c>
      <c r="B147" t="s">
        <v>611</v>
      </c>
      <c r="C147" t="s">
        <v>1492</v>
      </c>
      <c r="D147" t="s">
        <v>1486</v>
      </c>
      <c r="F147" s="1">
        <v>30009</v>
      </c>
      <c r="G147" s="167" t="s">
        <v>2273</v>
      </c>
      <c r="H147" s="167" t="s">
        <v>121</v>
      </c>
      <c r="I147" s="167" t="s">
        <v>11</v>
      </c>
    </row>
    <row r="148" spans="1:9" x14ac:dyDescent="0.25">
      <c r="A148" s="95">
        <v>147</v>
      </c>
      <c r="B148" t="s">
        <v>1493</v>
      </c>
      <c r="C148" t="s">
        <v>1494</v>
      </c>
      <c r="D148" t="s">
        <v>108</v>
      </c>
      <c r="F148" s="1">
        <v>26420</v>
      </c>
      <c r="G148" s="167" t="s">
        <v>2273</v>
      </c>
      <c r="H148" s="167" t="s">
        <v>121</v>
      </c>
      <c r="I148" s="167" t="s">
        <v>11</v>
      </c>
    </row>
    <row r="149" spans="1:9" x14ac:dyDescent="0.25">
      <c r="A149" s="95">
        <v>148</v>
      </c>
      <c r="B149" t="s">
        <v>1294</v>
      </c>
      <c r="C149" t="s">
        <v>1495</v>
      </c>
      <c r="D149" t="s">
        <v>1496</v>
      </c>
      <c r="F149" s="1">
        <v>32429</v>
      </c>
      <c r="G149" s="167" t="s">
        <v>2273</v>
      </c>
      <c r="H149" s="167" t="s">
        <v>121</v>
      </c>
      <c r="I149" s="167" t="s">
        <v>11</v>
      </c>
    </row>
    <row r="150" spans="1:9" x14ac:dyDescent="0.25">
      <c r="A150" s="95">
        <v>149</v>
      </c>
      <c r="B150" t="s">
        <v>1497</v>
      </c>
      <c r="C150" t="s">
        <v>1494</v>
      </c>
      <c r="D150" t="s">
        <v>1498</v>
      </c>
      <c r="F150" s="1">
        <v>26454</v>
      </c>
      <c r="G150" s="167" t="s">
        <v>2273</v>
      </c>
      <c r="H150" s="167" t="s">
        <v>121</v>
      </c>
      <c r="I150" s="167" t="s">
        <v>11</v>
      </c>
    </row>
    <row r="151" spans="1:9" x14ac:dyDescent="0.25">
      <c r="A151" s="95">
        <v>150</v>
      </c>
      <c r="B151" t="s">
        <v>1499</v>
      </c>
      <c r="C151" t="s">
        <v>1500</v>
      </c>
      <c r="D151" t="s">
        <v>1501</v>
      </c>
      <c r="F151" s="1">
        <v>36242</v>
      </c>
      <c r="G151" s="167" t="s">
        <v>2273</v>
      </c>
      <c r="H151" s="167" t="s">
        <v>121</v>
      </c>
      <c r="I151" s="167" t="s">
        <v>11</v>
      </c>
    </row>
    <row r="152" spans="1:9" x14ac:dyDescent="0.25">
      <c r="A152" s="95">
        <v>151</v>
      </c>
      <c r="B152" t="s">
        <v>1464</v>
      </c>
      <c r="C152" t="s">
        <v>1502</v>
      </c>
      <c r="D152" t="s">
        <v>90</v>
      </c>
      <c r="F152" s="1">
        <v>26199</v>
      </c>
      <c r="G152" s="167" t="s">
        <v>2273</v>
      </c>
      <c r="H152" s="167" t="s">
        <v>121</v>
      </c>
      <c r="I152" s="167" t="s">
        <v>11</v>
      </c>
    </row>
    <row r="153" spans="1:9" x14ac:dyDescent="0.25">
      <c r="A153" s="95">
        <v>152</v>
      </c>
      <c r="B153" t="s">
        <v>1503</v>
      </c>
      <c r="C153" t="s">
        <v>1504</v>
      </c>
      <c r="D153" t="s">
        <v>1279</v>
      </c>
      <c r="F153" s="1">
        <v>30782</v>
      </c>
      <c r="G153" s="167" t="s">
        <v>2273</v>
      </c>
      <c r="H153" s="167" t="s">
        <v>121</v>
      </c>
      <c r="I153" s="167" t="s">
        <v>11</v>
      </c>
    </row>
    <row r="154" spans="1:9" x14ac:dyDescent="0.25">
      <c r="A154" s="95">
        <v>153</v>
      </c>
      <c r="B154" t="s">
        <v>41</v>
      </c>
      <c r="C154" t="s">
        <v>1505</v>
      </c>
      <c r="D154" t="s">
        <v>1506</v>
      </c>
      <c r="E154" t="s">
        <v>67</v>
      </c>
      <c r="F154" s="1">
        <v>30143</v>
      </c>
      <c r="G154" s="167" t="s">
        <v>2273</v>
      </c>
      <c r="H154" s="167" t="s">
        <v>121</v>
      </c>
      <c r="I154" s="167" t="s">
        <v>11</v>
      </c>
    </row>
    <row r="155" spans="1:9" x14ac:dyDescent="0.25">
      <c r="A155" s="95">
        <v>154</v>
      </c>
      <c r="B155" t="s">
        <v>1507</v>
      </c>
      <c r="C155" t="s">
        <v>1508</v>
      </c>
      <c r="D155" t="s">
        <v>1276</v>
      </c>
      <c r="F155" s="1">
        <v>35910</v>
      </c>
      <c r="G155" s="167" t="s">
        <v>2273</v>
      </c>
      <c r="H155" s="167" t="s">
        <v>121</v>
      </c>
      <c r="I155" s="167" t="s">
        <v>11</v>
      </c>
    </row>
    <row r="156" spans="1:9" x14ac:dyDescent="0.25">
      <c r="A156" s="95">
        <v>155</v>
      </c>
      <c r="B156" t="s">
        <v>77</v>
      </c>
      <c r="C156" t="s">
        <v>1509</v>
      </c>
      <c r="D156" t="s">
        <v>81</v>
      </c>
      <c r="F156" s="1">
        <v>32064</v>
      </c>
      <c r="G156" s="167" t="s">
        <v>2273</v>
      </c>
      <c r="H156" s="167" t="s">
        <v>121</v>
      </c>
      <c r="I156" s="167" t="s">
        <v>11</v>
      </c>
    </row>
    <row r="157" spans="1:9" x14ac:dyDescent="0.25">
      <c r="A157" s="95">
        <v>156</v>
      </c>
      <c r="B157" t="s">
        <v>1326</v>
      </c>
      <c r="C157" t="s">
        <v>152</v>
      </c>
      <c r="D157" t="s">
        <v>90</v>
      </c>
      <c r="F157" s="1">
        <v>34520</v>
      </c>
      <c r="G157" s="167" t="s">
        <v>2273</v>
      </c>
      <c r="H157" s="167" t="s">
        <v>121</v>
      </c>
      <c r="I157" s="167" t="s">
        <v>11</v>
      </c>
    </row>
    <row r="158" spans="1:9" x14ac:dyDescent="0.25">
      <c r="A158" s="95">
        <v>157</v>
      </c>
      <c r="B158" t="s">
        <v>38</v>
      </c>
      <c r="C158" t="s">
        <v>1510</v>
      </c>
      <c r="D158" t="s">
        <v>1486</v>
      </c>
      <c r="F158" s="1">
        <v>36349</v>
      </c>
      <c r="G158" s="167" t="s">
        <v>2273</v>
      </c>
      <c r="H158" s="167" t="s">
        <v>121</v>
      </c>
      <c r="I158" s="167" t="s">
        <v>11</v>
      </c>
    </row>
    <row r="159" spans="1:9" x14ac:dyDescent="0.25">
      <c r="A159" s="95">
        <v>158</v>
      </c>
      <c r="B159" t="s">
        <v>1511</v>
      </c>
      <c r="C159" t="s">
        <v>1512</v>
      </c>
      <c r="D159" t="s">
        <v>1275</v>
      </c>
      <c r="F159" s="1">
        <v>27798</v>
      </c>
      <c r="G159" s="167" t="s">
        <v>2273</v>
      </c>
      <c r="H159" s="167" t="s">
        <v>121</v>
      </c>
      <c r="I159" s="167" t="s">
        <v>11</v>
      </c>
    </row>
    <row r="160" spans="1:9" x14ac:dyDescent="0.25">
      <c r="A160" s="95">
        <v>159</v>
      </c>
      <c r="B160" t="s">
        <v>577</v>
      </c>
      <c r="C160" t="s">
        <v>1513</v>
      </c>
      <c r="D160" t="s">
        <v>1514</v>
      </c>
      <c r="F160" s="1">
        <v>36284</v>
      </c>
      <c r="G160" s="167" t="s">
        <v>2273</v>
      </c>
      <c r="H160" s="167" t="s">
        <v>121</v>
      </c>
      <c r="I160" s="167" t="s">
        <v>11</v>
      </c>
    </row>
    <row r="161" spans="1:9" x14ac:dyDescent="0.25">
      <c r="A161" s="95">
        <v>160</v>
      </c>
      <c r="B161" t="s">
        <v>1503</v>
      </c>
      <c r="C161" t="s">
        <v>1515</v>
      </c>
      <c r="D161" t="s">
        <v>1516</v>
      </c>
      <c r="F161" s="1">
        <v>27679</v>
      </c>
      <c r="G161" s="167" t="s">
        <v>2273</v>
      </c>
      <c r="H161" s="167" t="s">
        <v>121</v>
      </c>
      <c r="I161" s="167" t="s">
        <v>11</v>
      </c>
    </row>
    <row r="162" spans="1:9" x14ac:dyDescent="0.25">
      <c r="A162" s="95">
        <v>161</v>
      </c>
      <c r="B162" t="s">
        <v>1415</v>
      </c>
      <c r="C162" t="s">
        <v>36</v>
      </c>
      <c r="D162" t="s">
        <v>38</v>
      </c>
      <c r="F162" s="1">
        <v>32921</v>
      </c>
      <c r="G162" s="167" t="s">
        <v>2273</v>
      </c>
      <c r="H162" s="167" t="s">
        <v>121</v>
      </c>
      <c r="I162" s="167" t="s">
        <v>11</v>
      </c>
    </row>
    <row r="163" spans="1:9" x14ac:dyDescent="0.25">
      <c r="A163" s="95">
        <v>162</v>
      </c>
      <c r="B163" t="s">
        <v>38</v>
      </c>
      <c r="C163" t="s">
        <v>1517</v>
      </c>
      <c r="D163" t="s">
        <v>1518</v>
      </c>
      <c r="F163" s="1">
        <v>18488</v>
      </c>
      <c r="G163" s="167" t="s">
        <v>2273</v>
      </c>
      <c r="H163" s="167" t="s">
        <v>121</v>
      </c>
      <c r="I163" s="167" t="s">
        <v>11</v>
      </c>
    </row>
    <row r="164" spans="1:9" x14ac:dyDescent="0.25">
      <c r="A164" s="95">
        <v>163</v>
      </c>
      <c r="B164" t="s">
        <v>1501</v>
      </c>
      <c r="C164" t="s">
        <v>24</v>
      </c>
      <c r="D164" t="s">
        <v>1519</v>
      </c>
      <c r="F164" s="1">
        <v>26539</v>
      </c>
      <c r="G164" s="167" t="s">
        <v>2273</v>
      </c>
      <c r="H164" s="167" t="s">
        <v>121</v>
      </c>
      <c r="I164" s="167" t="s">
        <v>11</v>
      </c>
    </row>
    <row r="165" spans="1:9" x14ac:dyDescent="0.25">
      <c r="A165" s="95">
        <v>164</v>
      </c>
      <c r="B165" t="s">
        <v>331</v>
      </c>
      <c r="C165" t="s">
        <v>1520</v>
      </c>
      <c r="D165" t="s">
        <v>1273</v>
      </c>
      <c r="F165" s="1">
        <v>30921</v>
      </c>
      <c r="G165" s="167" t="s">
        <v>2273</v>
      </c>
      <c r="H165" s="167" t="s">
        <v>121</v>
      </c>
      <c r="I165" s="167" t="s">
        <v>11</v>
      </c>
    </row>
    <row r="166" spans="1:9" x14ac:dyDescent="0.25">
      <c r="A166" s="95">
        <v>165</v>
      </c>
      <c r="B166" t="s">
        <v>1507</v>
      </c>
      <c r="C166" t="s">
        <v>1521</v>
      </c>
      <c r="D166" t="s">
        <v>1276</v>
      </c>
      <c r="F166" s="1">
        <v>31409</v>
      </c>
      <c r="G166" s="167" t="s">
        <v>2273</v>
      </c>
      <c r="H166" s="167" t="s">
        <v>121</v>
      </c>
      <c r="I166" s="167" t="s">
        <v>11</v>
      </c>
    </row>
    <row r="167" spans="1:9" x14ac:dyDescent="0.25">
      <c r="A167" s="95">
        <v>166</v>
      </c>
      <c r="B167" t="s">
        <v>38</v>
      </c>
      <c r="C167" t="s">
        <v>1485</v>
      </c>
      <c r="D167" t="s">
        <v>1486</v>
      </c>
      <c r="F167" s="1">
        <v>37413</v>
      </c>
      <c r="G167" s="167" t="s">
        <v>2273</v>
      </c>
      <c r="H167" s="167" t="s">
        <v>121</v>
      </c>
      <c r="I167" s="167" t="s">
        <v>11</v>
      </c>
    </row>
    <row r="168" spans="1:9" x14ac:dyDescent="0.25">
      <c r="A168" s="95">
        <v>167</v>
      </c>
      <c r="B168" t="s">
        <v>1522</v>
      </c>
      <c r="C168" t="s">
        <v>333</v>
      </c>
      <c r="D168" t="s">
        <v>331</v>
      </c>
      <c r="F168" s="1">
        <v>34874</v>
      </c>
      <c r="G168" s="167" t="s">
        <v>2273</v>
      </c>
      <c r="H168" s="167" t="s">
        <v>121</v>
      </c>
      <c r="I168" s="167" t="s">
        <v>11</v>
      </c>
    </row>
    <row r="169" spans="1:9" x14ac:dyDescent="0.25">
      <c r="A169" s="95">
        <v>168</v>
      </c>
      <c r="B169" t="s">
        <v>1276</v>
      </c>
      <c r="C169" t="s">
        <v>1523</v>
      </c>
      <c r="D169" t="s">
        <v>997</v>
      </c>
      <c r="F169" s="1">
        <v>31892</v>
      </c>
      <c r="G169" s="167" t="s">
        <v>2273</v>
      </c>
      <c r="H169" s="167" t="s">
        <v>121</v>
      </c>
      <c r="I169" s="167" t="s">
        <v>11</v>
      </c>
    </row>
    <row r="170" spans="1:9" x14ac:dyDescent="0.25">
      <c r="A170" s="95">
        <v>169</v>
      </c>
      <c r="B170" t="s">
        <v>611</v>
      </c>
      <c r="C170" t="s">
        <v>1524</v>
      </c>
      <c r="D170" t="s">
        <v>1525</v>
      </c>
      <c r="F170" s="1">
        <v>31251</v>
      </c>
      <c r="G170" s="167" t="s">
        <v>2273</v>
      </c>
      <c r="H170" s="167" t="s">
        <v>121</v>
      </c>
      <c r="I170" s="167" t="s">
        <v>11</v>
      </c>
    </row>
    <row r="171" spans="1:9" x14ac:dyDescent="0.25">
      <c r="A171" s="95">
        <v>170</v>
      </c>
      <c r="B171" t="s">
        <v>577</v>
      </c>
      <c r="C171" t="s">
        <v>156</v>
      </c>
      <c r="D171" t="s">
        <v>38</v>
      </c>
      <c r="F171" s="1">
        <v>35452</v>
      </c>
      <c r="G171" s="167" t="s">
        <v>2273</v>
      </c>
      <c r="H171" s="167" t="s">
        <v>121</v>
      </c>
      <c r="I171" s="167" t="s">
        <v>11</v>
      </c>
    </row>
    <row r="172" spans="1:9" x14ac:dyDescent="0.25">
      <c r="A172" s="95">
        <v>171</v>
      </c>
      <c r="B172" t="s">
        <v>331</v>
      </c>
      <c r="C172" t="s">
        <v>494</v>
      </c>
      <c r="D172" t="s">
        <v>1406</v>
      </c>
      <c r="F172" s="1">
        <v>32331</v>
      </c>
      <c r="G172" s="167" t="s">
        <v>2273</v>
      </c>
      <c r="H172" s="167" t="s">
        <v>121</v>
      </c>
      <c r="I172" s="167" t="s">
        <v>11</v>
      </c>
    </row>
    <row r="173" spans="1:9" x14ac:dyDescent="0.25">
      <c r="A173" s="95">
        <v>172</v>
      </c>
      <c r="B173" t="s">
        <v>331</v>
      </c>
      <c r="C173" t="s">
        <v>91</v>
      </c>
      <c r="F173" s="1">
        <v>28036</v>
      </c>
      <c r="G173" s="167" t="s">
        <v>2273</v>
      </c>
      <c r="H173" s="167" t="s">
        <v>121</v>
      </c>
      <c r="I173" s="167" t="s">
        <v>11</v>
      </c>
    </row>
    <row r="174" spans="1:9" x14ac:dyDescent="0.25">
      <c r="A174" s="95">
        <v>173</v>
      </c>
      <c r="B174" t="s">
        <v>1503</v>
      </c>
      <c r="C174" t="s">
        <v>922</v>
      </c>
      <c r="D174" t="s">
        <v>1516</v>
      </c>
      <c r="F174" s="1">
        <v>29204</v>
      </c>
      <c r="G174" s="167" t="s">
        <v>2273</v>
      </c>
      <c r="H174" s="167" t="s">
        <v>121</v>
      </c>
      <c r="I174" s="167" t="s">
        <v>11</v>
      </c>
    </row>
    <row r="175" spans="1:9" x14ac:dyDescent="0.25">
      <c r="A175" s="95">
        <v>174</v>
      </c>
      <c r="B175" t="s">
        <v>38</v>
      </c>
      <c r="C175" t="s">
        <v>31</v>
      </c>
      <c r="D175" t="s">
        <v>358</v>
      </c>
      <c r="F175" s="1">
        <v>33000</v>
      </c>
      <c r="G175" s="167" t="s">
        <v>2273</v>
      </c>
      <c r="H175" s="167" t="s">
        <v>121</v>
      </c>
      <c r="I175" s="167" t="s">
        <v>11</v>
      </c>
    </row>
    <row r="176" spans="1:9" x14ac:dyDescent="0.25">
      <c r="A176" s="95">
        <v>175</v>
      </c>
      <c r="B176" t="s">
        <v>1415</v>
      </c>
      <c r="C176" t="s">
        <v>747</v>
      </c>
      <c r="D176" t="s">
        <v>331</v>
      </c>
      <c r="F176" s="1">
        <v>29750</v>
      </c>
      <c r="G176" s="167" t="s">
        <v>2273</v>
      </c>
      <c r="H176" s="167" t="s">
        <v>121</v>
      </c>
      <c r="I176" s="167" t="s">
        <v>11</v>
      </c>
    </row>
    <row r="177" spans="1:9" x14ac:dyDescent="0.25">
      <c r="A177" s="95">
        <v>176</v>
      </c>
      <c r="B177" t="s">
        <v>1294</v>
      </c>
      <c r="C177" t="s">
        <v>1526</v>
      </c>
      <c r="D177" t="s">
        <v>1352</v>
      </c>
      <c r="F177" s="1">
        <v>32959</v>
      </c>
      <c r="G177" s="167" t="s">
        <v>2273</v>
      </c>
      <c r="H177" s="167" t="s">
        <v>121</v>
      </c>
      <c r="I177" s="167" t="s">
        <v>11</v>
      </c>
    </row>
    <row r="178" spans="1:9" x14ac:dyDescent="0.25">
      <c r="A178" s="95">
        <v>177</v>
      </c>
      <c r="B178" t="s">
        <v>1527</v>
      </c>
      <c r="C178" t="s">
        <v>1528</v>
      </c>
      <c r="D178" t="s">
        <v>1529</v>
      </c>
      <c r="F178" s="1">
        <v>31596</v>
      </c>
      <c r="G178" s="167" t="s">
        <v>2273</v>
      </c>
      <c r="H178" s="167" t="s">
        <v>121</v>
      </c>
      <c r="I178" s="167" t="s">
        <v>11</v>
      </c>
    </row>
    <row r="179" spans="1:9" x14ac:dyDescent="0.25">
      <c r="A179" s="95">
        <v>178</v>
      </c>
      <c r="B179" t="s">
        <v>1501</v>
      </c>
      <c r="C179" t="s">
        <v>1530</v>
      </c>
      <c r="D179" t="s">
        <v>1406</v>
      </c>
      <c r="F179" s="1">
        <v>35562</v>
      </c>
      <c r="G179" s="167" t="s">
        <v>2273</v>
      </c>
      <c r="H179" s="167" t="s">
        <v>121</v>
      </c>
      <c r="I179" s="167" t="s">
        <v>11</v>
      </c>
    </row>
    <row r="180" spans="1:9" x14ac:dyDescent="0.25">
      <c r="A180" s="95">
        <v>179</v>
      </c>
      <c r="B180" t="s">
        <v>38</v>
      </c>
      <c r="C180" t="s">
        <v>1517</v>
      </c>
      <c r="D180" t="s">
        <v>1518</v>
      </c>
      <c r="F180" s="1">
        <v>18488</v>
      </c>
      <c r="G180" s="167" t="s">
        <v>2273</v>
      </c>
      <c r="H180" s="167" t="s">
        <v>121</v>
      </c>
      <c r="I180" s="167" t="s">
        <v>11</v>
      </c>
    </row>
    <row r="181" spans="1:9" x14ac:dyDescent="0.25">
      <c r="A181" s="95">
        <v>180</v>
      </c>
      <c r="B181" t="s">
        <v>1473</v>
      </c>
      <c r="C181" t="s">
        <v>1531</v>
      </c>
      <c r="D181" t="s">
        <v>1532</v>
      </c>
      <c r="F181" s="1">
        <v>19493</v>
      </c>
      <c r="G181" s="167" t="s">
        <v>2273</v>
      </c>
      <c r="H181" s="167" t="s">
        <v>121</v>
      </c>
      <c r="I181" s="167" t="s">
        <v>11</v>
      </c>
    </row>
    <row r="182" spans="1:9" x14ac:dyDescent="0.25">
      <c r="A182" s="95">
        <v>181</v>
      </c>
      <c r="B182" t="s">
        <v>1288</v>
      </c>
      <c r="C182" t="s">
        <v>19</v>
      </c>
      <c r="D182" t="s">
        <v>361</v>
      </c>
      <c r="F182" s="1">
        <v>29481</v>
      </c>
      <c r="G182" s="167" t="s">
        <v>2273</v>
      </c>
      <c r="H182" s="167" t="s">
        <v>121</v>
      </c>
      <c r="I182" s="167" t="s">
        <v>11</v>
      </c>
    </row>
    <row r="183" spans="1:9" x14ac:dyDescent="0.25">
      <c r="A183" s="95">
        <v>182</v>
      </c>
      <c r="B183" t="s">
        <v>1501</v>
      </c>
      <c r="C183" t="s">
        <v>449</v>
      </c>
      <c r="D183" t="s">
        <v>86</v>
      </c>
      <c r="F183" s="1">
        <v>30996</v>
      </c>
      <c r="G183" s="167" t="s">
        <v>2273</v>
      </c>
      <c r="H183" s="167" t="s">
        <v>121</v>
      </c>
      <c r="I183" s="167" t="s">
        <v>11</v>
      </c>
    </row>
    <row r="184" spans="1:9" x14ac:dyDescent="0.25">
      <c r="A184" s="95">
        <v>183</v>
      </c>
      <c r="B184" t="s">
        <v>331</v>
      </c>
      <c r="C184" t="s">
        <v>480</v>
      </c>
      <c r="D184" t="s">
        <v>1373</v>
      </c>
      <c r="F184" s="1">
        <v>28024</v>
      </c>
      <c r="G184" s="167" t="s">
        <v>2273</v>
      </c>
      <c r="H184" s="167" t="s">
        <v>121</v>
      </c>
      <c r="I184" s="167" t="s">
        <v>11</v>
      </c>
    </row>
    <row r="185" spans="1:9" x14ac:dyDescent="0.25">
      <c r="A185" s="95">
        <v>184</v>
      </c>
      <c r="B185" t="s">
        <v>1533</v>
      </c>
      <c r="C185" t="s">
        <v>1310</v>
      </c>
      <c r="D185" t="s">
        <v>1534</v>
      </c>
      <c r="F185" s="1">
        <v>33381</v>
      </c>
      <c r="G185" s="167" t="s">
        <v>2273</v>
      </c>
      <c r="H185" s="167" t="s">
        <v>121</v>
      </c>
      <c r="I185" s="167" t="s">
        <v>11</v>
      </c>
    </row>
    <row r="186" spans="1:9" x14ac:dyDescent="0.25">
      <c r="A186" s="95">
        <v>185</v>
      </c>
      <c r="B186" t="s">
        <v>1522</v>
      </c>
      <c r="C186" t="s">
        <v>1515</v>
      </c>
      <c r="D186" t="s">
        <v>331</v>
      </c>
      <c r="F186" s="1">
        <v>30544</v>
      </c>
      <c r="G186" s="167" t="s">
        <v>2273</v>
      </c>
      <c r="H186" s="167" t="s">
        <v>121</v>
      </c>
      <c r="I186" s="167" t="s">
        <v>11</v>
      </c>
    </row>
    <row r="187" spans="1:9" x14ac:dyDescent="0.25">
      <c r="A187" s="95">
        <v>186</v>
      </c>
      <c r="B187" t="s">
        <v>1406</v>
      </c>
      <c r="C187" t="s">
        <v>1535</v>
      </c>
      <c r="D187" t="s">
        <v>1536</v>
      </c>
      <c r="F187" s="1">
        <v>17788</v>
      </c>
      <c r="G187" s="167" t="s">
        <v>2273</v>
      </c>
      <c r="H187" s="167" t="s">
        <v>121</v>
      </c>
      <c r="I187" s="167" t="s">
        <v>11</v>
      </c>
    </row>
    <row r="188" spans="1:9" x14ac:dyDescent="0.25">
      <c r="A188" s="95">
        <v>187</v>
      </c>
      <c r="B188" t="s">
        <v>232</v>
      </c>
      <c r="C188" t="s">
        <v>610</v>
      </c>
      <c r="D188" t="s">
        <v>1537</v>
      </c>
      <c r="F188" s="1">
        <v>32132</v>
      </c>
      <c r="G188" s="167" t="s">
        <v>2273</v>
      </c>
      <c r="H188" s="167" t="s">
        <v>121</v>
      </c>
      <c r="I188" s="167" t="s">
        <v>11</v>
      </c>
    </row>
    <row r="189" spans="1:9" x14ac:dyDescent="0.25">
      <c r="A189" s="95">
        <v>188</v>
      </c>
      <c r="B189" t="s">
        <v>373</v>
      </c>
      <c r="C189" t="s">
        <v>1538</v>
      </c>
      <c r="D189" t="s">
        <v>1539</v>
      </c>
      <c r="F189" s="1">
        <v>32652</v>
      </c>
      <c r="G189" s="167" t="s">
        <v>2273</v>
      </c>
      <c r="H189" s="167" t="s">
        <v>121</v>
      </c>
      <c r="I189" s="167" t="s">
        <v>11</v>
      </c>
    </row>
    <row r="190" spans="1:9" x14ac:dyDescent="0.25">
      <c r="A190" s="95">
        <v>189</v>
      </c>
      <c r="B190" t="s">
        <v>263</v>
      </c>
      <c r="C190" t="s">
        <v>1540</v>
      </c>
      <c r="D190" t="s">
        <v>41</v>
      </c>
      <c r="F190" s="1">
        <v>28203</v>
      </c>
      <c r="G190" s="167" t="s">
        <v>2273</v>
      </c>
      <c r="H190" s="167" t="s">
        <v>121</v>
      </c>
      <c r="I190" s="167" t="s">
        <v>11</v>
      </c>
    </row>
    <row r="191" spans="1:9" x14ac:dyDescent="0.25">
      <c r="A191" s="95">
        <v>190</v>
      </c>
      <c r="B191" t="s">
        <v>1501</v>
      </c>
      <c r="C191" t="s">
        <v>1425</v>
      </c>
      <c r="D191" t="s">
        <v>115</v>
      </c>
      <c r="F191" s="1">
        <v>23710</v>
      </c>
      <c r="G191" s="167" t="s">
        <v>2273</v>
      </c>
      <c r="H191" s="167" t="s">
        <v>121</v>
      </c>
      <c r="I191" s="167" t="s">
        <v>11</v>
      </c>
    </row>
    <row r="192" spans="1:9" x14ac:dyDescent="0.25">
      <c r="A192" s="95">
        <v>191</v>
      </c>
      <c r="B192" t="s">
        <v>121</v>
      </c>
      <c r="C192" t="s">
        <v>1541</v>
      </c>
      <c r="D192" t="s">
        <v>1542</v>
      </c>
      <c r="F192" s="1">
        <v>33561</v>
      </c>
      <c r="G192" s="167" t="s">
        <v>2273</v>
      </c>
      <c r="H192" s="167" t="s">
        <v>121</v>
      </c>
      <c r="I192" s="167" t="s">
        <v>11</v>
      </c>
    </row>
    <row r="193" spans="1:9" x14ac:dyDescent="0.25">
      <c r="A193" s="95">
        <v>192</v>
      </c>
      <c r="B193" t="s">
        <v>1278</v>
      </c>
      <c r="C193" t="s">
        <v>1543</v>
      </c>
      <c r="D193" t="s">
        <v>331</v>
      </c>
      <c r="F193" s="1">
        <v>23697</v>
      </c>
      <c r="G193" s="167" t="s">
        <v>2273</v>
      </c>
      <c r="H193" s="167" t="s">
        <v>121</v>
      </c>
      <c r="I193" s="167" t="s">
        <v>11</v>
      </c>
    </row>
    <row r="194" spans="1:9" x14ac:dyDescent="0.25">
      <c r="A194" s="95">
        <v>193</v>
      </c>
      <c r="B194" t="s">
        <v>1522</v>
      </c>
      <c r="C194" t="s">
        <v>1544</v>
      </c>
      <c r="D194" t="s">
        <v>90</v>
      </c>
      <c r="F194" s="1">
        <v>37233</v>
      </c>
      <c r="G194" s="167" t="s">
        <v>2273</v>
      </c>
      <c r="H194" s="167" t="s">
        <v>121</v>
      </c>
      <c r="I194" s="167" t="s">
        <v>11</v>
      </c>
    </row>
    <row r="195" spans="1:9" x14ac:dyDescent="0.25">
      <c r="A195" s="95">
        <v>194</v>
      </c>
      <c r="B195" t="s">
        <v>1484</v>
      </c>
      <c r="C195" t="s">
        <v>1545</v>
      </c>
      <c r="D195" t="s">
        <v>1473</v>
      </c>
      <c r="F195" s="1">
        <v>25819</v>
      </c>
      <c r="G195" s="167" t="s">
        <v>2273</v>
      </c>
      <c r="H195" s="167" t="s">
        <v>121</v>
      </c>
      <c r="I195" s="167" t="s">
        <v>11</v>
      </c>
    </row>
    <row r="196" spans="1:9" x14ac:dyDescent="0.25">
      <c r="A196" s="95">
        <v>195</v>
      </c>
      <c r="B196" t="s">
        <v>1477</v>
      </c>
      <c r="C196" t="s">
        <v>1546</v>
      </c>
      <c r="D196" t="s">
        <v>1547</v>
      </c>
      <c r="F196" s="1">
        <v>35217</v>
      </c>
      <c r="G196" s="167" t="s">
        <v>2273</v>
      </c>
      <c r="H196" s="167" t="s">
        <v>121</v>
      </c>
      <c r="I196" s="167" t="s">
        <v>11</v>
      </c>
    </row>
    <row r="197" spans="1:9" x14ac:dyDescent="0.25">
      <c r="A197" s="95">
        <v>196</v>
      </c>
      <c r="B197" t="s">
        <v>1548</v>
      </c>
      <c r="C197" t="s">
        <v>1549</v>
      </c>
      <c r="D197" t="s">
        <v>1288</v>
      </c>
      <c r="F197" s="1">
        <v>22231</v>
      </c>
      <c r="G197" s="167" t="s">
        <v>2273</v>
      </c>
      <c r="H197" s="167" t="s">
        <v>121</v>
      </c>
      <c r="I197" s="167" t="s">
        <v>11</v>
      </c>
    </row>
    <row r="198" spans="1:9" x14ac:dyDescent="0.25">
      <c r="A198" s="95">
        <v>197</v>
      </c>
      <c r="B198" t="s">
        <v>112</v>
      </c>
      <c r="C198" t="s">
        <v>1550</v>
      </c>
      <c r="D198" t="s">
        <v>1551</v>
      </c>
      <c r="F198" s="1">
        <v>34483</v>
      </c>
      <c r="G198" s="167" t="s">
        <v>2273</v>
      </c>
      <c r="H198" s="167" t="s">
        <v>121</v>
      </c>
      <c r="I198" s="167" t="s">
        <v>11</v>
      </c>
    </row>
    <row r="199" spans="1:9" x14ac:dyDescent="0.25">
      <c r="A199" s="95">
        <v>198</v>
      </c>
      <c r="B199" t="s">
        <v>1311</v>
      </c>
      <c r="C199" t="s">
        <v>1552</v>
      </c>
      <c r="D199" t="s">
        <v>1511</v>
      </c>
      <c r="F199" s="1">
        <v>27608</v>
      </c>
      <c r="G199" s="167" t="s">
        <v>2273</v>
      </c>
      <c r="H199" s="167" t="s">
        <v>121</v>
      </c>
      <c r="I199" s="167" t="s">
        <v>11</v>
      </c>
    </row>
    <row r="200" spans="1:9" x14ac:dyDescent="0.25">
      <c r="A200" s="95">
        <v>199</v>
      </c>
      <c r="B200" t="s">
        <v>1406</v>
      </c>
      <c r="C200" t="s">
        <v>1553</v>
      </c>
      <c r="D200" t="s">
        <v>1554</v>
      </c>
      <c r="F200" s="1">
        <v>28124</v>
      </c>
      <c r="G200" s="167" t="s">
        <v>2273</v>
      </c>
      <c r="H200" s="167" t="s">
        <v>121</v>
      </c>
      <c r="I200" s="167" t="s">
        <v>11</v>
      </c>
    </row>
    <row r="201" spans="1:9" x14ac:dyDescent="0.25">
      <c r="A201" s="95">
        <v>200</v>
      </c>
      <c r="B201" t="s">
        <v>997</v>
      </c>
      <c r="C201" t="s">
        <v>1555</v>
      </c>
      <c r="D201" t="s">
        <v>1311</v>
      </c>
      <c r="F201" s="1">
        <v>23478</v>
      </c>
      <c r="G201" s="167" t="s">
        <v>2273</v>
      </c>
      <c r="H201" s="167" t="s">
        <v>121</v>
      </c>
      <c r="I201" s="167" t="s">
        <v>11</v>
      </c>
    </row>
    <row r="202" spans="1:9" x14ac:dyDescent="0.25">
      <c r="A202" s="95">
        <v>201</v>
      </c>
      <c r="B202" t="s">
        <v>1556</v>
      </c>
      <c r="C202" t="s">
        <v>1557</v>
      </c>
      <c r="D202" t="s">
        <v>1373</v>
      </c>
      <c r="F202" s="1">
        <v>36118</v>
      </c>
      <c r="G202" s="167" t="s">
        <v>2273</v>
      </c>
      <c r="H202" s="167" t="s">
        <v>121</v>
      </c>
      <c r="I202" s="167" t="s">
        <v>11</v>
      </c>
    </row>
    <row r="203" spans="1:9" x14ac:dyDescent="0.25">
      <c r="A203" s="95">
        <v>202</v>
      </c>
      <c r="B203" t="s">
        <v>1522</v>
      </c>
      <c r="C203" t="s">
        <v>901</v>
      </c>
      <c r="D203" t="s">
        <v>1288</v>
      </c>
      <c r="F203" s="1">
        <v>21331</v>
      </c>
      <c r="G203" s="167" t="s">
        <v>2273</v>
      </c>
      <c r="H203" s="167" t="s">
        <v>121</v>
      </c>
      <c r="I203" s="167" t="s">
        <v>11</v>
      </c>
    </row>
    <row r="204" spans="1:9" x14ac:dyDescent="0.25">
      <c r="A204" s="95">
        <v>203</v>
      </c>
      <c r="B204" t="s">
        <v>1558</v>
      </c>
      <c r="C204" t="s">
        <v>1559</v>
      </c>
      <c r="D204" t="s">
        <v>1269</v>
      </c>
      <c r="F204" s="1">
        <v>22819</v>
      </c>
      <c r="G204" s="167" t="s">
        <v>2273</v>
      </c>
      <c r="H204" s="167" t="s">
        <v>121</v>
      </c>
      <c r="I204" s="167" t="s">
        <v>11</v>
      </c>
    </row>
    <row r="205" spans="1:9" x14ac:dyDescent="0.25">
      <c r="A205" s="95">
        <v>204</v>
      </c>
      <c r="B205" t="s">
        <v>38</v>
      </c>
      <c r="C205" t="s">
        <v>317</v>
      </c>
      <c r="D205" t="s">
        <v>1486</v>
      </c>
      <c r="F205" s="1">
        <v>34819</v>
      </c>
      <c r="G205" s="167" t="s">
        <v>2273</v>
      </c>
      <c r="H205" s="167" t="s">
        <v>121</v>
      </c>
      <c r="I205" s="167" t="s">
        <v>11</v>
      </c>
    </row>
    <row r="206" spans="1:9" x14ac:dyDescent="0.25">
      <c r="A206" s="95">
        <v>205</v>
      </c>
      <c r="B206" t="s">
        <v>1503</v>
      </c>
      <c r="C206" t="s">
        <v>1504</v>
      </c>
      <c r="D206" t="s">
        <v>1279</v>
      </c>
      <c r="F206" s="1">
        <v>30782</v>
      </c>
      <c r="G206" s="167" t="s">
        <v>2273</v>
      </c>
      <c r="H206" s="167" t="s">
        <v>121</v>
      </c>
      <c r="I206" s="167" t="s">
        <v>11</v>
      </c>
    </row>
    <row r="207" spans="1:9" x14ac:dyDescent="0.25">
      <c r="A207" s="95">
        <v>206</v>
      </c>
      <c r="B207" t="s">
        <v>85</v>
      </c>
      <c r="C207" t="s">
        <v>1361</v>
      </c>
      <c r="D207" t="s">
        <v>1542</v>
      </c>
      <c r="F207" s="1">
        <v>26633</v>
      </c>
      <c r="G207" s="167" t="s">
        <v>2273</v>
      </c>
      <c r="H207" s="167" t="s">
        <v>121</v>
      </c>
      <c r="I207" s="167" t="s">
        <v>11</v>
      </c>
    </row>
    <row r="208" spans="1:9" x14ac:dyDescent="0.25">
      <c r="A208" s="95">
        <v>207</v>
      </c>
      <c r="B208" t="s">
        <v>1560</v>
      </c>
      <c r="C208" t="s">
        <v>1561</v>
      </c>
      <c r="D208" t="s">
        <v>38</v>
      </c>
      <c r="F208" s="1">
        <v>25750</v>
      </c>
      <c r="G208" s="167" t="s">
        <v>2273</v>
      </c>
      <c r="H208" s="167" t="s">
        <v>121</v>
      </c>
      <c r="I208" s="167" t="s">
        <v>11</v>
      </c>
    </row>
    <row r="209" spans="1:9" x14ac:dyDescent="0.25">
      <c r="A209" s="95">
        <v>208</v>
      </c>
      <c r="B209" t="s">
        <v>112</v>
      </c>
      <c r="C209" t="s">
        <v>1562</v>
      </c>
      <c r="D209" t="s">
        <v>1551</v>
      </c>
      <c r="F209" s="1">
        <v>21524</v>
      </c>
      <c r="G209" s="167" t="s">
        <v>2273</v>
      </c>
      <c r="H209" s="167" t="s">
        <v>121</v>
      </c>
      <c r="I209" s="167" t="s">
        <v>11</v>
      </c>
    </row>
    <row r="210" spans="1:9" x14ac:dyDescent="0.25">
      <c r="A210" s="95">
        <v>209</v>
      </c>
      <c r="B210" t="s">
        <v>1415</v>
      </c>
      <c r="C210" t="s">
        <v>1563</v>
      </c>
      <c r="D210" t="s">
        <v>331</v>
      </c>
      <c r="E210" t="s">
        <v>67</v>
      </c>
      <c r="F210" s="1">
        <v>23672</v>
      </c>
      <c r="G210" s="167" t="s">
        <v>2273</v>
      </c>
      <c r="H210" s="167" t="s">
        <v>121</v>
      </c>
      <c r="I210" s="167" t="s">
        <v>11</v>
      </c>
    </row>
    <row r="211" spans="1:9" x14ac:dyDescent="0.25">
      <c r="A211" s="95">
        <v>210</v>
      </c>
      <c r="B211" t="s">
        <v>1564</v>
      </c>
      <c r="C211" t="s">
        <v>1565</v>
      </c>
      <c r="D211" t="s">
        <v>1566</v>
      </c>
      <c r="F211" s="1">
        <v>33901</v>
      </c>
      <c r="G211" s="167" t="s">
        <v>2273</v>
      </c>
      <c r="H211" s="167" t="s">
        <v>121</v>
      </c>
      <c r="I211" s="167" t="s">
        <v>11</v>
      </c>
    </row>
    <row r="212" spans="1:9" x14ac:dyDescent="0.25">
      <c r="A212" s="95">
        <v>211</v>
      </c>
      <c r="B212" t="s">
        <v>1567</v>
      </c>
      <c r="C212" t="s">
        <v>1568</v>
      </c>
      <c r="D212" t="s">
        <v>1569</v>
      </c>
      <c r="F212" s="1">
        <v>31885</v>
      </c>
      <c r="G212" s="167" t="s">
        <v>2273</v>
      </c>
      <c r="H212" s="167" t="s">
        <v>121</v>
      </c>
      <c r="I212" s="167" t="s">
        <v>11</v>
      </c>
    </row>
    <row r="213" spans="1:9" x14ac:dyDescent="0.25">
      <c r="A213" s="95">
        <v>212</v>
      </c>
      <c r="B213" t="s">
        <v>443</v>
      </c>
      <c r="C213" t="s">
        <v>561</v>
      </c>
      <c r="D213" t="s">
        <v>1424</v>
      </c>
      <c r="F213" s="1">
        <v>34437</v>
      </c>
      <c r="G213" s="167" t="s">
        <v>2273</v>
      </c>
      <c r="H213" s="167" t="s">
        <v>121</v>
      </c>
      <c r="I213" s="167" t="s">
        <v>11</v>
      </c>
    </row>
    <row r="214" spans="1:9" x14ac:dyDescent="0.25">
      <c r="A214" s="95">
        <v>213</v>
      </c>
      <c r="B214" t="s">
        <v>1542</v>
      </c>
      <c r="C214" t="s">
        <v>1277</v>
      </c>
      <c r="D214" t="s">
        <v>1570</v>
      </c>
      <c r="F214" s="1">
        <v>19428</v>
      </c>
      <c r="G214" s="167" t="s">
        <v>2273</v>
      </c>
      <c r="H214" s="167" t="s">
        <v>121</v>
      </c>
      <c r="I214" s="167" t="s">
        <v>11</v>
      </c>
    </row>
    <row r="215" spans="1:9" x14ac:dyDescent="0.25">
      <c r="A215" s="95">
        <v>214</v>
      </c>
      <c r="B215" t="s">
        <v>232</v>
      </c>
      <c r="C215" t="s">
        <v>1571</v>
      </c>
      <c r="D215" t="s">
        <v>1572</v>
      </c>
      <c r="E215" t="s">
        <v>76</v>
      </c>
      <c r="F215" s="1">
        <v>22809</v>
      </c>
      <c r="G215" s="167" t="s">
        <v>2273</v>
      </c>
      <c r="H215" s="167" t="s">
        <v>121</v>
      </c>
      <c r="I215" s="167" t="s">
        <v>11</v>
      </c>
    </row>
    <row r="216" spans="1:9" x14ac:dyDescent="0.25">
      <c r="A216" s="95">
        <v>215</v>
      </c>
      <c r="B216" t="s">
        <v>331</v>
      </c>
      <c r="C216" t="s">
        <v>1573</v>
      </c>
      <c r="D216" t="s">
        <v>1551</v>
      </c>
      <c r="F216" s="1">
        <v>27542</v>
      </c>
      <c r="G216" s="167" t="s">
        <v>2273</v>
      </c>
      <c r="H216" s="167" t="s">
        <v>121</v>
      </c>
      <c r="I216" s="167" t="s">
        <v>11</v>
      </c>
    </row>
    <row r="217" spans="1:9" x14ac:dyDescent="0.25">
      <c r="A217" s="95">
        <v>216</v>
      </c>
      <c r="B217" t="s">
        <v>99</v>
      </c>
      <c r="C217" t="s">
        <v>1053</v>
      </c>
      <c r="D217" t="s">
        <v>1574</v>
      </c>
      <c r="F217" s="1">
        <v>33126</v>
      </c>
      <c r="G217" s="167" t="s">
        <v>2273</v>
      </c>
      <c r="H217" s="167" t="s">
        <v>121</v>
      </c>
      <c r="I217" s="167" t="s">
        <v>11</v>
      </c>
    </row>
    <row r="218" spans="1:9" x14ac:dyDescent="0.25">
      <c r="A218" s="95">
        <v>217</v>
      </c>
      <c r="B218" t="s">
        <v>1575</v>
      </c>
      <c r="C218" t="s">
        <v>1462</v>
      </c>
      <c r="D218" t="s">
        <v>1576</v>
      </c>
      <c r="F218" s="1">
        <v>23685</v>
      </c>
      <c r="G218" s="167" t="s">
        <v>2273</v>
      </c>
      <c r="H218" s="167" t="s">
        <v>121</v>
      </c>
      <c r="I218" s="167" t="s">
        <v>11</v>
      </c>
    </row>
    <row r="219" spans="1:9" x14ac:dyDescent="0.25">
      <c r="A219" s="95">
        <v>218</v>
      </c>
      <c r="B219" t="s">
        <v>1279</v>
      </c>
      <c r="C219" t="s">
        <v>1577</v>
      </c>
      <c r="D219" t="s">
        <v>18</v>
      </c>
      <c r="F219" s="1">
        <v>28201</v>
      </c>
      <c r="G219" s="167" t="s">
        <v>2273</v>
      </c>
      <c r="H219" s="167" t="s">
        <v>121</v>
      </c>
      <c r="I219" s="167" t="s">
        <v>11</v>
      </c>
    </row>
    <row r="220" spans="1:9" x14ac:dyDescent="0.25">
      <c r="A220" s="95">
        <v>219</v>
      </c>
      <c r="B220" t="s">
        <v>1373</v>
      </c>
      <c r="C220" t="s">
        <v>1578</v>
      </c>
      <c r="D220" t="s">
        <v>1294</v>
      </c>
      <c r="F220" s="1">
        <v>34175</v>
      </c>
      <c r="G220" s="167" t="s">
        <v>2273</v>
      </c>
      <c r="H220" s="167" t="s">
        <v>121</v>
      </c>
      <c r="I220" s="167" t="s">
        <v>11</v>
      </c>
    </row>
    <row r="221" spans="1:9" x14ac:dyDescent="0.25">
      <c r="A221" s="95">
        <v>220</v>
      </c>
      <c r="B221" t="s">
        <v>1579</v>
      </c>
      <c r="C221" t="s">
        <v>1580</v>
      </c>
      <c r="D221" t="s">
        <v>1581</v>
      </c>
      <c r="F221" s="1">
        <v>36802</v>
      </c>
      <c r="G221" s="167" t="s">
        <v>2273</v>
      </c>
      <c r="H221" s="167" t="s">
        <v>121</v>
      </c>
      <c r="I221" s="167" t="s">
        <v>11</v>
      </c>
    </row>
    <row r="222" spans="1:9" x14ac:dyDescent="0.25">
      <c r="A222" s="95">
        <v>221</v>
      </c>
      <c r="B222" t="s">
        <v>331</v>
      </c>
      <c r="C222" t="s">
        <v>1582</v>
      </c>
      <c r="D222" t="s">
        <v>1583</v>
      </c>
      <c r="F222" s="1">
        <v>19122</v>
      </c>
      <c r="G222" s="167" t="s">
        <v>2273</v>
      </c>
      <c r="H222" s="167" t="s">
        <v>121</v>
      </c>
      <c r="I222" s="167" t="s">
        <v>11</v>
      </c>
    </row>
    <row r="223" spans="1:9" x14ac:dyDescent="0.25">
      <c r="A223" s="95">
        <v>222</v>
      </c>
      <c r="B223" t="s">
        <v>1460</v>
      </c>
      <c r="C223" t="s">
        <v>1584</v>
      </c>
      <c r="D223" t="s">
        <v>1373</v>
      </c>
      <c r="F223" s="1">
        <v>23726</v>
      </c>
      <c r="G223" s="167" t="s">
        <v>2273</v>
      </c>
      <c r="H223" s="167" t="s">
        <v>121</v>
      </c>
      <c r="I223" s="167" t="s">
        <v>11</v>
      </c>
    </row>
    <row r="224" spans="1:9" x14ac:dyDescent="0.25">
      <c r="A224" s="95">
        <v>223</v>
      </c>
      <c r="B224" t="s">
        <v>1585</v>
      </c>
      <c r="C224" t="s">
        <v>1586</v>
      </c>
      <c r="D224" t="s">
        <v>941</v>
      </c>
      <c r="F224" s="1">
        <v>23807</v>
      </c>
      <c r="G224" s="167" t="s">
        <v>2273</v>
      </c>
      <c r="H224" s="167" t="s">
        <v>121</v>
      </c>
      <c r="I224" s="167" t="s">
        <v>11</v>
      </c>
    </row>
    <row r="225" spans="1:9" x14ac:dyDescent="0.25">
      <c r="A225" s="95">
        <v>224</v>
      </c>
      <c r="B225" t="s">
        <v>1587</v>
      </c>
      <c r="C225" t="s">
        <v>1008</v>
      </c>
      <c r="D225" t="s">
        <v>1588</v>
      </c>
      <c r="F225" s="1">
        <v>31844</v>
      </c>
      <c r="G225" s="167" t="s">
        <v>2273</v>
      </c>
      <c r="H225" s="167" t="s">
        <v>121</v>
      </c>
      <c r="I225" s="167" t="s">
        <v>11</v>
      </c>
    </row>
    <row r="226" spans="1:9" x14ac:dyDescent="0.25">
      <c r="A226" s="95">
        <v>225</v>
      </c>
      <c r="B226" t="s">
        <v>38</v>
      </c>
      <c r="C226" t="s">
        <v>1589</v>
      </c>
      <c r="D226" t="s">
        <v>1486</v>
      </c>
      <c r="F226" s="1">
        <v>37629</v>
      </c>
      <c r="G226" s="167" t="s">
        <v>2273</v>
      </c>
      <c r="H226" s="167" t="s">
        <v>121</v>
      </c>
      <c r="I226" s="167" t="s">
        <v>11</v>
      </c>
    </row>
    <row r="227" spans="1:9" x14ac:dyDescent="0.25">
      <c r="A227" s="95">
        <v>226</v>
      </c>
      <c r="B227" t="s">
        <v>443</v>
      </c>
      <c r="C227" t="s">
        <v>1590</v>
      </c>
      <c r="D227" t="s">
        <v>1424</v>
      </c>
      <c r="F227" s="1">
        <v>18144</v>
      </c>
      <c r="G227" s="167" t="s">
        <v>2273</v>
      </c>
      <c r="H227" s="167" t="s">
        <v>121</v>
      </c>
      <c r="I227" s="167" t="s">
        <v>11</v>
      </c>
    </row>
    <row r="228" spans="1:9" x14ac:dyDescent="0.25">
      <c r="A228" s="95">
        <v>227</v>
      </c>
      <c r="B228" t="s">
        <v>1433</v>
      </c>
      <c r="C228" t="s">
        <v>1591</v>
      </c>
      <c r="D228" t="s">
        <v>112</v>
      </c>
      <c r="F228" s="1">
        <v>34177</v>
      </c>
      <c r="G228" s="167" t="s">
        <v>2273</v>
      </c>
      <c r="H228" s="167" t="s">
        <v>121</v>
      </c>
      <c r="I228" s="167" t="s">
        <v>11</v>
      </c>
    </row>
    <row r="229" spans="1:9" x14ac:dyDescent="0.25">
      <c r="A229" s="95">
        <v>228</v>
      </c>
      <c r="B229" t="s">
        <v>1592</v>
      </c>
      <c r="C229" t="s">
        <v>1593</v>
      </c>
      <c r="D229" t="s">
        <v>1594</v>
      </c>
      <c r="F229" s="1">
        <v>35743</v>
      </c>
      <c r="G229" s="167" t="s">
        <v>2273</v>
      </c>
      <c r="H229" s="167" t="s">
        <v>121</v>
      </c>
      <c r="I229" s="167" t="s">
        <v>11</v>
      </c>
    </row>
    <row r="230" spans="1:9" x14ac:dyDescent="0.25">
      <c r="A230" s="95">
        <v>229</v>
      </c>
      <c r="B230" t="s">
        <v>1269</v>
      </c>
      <c r="C230" t="s">
        <v>1595</v>
      </c>
      <c r="D230" t="s">
        <v>33</v>
      </c>
      <c r="F230" s="1">
        <v>18194</v>
      </c>
      <c r="G230" s="167" t="s">
        <v>2273</v>
      </c>
      <c r="H230" s="167" t="s">
        <v>121</v>
      </c>
      <c r="I230" s="167" t="s">
        <v>11</v>
      </c>
    </row>
    <row r="231" spans="1:9" x14ac:dyDescent="0.25">
      <c r="A231" s="95">
        <v>230</v>
      </c>
      <c r="B231" t="s">
        <v>1460</v>
      </c>
      <c r="C231" t="s">
        <v>1596</v>
      </c>
      <c r="D231" t="s">
        <v>41</v>
      </c>
      <c r="F231" s="1">
        <v>30868</v>
      </c>
      <c r="G231" s="167" t="s">
        <v>2273</v>
      </c>
      <c r="H231" s="167" t="s">
        <v>121</v>
      </c>
      <c r="I231" s="167" t="s">
        <v>11</v>
      </c>
    </row>
    <row r="232" spans="1:9" x14ac:dyDescent="0.25">
      <c r="A232" s="95">
        <v>231</v>
      </c>
      <c r="B232" t="s">
        <v>1587</v>
      </c>
      <c r="C232" t="s">
        <v>91</v>
      </c>
      <c r="D232" t="s">
        <v>1588</v>
      </c>
      <c r="E232" t="s">
        <v>22</v>
      </c>
      <c r="F232" s="1">
        <v>34539</v>
      </c>
      <c r="G232" s="167" t="s">
        <v>2273</v>
      </c>
      <c r="H232" s="167" t="s">
        <v>121</v>
      </c>
      <c r="I232" s="167" t="s">
        <v>11</v>
      </c>
    </row>
    <row r="233" spans="1:9" x14ac:dyDescent="0.25">
      <c r="A233" s="95">
        <v>232</v>
      </c>
      <c r="B233" t="s">
        <v>1592</v>
      </c>
      <c r="C233" t="s">
        <v>1593</v>
      </c>
      <c r="D233" t="s">
        <v>1594</v>
      </c>
      <c r="F233" s="1">
        <v>35743</v>
      </c>
      <c r="G233" s="167" t="s">
        <v>2273</v>
      </c>
      <c r="H233" s="167" t="s">
        <v>121</v>
      </c>
      <c r="I233" s="167" t="s">
        <v>11</v>
      </c>
    </row>
    <row r="234" spans="1:9" x14ac:dyDescent="0.25">
      <c r="A234" s="95">
        <v>233</v>
      </c>
      <c r="B234" t="s">
        <v>232</v>
      </c>
      <c r="C234" t="s">
        <v>333</v>
      </c>
      <c r="D234" t="s">
        <v>997</v>
      </c>
      <c r="F234" s="1">
        <v>36044</v>
      </c>
      <c r="G234" s="167" t="s">
        <v>2273</v>
      </c>
      <c r="H234" s="167" t="s">
        <v>121</v>
      </c>
      <c r="I234" s="167" t="s">
        <v>11</v>
      </c>
    </row>
    <row r="235" spans="1:9" x14ac:dyDescent="0.25">
      <c r="A235" s="95">
        <v>234</v>
      </c>
      <c r="B235" t="s">
        <v>1592</v>
      </c>
      <c r="C235" t="s">
        <v>1593</v>
      </c>
      <c r="D235" t="s">
        <v>1594</v>
      </c>
      <c r="F235" s="1">
        <v>35743</v>
      </c>
      <c r="G235" s="167" t="s">
        <v>2273</v>
      </c>
      <c r="H235" s="167" t="s">
        <v>121</v>
      </c>
      <c r="I235" s="167" t="s">
        <v>11</v>
      </c>
    </row>
    <row r="236" spans="1:9" x14ac:dyDescent="0.25">
      <c r="A236" s="95">
        <v>235</v>
      </c>
      <c r="B236" t="s">
        <v>1503</v>
      </c>
      <c r="C236" t="s">
        <v>333</v>
      </c>
      <c r="D236" t="s">
        <v>1516</v>
      </c>
      <c r="F236" s="1">
        <v>25843</v>
      </c>
      <c r="G236" s="167" t="s">
        <v>2273</v>
      </c>
      <c r="H236" s="167" t="s">
        <v>121</v>
      </c>
      <c r="I236" s="167" t="s">
        <v>11</v>
      </c>
    </row>
    <row r="237" spans="1:9" x14ac:dyDescent="0.25">
      <c r="A237" s="95">
        <v>236</v>
      </c>
      <c r="B237" t="s">
        <v>1460</v>
      </c>
      <c r="C237" t="s">
        <v>1597</v>
      </c>
      <c r="D237" t="s">
        <v>1373</v>
      </c>
      <c r="F237" s="1">
        <v>23726</v>
      </c>
      <c r="G237" s="167" t="s">
        <v>2273</v>
      </c>
      <c r="H237" s="167" t="s">
        <v>121</v>
      </c>
      <c r="I237" s="167" t="s">
        <v>11</v>
      </c>
    </row>
    <row r="238" spans="1:9" x14ac:dyDescent="0.25">
      <c r="A238" s="95">
        <v>237</v>
      </c>
      <c r="B238" t="s">
        <v>1518</v>
      </c>
      <c r="C238" t="s">
        <v>1598</v>
      </c>
      <c r="D238" t="s">
        <v>1599</v>
      </c>
      <c r="F238" s="1">
        <v>31271</v>
      </c>
      <c r="G238" s="167" t="s">
        <v>2273</v>
      </c>
      <c r="H238" s="167" t="s">
        <v>121</v>
      </c>
      <c r="I238" s="167" t="s">
        <v>11</v>
      </c>
    </row>
    <row r="239" spans="1:9" x14ac:dyDescent="0.25">
      <c r="A239" s="95">
        <v>238</v>
      </c>
      <c r="B239" t="s">
        <v>1592</v>
      </c>
      <c r="C239" t="s">
        <v>1593</v>
      </c>
      <c r="D239" t="s">
        <v>1594</v>
      </c>
      <c r="F239" s="1">
        <v>35743</v>
      </c>
      <c r="G239" s="167" t="s">
        <v>2273</v>
      </c>
      <c r="H239" s="167" t="s">
        <v>121</v>
      </c>
      <c r="I239" s="167" t="s">
        <v>11</v>
      </c>
    </row>
    <row r="240" spans="1:9" x14ac:dyDescent="0.25">
      <c r="A240" s="95">
        <v>239</v>
      </c>
      <c r="B240" t="s">
        <v>120</v>
      </c>
      <c r="C240" t="s">
        <v>219</v>
      </c>
      <c r="D240" t="s">
        <v>1600</v>
      </c>
      <c r="F240" s="1">
        <v>22091</v>
      </c>
      <c r="G240" s="167" t="s">
        <v>2273</v>
      </c>
      <c r="H240" s="167" t="s">
        <v>121</v>
      </c>
      <c r="I240" s="167" t="s">
        <v>11</v>
      </c>
    </row>
    <row r="241" spans="1:9" x14ac:dyDescent="0.25">
      <c r="A241" s="95">
        <v>240</v>
      </c>
      <c r="B241" t="s">
        <v>38</v>
      </c>
      <c r="C241" t="s">
        <v>1601</v>
      </c>
      <c r="D241" t="s">
        <v>1602</v>
      </c>
      <c r="F241" s="1">
        <v>34484</v>
      </c>
      <c r="G241" s="167" t="s">
        <v>2273</v>
      </c>
      <c r="H241" s="167" t="s">
        <v>121</v>
      </c>
      <c r="I241" s="167" t="s">
        <v>11</v>
      </c>
    </row>
    <row r="242" spans="1:9" x14ac:dyDescent="0.25">
      <c r="A242" s="95">
        <v>241</v>
      </c>
      <c r="B242" t="s">
        <v>1311</v>
      </c>
      <c r="C242" t="s">
        <v>1603</v>
      </c>
      <c r="D242" t="s">
        <v>1313</v>
      </c>
      <c r="F242" s="1">
        <v>20155</v>
      </c>
      <c r="G242" s="167" t="s">
        <v>2273</v>
      </c>
      <c r="H242" s="167" t="s">
        <v>121</v>
      </c>
      <c r="I242" s="167" t="s">
        <v>11</v>
      </c>
    </row>
    <row r="243" spans="1:9" x14ac:dyDescent="0.25">
      <c r="A243" s="95">
        <v>242</v>
      </c>
      <c r="B243" t="s">
        <v>1604</v>
      </c>
      <c r="C243" t="s">
        <v>1605</v>
      </c>
      <c r="D243" t="s">
        <v>1507</v>
      </c>
      <c r="F243" s="1">
        <v>40345</v>
      </c>
      <c r="G243" s="167" t="s">
        <v>2273</v>
      </c>
      <c r="H243" s="167" t="s">
        <v>121</v>
      </c>
      <c r="I243" s="167" t="s">
        <v>11</v>
      </c>
    </row>
    <row r="244" spans="1:9" x14ac:dyDescent="0.25">
      <c r="A244" s="95">
        <v>243</v>
      </c>
      <c r="B244" t="s">
        <v>577</v>
      </c>
      <c r="C244" t="s">
        <v>1606</v>
      </c>
      <c r="D244" t="s">
        <v>38</v>
      </c>
      <c r="F244" s="1">
        <v>33336</v>
      </c>
      <c r="G244" s="167" t="s">
        <v>2273</v>
      </c>
      <c r="H244" s="167" t="s">
        <v>121</v>
      </c>
      <c r="I244" s="167" t="s">
        <v>11</v>
      </c>
    </row>
    <row r="245" spans="1:9" x14ac:dyDescent="0.25">
      <c r="A245" s="95">
        <v>244</v>
      </c>
      <c r="B245" t="s">
        <v>41</v>
      </c>
      <c r="C245" t="s">
        <v>1607</v>
      </c>
      <c r="D245" t="s">
        <v>1269</v>
      </c>
      <c r="F245" s="1">
        <v>27802</v>
      </c>
      <c r="G245" s="167" t="s">
        <v>2273</v>
      </c>
      <c r="H245" s="167" t="s">
        <v>121</v>
      </c>
      <c r="I245" s="167" t="s">
        <v>11</v>
      </c>
    </row>
    <row r="246" spans="1:9" x14ac:dyDescent="0.25">
      <c r="A246" s="95">
        <v>245</v>
      </c>
      <c r="B246" t="s">
        <v>1269</v>
      </c>
      <c r="C246" t="s">
        <v>306</v>
      </c>
      <c r="D246" t="s">
        <v>1608</v>
      </c>
      <c r="F246" s="1">
        <v>28111</v>
      </c>
      <c r="G246" s="167" t="s">
        <v>2273</v>
      </c>
      <c r="H246" s="167" t="s">
        <v>121</v>
      </c>
      <c r="I246" s="167" t="s">
        <v>11</v>
      </c>
    </row>
    <row r="247" spans="1:9" x14ac:dyDescent="0.25">
      <c r="A247" s="95">
        <v>246</v>
      </c>
      <c r="B247" t="s">
        <v>964</v>
      </c>
      <c r="C247" t="s">
        <v>1609</v>
      </c>
      <c r="D247" t="s">
        <v>1610</v>
      </c>
      <c r="F247" s="1">
        <v>17596</v>
      </c>
      <c r="G247" s="167" t="s">
        <v>2273</v>
      </c>
      <c r="H247" s="167" t="s">
        <v>121</v>
      </c>
      <c r="I247" s="167" t="s">
        <v>11</v>
      </c>
    </row>
    <row r="248" spans="1:9" x14ac:dyDescent="0.25">
      <c r="A248" s="95">
        <v>247</v>
      </c>
      <c r="B248" t="s">
        <v>577</v>
      </c>
      <c r="C248" t="s">
        <v>1489</v>
      </c>
      <c r="D248" t="s">
        <v>1611</v>
      </c>
      <c r="F248" s="1">
        <v>36370</v>
      </c>
      <c r="G248" s="167" t="s">
        <v>2273</v>
      </c>
      <c r="H248" s="167" t="s">
        <v>121</v>
      </c>
      <c r="I248" s="167" t="s">
        <v>11</v>
      </c>
    </row>
    <row r="249" spans="1:9" x14ac:dyDescent="0.25">
      <c r="A249" s="95">
        <v>248</v>
      </c>
      <c r="B249" t="s">
        <v>1579</v>
      </c>
      <c r="C249" t="s">
        <v>200</v>
      </c>
      <c r="D249" t="s">
        <v>694</v>
      </c>
      <c r="F249" s="1">
        <v>28723</v>
      </c>
      <c r="G249" s="167" t="s">
        <v>2273</v>
      </c>
      <c r="H249" s="167" t="s">
        <v>121</v>
      </c>
      <c r="I249" s="167" t="s">
        <v>11</v>
      </c>
    </row>
    <row r="250" spans="1:9" x14ac:dyDescent="0.25">
      <c r="A250" s="95">
        <v>249</v>
      </c>
      <c r="B250" t="s">
        <v>1399</v>
      </c>
      <c r="C250" t="s">
        <v>1612</v>
      </c>
      <c r="D250" t="s">
        <v>1269</v>
      </c>
      <c r="F250" s="1">
        <v>32034</v>
      </c>
      <c r="G250" s="167" t="s">
        <v>2273</v>
      </c>
      <c r="H250" s="167" t="s">
        <v>121</v>
      </c>
      <c r="I250" s="167" t="s">
        <v>11</v>
      </c>
    </row>
    <row r="251" spans="1:9" x14ac:dyDescent="0.25">
      <c r="A251" s="95">
        <v>250</v>
      </c>
      <c r="B251" t="s">
        <v>1613</v>
      </c>
      <c r="C251" t="s">
        <v>1614</v>
      </c>
      <c r="D251" t="s">
        <v>164</v>
      </c>
      <c r="F251" s="1">
        <v>36765</v>
      </c>
      <c r="G251" s="167" t="s">
        <v>2273</v>
      </c>
      <c r="H251" s="167" t="s">
        <v>121</v>
      </c>
      <c r="I251" s="167" t="s">
        <v>11</v>
      </c>
    </row>
    <row r="252" spans="1:9" x14ac:dyDescent="0.25">
      <c r="A252" s="95">
        <v>251</v>
      </c>
      <c r="B252" t="s">
        <v>1615</v>
      </c>
      <c r="C252" t="s">
        <v>1616</v>
      </c>
      <c r="D252" t="s">
        <v>1617</v>
      </c>
      <c r="F252" s="1">
        <v>30462</v>
      </c>
      <c r="G252" s="167" t="s">
        <v>2273</v>
      </c>
      <c r="H252" s="167" t="s">
        <v>121</v>
      </c>
      <c r="I252" s="167" t="s">
        <v>11</v>
      </c>
    </row>
    <row r="253" spans="1:9" x14ac:dyDescent="0.25">
      <c r="A253" s="95">
        <v>252</v>
      </c>
      <c r="B253" t="s">
        <v>1373</v>
      </c>
      <c r="C253" t="s">
        <v>1361</v>
      </c>
      <c r="D253" t="s">
        <v>1618</v>
      </c>
      <c r="F253" s="1">
        <v>25647</v>
      </c>
      <c r="G253" s="167" t="s">
        <v>2273</v>
      </c>
      <c r="H253" s="167" t="s">
        <v>121</v>
      </c>
      <c r="I253" s="167" t="s">
        <v>11</v>
      </c>
    </row>
    <row r="254" spans="1:9" x14ac:dyDescent="0.25">
      <c r="A254" s="95">
        <v>253</v>
      </c>
      <c r="B254" t="s">
        <v>382</v>
      </c>
      <c r="C254" t="s">
        <v>43</v>
      </c>
      <c r="D254" t="s">
        <v>1619</v>
      </c>
      <c r="F254" s="1">
        <v>33850</v>
      </c>
      <c r="G254" s="167" t="s">
        <v>2273</v>
      </c>
      <c r="H254" s="167" t="s">
        <v>121</v>
      </c>
      <c r="I254" s="167" t="s">
        <v>11</v>
      </c>
    </row>
    <row r="255" spans="1:9" x14ac:dyDescent="0.25">
      <c r="A255" s="95">
        <v>254</v>
      </c>
      <c r="B255" t="s">
        <v>605</v>
      </c>
      <c r="C255" t="s">
        <v>1620</v>
      </c>
      <c r="D255" t="s">
        <v>1618</v>
      </c>
      <c r="F255" s="1">
        <v>26027</v>
      </c>
      <c r="G255" s="167" t="s">
        <v>2273</v>
      </c>
      <c r="H255" s="167" t="s">
        <v>121</v>
      </c>
      <c r="I255" s="167" t="s">
        <v>11</v>
      </c>
    </row>
    <row r="256" spans="1:9" x14ac:dyDescent="0.25">
      <c r="A256" s="95">
        <v>255</v>
      </c>
      <c r="B256" t="s">
        <v>1621</v>
      </c>
      <c r="C256" t="s">
        <v>306</v>
      </c>
      <c r="D256" t="s">
        <v>1373</v>
      </c>
      <c r="F256" s="1">
        <v>28301</v>
      </c>
      <c r="G256" s="167" t="s">
        <v>2273</v>
      </c>
      <c r="H256" s="167" t="s">
        <v>121</v>
      </c>
      <c r="I256" s="167" t="s">
        <v>11</v>
      </c>
    </row>
    <row r="257" spans="1:9" x14ac:dyDescent="0.25">
      <c r="A257" s="95">
        <v>256</v>
      </c>
      <c r="B257" t="s">
        <v>1373</v>
      </c>
      <c r="C257" t="s">
        <v>1622</v>
      </c>
      <c r="D257" t="s">
        <v>1294</v>
      </c>
      <c r="F257" s="1">
        <v>28864</v>
      </c>
      <c r="G257" s="167" t="s">
        <v>2273</v>
      </c>
      <c r="H257" s="167" t="s">
        <v>121</v>
      </c>
      <c r="I257" s="167" t="s">
        <v>11</v>
      </c>
    </row>
    <row r="258" spans="1:9" x14ac:dyDescent="0.25">
      <c r="A258" s="95">
        <v>257</v>
      </c>
      <c r="B258" t="s">
        <v>1284</v>
      </c>
      <c r="C258" t="s">
        <v>1623</v>
      </c>
      <c r="D258" t="s">
        <v>1624</v>
      </c>
      <c r="F258" s="1">
        <v>33394</v>
      </c>
      <c r="G258" s="167" t="s">
        <v>2273</v>
      </c>
      <c r="H258" s="167" t="s">
        <v>121</v>
      </c>
      <c r="I258" s="167" t="s">
        <v>11</v>
      </c>
    </row>
    <row r="259" spans="1:9" x14ac:dyDescent="0.25">
      <c r="A259" s="95">
        <v>258</v>
      </c>
      <c r="B259" t="s">
        <v>1279</v>
      </c>
      <c r="C259" t="s">
        <v>374</v>
      </c>
      <c r="D259" t="s">
        <v>1625</v>
      </c>
      <c r="E259" t="s">
        <v>76</v>
      </c>
      <c r="F259" s="1">
        <v>16525</v>
      </c>
      <c r="G259" s="167" t="s">
        <v>2273</v>
      </c>
      <c r="H259" s="167" t="s">
        <v>121</v>
      </c>
      <c r="I259" s="167" t="s">
        <v>11</v>
      </c>
    </row>
    <row r="260" spans="1:9" x14ac:dyDescent="0.25">
      <c r="A260" s="95">
        <v>259</v>
      </c>
      <c r="B260" t="s">
        <v>1626</v>
      </c>
      <c r="C260" t="s">
        <v>26</v>
      </c>
      <c r="D260" t="s">
        <v>1627</v>
      </c>
      <c r="F260" s="1">
        <v>21058</v>
      </c>
      <c r="G260" s="167" t="s">
        <v>2273</v>
      </c>
      <c r="H260" s="167" t="s">
        <v>121</v>
      </c>
      <c r="I260" s="167" t="s">
        <v>11</v>
      </c>
    </row>
    <row r="261" spans="1:9" x14ac:dyDescent="0.25">
      <c r="A261" s="95">
        <v>260</v>
      </c>
      <c r="B261" t="s">
        <v>1581</v>
      </c>
      <c r="C261" t="s">
        <v>1590</v>
      </c>
      <c r="D261" t="s">
        <v>1628</v>
      </c>
      <c r="F261" s="1">
        <v>22254</v>
      </c>
      <c r="G261" s="167" t="s">
        <v>2273</v>
      </c>
      <c r="H261" s="167" t="s">
        <v>121</v>
      </c>
      <c r="I261" s="167" t="s">
        <v>11</v>
      </c>
    </row>
    <row r="262" spans="1:9" x14ac:dyDescent="0.25">
      <c r="A262" s="95">
        <v>261</v>
      </c>
      <c r="B262" t="s">
        <v>1452</v>
      </c>
      <c r="C262" t="s">
        <v>141</v>
      </c>
      <c r="D262" t="s">
        <v>1629</v>
      </c>
      <c r="F262" s="1">
        <v>32067</v>
      </c>
      <c r="G262" s="167" t="s">
        <v>2273</v>
      </c>
      <c r="H262" s="167" t="s">
        <v>121</v>
      </c>
      <c r="I262" s="167" t="s">
        <v>11</v>
      </c>
    </row>
    <row r="263" spans="1:9" x14ac:dyDescent="0.25">
      <c r="A263" s="95">
        <v>262</v>
      </c>
      <c r="B263" t="s">
        <v>1581</v>
      </c>
      <c r="C263" t="s">
        <v>1590</v>
      </c>
      <c r="D263" t="s">
        <v>1628</v>
      </c>
      <c r="F263" s="1">
        <v>22254</v>
      </c>
      <c r="G263" s="167" t="s">
        <v>2273</v>
      </c>
      <c r="H263" s="167" t="s">
        <v>121</v>
      </c>
      <c r="I263" s="167" t="s">
        <v>11</v>
      </c>
    </row>
    <row r="264" spans="1:9" x14ac:dyDescent="0.25">
      <c r="A264" s="95">
        <v>263</v>
      </c>
      <c r="B264" t="s">
        <v>1326</v>
      </c>
      <c r="C264" t="s">
        <v>1630</v>
      </c>
      <c r="D264" t="s">
        <v>86</v>
      </c>
      <c r="F264" s="1">
        <v>25822</v>
      </c>
      <c r="G264" s="167" t="s">
        <v>2273</v>
      </c>
      <c r="H264" s="167" t="s">
        <v>121</v>
      </c>
      <c r="I264" s="167" t="s">
        <v>11</v>
      </c>
    </row>
    <row r="265" spans="1:9" x14ac:dyDescent="0.25">
      <c r="A265" s="95">
        <v>264</v>
      </c>
      <c r="B265" t="s">
        <v>1294</v>
      </c>
      <c r="C265" t="s">
        <v>756</v>
      </c>
      <c r="D265" t="s">
        <v>1631</v>
      </c>
      <c r="F265" s="1">
        <v>27918</v>
      </c>
      <c r="G265" s="167" t="s">
        <v>2273</v>
      </c>
      <c r="H265" s="167" t="s">
        <v>121</v>
      </c>
      <c r="I265" s="167" t="s">
        <v>11</v>
      </c>
    </row>
    <row r="266" spans="1:9" x14ac:dyDescent="0.25">
      <c r="A266" s="95">
        <v>265</v>
      </c>
      <c r="B266" t="s">
        <v>1294</v>
      </c>
      <c r="C266" t="s">
        <v>1632</v>
      </c>
      <c r="D266" t="s">
        <v>1399</v>
      </c>
      <c r="F266" s="1">
        <v>33591</v>
      </c>
      <c r="G266" s="167" t="s">
        <v>2273</v>
      </c>
      <c r="H266" s="167" t="s">
        <v>121</v>
      </c>
      <c r="I266" s="167" t="s">
        <v>11</v>
      </c>
    </row>
    <row r="267" spans="1:9" x14ac:dyDescent="0.25">
      <c r="A267" s="95">
        <v>266</v>
      </c>
      <c r="B267" t="s">
        <v>1633</v>
      </c>
      <c r="C267" t="s">
        <v>993</v>
      </c>
      <c r="D267" t="s">
        <v>1634</v>
      </c>
      <c r="F267" s="1">
        <v>32498</v>
      </c>
      <c r="G267" s="167" t="s">
        <v>2273</v>
      </c>
      <c r="H267" s="167" t="s">
        <v>121</v>
      </c>
      <c r="I267" s="167" t="s">
        <v>11</v>
      </c>
    </row>
    <row r="268" spans="1:9" x14ac:dyDescent="0.25">
      <c r="A268" s="95">
        <v>267</v>
      </c>
      <c r="B268" t="s">
        <v>1503</v>
      </c>
      <c r="C268" t="s">
        <v>1635</v>
      </c>
      <c r="D268" t="s">
        <v>1360</v>
      </c>
      <c r="F268" s="1">
        <v>14290</v>
      </c>
      <c r="G268" s="167" t="s">
        <v>2273</v>
      </c>
      <c r="H268" s="167" t="s">
        <v>121</v>
      </c>
      <c r="I268" s="167" t="s">
        <v>11</v>
      </c>
    </row>
    <row r="269" spans="1:9" x14ac:dyDescent="0.25">
      <c r="A269" s="95">
        <v>268</v>
      </c>
      <c r="B269" t="s">
        <v>1294</v>
      </c>
      <c r="C269" t="s">
        <v>1530</v>
      </c>
      <c r="D269" t="s">
        <v>1636</v>
      </c>
      <c r="F269" s="1">
        <v>31661</v>
      </c>
      <c r="G269" s="167" t="s">
        <v>2273</v>
      </c>
      <c r="H269" s="167" t="s">
        <v>121</v>
      </c>
      <c r="I269" s="167" t="s">
        <v>11</v>
      </c>
    </row>
    <row r="270" spans="1:9" x14ac:dyDescent="0.25">
      <c r="A270" s="95">
        <v>269</v>
      </c>
      <c r="B270" t="s">
        <v>1294</v>
      </c>
      <c r="C270" t="s">
        <v>57</v>
      </c>
      <c r="D270" t="s">
        <v>1269</v>
      </c>
      <c r="F270" s="1">
        <v>23760</v>
      </c>
      <c r="G270" s="167" t="s">
        <v>2273</v>
      </c>
      <c r="H270" s="167" t="s">
        <v>121</v>
      </c>
      <c r="I270" s="167" t="s">
        <v>11</v>
      </c>
    </row>
    <row r="271" spans="1:9" x14ac:dyDescent="0.25">
      <c r="A271" s="95">
        <v>270</v>
      </c>
      <c r="B271" t="s">
        <v>1292</v>
      </c>
      <c r="C271" t="s">
        <v>1637</v>
      </c>
      <c r="D271" t="s">
        <v>1291</v>
      </c>
      <c r="F271" s="1">
        <v>46138</v>
      </c>
      <c r="G271" s="167" t="s">
        <v>2273</v>
      </c>
      <c r="H271" s="167" t="s">
        <v>121</v>
      </c>
      <c r="I271" s="167" t="s">
        <v>11</v>
      </c>
    </row>
    <row r="272" spans="1:9" x14ac:dyDescent="0.25">
      <c r="A272" s="95">
        <v>271</v>
      </c>
      <c r="B272" t="s">
        <v>1294</v>
      </c>
      <c r="C272" t="s">
        <v>57</v>
      </c>
      <c r="D272" t="s">
        <v>1638</v>
      </c>
      <c r="F272" s="1">
        <v>23659</v>
      </c>
      <c r="G272" s="167" t="s">
        <v>2273</v>
      </c>
      <c r="H272" s="167" t="s">
        <v>121</v>
      </c>
      <c r="I272" s="167" t="s">
        <v>11</v>
      </c>
    </row>
    <row r="273" spans="1:9" x14ac:dyDescent="0.25">
      <c r="A273" s="95">
        <v>272</v>
      </c>
      <c r="B273" t="s">
        <v>1269</v>
      </c>
      <c r="C273" t="s">
        <v>1639</v>
      </c>
      <c r="D273" t="s">
        <v>1275</v>
      </c>
      <c r="F273" s="1">
        <v>28084</v>
      </c>
      <c r="G273" s="167" t="s">
        <v>2273</v>
      </c>
      <c r="H273" s="167" t="s">
        <v>121</v>
      </c>
      <c r="I273" s="167" t="s">
        <v>11</v>
      </c>
    </row>
    <row r="274" spans="1:9" x14ac:dyDescent="0.25">
      <c r="A274" s="95">
        <v>273</v>
      </c>
      <c r="B274" t="s">
        <v>1276</v>
      </c>
      <c r="C274" t="s">
        <v>1384</v>
      </c>
      <c r="D274" t="s">
        <v>52</v>
      </c>
      <c r="F274" s="1">
        <v>28098</v>
      </c>
      <c r="G274" s="167" t="s">
        <v>2273</v>
      </c>
      <c r="H274" s="167" t="s">
        <v>121</v>
      </c>
      <c r="I274" s="167" t="s">
        <v>11</v>
      </c>
    </row>
    <row r="275" spans="1:9" x14ac:dyDescent="0.25">
      <c r="A275" s="95">
        <v>274</v>
      </c>
      <c r="B275" t="s">
        <v>1294</v>
      </c>
      <c r="C275" t="s">
        <v>1632</v>
      </c>
      <c r="D275" t="s">
        <v>1399</v>
      </c>
      <c r="F275" s="1">
        <v>33591</v>
      </c>
      <c r="G275" s="167" t="s">
        <v>2273</v>
      </c>
      <c r="H275" s="167" t="s">
        <v>121</v>
      </c>
      <c r="I275" s="167" t="s">
        <v>11</v>
      </c>
    </row>
    <row r="276" spans="1:9" x14ac:dyDescent="0.25">
      <c r="A276" s="95">
        <v>275</v>
      </c>
      <c r="B276" t="s">
        <v>78</v>
      </c>
      <c r="C276" t="s">
        <v>1640</v>
      </c>
      <c r="D276" t="s">
        <v>1641</v>
      </c>
      <c r="F276" s="1">
        <v>38635</v>
      </c>
      <c r="G276" s="167" t="s">
        <v>2273</v>
      </c>
      <c r="H276" s="167" t="s">
        <v>121</v>
      </c>
      <c r="I276" s="167" t="s">
        <v>11</v>
      </c>
    </row>
    <row r="277" spans="1:9" x14ac:dyDescent="0.25">
      <c r="A277" s="95">
        <v>276</v>
      </c>
      <c r="B277" t="s">
        <v>962</v>
      </c>
      <c r="C277" t="s">
        <v>1642</v>
      </c>
      <c r="D277" t="s">
        <v>41</v>
      </c>
      <c r="F277" s="1">
        <v>21761</v>
      </c>
      <c r="G277" s="167" t="s">
        <v>2273</v>
      </c>
      <c r="H277" s="167" t="s">
        <v>121</v>
      </c>
      <c r="I277" s="167" t="s">
        <v>11</v>
      </c>
    </row>
    <row r="278" spans="1:9" x14ac:dyDescent="0.25">
      <c r="A278" s="95">
        <v>277</v>
      </c>
      <c r="B278" t="s">
        <v>78</v>
      </c>
      <c r="C278" t="s">
        <v>1398</v>
      </c>
      <c r="D278" t="s">
        <v>1294</v>
      </c>
      <c r="F278" s="1">
        <v>27233</v>
      </c>
      <c r="G278" s="167" t="s">
        <v>2273</v>
      </c>
      <c r="H278" s="167" t="s">
        <v>121</v>
      </c>
      <c r="I278" s="167" t="s">
        <v>11</v>
      </c>
    </row>
    <row r="279" spans="1:9" x14ac:dyDescent="0.25">
      <c r="A279" s="95">
        <v>278</v>
      </c>
      <c r="B279" t="s">
        <v>1643</v>
      </c>
      <c r="C279" t="s">
        <v>1255</v>
      </c>
      <c r="D279" t="s">
        <v>1644</v>
      </c>
      <c r="F279" s="1">
        <v>24903</v>
      </c>
      <c r="G279" s="167" t="s">
        <v>2273</v>
      </c>
      <c r="H279" s="167" t="s">
        <v>121</v>
      </c>
      <c r="I279" s="167" t="s">
        <v>11</v>
      </c>
    </row>
    <row r="280" spans="1:9" x14ac:dyDescent="0.25">
      <c r="A280" s="95">
        <v>279</v>
      </c>
      <c r="B280" t="s">
        <v>30</v>
      </c>
      <c r="C280" t="s">
        <v>1645</v>
      </c>
      <c r="D280" t="s">
        <v>108</v>
      </c>
      <c r="F280" s="1">
        <v>27764</v>
      </c>
      <c r="G280" s="167" t="s">
        <v>2273</v>
      </c>
      <c r="H280" s="167" t="s">
        <v>121</v>
      </c>
      <c r="I280" s="167" t="s">
        <v>11</v>
      </c>
    </row>
    <row r="281" spans="1:9" x14ac:dyDescent="0.25">
      <c r="A281" s="95">
        <v>280</v>
      </c>
      <c r="B281" t="s">
        <v>962</v>
      </c>
      <c r="C281" t="s">
        <v>1642</v>
      </c>
      <c r="D281" t="s">
        <v>41</v>
      </c>
      <c r="F281" s="1">
        <v>21761</v>
      </c>
      <c r="G281" s="167" t="s">
        <v>2273</v>
      </c>
      <c r="H281" s="167" t="s">
        <v>121</v>
      </c>
      <c r="I281" s="167" t="s">
        <v>11</v>
      </c>
    </row>
    <row r="282" spans="1:9" x14ac:dyDescent="0.25">
      <c r="A282" s="95">
        <v>281</v>
      </c>
      <c r="B282" t="s">
        <v>1269</v>
      </c>
      <c r="C282" t="s">
        <v>1400</v>
      </c>
      <c r="F282" s="1">
        <v>25451</v>
      </c>
      <c r="G282" s="167" t="s">
        <v>2273</v>
      </c>
      <c r="H282" s="167" t="s">
        <v>121</v>
      </c>
      <c r="I282" s="167" t="s">
        <v>11</v>
      </c>
    </row>
    <row r="283" spans="1:9" x14ac:dyDescent="0.25">
      <c r="A283" s="95">
        <v>282</v>
      </c>
      <c r="B283" t="s">
        <v>1269</v>
      </c>
      <c r="C283" t="s">
        <v>1400</v>
      </c>
      <c r="F283" s="1">
        <v>25451</v>
      </c>
      <c r="G283" s="167" t="s">
        <v>2273</v>
      </c>
      <c r="H283" s="167" t="s">
        <v>121</v>
      </c>
      <c r="I283" s="167" t="s">
        <v>11</v>
      </c>
    </row>
    <row r="284" spans="1:9" x14ac:dyDescent="0.25">
      <c r="A284" s="95">
        <v>283</v>
      </c>
      <c r="B284" t="s">
        <v>1646</v>
      </c>
      <c r="C284" t="s">
        <v>487</v>
      </c>
      <c r="D284" t="s">
        <v>769</v>
      </c>
      <c r="F284" s="1">
        <v>25696</v>
      </c>
      <c r="G284" s="167" t="s">
        <v>2273</v>
      </c>
      <c r="H284" s="167" t="s">
        <v>121</v>
      </c>
      <c r="I284" s="167" t="s">
        <v>11</v>
      </c>
    </row>
    <row r="285" spans="1:9" x14ac:dyDescent="0.25">
      <c r="A285" s="95">
        <v>284</v>
      </c>
      <c r="B285" t="s">
        <v>1592</v>
      </c>
      <c r="C285" t="s">
        <v>138</v>
      </c>
      <c r="D285" t="s">
        <v>1594</v>
      </c>
      <c r="F285" s="1">
        <v>36372</v>
      </c>
      <c r="G285" s="167" t="s">
        <v>2273</v>
      </c>
      <c r="H285" s="167" t="s">
        <v>121</v>
      </c>
      <c r="I285" s="167" t="s">
        <v>11</v>
      </c>
    </row>
    <row r="286" spans="1:9" x14ac:dyDescent="0.25">
      <c r="A286" s="95">
        <v>285</v>
      </c>
      <c r="B286" t="s">
        <v>1592</v>
      </c>
      <c r="C286" t="s">
        <v>1647</v>
      </c>
      <c r="D286" t="s">
        <v>1594</v>
      </c>
      <c r="F286" s="1">
        <v>26590</v>
      </c>
      <c r="G286" s="167" t="s">
        <v>2273</v>
      </c>
      <c r="H286" s="167" t="s">
        <v>121</v>
      </c>
      <c r="I286" s="167" t="s">
        <v>11</v>
      </c>
    </row>
    <row r="287" spans="1:9" x14ac:dyDescent="0.25">
      <c r="A287" s="95">
        <v>286</v>
      </c>
      <c r="B287" t="s">
        <v>1503</v>
      </c>
      <c r="C287" t="s">
        <v>922</v>
      </c>
      <c r="D287" t="s">
        <v>1516</v>
      </c>
      <c r="F287" s="1">
        <v>29204</v>
      </c>
      <c r="G287" s="167" t="s">
        <v>2273</v>
      </c>
      <c r="H287" s="167" t="s">
        <v>121</v>
      </c>
      <c r="I287" s="167" t="s">
        <v>11</v>
      </c>
    </row>
    <row r="288" spans="1:9" x14ac:dyDescent="0.25">
      <c r="A288" s="95">
        <v>287</v>
      </c>
      <c r="B288" t="s">
        <v>1648</v>
      </c>
      <c r="C288" t="s">
        <v>1649</v>
      </c>
      <c r="D288" t="s">
        <v>1650</v>
      </c>
      <c r="F288" s="1">
        <v>32524</v>
      </c>
      <c r="G288" s="167" t="s">
        <v>2273</v>
      </c>
      <c r="H288" s="167" t="s">
        <v>121</v>
      </c>
      <c r="I288" s="167" t="s">
        <v>11</v>
      </c>
    </row>
    <row r="289" spans="1:9" x14ac:dyDescent="0.25">
      <c r="A289" s="95">
        <v>288</v>
      </c>
      <c r="B289" t="s">
        <v>1651</v>
      </c>
      <c r="C289" t="s">
        <v>1652</v>
      </c>
      <c r="D289" t="s">
        <v>1548</v>
      </c>
      <c r="F289" s="1">
        <v>28349</v>
      </c>
      <c r="G289" s="167" t="s">
        <v>2273</v>
      </c>
      <c r="H289" s="167" t="s">
        <v>121</v>
      </c>
      <c r="I289" s="167" t="s">
        <v>11</v>
      </c>
    </row>
    <row r="290" spans="1:9" x14ac:dyDescent="0.25">
      <c r="A290" s="95">
        <v>289</v>
      </c>
      <c r="B290" t="s">
        <v>1503</v>
      </c>
      <c r="C290" t="s">
        <v>1653</v>
      </c>
      <c r="D290" t="s">
        <v>1516</v>
      </c>
      <c r="F290" s="1">
        <v>30292</v>
      </c>
      <c r="G290" s="167" t="s">
        <v>2273</v>
      </c>
      <c r="H290" s="167" t="s">
        <v>121</v>
      </c>
      <c r="I290" s="167" t="s">
        <v>11</v>
      </c>
    </row>
    <row r="291" spans="1:9" x14ac:dyDescent="0.25">
      <c r="A291" s="95">
        <v>290</v>
      </c>
      <c r="B291" t="s">
        <v>1433</v>
      </c>
      <c r="C291" t="s">
        <v>1434</v>
      </c>
      <c r="D291" t="s">
        <v>1435</v>
      </c>
      <c r="F291" s="1">
        <v>32840</v>
      </c>
      <c r="G291" s="167" t="s">
        <v>2273</v>
      </c>
      <c r="H291" s="167" t="s">
        <v>121</v>
      </c>
      <c r="I291" s="167" t="s">
        <v>11</v>
      </c>
    </row>
    <row r="292" spans="1:9" x14ac:dyDescent="0.25">
      <c r="A292" s="95">
        <v>291</v>
      </c>
      <c r="B292" t="s">
        <v>1373</v>
      </c>
      <c r="C292" t="s">
        <v>1654</v>
      </c>
      <c r="D292" t="s">
        <v>1350</v>
      </c>
      <c r="F292" s="1">
        <v>32880</v>
      </c>
      <c r="G292" s="167" t="s">
        <v>2273</v>
      </c>
      <c r="H292" s="167" t="s">
        <v>121</v>
      </c>
      <c r="I292" s="167" t="s">
        <v>11</v>
      </c>
    </row>
    <row r="293" spans="1:9" x14ac:dyDescent="0.25">
      <c r="A293" s="95">
        <v>292</v>
      </c>
      <c r="B293" t="s">
        <v>1326</v>
      </c>
      <c r="C293" t="s">
        <v>1655</v>
      </c>
      <c r="D293" t="s">
        <v>1522</v>
      </c>
      <c r="F293" s="1">
        <v>34910</v>
      </c>
      <c r="G293" s="167" t="s">
        <v>2273</v>
      </c>
      <c r="H293" s="167" t="s">
        <v>121</v>
      </c>
      <c r="I293" s="167" t="s">
        <v>11</v>
      </c>
    </row>
    <row r="294" spans="1:9" x14ac:dyDescent="0.25">
      <c r="A294" s="95">
        <v>293</v>
      </c>
      <c r="B294" t="s">
        <v>1452</v>
      </c>
      <c r="C294" t="s">
        <v>1656</v>
      </c>
      <c r="D294" t="s">
        <v>1548</v>
      </c>
      <c r="F294" s="1">
        <v>29803</v>
      </c>
      <c r="G294" s="167" t="s">
        <v>2273</v>
      </c>
      <c r="H294" s="167" t="s">
        <v>121</v>
      </c>
      <c r="I294" s="167" t="s">
        <v>11</v>
      </c>
    </row>
    <row r="295" spans="1:9" x14ac:dyDescent="0.25">
      <c r="A295" s="95">
        <v>294</v>
      </c>
      <c r="B295" t="s">
        <v>1452</v>
      </c>
      <c r="C295" t="s">
        <v>1657</v>
      </c>
      <c r="D295" t="s">
        <v>1288</v>
      </c>
      <c r="F295" s="1">
        <v>23788</v>
      </c>
      <c r="G295" s="167" t="s">
        <v>2273</v>
      </c>
      <c r="H295" s="167" t="s">
        <v>121</v>
      </c>
      <c r="I295" s="167" t="s">
        <v>11</v>
      </c>
    </row>
    <row r="296" spans="1:9" x14ac:dyDescent="0.25">
      <c r="A296" s="95">
        <v>295</v>
      </c>
      <c r="B296" t="s">
        <v>1421</v>
      </c>
      <c r="C296" t="s">
        <v>1287</v>
      </c>
      <c r="D296" t="s">
        <v>1422</v>
      </c>
      <c r="F296" s="1">
        <v>26587</v>
      </c>
      <c r="G296" s="167" t="s">
        <v>2273</v>
      </c>
      <c r="H296" s="167" t="s">
        <v>121</v>
      </c>
      <c r="I296" s="167" t="s">
        <v>11</v>
      </c>
    </row>
    <row r="297" spans="1:9" x14ac:dyDescent="0.25">
      <c r="A297" s="95">
        <v>296</v>
      </c>
      <c r="B297" t="s">
        <v>1658</v>
      </c>
      <c r="C297" t="s">
        <v>146</v>
      </c>
      <c r="D297" t="s">
        <v>94</v>
      </c>
      <c r="F297" s="1">
        <v>21838</v>
      </c>
      <c r="G297" s="167" t="s">
        <v>2273</v>
      </c>
      <c r="H297" s="167" t="s">
        <v>121</v>
      </c>
      <c r="I297" s="167" t="s">
        <v>11</v>
      </c>
    </row>
    <row r="298" spans="1:9" x14ac:dyDescent="0.25">
      <c r="A298" s="95">
        <v>297</v>
      </c>
      <c r="B298" t="s">
        <v>1288</v>
      </c>
      <c r="C298" t="s">
        <v>1659</v>
      </c>
      <c r="D298" t="s">
        <v>1279</v>
      </c>
      <c r="F298" s="1">
        <v>22575</v>
      </c>
      <c r="G298" s="167" t="s">
        <v>2273</v>
      </c>
      <c r="H298" s="167" t="s">
        <v>121</v>
      </c>
      <c r="I298" s="167" t="s">
        <v>11</v>
      </c>
    </row>
    <row r="299" spans="1:9" x14ac:dyDescent="0.25">
      <c r="A299" s="95">
        <v>298</v>
      </c>
      <c r="B299" t="s">
        <v>1278</v>
      </c>
      <c r="C299" t="s">
        <v>57</v>
      </c>
      <c r="D299" t="s">
        <v>1399</v>
      </c>
      <c r="F299" s="1">
        <v>27311</v>
      </c>
      <c r="G299" s="167" t="s">
        <v>2273</v>
      </c>
      <c r="H299" s="167" t="s">
        <v>121</v>
      </c>
      <c r="I299" s="167" t="s">
        <v>11</v>
      </c>
    </row>
    <row r="300" spans="1:9" x14ac:dyDescent="0.25">
      <c r="A300" s="95">
        <v>299</v>
      </c>
      <c r="B300" t="s">
        <v>1292</v>
      </c>
      <c r="C300" t="s">
        <v>1660</v>
      </c>
      <c r="D300" t="s">
        <v>221</v>
      </c>
      <c r="F300" s="1">
        <v>13998</v>
      </c>
      <c r="G300" s="167" t="s">
        <v>2273</v>
      </c>
      <c r="H300" s="167" t="s">
        <v>121</v>
      </c>
      <c r="I300" s="167" t="s">
        <v>11</v>
      </c>
    </row>
    <row r="301" spans="1:9" x14ac:dyDescent="0.25">
      <c r="A301" s="95">
        <v>300</v>
      </c>
      <c r="B301" t="s">
        <v>1661</v>
      </c>
      <c r="C301" t="s">
        <v>1662</v>
      </c>
      <c r="D301" t="s">
        <v>1278</v>
      </c>
      <c r="F301" s="1">
        <v>30536</v>
      </c>
      <c r="G301" s="167" t="s">
        <v>2273</v>
      </c>
      <c r="H301" s="167" t="s">
        <v>121</v>
      </c>
      <c r="I301" s="167" t="s">
        <v>11</v>
      </c>
    </row>
    <row r="302" spans="1:9" x14ac:dyDescent="0.25">
      <c r="A302" s="95">
        <v>301</v>
      </c>
      <c r="B302" t="s">
        <v>1276</v>
      </c>
      <c r="C302" t="s">
        <v>1545</v>
      </c>
      <c r="D302" t="s">
        <v>1599</v>
      </c>
      <c r="F302" s="1">
        <v>29495</v>
      </c>
      <c r="G302" s="167" t="s">
        <v>2273</v>
      </c>
      <c r="H302" s="167" t="s">
        <v>121</v>
      </c>
      <c r="I302" s="167" t="s">
        <v>11</v>
      </c>
    </row>
    <row r="303" spans="1:9" x14ac:dyDescent="0.25">
      <c r="A303" s="95">
        <v>302</v>
      </c>
      <c r="B303" t="s">
        <v>1663</v>
      </c>
      <c r="C303" t="s">
        <v>1664</v>
      </c>
      <c r="D303" t="s">
        <v>1665</v>
      </c>
      <c r="F303" s="1">
        <v>32075</v>
      </c>
      <c r="G303" s="167" t="s">
        <v>2273</v>
      </c>
      <c r="H303" s="167" t="s">
        <v>121</v>
      </c>
      <c r="I303" s="167" t="s">
        <v>11</v>
      </c>
    </row>
    <row r="304" spans="1:9" x14ac:dyDescent="0.25">
      <c r="A304" s="95">
        <v>303</v>
      </c>
      <c r="B304" t="s">
        <v>1406</v>
      </c>
      <c r="C304" t="s">
        <v>1666</v>
      </c>
      <c r="D304" t="s">
        <v>1536</v>
      </c>
      <c r="F304" s="1">
        <v>19695</v>
      </c>
      <c r="G304" s="167" t="s">
        <v>2273</v>
      </c>
      <c r="H304" s="167" t="s">
        <v>121</v>
      </c>
      <c r="I304" s="167" t="s">
        <v>11</v>
      </c>
    </row>
    <row r="305" spans="1:9" x14ac:dyDescent="0.25">
      <c r="A305" s="95">
        <v>304</v>
      </c>
      <c r="B305" t="s">
        <v>38</v>
      </c>
      <c r="C305" t="s">
        <v>1667</v>
      </c>
      <c r="F305" s="1">
        <v>41308</v>
      </c>
      <c r="G305" s="167" t="s">
        <v>2273</v>
      </c>
      <c r="H305" s="167" t="s">
        <v>121</v>
      </c>
      <c r="I305" s="167" t="s">
        <v>11</v>
      </c>
    </row>
    <row r="306" spans="1:9" x14ac:dyDescent="0.25">
      <c r="A306" s="95">
        <v>305</v>
      </c>
      <c r="B306" t="s">
        <v>1269</v>
      </c>
      <c r="C306" t="s">
        <v>1668</v>
      </c>
      <c r="D306" t="s">
        <v>1273</v>
      </c>
      <c r="F306" s="1">
        <v>31818</v>
      </c>
      <c r="G306" s="167" t="s">
        <v>2273</v>
      </c>
      <c r="H306" s="167" t="s">
        <v>121</v>
      </c>
      <c r="I306" s="167" t="s">
        <v>11</v>
      </c>
    </row>
    <row r="307" spans="1:9" x14ac:dyDescent="0.25">
      <c r="A307" s="95">
        <v>306</v>
      </c>
      <c r="B307" t="s">
        <v>41</v>
      </c>
      <c r="C307" t="s">
        <v>1669</v>
      </c>
      <c r="D307" t="s">
        <v>1269</v>
      </c>
      <c r="F307" s="1">
        <v>32494</v>
      </c>
      <c r="G307" s="167" t="s">
        <v>2273</v>
      </c>
      <c r="H307" s="167" t="s">
        <v>121</v>
      </c>
      <c r="I307" s="167" t="s">
        <v>11</v>
      </c>
    </row>
    <row r="308" spans="1:9" x14ac:dyDescent="0.25">
      <c r="A308" s="95">
        <v>307</v>
      </c>
      <c r="B308" t="s">
        <v>941</v>
      </c>
      <c r="C308" t="s">
        <v>1670</v>
      </c>
      <c r="D308" t="s">
        <v>1671</v>
      </c>
      <c r="F308" s="1">
        <v>24837</v>
      </c>
      <c r="G308" s="167" t="s">
        <v>2273</v>
      </c>
      <c r="H308" s="167" t="s">
        <v>121</v>
      </c>
      <c r="I308" s="167" t="s">
        <v>11</v>
      </c>
    </row>
    <row r="309" spans="1:9" x14ac:dyDescent="0.25">
      <c r="A309" s="95">
        <v>308</v>
      </c>
      <c r="B309" t="s">
        <v>1339</v>
      </c>
      <c r="C309" t="s">
        <v>1425</v>
      </c>
      <c r="D309" t="s">
        <v>1672</v>
      </c>
      <c r="E309" t="s">
        <v>22</v>
      </c>
      <c r="F309" s="1">
        <v>32269</v>
      </c>
      <c r="G309" s="167" t="s">
        <v>2273</v>
      </c>
      <c r="H309" s="167" t="s">
        <v>121</v>
      </c>
      <c r="I309" s="167" t="s">
        <v>11</v>
      </c>
    </row>
    <row r="310" spans="1:9" x14ac:dyDescent="0.25">
      <c r="A310" s="95">
        <v>309</v>
      </c>
      <c r="B310" t="s">
        <v>1673</v>
      </c>
      <c r="C310" t="s">
        <v>1469</v>
      </c>
      <c r="D310" t="s">
        <v>1395</v>
      </c>
      <c r="F310" s="1">
        <v>23295</v>
      </c>
      <c r="G310" s="167" t="s">
        <v>2273</v>
      </c>
      <c r="H310" s="167" t="s">
        <v>121</v>
      </c>
      <c r="I310" s="167" t="s">
        <v>11</v>
      </c>
    </row>
    <row r="311" spans="1:9" x14ac:dyDescent="0.25">
      <c r="A311" s="95">
        <v>310</v>
      </c>
      <c r="B311" t="s">
        <v>1433</v>
      </c>
      <c r="C311" t="s">
        <v>1674</v>
      </c>
      <c r="D311" t="s">
        <v>112</v>
      </c>
      <c r="F311" s="1">
        <v>23573</v>
      </c>
      <c r="G311" s="167" t="s">
        <v>2273</v>
      </c>
      <c r="H311" s="167" t="s">
        <v>121</v>
      </c>
      <c r="I311" s="167" t="s">
        <v>11</v>
      </c>
    </row>
    <row r="312" spans="1:9" x14ac:dyDescent="0.25">
      <c r="A312" s="95">
        <v>311</v>
      </c>
      <c r="B312" t="s">
        <v>1294</v>
      </c>
      <c r="C312" t="s">
        <v>1675</v>
      </c>
      <c r="D312" t="s">
        <v>1422</v>
      </c>
      <c r="F312" s="1">
        <v>31717</v>
      </c>
      <c r="G312" s="167" t="s">
        <v>2273</v>
      </c>
      <c r="H312" s="167" t="s">
        <v>121</v>
      </c>
      <c r="I312" s="167" t="s">
        <v>11</v>
      </c>
    </row>
    <row r="313" spans="1:9" x14ac:dyDescent="0.25">
      <c r="A313" s="95">
        <v>312</v>
      </c>
      <c r="B313" t="s">
        <v>1433</v>
      </c>
      <c r="C313" t="s">
        <v>1676</v>
      </c>
      <c r="D313" t="s">
        <v>112</v>
      </c>
      <c r="F313" s="1">
        <v>29985</v>
      </c>
      <c r="G313" s="167" t="s">
        <v>2273</v>
      </c>
      <c r="H313" s="167" t="s">
        <v>121</v>
      </c>
      <c r="I313" s="167" t="s">
        <v>11</v>
      </c>
    </row>
    <row r="314" spans="1:9" x14ac:dyDescent="0.25">
      <c r="A314" s="95">
        <v>313</v>
      </c>
      <c r="B314" t="s">
        <v>536</v>
      </c>
      <c r="C314" t="s">
        <v>1677</v>
      </c>
      <c r="D314" t="s">
        <v>1479</v>
      </c>
      <c r="F314" s="1">
        <v>28890</v>
      </c>
      <c r="G314" s="167" t="s">
        <v>2273</v>
      </c>
      <c r="H314" s="167" t="s">
        <v>121</v>
      </c>
      <c r="I314" s="167" t="s">
        <v>11</v>
      </c>
    </row>
    <row r="315" spans="1:9" x14ac:dyDescent="0.25">
      <c r="A315" s="95">
        <v>314</v>
      </c>
      <c r="B315" t="s">
        <v>1433</v>
      </c>
      <c r="C315" t="s">
        <v>1676</v>
      </c>
      <c r="D315" t="s">
        <v>112</v>
      </c>
      <c r="F315" s="1">
        <v>29985</v>
      </c>
      <c r="G315" s="167" t="s">
        <v>2273</v>
      </c>
      <c r="H315" s="167" t="s">
        <v>121</v>
      </c>
      <c r="I315" s="167" t="s">
        <v>11</v>
      </c>
    </row>
    <row r="316" spans="1:9" x14ac:dyDescent="0.25">
      <c r="A316" s="95">
        <v>315</v>
      </c>
      <c r="B316" t="s">
        <v>1422</v>
      </c>
      <c r="C316" t="s">
        <v>1678</v>
      </c>
      <c r="D316" t="s">
        <v>1473</v>
      </c>
      <c r="F316" s="1">
        <v>23881</v>
      </c>
      <c r="G316" s="167" t="s">
        <v>2273</v>
      </c>
      <c r="H316" s="167" t="s">
        <v>121</v>
      </c>
      <c r="I316" s="167" t="s">
        <v>11</v>
      </c>
    </row>
    <row r="317" spans="1:9" x14ac:dyDescent="0.25">
      <c r="A317" s="95">
        <v>316</v>
      </c>
      <c r="B317" t="s">
        <v>1326</v>
      </c>
      <c r="C317" t="s">
        <v>855</v>
      </c>
      <c r="D317" t="s">
        <v>1679</v>
      </c>
      <c r="F317" s="1">
        <v>15726</v>
      </c>
      <c r="G317" s="167" t="s">
        <v>2273</v>
      </c>
      <c r="H317" s="167" t="s">
        <v>121</v>
      </c>
      <c r="I317" s="167" t="s">
        <v>11</v>
      </c>
    </row>
    <row r="318" spans="1:9" x14ac:dyDescent="0.25">
      <c r="A318" s="95">
        <v>317</v>
      </c>
      <c r="B318" t="s">
        <v>356</v>
      </c>
      <c r="C318" t="s">
        <v>1494</v>
      </c>
      <c r="D318" t="s">
        <v>52</v>
      </c>
      <c r="F318" s="1">
        <v>21337</v>
      </c>
      <c r="G318" s="167" t="s">
        <v>2273</v>
      </c>
      <c r="H318" s="167" t="s">
        <v>121</v>
      </c>
      <c r="I318" s="167" t="s">
        <v>11</v>
      </c>
    </row>
    <row r="319" spans="1:9" x14ac:dyDescent="0.25">
      <c r="A319" s="95">
        <v>318</v>
      </c>
      <c r="B319" t="s">
        <v>1294</v>
      </c>
      <c r="C319" t="s">
        <v>116</v>
      </c>
      <c r="D319" t="s">
        <v>426</v>
      </c>
      <c r="F319" s="1">
        <v>20273</v>
      </c>
      <c r="G319" s="167" t="s">
        <v>2273</v>
      </c>
      <c r="H319" s="167" t="s">
        <v>121</v>
      </c>
      <c r="I319" s="167" t="s">
        <v>11</v>
      </c>
    </row>
    <row r="320" spans="1:9" x14ac:dyDescent="0.25">
      <c r="A320" s="95">
        <v>319</v>
      </c>
      <c r="B320" t="s">
        <v>1279</v>
      </c>
      <c r="C320" t="s">
        <v>1680</v>
      </c>
      <c r="D320" t="s">
        <v>1548</v>
      </c>
      <c r="F320" s="1">
        <v>16013</v>
      </c>
      <c r="G320" s="167" t="s">
        <v>2273</v>
      </c>
      <c r="H320" s="167" t="s">
        <v>121</v>
      </c>
      <c r="I320" s="167" t="s">
        <v>11</v>
      </c>
    </row>
    <row r="321" spans="1:9" x14ac:dyDescent="0.25">
      <c r="A321" s="95">
        <v>320</v>
      </c>
      <c r="B321" t="s">
        <v>1326</v>
      </c>
      <c r="C321" t="s">
        <v>1681</v>
      </c>
      <c r="D321" t="s">
        <v>1682</v>
      </c>
      <c r="F321" s="1">
        <v>29849</v>
      </c>
      <c r="G321" s="167" t="s">
        <v>2273</v>
      </c>
      <c r="H321" s="167" t="s">
        <v>121</v>
      </c>
      <c r="I321" s="167" t="s">
        <v>11</v>
      </c>
    </row>
    <row r="322" spans="1:9" x14ac:dyDescent="0.25">
      <c r="A322" s="95">
        <v>321</v>
      </c>
      <c r="B322" t="s">
        <v>1683</v>
      </c>
      <c r="C322" t="s">
        <v>1684</v>
      </c>
      <c r="D322" t="s">
        <v>982</v>
      </c>
      <c r="F322" s="1">
        <v>24394</v>
      </c>
      <c r="G322" s="167" t="s">
        <v>2273</v>
      </c>
      <c r="H322" s="167" t="s">
        <v>121</v>
      </c>
      <c r="I322" s="167" t="s">
        <v>11</v>
      </c>
    </row>
    <row r="323" spans="1:9" x14ac:dyDescent="0.25">
      <c r="A323" s="95">
        <v>322</v>
      </c>
      <c r="B323" t="s">
        <v>1685</v>
      </c>
      <c r="C323" t="s">
        <v>1686</v>
      </c>
      <c r="D323" t="s">
        <v>125</v>
      </c>
      <c r="F323" s="1">
        <v>24949</v>
      </c>
      <c r="G323" s="167" t="s">
        <v>2273</v>
      </c>
      <c r="H323" s="167" t="s">
        <v>121</v>
      </c>
      <c r="I323" s="167" t="s">
        <v>11</v>
      </c>
    </row>
    <row r="324" spans="1:9" x14ac:dyDescent="0.25">
      <c r="A324" s="95">
        <v>323</v>
      </c>
      <c r="B324" t="s">
        <v>1651</v>
      </c>
      <c r="C324" t="s">
        <v>1652</v>
      </c>
      <c r="D324" t="s">
        <v>1548</v>
      </c>
      <c r="F324" s="1">
        <v>28349</v>
      </c>
      <c r="G324" s="167" t="s">
        <v>2273</v>
      </c>
      <c r="H324" s="167" t="s">
        <v>121</v>
      </c>
      <c r="I324" s="167" t="s">
        <v>11</v>
      </c>
    </row>
    <row r="325" spans="1:9" x14ac:dyDescent="0.25">
      <c r="A325" s="95">
        <v>324</v>
      </c>
      <c r="B325" t="s">
        <v>1292</v>
      </c>
      <c r="C325" t="s">
        <v>1687</v>
      </c>
      <c r="D325" t="s">
        <v>221</v>
      </c>
      <c r="F325" s="1">
        <v>13998</v>
      </c>
      <c r="G325" s="167" t="s">
        <v>2273</v>
      </c>
      <c r="H325" s="167" t="s">
        <v>121</v>
      </c>
      <c r="I325" s="167" t="s">
        <v>11</v>
      </c>
    </row>
    <row r="326" spans="1:9" x14ac:dyDescent="0.25">
      <c r="A326" s="95">
        <v>325</v>
      </c>
      <c r="B326" t="s">
        <v>1688</v>
      </c>
      <c r="C326" t="s">
        <v>1689</v>
      </c>
      <c r="D326" t="s">
        <v>1278</v>
      </c>
      <c r="F326" s="1">
        <v>20812</v>
      </c>
      <c r="G326" s="167" t="s">
        <v>2273</v>
      </c>
      <c r="H326" s="167" t="s">
        <v>121</v>
      </c>
      <c r="I326" s="167" t="s">
        <v>11</v>
      </c>
    </row>
    <row r="327" spans="1:9" x14ac:dyDescent="0.25">
      <c r="A327" s="95">
        <v>326</v>
      </c>
      <c r="B327" t="s">
        <v>1690</v>
      </c>
      <c r="C327" t="s">
        <v>1691</v>
      </c>
      <c r="D327" t="s">
        <v>839</v>
      </c>
      <c r="F327" s="1">
        <v>16754</v>
      </c>
      <c r="G327" s="167" t="s">
        <v>2275</v>
      </c>
      <c r="H327" s="167" t="s">
        <v>121</v>
      </c>
      <c r="I327" s="167" t="s">
        <v>11</v>
      </c>
    </row>
    <row r="328" spans="1:9" x14ac:dyDescent="0.25">
      <c r="A328" s="95">
        <v>327</v>
      </c>
      <c r="B328" t="s">
        <v>59</v>
      </c>
      <c r="C328" t="s">
        <v>1692</v>
      </c>
      <c r="D328" t="s">
        <v>1693</v>
      </c>
      <c r="F328" s="1">
        <v>32562</v>
      </c>
      <c r="G328" s="167" t="s">
        <v>2275</v>
      </c>
      <c r="H328" s="167" t="s">
        <v>121</v>
      </c>
      <c r="I328" s="167" t="s">
        <v>11</v>
      </c>
    </row>
    <row r="329" spans="1:9" x14ac:dyDescent="0.25">
      <c r="A329" s="95">
        <v>328</v>
      </c>
      <c r="B329" t="s">
        <v>1693</v>
      </c>
      <c r="C329" t="s">
        <v>511</v>
      </c>
      <c r="D329" t="s">
        <v>122</v>
      </c>
      <c r="F329" s="1">
        <v>30874</v>
      </c>
      <c r="G329" s="167" t="s">
        <v>2275</v>
      </c>
      <c r="H329" s="167" t="s">
        <v>121</v>
      </c>
      <c r="I329" s="167" t="s">
        <v>11</v>
      </c>
    </row>
    <row r="330" spans="1:9" x14ac:dyDescent="0.25">
      <c r="A330" s="95">
        <v>329</v>
      </c>
      <c r="B330" t="s">
        <v>1503</v>
      </c>
      <c r="C330" t="s">
        <v>1694</v>
      </c>
      <c r="D330" t="s">
        <v>1294</v>
      </c>
      <c r="F330" s="1">
        <v>23704</v>
      </c>
      <c r="G330" s="167" t="s">
        <v>2273</v>
      </c>
      <c r="H330" s="167" t="s">
        <v>121</v>
      </c>
      <c r="I330" s="167" t="s">
        <v>11</v>
      </c>
    </row>
    <row r="331" spans="1:9" x14ac:dyDescent="0.25">
      <c r="A331" s="95">
        <v>330</v>
      </c>
      <c r="B331" t="s">
        <v>176</v>
      </c>
      <c r="C331" t="s">
        <v>1695</v>
      </c>
      <c r="D331" t="s">
        <v>1696</v>
      </c>
      <c r="F331" s="1">
        <v>28192</v>
      </c>
      <c r="G331" s="167" t="s">
        <v>2275</v>
      </c>
      <c r="H331" s="167" t="s">
        <v>121</v>
      </c>
      <c r="I331" s="167" t="s">
        <v>11</v>
      </c>
    </row>
    <row r="332" spans="1:9" x14ac:dyDescent="0.25">
      <c r="A332" s="95">
        <v>331</v>
      </c>
      <c r="B332" t="s">
        <v>621</v>
      </c>
      <c r="C332" t="s">
        <v>550</v>
      </c>
      <c r="D332" t="s">
        <v>1697</v>
      </c>
      <c r="F332" s="1">
        <v>27462</v>
      </c>
      <c r="G332" s="167" t="s">
        <v>2272</v>
      </c>
      <c r="H332" s="167" t="s">
        <v>121</v>
      </c>
      <c r="I332" s="167" t="s">
        <v>11</v>
      </c>
    </row>
    <row r="333" spans="1:9" x14ac:dyDescent="0.25">
      <c r="A333" s="95">
        <v>332</v>
      </c>
      <c r="B333" t="s">
        <v>1698</v>
      </c>
      <c r="C333" t="s">
        <v>1699</v>
      </c>
      <c r="D333" t="s">
        <v>1700</v>
      </c>
      <c r="F333" s="1">
        <v>32282</v>
      </c>
      <c r="G333" s="167" t="s">
        <v>2275</v>
      </c>
      <c r="H333" s="167" t="s">
        <v>121</v>
      </c>
      <c r="I333" s="167" t="s">
        <v>11</v>
      </c>
    </row>
    <row r="334" spans="1:9" x14ac:dyDescent="0.25">
      <c r="A334" s="95">
        <v>333</v>
      </c>
      <c r="B334" t="s">
        <v>1701</v>
      </c>
      <c r="C334" t="s">
        <v>1702</v>
      </c>
      <c r="D334" t="s">
        <v>1703</v>
      </c>
      <c r="F334" s="1">
        <v>21532</v>
      </c>
      <c r="G334" s="167" t="s">
        <v>2272</v>
      </c>
      <c r="H334" s="167" t="s">
        <v>121</v>
      </c>
      <c r="I334" s="167" t="s">
        <v>11</v>
      </c>
    </row>
    <row r="335" spans="1:9" x14ac:dyDescent="0.25">
      <c r="A335" s="95">
        <v>334</v>
      </c>
      <c r="B335" t="s">
        <v>1704</v>
      </c>
      <c r="C335" t="s">
        <v>148</v>
      </c>
      <c r="D335" t="s">
        <v>1705</v>
      </c>
      <c r="F335" s="1">
        <v>23749</v>
      </c>
      <c r="G335" s="167" t="s">
        <v>2275</v>
      </c>
      <c r="H335" s="167" t="s">
        <v>121</v>
      </c>
      <c r="I335" s="167" t="s">
        <v>11</v>
      </c>
    </row>
    <row r="336" spans="1:9" x14ac:dyDescent="0.25">
      <c r="A336" s="95">
        <v>335</v>
      </c>
      <c r="B336" t="s">
        <v>1417</v>
      </c>
      <c r="C336" t="s">
        <v>475</v>
      </c>
      <c r="D336" t="s">
        <v>1706</v>
      </c>
      <c r="F336" s="1">
        <v>37073</v>
      </c>
      <c r="G336" s="167" t="s">
        <v>2272</v>
      </c>
      <c r="H336" s="167" t="s">
        <v>121</v>
      </c>
      <c r="I336" s="167" t="s">
        <v>11</v>
      </c>
    </row>
    <row r="337" spans="1:9" x14ac:dyDescent="0.25">
      <c r="A337" s="95">
        <v>336</v>
      </c>
      <c r="B337" t="s">
        <v>1707</v>
      </c>
      <c r="C337" t="s">
        <v>659</v>
      </c>
      <c r="D337" t="s">
        <v>1708</v>
      </c>
      <c r="F337" s="1">
        <v>21509</v>
      </c>
      <c r="G337" s="167" t="s">
        <v>2272</v>
      </c>
      <c r="H337" s="167" t="s">
        <v>121</v>
      </c>
      <c r="I337" s="167" t="s">
        <v>11</v>
      </c>
    </row>
    <row r="338" spans="1:9" x14ac:dyDescent="0.25">
      <c r="A338" s="95">
        <v>337</v>
      </c>
      <c r="B338" t="s">
        <v>1690</v>
      </c>
      <c r="C338" t="s">
        <v>83</v>
      </c>
      <c r="D338" t="s">
        <v>1709</v>
      </c>
      <c r="E338" t="s">
        <v>22</v>
      </c>
      <c r="F338" s="1">
        <v>27782</v>
      </c>
      <c r="G338" s="167" t="s">
        <v>2275</v>
      </c>
      <c r="H338" s="167" t="s">
        <v>121</v>
      </c>
      <c r="I338" s="167" t="s">
        <v>11</v>
      </c>
    </row>
    <row r="339" spans="1:9" x14ac:dyDescent="0.25">
      <c r="A339" s="95">
        <v>338</v>
      </c>
      <c r="B339" t="s">
        <v>1710</v>
      </c>
      <c r="C339" t="s">
        <v>606</v>
      </c>
      <c r="D339" t="s">
        <v>1711</v>
      </c>
      <c r="F339" s="1">
        <v>27199</v>
      </c>
      <c r="G339" s="167" t="s">
        <v>2272</v>
      </c>
      <c r="H339" s="167" t="s">
        <v>121</v>
      </c>
      <c r="I339" s="167" t="s">
        <v>11</v>
      </c>
    </row>
    <row r="340" spans="1:9" x14ac:dyDescent="0.25">
      <c r="A340" s="95">
        <v>339</v>
      </c>
      <c r="B340" t="s">
        <v>1712</v>
      </c>
      <c r="C340" t="s">
        <v>1713</v>
      </c>
      <c r="D340" t="s">
        <v>1714</v>
      </c>
      <c r="F340" s="1">
        <v>35767</v>
      </c>
      <c r="G340" s="167" t="s">
        <v>2272</v>
      </c>
      <c r="H340" s="167" t="s">
        <v>121</v>
      </c>
      <c r="I340" s="167" t="s">
        <v>11</v>
      </c>
    </row>
    <row r="341" spans="1:9" x14ac:dyDescent="0.25">
      <c r="A341" s="95">
        <v>340</v>
      </c>
      <c r="B341" t="s">
        <v>1715</v>
      </c>
      <c r="C341" t="s">
        <v>57</v>
      </c>
      <c r="F341" s="1">
        <v>25880</v>
      </c>
      <c r="G341" s="167" t="s">
        <v>2272</v>
      </c>
      <c r="H341" s="167" t="s">
        <v>121</v>
      </c>
      <c r="I341" s="167" t="s">
        <v>11</v>
      </c>
    </row>
    <row r="342" spans="1:9" x14ac:dyDescent="0.25">
      <c r="A342" s="95">
        <v>341</v>
      </c>
      <c r="B342" t="s">
        <v>1716</v>
      </c>
      <c r="C342" t="s">
        <v>1717</v>
      </c>
      <c r="D342" t="s">
        <v>1718</v>
      </c>
      <c r="F342" s="1">
        <v>32801</v>
      </c>
      <c r="G342" s="167" t="s">
        <v>2275</v>
      </c>
      <c r="H342" s="167" t="s">
        <v>121</v>
      </c>
      <c r="I342" s="167" t="s">
        <v>11</v>
      </c>
    </row>
    <row r="343" spans="1:9" x14ac:dyDescent="0.25">
      <c r="A343" s="95">
        <v>342</v>
      </c>
      <c r="B343" t="s">
        <v>1719</v>
      </c>
      <c r="C343" t="s">
        <v>1720</v>
      </c>
      <c r="D343" t="s">
        <v>1721</v>
      </c>
      <c r="F343" s="1">
        <v>25555</v>
      </c>
      <c r="G343" s="167" t="s">
        <v>2275</v>
      </c>
      <c r="H343" s="167" t="s">
        <v>121</v>
      </c>
      <c r="I343" s="167" t="s">
        <v>11</v>
      </c>
    </row>
    <row r="344" spans="1:9" x14ac:dyDescent="0.25">
      <c r="A344" s="95">
        <v>343</v>
      </c>
      <c r="B344" t="s">
        <v>601</v>
      </c>
      <c r="C344" t="s">
        <v>1722</v>
      </c>
      <c r="D344" t="s">
        <v>1723</v>
      </c>
      <c r="F344" s="1">
        <v>36910</v>
      </c>
      <c r="G344" s="167" t="s">
        <v>2272</v>
      </c>
      <c r="H344" s="167" t="s">
        <v>121</v>
      </c>
      <c r="I344" s="167" t="s">
        <v>11</v>
      </c>
    </row>
    <row r="345" spans="1:9" x14ac:dyDescent="0.25">
      <c r="A345" s="95">
        <v>344</v>
      </c>
      <c r="B345" t="s">
        <v>1724</v>
      </c>
      <c r="C345" t="s">
        <v>1361</v>
      </c>
      <c r="F345" s="1">
        <v>33163</v>
      </c>
      <c r="G345" s="167" t="s">
        <v>2275</v>
      </c>
      <c r="H345" s="167" t="s">
        <v>121</v>
      </c>
      <c r="I345" s="167" t="s">
        <v>11</v>
      </c>
    </row>
    <row r="346" spans="1:9" x14ac:dyDescent="0.25">
      <c r="A346" s="95">
        <v>345</v>
      </c>
      <c r="B346" t="s">
        <v>601</v>
      </c>
      <c r="C346" t="s">
        <v>1725</v>
      </c>
      <c r="D346" t="s">
        <v>1726</v>
      </c>
      <c r="F346" s="1">
        <v>32957</v>
      </c>
      <c r="G346" s="167" t="s">
        <v>2272</v>
      </c>
      <c r="H346" s="167" t="s">
        <v>121</v>
      </c>
      <c r="I346" s="167" t="s">
        <v>11</v>
      </c>
    </row>
    <row r="347" spans="1:9" x14ac:dyDescent="0.25">
      <c r="A347" s="95">
        <v>346</v>
      </c>
      <c r="B347" t="s">
        <v>1727</v>
      </c>
      <c r="C347" t="s">
        <v>465</v>
      </c>
      <c r="D347" t="s">
        <v>1728</v>
      </c>
      <c r="F347" s="1">
        <v>21857</v>
      </c>
      <c r="G347" s="167" t="s">
        <v>2272</v>
      </c>
      <c r="H347" s="167" t="s">
        <v>121</v>
      </c>
      <c r="I347" s="167" t="s">
        <v>11</v>
      </c>
    </row>
    <row r="348" spans="1:9" x14ac:dyDescent="0.25">
      <c r="A348" s="95">
        <v>347</v>
      </c>
      <c r="B348" t="s">
        <v>1729</v>
      </c>
      <c r="C348" t="s">
        <v>543</v>
      </c>
      <c r="D348" t="s">
        <v>1269</v>
      </c>
      <c r="F348" s="1">
        <v>29841</v>
      </c>
      <c r="G348" s="167" t="s">
        <v>2272</v>
      </c>
      <c r="H348" s="167" t="s">
        <v>121</v>
      </c>
      <c r="I348" s="167" t="s">
        <v>11</v>
      </c>
    </row>
    <row r="349" spans="1:9" x14ac:dyDescent="0.25">
      <c r="A349" s="95">
        <v>348</v>
      </c>
      <c r="B349" t="s">
        <v>1275</v>
      </c>
      <c r="C349" t="s">
        <v>1730</v>
      </c>
      <c r="D349" t="s">
        <v>109</v>
      </c>
      <c r="F349" s="1">
        <v>25722</v>
      </c>
      <c r="G349" s="167" t="s">
        <v>2272</v>
      </c>
      <c r="H349" s="167" t="s">
        <v>121</v>
      </c>
      <c r="I349" s="167" t="s">
        <v>11</v>
      </c>
    </row>
    <row r="350" spans="1:9" x14ac:dyDescent="0.25">
      <c r="A350" s="95">
        <v>349</v>
      </c>
      <c r="B350" t="s">
        <v>1731</v>
      </c>
      <c r="C350" t="s">
        <v>1732</v>
      </c>
      <c r="D350" t="s">
        <v>1733</v>
      </c>
      <c r="F350" s="1">
        <v>27798</v>
      </c>
      <c r="G350" s="167" t="s">
        <v>2272</v>
      </c>
      <c r="H350" s="167" t="s">
        <v>121</v>
      </c>
      <c r="I350" s="167" t="s">
        <v>11</v>
      </c>
    </row>
    <row r="351" spans="1:9" x14ac:dyDescent="0.25">
      <c r="A351" s="95">
        <v>350</v>
      </c>
      <c r="B351" t="s">
        <v>601</v>
      </c>
      <c r="C351" t="s">
        <v>1734</v>
      </c>
      <c r="D351" t="s">
        <v>1735</v>
      </c>
      <c r="F351" s="1">
        <v>28903</v>
      </c>
      <c r="G351" s="167" t="s">
        <v>2272</v>
      </c>
      <c r="H351" s="167" t="s">
        <v>121</v>
      </c>
      <c r="I351" s="167" t="s">
        <v>11</v>
      </c>
    </row>
    <row r="352" spans="1:9" x14ac:dyDescent="0.25">
      <c r="A352" s="95">
        <v>351</v>
      </c>
      <c r="B352" t="s">
        <v>1736</v>
      </c>
      <c r="C352" t="s">
        <v>42</v>
      </c>
      <c r="D352" t="s">
        <v>1737</v>
      </c>
      <c r="F352" s="1">
        <v>21383</v>
      </c>
      <c r="G352" s="167" t="s">
        <v>2272</v>
      </c>
      <c r="H352" s="167" t="s">
        <v>121</v>
      </c>
      <c r="I352" s="167" t="s">
        <v>11</v>
      </c>
    </row>
    <row r="353" spans="1:9" x14ac:dyDescent="0.25">
      <c r="A353" s="95">
        <v>352</v>
      </c>
      <c r="B353" t="s">
        <v>1701</v>
      </c>
      <c r="C353" t="s">
        <v>1702</v>
      </c>
      <c r="D353" t="s">
        <v>1703</v>
      </c>
      <c r="F353" s="1">
        <v>21532</v>
      </c>
      <c r="G353" s="167" t="s">
        <v>2272</v>
      </c>
      <c r="H353" s="167" t="s">
        <v>121</v>
      </c>
      <c r="I353" s="167" t="s">
        <v>11</v>
      </c>
    </row>
    <row r="354" spans="1:9" x14ac:dyDescent="0.25">
      <c r="A354" s="95">
        <v>353</v>
      </c>
      <c r="B354" t="s">
        <v>89</v>
      </c>
      <c r="C354" t="s">
        <v>1738</v>
      </c>
      <c r="D354" t="s">
        <v>54</v>
      </c>
      <c r="F354" s="1">
        <v>21037</v>
      </c>
      <c r="G354" s="167" t="s">
        <v>2272</v>
      </c>
      <c r="H354" s="167" t="s">
        <v>121</v>
      </c>
      <c r="I354" s="167" t="s">
        <v>11</v>
      </c>
    </row>
    <row r="355" spans="1:9" x14ac:dyDescent="0.25">
      <c r="A355" s="95">
        <v>354</v>
      </c>
      <c r="B355" t="s">
        <v>1275</v>
      </c>
      <c r="C355" t="s">
        <v>1739</v>
      </c>
      <c r="D355" t="s">
        <v>109</v>
      </c>
      <c r="F355" s="1">
        <v>24869</v>
      </c>
      <c r="G355" s="167" t="s">
        <v>2272</v>
      </c>
      <c r="H355" s="167" t="s">
        <v>121</v>
      </c>
      <c r="I355" s="167" t="s">
        <v>11</v>
      </c>
    </row>
    <row r="356" spans="1:9" x14ac:dyDescent="0.25">
      <c r="A356" s="95">
        <v>355</v>
      </c>
      <c r="B356" t="s">
        <v>1740</v>
      </c>
      <c r="C356" t="s">
        <v>26</v>
      </c>
      <c r="D356" t="s">
        <v>1741</v>
      </c>
      <c r="F356" s="1">
        <v>24958</v>
      </c>
      <c r="G356" s="167" t="s">
        <v>2272</v>
      </c>
      <c r="H356" s="167" t="s">
        <v>121</v>
      </c>
      <c r="I356" s="167" t="s">
        <v>11</v>
      </c>
    </row>
    <row r="357" spans="1:9" x14ac:dyDescent="0.25">
      <c r="A357" s="95">
        <v>356</v>
      </c>
      <c r="B357" t="s">
        <v>1742</v>
      </c>
      <c r="C357" t="s">
        <v>1743</v>
      </c>
      <c r="D357" t="s">
        <v>1744</v>
      </c>
      <c r="F357" s="1">
        <v>21418</v>
      </c>
      <c r="G357" s="167" t="s">
        <v>2272</v>
      </c>
      <c r="H357" s="167" t="s">
        <v>121</v>
      </c>
      <c r="I357" s="167" t="s">
        <v>11</v>
      </c>
    </row>
    <row r="358" spans="1:9" x14ac:dyDescent="0.25">
      <c r="A358" s="95">
        <v>357</v>
      </c>
      <c r="B358" t="s">
        <v>1745</v>
      </c>
      <c r="C358" t="s">
        <v>1746</v>
      </c>
      <c r="D358" t="s">
        <v>1747</v>
      </c>
      <c r="F358" s="1">
        <v>33275</v>
      </c>
      <c r="G358" s="167" t="s">
        <v>2272</v>
      </c>
      <c r="H358" s="167" t="s">
        <v>121</v>
      </c>
      <c r="I358" s="167" t="s">
        <v>11</v>
      </c>
    </row>
    <row r="359" spans="1:9" x14ac:dyDescent="0.25">
      <c r="A359" s="95">
        <v>358</v>
      </c>
      <c r="B359" t="s">
        <v>1748</v>
      </c>
      <c r="C359" t="s">
        <v>494</v>
      </c>
      <c r="D359" t="s">
        <v>1749</v>
      </c>
      <c r="F359" s="1">
        <v>28041</v>
      </c>
      <c r="G359" s="167" t="s">
        <v>2272</v>
      </c>
      <c r="H359" s="167" t="s">
        <v>121</v>
      </c>
      <c r="I359" s="167" t="s">
        <v>11</v>
      </c>
    </row>
    <row r="360" spans="1:9" x14ac:dyDescent="0.25">
      <c r="A360" s="95">
        <v>359</v>
      </c>
      <c r="B360" t="s">
        <v>918</v>
      </c>
      <c r="C360" t="s">
        <v>1750</v>
      </c>
      <c r="D360" t="s">
        <v>1751</v>
      </c>
      <c r="F360" s="1">
        <v>25899</v>
      </c>
      <c r="G360" s="167" t="s">
        <v>2272</v>
      </c>
      <c r="H360" s="167" t="s">
        <v>121</v>
      </c>
      <c r="I360" s="167" t="s">
        <v>11</v>
      </c>
    </row>
    <row r="361" spans="1:9" x14ac:dyDescent="0.25">
      <c r="A361" s="95">
        <v>360</v>
      </c>
      <c r="B361" t="s">
        <v>1752</v>
      </c>
      <c r="C361" t="s">
        <v>236</v>
      </c>
      <c r="D361" t="s">
        <v>621</v>
      </c>
      <c r="F361" s="1">
        <v>17595</v>
      </c>
      <c r="G361" s="167" t="s">
        <v>2272</v>
      </c>
      <c r="H361" s="167" t="s">
        <v>121</v>
      </c>
      <c r="I361" s="167" t="s">
        <v>11</v>
      </c>
    </row>
    <row r="362" spans="1:9" x14ac:dyDescent="0.25">
      <c r="A362" s="95">
        <v>361</v>
      </c>
      <c r="B362" t="s">
        <v>1480</v>
      </c>
      <c r="C362" t="s">
        <v>1753</v>
      </c>
      <c r="D362" t="s">
        <v>1754</v>
      </c>
      <c r="F362" s="1">
        <v>28842</v>
      </c>
      <c r="G362" s="167" t="s">
        <v>2273</v>
      </c>
      <c r="H362" s="167" t="s">
        <v>121</v>
      </c>
      <c r="I362" s="167" t="s">
        <v>11</v>
      </c>
    </row>
    <row r="363" spans="1:9" x14ac:dyDescent="0.25">
      <c r="A363" s="95">
        <v>362</v>
      </c>
      <c r="B363" t="s">
        <v>1284</v>
      </c>
      <c r="C363" t="s">
        <v>1755</v>
      </c>
      <c r="D363" t="s">
        <v>1756</v>
      </c>
      <c r="F363" s="1">
        <v>33189</v>
      </c>
      <c r="G363" s="167" t="s">
        <v>2272</v>
      </c>
      <c r="H363" s="167" t="s">
        <v>121</v>
      </c>
      <c r="I363" s="167" t="s">
        <v>11</v>
      </c>
    </row>
    <row r="364" spans="1:9" x14ac:dyDescent="0.25">
      <c r="A364" s="95">
        <v>363</v>
      </c>
      <c r="B364" t="s">
        <v>85</v>
      </c>
      <c r="C364" t="s">
        <v>1757</v>
      </c>
      <c r="D364" t="s">
        <v>1339</v>
      </c>
      <c r="E364" t="s">
        <v>106</v>
      </c>
      <c r="F364" s="1">
        <v>15647</v>
      </c>
      <c r="G364" s="167" t="s">
        <v>2272</v>
      </c>
      <c r="H364" s="167" t="s">
        <v>121</v>
      </c>
      <c r="I364" s="167" t="s">
        <v>11</v>
      </c>
    </row>
    <row r="365" spans="1:9" x14ac:dyDescent="0.25">
      <c r="A365" s="95">
        <v>364</v>
      </c>
      <c r="B365" t="s">
        <v>1758</v>
      </c>
      <c r="C365" t="s">
        <v>1759</v>
      </c>
      <c r="D365" t="s">
        <v>1760</v>
      </c>
      <c r="F365" s="1">
        <v>28653</v>
      </c>
      <c r="G365" s="167" t="s">
        <v>2272</v>
      </c>
      <c r="H365" s="167" t="s">
        <v>121</v>
      </c>
      <c r="I365" s="167" t="s">
        <v>11</v>
      </c>
    </row>
    <row r="366" spans="1:9" x14ac:dyDescent="0.25">
      <c r="A366" s="95">
        <v>365</v>
      </c>
      <c r="B366" t="s">
        <v>1707</v>
      </c>
      <c r="C366" t="s">
        <v>659</v>
      </c>
      <c r="D366" t="s">
        <v>1708</v>
      </c>
      <c r="F366" s="1">
        <v>21509</v>
      </c>
      <c r="G366" s="167" t="s">
        <v>2272</v>
      </c>
      <c r="H366" s="167" t="s">
        <v>121</v>
      </c>
      <c r="I366" s="167" t="s">
        <v>11</v>
      </c>
    </row>
    <row r="367" spans="1:9" x14ac:dyDescent="0.25">
      <c r="A367" s="95">
        <v>366</v>
      </c>
      <c r="B367" t="s">
        <v>390</v>
      </c>
      <c r="C367" t="s">
        <v>1761</v>
      </c>
      <c r="D367" t="s">
        <v>1762</v>
      </c>
      <c r="F367" s="1">
        <v>30332</v>
      </c>
      <c r="G367" s="167" t="s">
        <v>2272</v>
      </c>
      <c r="H367" s="167" t="s">
        <v>121</v>
      </c>
      <c r="I367" s="167" t="s">
        <v>11</v>
      </c>
    </row>
    <row r="368" spans="1:9" x14ac:dyDescent="0.25">
      <c r="A368" s="95">
        <v>367</v>
      </c>
      <c r="B368" t="s">
        <v>1763</v>
      </c>
      <c r="C368" t="s">
        <v>1764</v>
      </c>
      <c r="D368" t="s">
        <v>1765</v>
      </c>
      <c r="F368" s="1">
        <v>20755</v>
      </c>
      <c r="G368" s="167" t="s">
        <v>2272</v>
      </c>
      <c r="H368" s="167" t="s">
        <v>121</v>
      </c>
      <c r="I368" s="167" t="s">
        <v>11</v>
      </c>
    </row>
    <row r="369" spans="1:9" x14ac:dyDescent="0.25">
      <c r="A369" s="95">
        <v>368</v>
      </c>
      <c r="B369" t="s">
        <v>737</v>
      </c>
      <c r="C369" t="s">
        <v>1766</v>
      </c>
      <c r="D369" t="s">
        <v>1767</v>
      </c>
      <c r="F369" s="1">
        <v>37411</v>
      </c>
      <c r="G369" s="167" t="s">
        <v>2272</v>
      </c>
      <c r="H369" s="167" t="s">
        <v>121</v>
      </c>
      <c r="I369" s="167" t="s">
        <v>11</v>
      </c>
    </row>
    <row r="370" spans="1:9" x14ac:dyDescent="0.25">
      <c r="A370" s="95">
        <v>369</v>
      </c>
      <c r="B370" t="s">
        <v>1715</v>
      </c>
      <c r="C370" t="s">
        <v>1768</v>
      </c>
      <c r="D370" t="s">
        <v>1176</v>
      </c>
      <c r="F370" s="1">
        <v>21308</v>
      </c>
      <c r="G370" s="167" t="s">
        <v>2272</v>
      </c>
      <c r="H370" s="167" t="s">
        <v>121</v>
      </c>
      <c r="I370" s="167" t="s">
        <v>11</v>
      </c>
    </row>
    <row r="371" spans="1:9" x14ac:dyDescent="0.25">
      <c r="A371" s="95">
        <v>370</v>
      </c>
      <c r="B371" t="s">
        <v>1769</v>
      </c>
      <c r="C371" t="s">
        <v>1770</v>
      </c>
      <c r="D371" t="s">
        <v>1498</v>
      </c>
      <c r="F371" s="1">
        <v>32293</v>
      </c>
      <c r="G371" s="167" t="s">
        <v>2272</v>
      </c>
      <c r="H371" s="167" t="s">
        <v>121</v>
      </c>
      <c r="I371" s="167" t="s">
        <v>11</v>
      </c>
    </row>
    <row r="372" spans="1:9" x14ac:dyDescent="0.25">
      <c r="A372" s="95">
        <v>371</v>
      </c>
      <c r="B372" t="s">
        <v>188</v>
      </c>
      <c r="C372" t="s">
        <v>1771</v>
      </c>
      <c r="D372" t="s">
        <v>621</v>
      </c>
      <c r="F372" s="1">
        <v>26081</v>
      </c>
      <c r="G372" s="167" t="s">
        <v>2272</v>
      </c>
      <c r="H372" s="167" t="s">
        <v>121</v>
      </c>
      <c r="I372" s="167" t="s">
        <v>11</v>
      </c>
    </row>
    <row r="373" spans="1:9" x14ac:dyDescent="0.25">
      <c r="A373" s="95">
        <v>372</v>
      </c>
      <c r="B373" t="s">
        <v>1758</v>
      </c>
      <c r="C373" t="s">
        <v>1772</v>
      </c>
      <c r="D373" t="s">
        <v>64</v>
      </c>
      <c r="F373" s="1">
        <v>18758</v>
      </c>
      <c r="G373" s="167" t="s">
        <v>2272</v>
      </c>
      <c r="H373" s="167" t="s">
        <v>121</v>
      </c>
      <c r="I373" s="167" t="s">
        <v>11</v>
      </c>
    </row>
    <row r="374" spans="1:9" x14ac:dyDescent="0.25">
      <c r="A374" s="95">
        <v>373</v>
      </c>
      <c r="B374" t="s">
        <v>1773</v>
      </c>
      <c r="C374" t="s">
        <v>1774</v>
      </c>
      <c r="D374" t="s">
        <v>358</v>
      </c>
      <c r="F374" s="1">
        <v>36850</v>
      </c>
      <c r="G374" s="167" t="s">
        <v>2272</v>
      </c>
      <c r="H374" s="167" t="s">
        <v>121</v>
      </c>
      <c r="I374" s="167" t="s">
        <v>11</v>
      </c>
    </row>
    <row r="375" spans="1:9" x14ac:dyDescent="0.25">
      <c r="A375" s="95">
        <v>374</v>
      </c>
      <c r="B375" t="s">
        <v>1758</v>
      </c>
      <c r="C375" t="s">
        <v>1459</v>
      </c>
      <c r="D375" t="s">
        <v>64</v>
      </c>
      <c r="F375" s="1">
        <v>28303</v>
      </c>
      <c r="G375" s="167" t="s">
        <v>2272</v>
      </c>
      <c r="H375" s="167" t="s">
        <v>121</v>
      </c>
      <c r="I375" s="167" t="s">
        <v>11</v>
      </c>
    </row>
    <row r="376" spans="1:9" x14ac:dyDescent="0.25">
      <c r="A376" s="95">
        <v>375</v>
      </c>
      <c r="B376" t="s">
        <v>157</v>
      </c>
      <c r="C376" t="s">
        <v>1411</v>
      </c>
      <c r="D376" t="s">
        <v>1498</v>
      </c>
      <c r="F376" s="1">
        <v>24472</v>
      </c>
      <c r="G376" s="167" t="s">
        <v>2272</v>
      </c>
      <c r="H376" s="167" t="s">
        <v>121</v>
      </c>
      <c r="I376" s="167" t="s">
        <v>11</v>
      </c>
    </row>
    <row r="377" spans="1:9" x14ac:dyDescent="0.25">
      <c r="A377" s="95">
        <v>376</v>
      </c>
      <c r="B377" t="s">
        <v>1775</v>
      </c>
      <c r="C377" t="s">
        <v>1776</v>
      </c>
      <c r="D377" t="s">
        <v>1777</v>
      </c>
      <c r="F377" s="1">
        <v>23019</v>
      </c>
      <c r="G377" s="167" t="s">
        <v>2272</v>
      </c>
      <c r="H377" s="167" t="s">
        <v>121</v>
      </c>
      <c r="I377" s="167" t="s">
        <v>11</v>
      </c>
    </row>
    <row r="378" spans="1:9" x14ac:dyDescent="0.25">
      <c r="A378" s="95">
        <v>377</v>
      </c>
      <c r="B378" t="s">
        <v>1778</v>
      </c>
      <c r="C378" t="s">
        <v>1779</v>
      </c>
      <c r="D378" t="s">
        <v>221</v>
      </c>
      <c r="F378" s="1">
        <v>29198</v>
      </c>
      <c r="G378" s="167" t="s">
        <v>2272</v>
      </c>
      <c r="H378" s="167" t="s">
        <v>121</v>
      </c>
      <c r="I378" s="167" t="s">
        <v>11</v>
      </c>
    </row>
    <row r="379" spans="1:9" x14ac:dyDescent="0.25">
      <c r="A379" s="95">
        <v>378</v>
      </c>
      <c r="B379" t="s">
        <v>1729</v>
      </c>
      <c r="C379" t="s">
        <v>1780</v>
      </c>
      <c r="D379" t="s">
        <v>1269</v>
      </c>
      <c r="F379" s="1">
        <v>21345</v>
      </c>
      <c r="G379" s="167" t="s">
        <v>2272</v>
      </c>
      <c r="H379" s="167" t="s">
        <v>121</v>
      </c>
      <c r="I379" s="167" t="s">
        <v>11</v>
      </c>
    </row>
    <row r="380" spans="1:9" x14ac:dyDescent="0.25">
      <c r="A380" s="95">
        <v>379</v>
      </c>
      <c r="B380" t="s">
        <v>1781</v>
      </c>
      <c r="C380" t="s">
        <v>1565</v>
      </c>
      <c r="D380" t="s">
        <v>1782</v>
      </c>
      <c r="F380" s="1">
        <v>33343</v>
      </c>
      <c r="G380" s="167" t="s">
        <v>2272</v>
      </c>
      <c r="H380" s="167" t="s">
        <v>121</v>
      </c>
      <c r="I380" s="167" t="s">
        <v>11</v>
      </c>
    </row>
    <row r="381" spans="1:9" x14ac:dyDescent="0.25">
      <c r="A381" s="95">
        <v>380</v>
      </c>
      <c r="B381" t="s">
        <v>1275</v>
      </c>
      <c r="C381" t="s">
        <v>465</v>
      </c>
      <c r="D381" t="s">
        <v>1452</v>
      </c>
      <c r="F381" s="1">
        <v>28712</v>
      </c>
      <c r="G381" s="167" t="s">
        <v>2272</v>
      </c>
      <c r="H381" s="167" t="s">
        <v>121</v>
      </c>
      <c r="I381" s="167" t="s">
        <v>11</v>
      </c>
    </row>
    <row r="382" spans="1:9" x14ac:dyDescent="0.25">
      <c r="A382" s="95">
        <v>381</v>
      </c>
      <c r="B382" t="s">
        <v>1783</v>
      </c>
      <c r="C382" t="s">
        <v>1784</v>
      </c>
      <c r="D382" t="s">
        <v>918</v>
      </c>
      <c r="F382" s="1">
        <v>22107</v>
      </c>
      <c r="G382" s="167" t="s">
        <v>2272</v>
      </c>
      <c r="H382" s="167" t="s">
        <v>121</v>
      </c>
      <c r="I382" s="167" t="s">
        <v>11</v>
      </c>
    </row>
    <row r="383" spans="1:9" x14ac:dyDescent="0.25">
      <c r="A383" s="95">
        <v>382</v>
      </c>
      <c r="B383" t="s">
        <v>1773</v>
      </c>
      <c r="C383" t="s">
        <v>1785</v>
      </c>
      <c r="D383" t="s">
        <v>1786</v>
      </c>
      <c r="F383" s="1">
        <v>21574</v>
      </c>
      <c r="G383" s="167" t="s">
        <v>2272</v>
      </c>
      <c r="H383" s="167" t="s">
        <v>121</v>
      </c>
      <c r="I383" s="167" t="s">
        <v>11</v>
      </c>
    </row>
    <row r="384" spans="1:9" x14ac:dyDescent="0.25">
      <c r="A384" s="95">
        <v>383</v>
      </c>
      <c r="B384" t="s">
        <v>117</v>
      </c>
      <c r="C384" t="s">
        <v>692</v>
      </c>
      <c r="D384" t="s">
        <v>1787</v>
      </c>
      <c r="F384" s="1">
        <v>32998</v>
      </c>
      <c r="G384" s="167" t="s">
        <v>2272</v>
      </c>
      <c r="H384" s="167" t="s">
        <v>121</v>
      </c>
      <c r="I384" s="167" t="s">
        <v>11</v>
      </c>
    </row>
    <row r="385" spans="1:9" x14ac:dyDescent="0.25">
      <c r="A385" s="95">
        <v>384</v>
      </c>
      <c r="B385" t="s">
        <v>1788</v>
      </c>
      <c r="C385" t="s">
        <v>1789</v>
      </c>
      <c r="D385" t="s">
        <v>1370</v>
      </c>
      <c r="F385" s="1">
        <v>36184</v>
      </c>
      <c r="G385" s="167" t="s">
        <v>2272</v>
      </c>
      <c r="H385" s="167" t="s">
        <v>121</v>
      </c>
      <c r="I385" s="167" t="s">
        <v>11</v>
      </c>
    </row>
    <row r="386" spans="1:9" x14ac:dyDescent="0.25">
      <c r="A386" s="95">
        <v>385</v>
      </c>
      <c r="B386" t="s">
        <v>1790</v>
      </c>
      <c r="C386" t="s">
        <v>1791</v>
      </c>
      <c r="D386" t="s">
        <v>89</v>
      </c>
      <c r="E386" t="s">
        <v>67</v>
      </c>
      <c r="F386" s="1">
        <v>30984</v>
      </c>
      <c r="G386" s="167" t="s">
        <v>2272</v>
      </c>
      <c r="H386" s="167" t="s">
        <v>121</v>
      </c>
      <c r="I386" s="167" t="s">
        <v>11</v>
      </c>
    </row>
    <row r="387" spans="1:9" x14ac:dyDescent="0.25">
      <c r="A387" s="95">
        <v>386</v>
      </c>
      <c r="B387" t="s">
        <v>1792</v>
      </c>
      <c r="C387" t="s">
        <v>1793</v>
      </c>
      <c r="D387" t="s">
        <v>188</v>
      </c>
      <c r="F387" s="1">
        <v>21512</v>
      </c>
      <c r="G387" s="167" t="s">
        <v>2272</v>
      </c>
      <c r="H387" s="167" t="s">
        <v>121</v>
      </c>
      <c r="I387" s="167" t="s">
        <v>11</v>
      </c>
    </row>
    <row r="388" spans="1:9" x14ac:dyDescent="0.25">
      <c r="A388" s="95">
        <v>387</v>
      </c>
      <c r="B388" t="s">
        <v>1794</v>
      </c>
      <c r="C388" t="s">
        <v>1795</v>
      </c>
      <c r="D388" t="s">
        <v>1796</v>
      </c>
      <c r="F388" s="1">
        <v>24474</v>
      </c>
      <c r="G388" s="167" t="s">
        <v>2272</v>
      </c>
      <c r="H388" s="167" t="s">
        <v>121</v>
      </c>
      <c r="I388" s="167" t="s">
        <v>11</v>
      </c>
    </row>
    <row r="389" spans="1:9" x14ac:dyDescent="0.25">
      <c r="A389" s="95">
        <v>388</v>
      </c>
      <c r="B389" t="s">
        <v>1275</v>
      </c>
      <c r="C389" t="s">
        <v>1565</v>
      </c>
      <c r="D389" t="s">
        <v>495</v>
      </c>
      <c r="F389" s="1">
        <v>27964</v>
      </c>
      <c r="G389" s="167" t="s">
        <v>2272</v>
      </c>
      <c r="H389" s="167" t="s">
        <v>121</v>
      </c>
      <c r="I389" s="167" t="s">
        <v>11</v>
      </c>
    </row>
    <row r="390" spans="1:9" x14ac:dyDescent="0.25">
      <c r="A390" s="95">
        <v>389</v>
      </c>
      <c r="B390" t="s">
        <v>1797</v>
      </c>
      <c r="C390" t="s">
        <v>1798</v>
      </c>
      <c r="D390" t="s">
        <v>1758</v>
      </c>
      <c r="F390" s="1">
        <v>31576</v>
      </c>
      <c r="G390" s="167" t="s">
        <v>2272</v>
      </c>
      <c r="H390" s="167" t="s">
        <v>121</v>
      </c>
      <c r="I390" s="167" t="s">
        <v>11</v>
      </c>
    </row>
    <row r="391" spans="1:9" x14ac:dyDescent="0.25">
      <c r="A391" s="95">
        <v>390</v>
      </c>
      <c r="B391" t="s">
        <v>1611</v>
      </c>
      <c r="C391" t="s">
        <v>1469</v>
      </c>
      <c r="D391" t="s">
        <v>1339</v>
      </c>
      <c r="F391" s="1">
        <v>16875</v>
      </c>
      <c r="G391" s="167" t="s">
        <v>2272</v>
      </c>
      <c r="H391" s="167" t="s">
        <v>121</v>
      </c>
      <c r="I391" s="167" t="s">
        <v>11</v>
      </c>
    </row>
    <row r="392" spans="1:9" x14ac:dyDescent="0.25">
      <c r="A392" s="95">
        <v>391</v>
      </c>
      <c r="B392" t="s">
        <v>1799</v>
      </c>
      <c r="C392" t="s">
        <v>459</v>
      </c>
      <c r="D392" t="s">
        <v>1800</v>
      </c>
      <c r="F392" s="1">
        <v>32021</v>
      </c>
      <c r="G392" s="167" t="s">
        <v>2272</v>
      </c>
      <c r="H392" s="167" t="s">
        <v>121</v>
      </c>
      <c r="I392" s="167" t="s">
        <v>11</v>
      </c>
    </row>
    <row r="393" spans="1:9" x14ac:dyDescent="0.25">
      <c r="A393" s="95">
        <v>392</v>
      </c>
      <c r="B393" t="s">
        <v>1801</v>
      </c>
      <c r="C393" t="s">
        <v>1802</v>
      </c>
      <c r="D393" t="s">
        <v>1803</v>
      </c>
      <c r="F393" s="1">
        <v>35066</v>
      </c>
      <c r="G393" s="167" t="s">
        <v>2272</v>
      </c>
      <c r="H393" s="167" t="s">
        <v>121</v>
      </c>
      <c r="I393" s="167" t="s">
        <v>11</v>
      </c>
    </row>
    <row r="394" spans="1:9" x14ac:dyDescent="0.25">
      <c r="A394" s="95">
        <v>393</v>
      </c>
      <c r="B394" t="s">
        <v>1804</v>
      </c>
      <c r="C394" t="s">
        <v>1805</v>
      </c>
      <c r="D394" t="s">
        <v>1806</v>
      </c>
      <c r="F394" s="1">
        <v>26516</v>
      </c>
      <c r="G394" s="167" t="s">
        <v>2272</v>
      </c>
      <c r="H394" s="167" t="s">
        <v>121</v>
      </c>
      <c r="I394" s="167" t="s">
        <v>11</v>
      </c>
    </row>
    <row r="395" spans="1:9" x14ac:dyDescent="0.25">
      <c r="A395" s="95">
        <v>394</v>
      </c>
      <c r="B395" t="s">
        <v>38</v>
      </c>
      <c r="C395" t="s">
        <v>1637</v>
      </c>
      <c r="D395" t="s">
        <v>176</v>
      </c>
      <c r="F395" s="1">
        <v>25199</v>
      </c>
      <c r="G395" s="167" t="s">
        <v>2272</v>
      </c>
      <c r="H395" s="167" t="s">
        <v>121</v>
      </c>
      <c r="I395" s="167" t="s">
        <v>11</v>
      </c>
    </row>
    <row r="396" spans="1:9" x14ac:dyDescent="0.25">
      <c r="A396" s="95">
        <v>395</v>
      </c>
      <c r="B396" t="s">
        <v>1807</v>
      </c>
      <c r="C396" t="s">
        <v>110</v>
      </c>
      <c r="D396" t="s">
        <v>1773</v>
      </c>
      <c r="F396" s="1">
        <v>33046</v>
      </c>
      <c r="G396" s="167" t="s">
        <v>2272</v>
      </c>
      <c r="H396" s="167" t="s">
        <v>121</v>
      </c>
      <c r="I396" s="167" t="s">
        <v>11</v>
      </c>
    </row>
    <row r="397" spans="1:9" x14ac:dyDescent="0.25">
      <c r="A397" s="95">
        <v>396</v>
      </c>
      <c r="B397" t="s">
        <v>1808</v>
      </c>
      <c r="C397" t="s">
        <v>192</v>
      </c>
      <c r="D397" t="s">
        <v>1809</v>
      </c>
      <c r="F397" s="1">
        <v>22979</v>
      </c>
      <c r="G397" s="167" t="s">
        <v>2272</v>
      </c>
      <c r="H397" s="167" t="s">
        <v>121</v>
      </c>
      <c r="I397" s="167" t="s">
        <v>11</v>
      </c>
    </row>
    <row r="398" spans="1:9" x14ac:dyDescent="0.25">
      <c r="A398" s="95">
        <v>397</v>
      </c>
      <c r="B398" t="s">
        <v>1773</v>
      </c>
      <c r="C398" t="s">
        <v>1810</v>
      </c>
      <c r="D398" t="s">
        <v>157</v>
      </c>
      <c r="F398" s="1">
        <v>24014</v>
      </c>
      <c r="G398" s="167" t="s">
        <v>2272</v>
      </c>
      <c r="H398" s="167" t="s">
        <v>121</v>
      </c>
      <c r="I398" s="167" t="s">
        <v>11</v>
      </c>
    </row>
    <row r="399" spans="1:9" x14ac:dyDescent="0.25">
      <c r="A399" s="95">
        <v>398</v>
      </c>
      <c r="B399" t="s">
        <v>109</v>
      </c>
      <c r="C399" t="s">
        <v>487</v>
      </c>
      <c r="D399" t="s">
        <v>1498</v>
      </c>
      <c r="F399" s="1">
        <v>24529</v>
      </c>
      <c r="G399" s="167" t="s">
        <v>2272</v>
      </c>
      <c r="H399" s="167" t="s">
        <v>121</v>
      </c>
      <c r="I399" s="167" t="s">
        <v>11</v>
      </c>
    </row>
    <row r="400" spans="1:9" x14ac:dyDescent="0.25">
      <c r="A400" s="95">
        <v>399</v>
      </c>
      <c r="B400" t="s">
        <v>1769</v>
      </c>
      <c r="C400" t="s">
        <v>1811</v>
      </c>
      <c r="D400" t="s">
        <v>601</v>
      </c>
      <c r="F400" s="1">
        <v>16665</v>
      </c>
      <c r="G400" s="167" t="s">
        <v>2272</v>
      </c>
      <c r="H400" s="167" t="s">
        <v>121</v>
      </c>
      <c r="I400" s="167" t="s">
        <v>11</v>
      </c>
    </row>
    <row r="401" spans="1:9" x14ac:dyDescent="0.25">
      <c r="A401" s="95">
        <v>400</v>
      </c>
      <c r="B401" t="s">
        <v>1812</v>
      </c>
      <c r="C401" t="s">
        <v>1057</v>
      </c>
      <c r="D401" t="s">
        <v>1806</v>
      </c>
      <c r="F401" s="1">
        <v>31984</v>
      </c>
      <c r="G401" s="167" t="s">
        <v>2272</v>
      </c>
      <c r="H401" s="167" t="s">
        <v>121</v>
      </c>
      <c r="I401" s="167" t="s">
        <v>11</v>
      </c>
    </row>
    <row r="402" spans="1:9" x14ac:dyDescent="0.25">
      <c r="A402" s="95">
        <v>401</v>
      </c>
      <c r="B402" t="s">
        <v>941</v>
      </c>
      <c r="C402" t="s">
        <v>1813</v>
      </c>
      <c r="D402" t="s">
        <v>1814</v>
      </c>
      <c r="F402" s="1">
        <v>33211</v>
      </c>
      <c r="G402" s="167" t="s">
        <v>2272</v>
      </c>
      <c r="H402" s="167" t="s">
        <v>121</v>
      </c>
      <c r="I402" s="167" t="s">
        <v>11</v>
      </c>
    </row>
    <row r="403" spans="1:9" x14ac:dyDescent="0.25">
      <c r="A403" s="95">
        <v>402</v>
      </c>
      <c r="B403" t="s">
        <v>1815</v>
      </c>
      <c r="C403" t="s">
        <v>488</v>
      </c>
      <c r="D403" t="s">
        <v>1299</v>
      </c>
      <c r="F403" s="1">
        <v>30805</v>
      </c>
      <c r="G403" s="167" t="s">
        <v>2272</v>
      </c>
      <c r="H403" s="167" t="s">
        <v>121</v>
      </c>
      <c r="I403" s="167" t="s">
        <v>11</v>
      </c>
    </row>
    <row r="404" spans="1:9" x14ac:dyDescent="0.25">
      <c r="A404" s="95">
        <v>403</v>
      </c>
      <c r="B404" t="s">
        <v>1816</v>
      </c>
      <c r="C404" t="s">
        <v>1817</v>
      </c>
      <c r="D404" t="s">
        <v>87</v>
      </c>
      <c r="F404" s="1">
        <v>29084</v>
      </c>
      <c r="G404" s="167" t="s">
        <v>2272</v>
      </c>
      <c r="H404" s="167" t="s">
        <v>121</v>
      </c>
      <c r="I404" s="167" t="s">
        <v>11</v>
      </c>
    </row>
    <row r="405" spans="1:9" x14ac:dyDescent="0.25">
      <c r="A405" s="95">
        <v>404</v>
      </c>
      <c r="B405" t="s">
        <v>1818</v>
      </c>
      <c r="C405" t="s">
        <v>1819</v>
      </c>
      <c r="D405" t="s">
        <v>188</v>
      </c>
      <c r="F405" s="1">
        <v>24441</v>
      </c>
      <c r="G405" s="167" t="s">
        <v>2272</v>
      </c>
      <c r="H405" s="167" t="s">
        <v>121</v>
      </c>
      <c r="I405" s="167" t="s">
        <v>11</v>
      </c>
    </row>
    <row r="406" spans="1:9" x14ac:dyDescent="0.25">
      <c r="A406" s="95">
        <v>405</v>
      </c>
      <c r="B406" t="s">
        <v>1820</v>
      </c>
      <c r="C406" t="s">
        <v>1821</v>
      </c>
      <c r="D406" t="s">
        <v>1822</v>
      </c>
      <c r="F406" s="1">
        <v>30415</v>
      </c>
      <c r="G406" s="167" t="s">
        <v>2272</v>
      </c>
      <c r="H406" s="167" t="s">
        <v>121</v>
      </c>
      <c r="I406" s="167" t="s">
        <v>11</v>
      </c>
    </row>
    <row r="407" spans="1:9" x14ac:dyDescent="0.25">
      <c r="A407" s="95">
        <v>406</v>
      </c>
      <c r="B407" t="s">
        <v>1823</v>
      </c>
      <c r="C407" t="s">
        <v>72</v>
      </c>
      <c r="D407" t="s">
        <v>77</v>
      </c>
      <c r="F407" s="1">
        <v>32795</v>
      </c>
      <c r="G407" s="167" t="s">
        <v>2272</v>
      </c>
      <c r="H407" s="167" t="s">
        <v>121</v>
      </c>
      <c r="I407" s="167" t="s">
        <v>11</v>
      </c>
    </row>
    <row r="408" spans="1:9" x14ac:dyDescent="0.25">
      <c r="A408" s="95">
        <v>407</v>
      </c>
      <c r="B408" t="s">
        <v>188</v>
      </c>
      <c r="C408" t="s">
        <v>1423</v>
      </c>
      <c r="F408" s="1">
        <v>22750</v>
      </c>
      <c r="G408" s="167" t="s">
        <v>2272</v>
      </c>
      <c r="H408" s="167" t="s">
        <v>121</v>
      </c>
      <c r="I408" s="167" t="s">
        <v>11</v>
      </c>
    </row>
    <row r="409" spans="1:9" x14ac:dyDescent="0.25">
      <c r="A409" s="95">
        <v>408</v>
      </c>
      <c r="B409" t="s">
        <v>38</v>
      </c>
      <c r="C409" t="s">
        <v>1824</v>
      </c>
      <c r="D409" t="s">
        <v>1825</v>
      </c>
      <c r="F409" s="1">
        <v>29317</v>
      </c>
      <c r="G409" s="167" t="s">
        <v>2272</v>
      </c>
      <c r="H409" s="167" t="s">
        <v>121</v>
      </c>
      <c r="I409" s="167" t="s">
        <v>11</v>
      </c>
    </row>
    <row r="410" spans="1:9" x14ac:dyDescent="0.25">
      <c r="A410" s="95">
        <v>409</v>
      </c>
      <c r="B410" t="s">
        <v>85</v>
      </c>
      <c r="C410" t="s">
        <v>1826</v>
      </c>
      <c r="D410" t="s">
        <v>1827</v>
      </c>
      <c r="F410" s="1">
        <v>30348</v>
      </c>
      <c r="G410" s="167" t="s">
        <v>2272</v>
      </c>
      <c r="H410" s="167" t="s">
        <v>121</v>
      </c>
      <c r="I410" s="167" t="s">
        <v>11</v>
      </c>
    </row>
    <row r="411" spans="1:9" x14ac:dyDescent="0.25">
      <c r="A411" s="95">
        <v>410</v>
      </c>
      <c r="B411" t="s">
        <v>1051</v>
      </c>
      <c r="C411" t="s">
        <v>1828</v>
      </c>
      <c r="D411" t="s">
        <v>1829</v>
      </c>
      <c r="F411" s="1">
        <v>30025</v>
      </c>
      <c r="G411" s="167" t="s">
        <v>2272</v>
      </c>
      <c r="H411" s="167" t="s">
        <v>121</v>
      </c>
      <c r="I411" s="167" t="s">
        <v>11</v>
      </c>
    </row>
    <row r="412" spans="1:9" x14ac:dyDescent="0.25">
      <c r="A412" s="95">
        <v>411</v>
      </c>
      <c r="B412" t="s">
        <v>157</v>
      </c>
      <c r="C412" t="s">
        <v>1830</v>
      </c>
      <c r="D412" t="s">
        <v>1498</v>
      </c>
      <c r="F412" s="1">
        <v>26011</v>
      </c>
      <c r="G412" s="167" t="s">
        <v>2272</v>
      </c>
      <c r="H412" s="167" t="s">
        <v>121</v>
      </c>
      <c r="I412" s="167" t="s">
        <v>11</v>
      </c>
    </row>
    <row r="413" spans="1:9" x14ac:dyDescent="0.25">
      <c r="A413" s="95">
        <v>412</v>
      </c>
      <c r="B413" t="s">
        <v>64</v>
      </c>
      <c r="C413" t="s">
        <v>1831</v>
      </c>
      <c r="D413" t="s">
        <v>1726</v>
      </c>
      <c r="F413" s="1">
        <v>28935</v>
      </c>
      <c r="G413" s="167" t="s">
        <v>2272</v>
      </c>
      <c r="H413" s="167" t="s">
        <v>121</v>
      </c>
      <c r="I413" s="167" t="s">
        <v>11</v>
      </c>
    </row>
    <row r="414" spans="1:9" x14ac:dyDescent="0.25">
      <c r="A414" s="95">
        <v>413</v>
      </c>
      <c r="B414" t="s">
        <v>89</v>
      </c>
      <c r="C414" t="s">
        <v>26</v>
      </c>
      <c r="D414" t="s">
        <v>1832</v>
      </c>
      <c r="E414" t="s">
        <v>67</v>
      </c>
      <c r="F414" s="1">
        <v>31160</v>
      </c>
      <c r="G414" s="167" t="s">
        <v>2272</v>
      </c>
      <c r="H414" s="167" t="s">
        <v>121</v>
      </c>
      <c r="I414" s="167" t="s">
        <v>11</v>
      </c>
    </row>
    <row r="415" spans="1:9" x14ac:dyDescent="0.25">
      <c r="A415" s="95">
        <v>414</v>
      </c>
      <c r="B415" t="s">
        <v>343</v>
      </c>
      <c r="C415" t="s">
        <v>1819</v>
      </c>
      <c r="D415" t="s">
        <v>176</v>
      </c>
      <c r="F415" s="1">
        <v>25359</v>
      </c>
      <c r="G415" s="167" t="s">
        <v>2272</v>
      </c>
      <c r="H415" s="167" t="s">
        <v>121</v>
      </c>
      <c r="I415" s="167" t="s">
        <v>11</v>
      </c>
    </row>
    <row r="416" spans="1:9" x14ac:dyDescent="0.25">
      <c r="A416" s="95">
        <v>415</v>
      </c>
      <c r="B416" t="s">
        <v>1833</v>
      </c>
      <c r="C416" t="s">
        <v>1834</v>
      </c>
      <c r="D416" t="s">
        <v>220</v>
      </c>
      <c r="F416" s="1">
        <v>33720</v>
      </c>
      <c r="G416" s="167" t="s">
        <v>2272</v>
      </c>
      <c r="H416" s="167" t="s">
        <v>121</v>
      </c>
      <c r="I416" s="167" t="s">
        <v>11</v>
      </c>
    </row>
    <row r="417" spans="1:9" x14ac:dyDescent="0.25">
      <c r="A417" s="95">
        <v>416</v>
      </c>
      <c r="B417" t="s">
        <v>1773</v>
      </c>
      <c r="C417" t="s">
        <v>1835</v>
      </c>
      <c r="D417" t="s">
        <v>854</v>
      </c>
      <c r="F417" s="1">
        <v>20772</v>
      </c>
      <c r="G417" s="167" t="s">
        <v>2272</v>
      </c>
      <c r="H417" s="167" t="s">
        <v>121</v>
      </c>
      <c r="I417" s="167" t="s">
        <v>11</v>
      </c>
    </row>
    <row r="418" spans="1:9" x14ac:dyDescent="0.25">
      <c r="A418" s="95">
        <v>417</v>
      </c>
      <c r="B418" t="s">
        <v>1836</v>
      </c>
      <c r="C418" t="s">
        <v>1837</v>
      </c>
      <c r="D418" t="s">
        <v>941</v>
      </c>
      <c r="F418" s="1">
        <v>30645</v>
      </c>
      <c r="G418" s="167" t="s">
        <v>2272</v>
      </c>
      <c r="H418" s="167" t="s">
        <v>121</v>
      </c>
      <c r="I418" s="167" t="s">
        <v>11</v>
      </c>
    </row>
    <row r="419" spans="1:9" x14ac:dyDescent="0.25">
      <c r="A419" s="95">
        <v>418</v>
      </c>
      <c r="B419" t="s">
        <v>1838</v>
      </c>
      <c r="C419" t="s">
        <v>1839</v>
      </c>
      <c r="D419" t="s">
        <v>1840</v>
      </c>
      <c r="F419" s="1">
        <v>27080</v>
      </c>
      <c r="G419" s="167" t="s">
        <v>2272</v>
      </c>
      <c r="H419" s="167" t="s">
        <v>121</v>
      </c>
      <c r="I419" s="167" t="s">
        <v>11</v>
      </c>
    </row>
    <row r="420" spans="1:9" x14ac:dyDescent="0.25">
      <c r="A420" s="95">
        <v>419</v>
      </c>
      <c r="B420" t="s">
        <v>1841</v>
      </c>
      <c r="C420" t="s">
        <v>1842</v>
      </c>
      <c r="D420" t="s">
        <v>533</v>
      </c>
      <c r="F420" s="1">
        <v>34395</v>
      </c>
      <c r="G420" s="167" t="s">
        <v>2272</v>
      </c>
      <c r="H420" s="167" t="s">
        <v>121</v>
      </c>
      <c r="I420" s="167" t="s">
        <v>11</v>
      </c>
    </row>
    <row r="421" spans="1:9" x14ac:dyDescent="0.25">
      <c r="A421" s="95">
        <v>420</v>
      </c>
      <c r="B421" t="s">
        <v>1554</v>
      </c>
      <c r="C421" t="s">
        <v>1843</v>
      </c>
      <c r="D421" t="s">
        <v>1769</v>
      </c>
      <c r="F421" s="1">
        <v>29909</v>
      </c>
      <c r="G421" s="167" t="s">
        <v>2272</v>
      </c>
      <c r="H421" s="167" t="s">
        <v>121</v>
      </c>
      <c r="I421" s="167" t="s">
        <v>11</v>
      </c>
    </row>
    <row r="422" spans="1:9" x14ac:dyDescent="0.25">
      <c r="A422" s="95">
        <v>421</v>
      </c>
      <c r="B422" t="s">
        <v>796</v>
      </c>
      <c r="C422" t="s">
        <v>1844</v>
      </c>
      <c r="D422" t="s">
        <v>1752</v>
      </c>
      <c r="F422" s="1">
        <v>26105</v>
      </c>
      <c r="G422" s="167" t="s">
        <v>2272</v>
      </c>
      <c r="H422" s="167" t="s">
        <v>121</v>
      </c>
      <c r="I422" s="167" t="s">
        <v>11</v>
      </c>
    </row>
    <row r="423" spans="1:9" x14ac:dyDescent="0.25">
      <c r="A423" s="95">
        <v>422</v>
      </c>
      <c r="B423" t="s">
        <v>1275</v>
      </c>
      <c r="C423" t="s">
        <v>142</v>
      </c>
      <c r="D423" t="s">
        <v>1806</v>
      </c>
      <c r="F423" s="1">
        <v>18955</v>
      </c>
      <c r="G423" s="167" t="s">
        <v>2272</v>
      </c>
      <c r="H423" s="167" t="s">
        <v>121</v>
      </c>
      <c r="I423" s="167" t="s">
        <v>11</v>
      </c>
    </row>
    <row r="424" spans="1:9" x14ac:dyDescent="0.25">
      <c r="A424" s="95">
        <v>423</v>
      </c>
      <c r="B424" t="s">
        <v>1845</v>
      </c>
      <c r="C424" t="s">
        <v>1846</v>
      </c>
      <c r="D424" t="s">
        <v>1751</v>
      </c>
      <c r="F424" s="1">
        <v>24431</v>
      </c>
      <c r="G424" s="167" t="s">
        <v>2272</v>
      </c>
      <c r="H424" s="167" t="s">
        <v>121</v>
      </c>
      <c r="I424" s="167" t="s">
        <v>11</v>
      </c>
    </row>
    <row r="425" spans="1:9" x14ac:dyDescent="0.25">
      <c r="A425" s="95">
        <v>424</v>
      </c>
      <c r="B425" t="s">
        <v>1847</v>
      </c>
      <c r="C425" t="s">
        <v>570</v>
      </c>
      <c r="D425" t="s">
        <v>1848</v>
      </c>
      <c r="F425" s="1">
        <v>19317</v>
      </c>
      <c r="G425" s="167" t="s">
        <v>2272</v>
      </c>
      <c r="H425" s="167" t="s">
        <v>121</v>
      </c>
      <c r="I425" s="167" t="s">
        <v>11</v>
      </c>
    </row>
    <row r="426" spans="1:9" x14ac:dyDescent="0.25">
      <c r="A426" s="95">
        <v>425</v>
      </c>
      <c r="B426" t="s">
        <v>1849</v>
      </c>
      <c r="C426" t="s">
        <v>1559</v>
      </c>
      <c r="D426" t="s">
        <v>78</v>
      </c>
      <c r="F426" s="1">
        <v>19848</v>
      </c>
      <c r="G426" s="167" t="s">
        <v>2272</v>
      </c>
      <c r="H426" s="167" t="s">
        <v>121</v>
      </c>
      <c r="I426" s="167" t="s">
        <v>11</v>
      </c>
    </row>
    <row r="427" spans="1:9" x14ac:dyDescent="0.25">
      <c r="A427" s="95">
        <v>426</v>
      </c>
      <c r="B427" t="s">
        <v>87</v>
      </c>
      <c r="C427" t="s">
        <v>1850</v>
      </c>
      <c r="D427" t="s">
        <v>1851</v>
      </c>
      <c r="F427" s="1">
        <v>31326</v>
      </c>
      <c r="G427" s="167" t="s">
        <v>2272</v>
      </c>
      <c r="H427" s="167" t="s">
        <v>121</v>
      </c>
      <c r="I427" s="167" t="s">
        <v>11</v>
      </c>
    </row>
    <row r="428" spans="1:9" x14ac:dyDescent="0.25">
      <c r="A428" s="95">
        <v>427</v>
      </c>
      <c r="B428" t="s">
        <v>1848</v>
      </c>
      <c r="C428" t="s">
        <v>1852</v>
      </c>
      <c r="D428" t="s">
        <v>1773</v>
      </c>
      <c r="F428" s="1">
        <v>25064</v>
      </c>
      <c r="G428" s="167" t="s">
        <v>2272</v>
      </c>
      <c r="H428" s="167" t="s">
        <v>121</v>
      </c>
      <c r="I428" s="167" t="s">
        <v>11</v>
      </c>
    </row>
    <row r="429" spans="1:9" x14ac:dyDescent="0.25">
      <c r="A429" s="95">
        <v>428</v>
      </c>
      <c r="B429" t="s">
        <v>38</v>
      </c>
      <c r="C429" t="s">
        <v>1853</v>
      </c>
      <c r="D429" t="s">
        <v>89</v>
      </c>
      <c r="F429" s="1">
        <v>29758</v>
      </c>
      <c r="G429" s="167" t="s">
        <v>2272</v>
      </c>
      <c r="H429" s="167" t="s">
        <v>121</v>
      </c>
      <c r="I429" s="167" t="s">
        <v>11</v>
      </c>
    </row>
    <row r="430" spans="1:9" x14ac:dyDescent="0.25">
      <c r="A430" s="95">
        <v>429</v>
      </c>
      <c r="B430" t="s">
        <v>117</v>
      </c>
      <c r="C430" t="s">
        <v>1854</v>
      </c>
      <c r="D430" t="s">
        <v>1275</v>
      </c>
      <c r="F430" s="1">
        <v>34415</v>
      </c>
      <c r="G430" s="167" t="s">
        <v>2272</v>
      </c>
      <c r="H430" s="167" t="s">
        <v>121</v>
      </c>
      <c r="I430" s="167" t="s">
        <v>11</v>
      </c>
    </row>
    <row r="431" spans="1:9" x14ac:dyDescent="0.25">
      <c r="A431" s="95">
        <v>430</v>
      </c>
      <c r="B431" t="s">
        <v>188</v>
      </c>
      <c r="C431" t="s">
        <v>1855</v>
      </c>
      <c r="D431" t="s">
        <v>117</v>
      </c>
      <c r="F431" s="1">
        <v>28487</v>
      </c>
      <c r="G431" s="167" t="s">
        <v>2272</v>
      </c>
      <c r="H431" s="167" t="s">
        <v>121</v>
      </c>
      <c r="I431" s="167" t="s">
        <v>11</v>
      </c>
    </row>
    <row r="432" spans="1:9" x14ac:dyDescent="0.25">
      <c r="A432" s="95">
        <v>431</v>
      </c>
      <c r="B432" t="s">
        <v>577</v>
      </c>
      <c r="C432" t="s">
        <v>150</v>
      </c>
      <c r="D432" t="s">
        <v>358</v>
      </c>
      <c r="F432" s="1">
        <v>27168</v>
      </c>
      <c r="G432" s="167" t="s">
        <v>2273</v>
      </c>
      <c r="H432" s="167" t="s">
        <v>121</v>
      </c>
      <c r="I432" s="167" t="s">
        <v>11</v>
      </c>
    </row>
    <row r="433" spans="1:9" x14ac:dyDescent="0.25">
      <c r="A433" s="95">
        <v>432</v>
      </c>
      <c r="B433" t="s">
        <v>1856</v>
      </c>
      <c r="C433" t="s">
        <v>44</v>
      </c>
      <c r="D433" t="s">
        <v>742</v>
      </c>
      <c r="F433" s="1">
        <v>33914</v>
      </c>
      <c r="G433" s="167" t="s">
        <v>2272</v>
      </c>
      <c r="H433" s="167" t="s">
        <v>121</v>
      </c>
      <c r="I433" s="167" t="s">
        <v>11</v>
      </c>
    </row>
    <row r="434" spans="1:9" x14ac:dyDescent="0.25">
      <c r="A434" s="95">
        <v>433</v>
      </c>
      <c r="B434" t="s">
        <v>58</v>
      </c>
      <c r="C434" t="s">
        <v>101</v>
      </c>
      <c r="D434" t="s">
        <v>129</v>
      </c>
      <c r="F434" s="1">
        <v>25575</v>
      </c>
      <c r="G434" s="167" t="s">
        <v>2272</v>
      </c>
      <c r="H434" s="167" t="s">
        <v>121</v>
      </c>
      <c r="I434" s="167" t="s">
        <v>11</v>
      </c>
    </row>
    <row r="435" spans="1:9" x14ac:dyDescent="0.25">
      <c r="A435" s="95">
        <v>434</v>
      </c>
      <c r="B435" t="s">
        <v>1857</v>
      </c>
      <c r="C435" t="s">
        <v>1858</v>
      </c>
      <c r="D435" t="s">
        <v>601</v>
      </c>
      <c r="F435" s="1">
        <v>23459</v>
      </c>
      <c r="G435" s="167" t="s">
        <v>2272</v>
      </c>
      <c r="H435" s="167" t="s">
        <v>121</v>
      </c>
      <c r="I435" s="167" t="s">
        <v>11</v>
      </c>
    </row>
    <row r="436" spans="1:9" x14ac:dyDescent="0.25">
      <c r="A436" s="95">
        <v>435</v>
      </c>
      <c r="B436" t="s">
        <v>1859</v>
      </c>
      <c r="C436" t="s">
        <v>1860</v>
      </c>
      <c r="D436" t="s">
        <v>1480</v>
      </c>
      <c r="F436" s="1">
        <v>31339</v>
      </c>
      <c r="G436" s="167" t="s">
        <v>2272</v>
      </c>
      <c r="H436" s="167" t="s">
        <v>121</v>
      </c>
      <c r="I436" s="167" t="s">
        <v>11</v>
      </c>
    </row>
    <row r="437" spans="1:9" x14ac:dyDescent="0.25">
      <c r="A437" s="95">
        <v>436</v>
      </c>
      <c r="B437" t="s">
        <v>64</v>
      </c>
      <c r="C437" t="s">
        <v>1861</v>
      </c>
      <c r="D437" t="s">
        <v>1773</v>
      </c>
      <c r="F437" s="1">
        <v>21555</v>
      </c>
      <c r="G437" s="167" t="s">
        <v>2272</v>
      </c>
      <c r="H437" s="167" t="s">
        <v>121</v>
      </c>
      <c r="I437" s="167" t="s">
        <v>11</v>
      </c>
    </row>
    <row r="438" spans="1:9" x14ac:dyDescent="0.25">
      <c r="A438" s="95">
        <v>437</v>
      </c>
      <c r="B438" t="s">
        <v>1862</v>
      </c>
      <c r="C438" t="s">
        <v>1863</v>
      </c>
      <c r="D438" t="s">
        <v>1864</v>
      </c>
      <c r="F438" s="1">
        <v>31600</v>
      </c>
      <c r="G438" s="167" t="s">
        <v>2272</v>
      </c>
      <c r="H438" s="167" t="s">
        <v>121</v>
      </c>
      <c r="I438" s="167" t="s">
        <v>11</v>
      </c>
    </row>
    <row r="439" spans="1:9" x14ac:dyDescent="0.25">
      <c r="A439" s="95">
        <v>438</v>
      </c>
      <c r="B439" t="s">
        <v>1865</v>
      </c>
      <c r="C439" t="s">
        <v>247</v>
      </c>
      <c r="D439" t="s">
        <v>1866</v>
      </c>
      <c r="F439" s="1">
        <v>26894</v>
      </c>
      <c r="G439" s="167" t="s">
        <v>2272</v>
      </c>
      <c r="H439" s="167" t="s">
        <v>121</v>
      </c>
      <c r="I439" s="167" t="s">
        <v>11</v>
      </c>
    </row>
    <row r="440" spans="1:9" x14ac:dyDescent="0.25">
      <c r="A440" s="95">
        <v>439</v>
      </c>
      <c r="B440" t="s">
        <v>1867</v>
      </c>
      <c r="C440" t="s">
        <v>1868</v>
      </c>
      <c r="D440" t="s">
        <v>1452</v>
      </c>
      <c r="F440" s="1">
        <v>35180</v>
      </c>
      <c r="G440" s="167" t="s">
        <v>2272</v>
      </c>
      <c r="H440" s="167" t="s">
        <v>121</v>
      </c>
      <c r="I440" s="167" t="s">
        <v>11</v>
      </c>
    </row>
    <row r="441" spans="1:9" x14ac:dyDescent="0.25">
      <c r="A441" s="95">
        <v>440</v>
      </c>
      <c r="B441" t="s">
        <v>1452</v>
      </c>
      <c r="C441" t="s">
        <v>1869</v>
      </c>
      <c r="D441" t="s">
        <v>918</v>
      </c>
      <c r="F441" s="1">
        <v>26710</v>
      </c>
      <c r="G441" s="167" t="s">
        <v>2272</v>
      </c>
      <c r="H441" s="167" t="s">
        <v>121</v>
      </c>
      <c r="I441" s="167" t="s">
        <v>11</v>
      </c>
    </row>
    <row r="442" spans="1:9" x14ac:dyDescent="0.25">
      <c r="A442" s="95">
        <v>441</v>
      </c>
      <c r="B442" t="s">
        <v>1790</v>
      </c>
      <c r="C442" t="s">
        <v>991</v>
      </c>
      <c r="D442" t="s">
        <v>89</v>
      </c>
      <c r="F442" s="1">
        <v>22369</v>
      </c>
      <c r="G442" s="167" t="s">
        <v>2272</v>
      </c>
      <c r="H442" s="167" t="s">
        <v>121</v>
      </c>
      <c r="I442" s="167" t="s">
        <v>11</v>
      </c>
    </row>
    <row r="443" spans="1:9" x14ac:dyDescent="0.25">
      <c r="A443" s="95">
        <v>442</v>
      </c>
      <c r="B443" t="s">
        <v>1279</v>
      </c>
      <c r="C443" t="s">
        <v>610</v>
      </c>
      <c r="D443" t="s">
        <v>38</v>
      </c>
      <c r="F443" s="1">
        <v>32014</v>
      </c>
      <c r="G443" s="167" t="s">
        <v>2273</v>
      </c>
      <c r="H443" s="167" t="s">
        <v>121</v>
      </c>
      <c r="I443" s="167" t="s">
        <v>11</v>
      </c>
    </row>
    <row r="444" spans="1:9" x14ac:dyDescent="0.25">
      <c r="A444" s="95">
        <v>443</v>
      </c>
      <c r="B444" t="s">
        <v>1275</v>
      </c>
      <c r="C444" t="s">
        <v>1870</v>
      </c>
      <c r="D444" t="s">
        <v>1751</v>
      </c>
      <c r="F444" s="1">
        <v>20193</v>
      </c>
      <c r="G444" s="167" t="s">
        <v>2272</v>
      </c>
      <c r="H444" s="167" t="s">
        <v>121</v>
      </c>
      <c r="I444" s="167" t="s">
        <v>11</v>
      </c>
    </row>
    <row r="445" spans="1:9" x14ac:dyDescent="0.25">
      <c r="A445" s="95">
        <v>444</v>
      </c>
      <c r="B445" t="s">
        <v>1871</v>
      </c>
      <c r="C445" t="s">
        <v>1872</v>
      </c>
      <c r="D445" t="s">
        <v>1873</v>
      </c>
      <c r="E445" t="s">
        <v>67</v>
      </c>
      <c r="F445" s="1">
        <v>34735</v>
      </c>
      <c r="G445" s="167" t="s">
        <v>2272</v>
      </c>
      <c r="H445" s="167" t="s">
        <v>121</v>
      </c>
      <c r="I445" s="167" t="s">
        <v>11</v>
      </c>
    </row>
    <row r="446" spans="1:9" x14ac:dyDescent="0.25">
      <c r="A446" s="95">
        <v>445</v>
      </c>
      <c r="B446" t="s">
        <v>1874</v>
      </c>
      <c r="C446" t="s">
        <v>1875</v>
      </c>
      <c r="D446" t="s">
        <v>810</v>
      </c>
      <c r="F446" s="1">
        <v>29097</v>
      </c>
      <c r="G446" s="167" t="s">
        <v>2272</v>
      </c>
      <c r="H446" s="167" t="s">
        <v>121</v>
      </c>
      <c r="I446" s="167" t="s">
        <v>11</v>
      </c>
    </row>
    <row r="447" spans="1:9" x14ac:dyDescent="0.25">
      <c r="A447" s="95">
        <v>446</v>
      </c>
      <c r="B447" t="s">
        <v>1848</v>
      </c>
      <c r="C447" t="s">
        <v>57</v>
      </c>
      <c r="D447" t="s">
        <v>1426</v>
      </c>
      <c r="F447" s="1">
        <v>24888</v>
      </c>
      <c r="G447" s="167" t="s">
        <v>2272</v>
      </c>
      <c r="H447" s="167" t="s">
        <v>121</v>
      </c>
      <c r="I447" s="167" t="s">
        <v>11</v>
      </c>
    </row>
    <row r="448" spans="1:9" x14ac:dyDescent="0.25">
      <c r="A448" s="95">
        <v>447</v>
      </c>
      <c r="B448" t="s">
        <v>1876</v>
      </c>
      <c r="C448" t="s">
        <v>1389</v>
      </c>
      <c r="D448" t="s">
        <v>1877</v>
      </c>
      <c r="F448" s="1">
        <v>22803</v>
      </c>
      <c r="G448" s="167" t="s">
        <v>2272</v>
      </c>
      <c r="H448" s="167" t="s">
        <v>121</v>
      </c>
      <c r="I448" s="167" t="s">
        <v>11</v>
      </c>
    </row>
    <row r="449" spans="1:9" x14ac:dyDescent="0.25">
      <c r="A449" s="95">
        <v>448</v>
      </c>
      <c r="B449" t="s">
        <v>1878</v>
      </c>
      <c r="C449" t="s">
        <v>150</v>
      </c>
      <c r="F449" s="1">
        <v>26429</v>
      </c>
      <c r="G449" s="167" t="s">
        <v>2272</v>
      </c>
      <c r="H449" s="167" t="s">
        <v>121</v>
      </c>
      <c r="I449" s="167" t="s">
        <v>11</v>
      </c>
    </row>
    <row r="450" spans="1:9" x14ac:dyDescent="0.25">
      <c r="A450" s="95">
        <v>449</v>
      </c>
      <c r="B450" t="s">
        <v>1797</v>
      </c>
      <c r="C450" t="s">
        <v>1839</v>
      </c>
      <c r="D450" t="s">
        <v>1879</v>
      </c>
      <c r="F450" s="1">
        <v>21507</v>
      </c>
      <c r="G450" s="167" t="s">
        <v>2272</v>
      </c>
      <c r="H450" s="167" t="s">
        <v>121</v>
      </c>
      <c r="I450" s="167" t="s">
        <v>11</v>
      </c>
    </row>
    <row r="451" spans="1:9" x14ac:dyDescent="0.25">
      <c r="A451" s="95">
        <v>450</v>
      </c>
      <c r="B451" t="s">
        <v>1833</v>
      </c>
      <c r="C451" t="s">
        <v>1880</v>
      </c>
      <c r="D451" t="s">
        <v>1881</v>
      </c>
      <c r="F451" s="1">
        <v>23897</v>
      </c>
      <c r="G451" s="167" t="s">
        <v>2272</v>
      </c>
      <c r="H451" s="167" t="s">
        <v>121</v>
      </c>
      <c r="I451" s="167" t="s">
        <v>11</v>
      </c>
    </row>
    <row r="452" spans="1:9" x14ac:dyDescent="0.25">
      <c r="A452" s="95">
        <v>451</v>
      </c>
      <c r="B452" t="s">
        <v>1882</v>
      </c>
      <c r="C452" t="s">
        <v>1883</v>
      </c>
      <c r="D452" t="s">
        <v>109</v>
      </c>
      <c r="F452" s="1">
        <v>21722</v>
      </c>
      <c r="G452" s="167" t="s">
        <v>2272</v>
      </c>
      <c r="H452" s="167" t="s">
        <v>121</v>
      </c>
      <c r="I452" s="167" t="s">
        <v>11</v>
      </c>
    </row>
    <row r="453" spans="1:9" x14ac:dyDescent="0.25">
      <c r="A453" s="95">
        <v>452</v>
      </c>
      <c r="B453" t="s">
        <v>621</v>
      </c>
      <c r="C453" t="s">
        <v>1884</v>
      </c>
      <c r="D453" t="s">
        <v>117</v>
      </c>
      <c r="F453" s="1">
        <v>15066</v>
      </c>
      <c r="G453" s="167" t="s">
        <v>2272</v>
      </c>
      <c r="H453" s="167" t="s">
        <v>121</v>
      </c>
      <c r="I453" s="167" t="s">
        <v>11</v>
      </c>
    </row>
    <row r="454" spans="1:9" x14ac:dyDescent="0.25">
      <c r="A454" s="95">
        <v>453</v>
      </c>
      <c r="B454" t="s">
        <v>1554</v>
      </c>
      <c r="C454" t="s">
        <v>1440</v>
      </c>
      <c r="D454" t="s">
        <v>1769</v>
      </c>
      <c r="F454" s="1">
        <v>31398</v>
      </c>
      <c r="G454" s="167" t="s">
        <v>2272</v>
      </c>
      <c r="H454" s="167" t="s">
        <v>121</v>
      </c>
      <c r="I454" s="167" t="s">
        <v>11</v>
      </c>
    </row>
    <row r="455" spans="1:9" x14ac:dyDescent="0.25">
      <c r="A455" s="95">
        <v>454</v>
      </c>
      <c r="B455" t="s">
        <v>1885</v>
      </c>
      <c r="C455" t="s">
        <v>566</v>
      </c>
      <c r="D455" t="s">
        <v>1447</v>
      </c>
      <c r="F455" s="1">
        <v>27957</v>
      </c>
      <c r="G455" s="167" t="s">
        <v>2272</v>
      </c>
      <c r="H455" s="167" t="s">
        <v>121</v>
      </c>
      <c r="I455" s="167" t="s">
        <v>11</v>
      </c>
    </row>
    <row r="456" spans="1:9" x14ac:dyDescent="0.25">
      <c r="A456" s="95">
        <v>455</v>
      </c>
      <c r="B456" t="s">
        <v>737</v>
      </c>
      <c r="C456" t="s">
        <v>610</v>
      </c>
      <c r="D456" t="s">
        <v>1886</v>
      </c>
      <c r="F456" s="1">
        <v>31747</v>
      </c>
      <c r="G456" s="167" t="s">
        <v>2272</v>
      </c>
      <c r="H456" s="167" t="s">
        <v>121</v>
      </c>
      <c r="I456" s="167" t="s">
        <v>11</v>
      </c>
    </row>
    <row r="457" spans="1:9" x14ac:dyDescent="0.25">
      <c r="A457" s="95">
        <v>456</v>
      </c>
      <c r="B457" t="s">
        <v>1887</v>
      </c>
      <c r="C457" t="s">
        <v>1888</v>
      </c>
      <c r="D457" t="s">
        <v>1889</v>
      </c>
      <c r="F457" s="1">
        <v>38996</v>
      </c>
      <c r="G457" s="167" t="s">
        <v>2276</v>
      </c>
      <c r="H457" s="167" t="s">
        <v>121</v>
      </c>
      <c r="I457" s="167" t="s">
        <v>11</v>
      </c>
    </row>
    <row r="458" spans="1:9" x14ac:dyDescent="0.25">
      <c r="A458" s="95">
        <v>457</v>
      </c>
      <c r="B458" t="s">
        <v>1827</v>
      </c>
      <c r="C458" t="s">
        <v>1890</v>
      </c>
      <c r="D458" t="s">
        <v>1891</v>
      </c>
      <c r="F458" s="1">
        <v>33152</v>
      </c>
      <c r="G458" s="167" t="s">
        <v>2272</v>
      </c>
      <c r="H458" s="167" t="s">
        <v>121</v>
      </c>
      <c r="I458" s="167" t="s">
        <v>11</v>
      </c>
    </row>
    <row r="459" spans="1:9" x14ac:dyDescent="0.25">
      <c r="A459" s="95">
        <v>458</v>
      </c>
      <c r="B459" t="s">
        <v>737</v>
      </c>
      <c r="C459" t="s">
        <v>1892</v>
      </c>
      <c r="D459" t="s">
        <v>1767</v>
      </c>
      <c r="F459" s="1">
        <v>36998</v>
      </c>
      <c r="G459" s="167" t="s">
        <v>2272</v>
      </c>
      <c r="H459" s="167" t="s">
        <v>121</v>
      </c>
      <c r="I459" s="167" t="s">
        <v>11</v>
      </c>
    </row>
    <row r="460" spans="1:9" x14ac:dyDescent="0.25">
      <c r="A460" s="95">
        <v>459</v>
      </c>
      <c r="B460" t="s">
        <v>1893</v>
      </c>
      <c r="C460" t="s">
        <v>1894</v>
      </c>
      <c r="D460" t="s">
        <v>286</v>
      </c>
      <c r="F460" s="1">
        <v>19098</v>
      </c>
      <c r="G460" s="167" t="s">
        <v>2272</v>
      </c>
      <c r="H460" s="167" t="s">
        <v>121</v>
      </c>
      <c r="I460" s="167" t="s">
        <v>11</v>
      </c>
    </row>
    <row r="461" spans="1:9" x14ac:dyDescent="0.25">
      <c r="A461" s="95">
        <v>460</v>
      </c>
      <c r="B461" t="s">
        <v>1773</v>
      </c>
      <c r="C461" t="s">
        <v>1821</v>
      </c>
      <c r="D461" t="s">
        <v>1836</v>
      </c>
      <c r="F461" s="1">
        <v>32340</v>
      </c>
      <c r="G461" s="167" t="s">
        <v>2272</v>
      </c>
      <c r="H461" s="167" t="s">
        <v>121</v>
      </c>
      <c r="I461" s="167" t="s">
        <v>11</v>
      </c>
    </row>
    <row r="462" spans="1:9" x14ac:dyDescent="0.25">
      <c r="A462" s="95">
        <v>461</v>
      </c>
      <c r="B462" t="s">
        <v>125</v>
      </c>
      <c r="C462" t="s">
        <v>1895</v>
      </c>
      <c r="D462" t="s">
        <v>81</v>
      </c>
      <c r="F462" s="1">
        <v>27652</v>
      </c>
      <c r="G462" s="167" t="s">
        <v>2272</v>
      </c>
      <c r="H462" s="167" t="s">
        <v>121</v>
      </c>
      <c r="I462" s="167" t="s">
        <v>11</v>
      </c>
    </row>
    <row r="463" spans="1:9" x14ac:dyDescent="0.25">
      <c r="A463" s="95">
        <v>462</v>
      </c>
      <c r="B463" t="s">
        <v>1896</v>
      </c>
      <c r="C463" t="s">
        <v>1897</v>
      </c>
      <c r="D463" t="s">
        <v>1898</v>
      </c>
      <c r="F463" s="1">
        <v>31584</v>
      </c>
      <c r="G463" s="167" t="s">
        <v>2272</v>
      </c>
      <c r="H463" s="167" t="s">
        <v>121</v>
      </c>
      <c r="I463" s="167" t="s">
        <v>11</v>
      </c>
    </row>
    <row r="464" spans="1:9" x14ac:dyDescent="0.25">
      <c r="A464" s="95">
        <v>463</v>
      </c>
      <c r="B464" t="s">
        <v>1554</v>
      </c>
      <c r="C464" t="s">
        <v>1899</v>
      </c>
      <c r="D464" t="s">
        <v>1900</v>
      </c>
      <c r="F464" s="1">
        <v>26418</v>
      </c>
      <c r="G464" s="167" t="s">
        <v>2272</v>
      </c>
      <c r="H464" s="167" t="s">
        <v>121</v>
      </c>
      <c r="I464" s="167" t="s">
        <v>11</v>
      </c>
    </row>
    <row r="465" spans="1:9" x14ac:dyDescent="0.25">
      <c r="A465" s="95">
        <v>464</v>
      </c>
      <c r="B465" t="s">
        <v>1275</v>
      </c>
      <c r="C465" t="s">
        <v>791</v>
      </c>
      <c r="D465" t="s">
        <v>1773</v>
      </c>
      <c r="F465" s="1">
        <v>22726</v>
      </c>
      <c r="G465" s="167" t="s">
        <v>2272</v>
      </c>
      <c r="H465" s="167" t="s">
        <v>121</v>
      </c>
      <c r="I465" s="167" t="s">
        <v>11</v>
      </c>
    </row>
    <row r="466" spans="1:9" x14ac:dyDescent="0.25">
      <c r="A466" s="95">
        <v>465</v>
      </c>
      <c r="B466" t="s">
        <v>1393</v>
      </c>
      <c r="C466" t="s">
        <v>1901</v>
      </c>
      <c r="D466" t="s">
        <v>1902</v>
      </c>
      <c r="F466" s="1">
        <v>21613</v>
      </c>
      <c r="G466" s="167" t="s">
        <v>2272</v>
      </c>
      <c r="H466" s="167" t="s">
        <v>121</v>
      </c>
      <c r="I466" s="167" t="s">
        <v>11</v>
      </c>
    </row>
    <row r="467" spans="1:9" x14ac:dyDescent="0.25">
      <c r="A467" s="95">
        <v>466</v>
      </c>
      <c r="B467" t="s">
        <v>331</v>
      </c>
      <c r="C467" t="s">
        <v>1903</v>
      </c>
      <c r="D467" t="s">
        <v>789</v>
      </c>
      <c r="F467" s="1">
        <v>20146</v>
      </c>
      <c r="G467" s="167" t="s">
        <v>2273</v>
      </c>
      <c r="H467" s="167" t="s">
        <v>121</v>
      </c>
      <c r="I467" s="167" t="s">
        <v>11</v>
      </c>
    </row>
    <row r="468" spans="1:9" x14ac:dyDescent="0.25">
      <c r="A468" s="95">
        <v>467</v>
      </c>
      <c r="B468" t="s">
        <v>1904</v>
      </c>
      <c r="C468" t="s">
        <v>1905</v>
      </c>
      <c r="D468" t="s">
        <v>1906</v>
      </c>
      <c r="F468" s="1">
        <v>35001</v>
      </c>
      <c r="G468" s="167" t="s">
        <v>2272</v>
      </c>
      <c r="H468" s="167" t="s">
        <v>121</v>
      </c>
      <c r="I468" s="167" t="s">
        <v>11</v>
      </c>
    </row>
    <row r="469" spans="1:9" x14ac:dyDescent="0.25">
      <c r="A469" s="95">
        <v>468</v>
      </c>
      <c r="B469" t="s">
        <v>1751</v>
      </c>
      <c r="C469" t="s">
        <v>1907</v>
      </c>
      <c r="D469" t="s">
        <v>1908</v>
      </c>
      <c r="F469" s="1">
        <v>24649</v>
      </c>
      <c r="G469" s="167" t="s">
        <v>2272</v>
      </c>
      <c r="H469" s="167" t="s">
        <v>121</v>
      </c>
      <c r="I469" s="167" t="s">
        <v>11</v>
      </c>
    </row>
    <row r="470" spans="1:9" x14ac:dyDescent="0.25">
      <c r="A470" s="95">
        <v>469</v>
      </c>
      <c r="B470" t="s">
        <v>117</v>
      </c>
      <c r="C470" t="s">
        <v>692</v>
      </c>
      <c r="D470" t="s">
        <v>1909</v>
      </c>
      <c r="E470" t="s">
        <v>106</v>
      </c>
      <c r="F470" s="1">
        <v>23508</v>
      </c>
      <c r="G470" s="167" t="s">
        <v>2272</v>
      </c>
      <c r="H470" s="167" t="s">
        <v>121</v>
      </c>
      <c r="I470" s="167" t="s">
        <v>11</v>
      </c>
    </row>
    <row r="471" spans="1:9" x14ac:dyDescent="0.25">
      <c r="A471" s="95">
        <v>470</v>
      </c>
      <c r="B471" t="s">
        <v>1859</v>
      </c>
      <c r="C471" t="s">
        <v>1910</v>
      </c>
      <c r="D471" t="s">
        <v>1911</v>
      </c>
      <c r="F471" s="1">
        <v>22969</v>
      </c>
      <c r="G471" s="167" t="s">
        <v>2272</v>
      </c>
      <c r="H471" s="167" t="s">
        <v>121</v>
      </c>
      <c r="I471" s="167" t="s">
        <v>11</v>
      </c>
    </row>
    <row r="472" spans="1:9" x14ac:dyDescent="0.25">
      <c r="A472" s="95">
        <v>471</v>
      </c>
      <c r="B472" t="s">
        <v>1848</v>
      </c>
      <c r="C472" t="s">
        <v>1545</v>
      </c>
      <c r="D472" t="s">
        <v>1912</v>
      </c>
      <c r="F472" s="1">
        <v>22147</v>
      </c>
      <c r="G472" s="167" t="s">
        <v>2272</v>
      </c>
      <c r="H472" s="167" t="s">
        <v>121</v>
      </c>
      <c r="I472" s="167" t="s">
        <v>11</v>
      </c>
    </row>
    <row r="473" spans="1:9" x14ac:dyDescent="0.25">
      <c r="A473" s="95">
        <v>472</v>
      </c>
      <c r="B473" t="s">
        <v>1408</v>
      </c>
      <c r="C473" t="s">
        <v>60</v>
      </c>
      <c r="D473" t="s">
        <v>1913</v>
      </c>
      <c r="F473" s="1">
        <v>29544</v>
      </c>
      <c r="G473" s="167" t="s">
        <v>2272</v>
      </c>
      <c r="H473" s="167" t="s">
        <v>121</v>
      </c>
      <c r="I473" s="167" t="s">
        <v>11</v>
      </c>
    </row>
    <row r="474" spans="1:9" x14ac:dyDescent="0.25">
      <c r="A474" s="95">
        <v>473</v>
      </c>
      <c r="B474" t="s">
        <v>97</v>
      </c>
      <c r="C474" t="s">
        <v>69</v>
      </c>
      <c r="D474" t="s">
        <v>1914</v>
      </c>
      <c r="F474" s="1">
        <v>28563</v>
      </c>
      <c r="G474" s="167" t="s">
        <v>2272</v>
      </c>
      <c r="H474" s="167" t="s">
        <v>121</v>
      </c>
      <c r="I474" s="167" t="s">
        <v>11</v>
      </c>
    </row>
    <row r="475" spans="1:9" x14ac:dyDescent="0.25">
      <c r="A475" s="95">
        <v>474</v>
      </c>
      <c r="B475" t="s">
        <v>1275</v>
      </c>
      <c r="C475" t="s">
        <v>1553</v>
      </c>
      <c r="D475" t="s">
        <v>1498</v>
      </c>
      <c r="F475" s="1">
        <v>26136</v>
      </c>
      <c r="G475" s="167" t="s">
        <v>2272</v>
      </c>
      <c r="H475" s="167" t="s">
        <v>121</v>
      </c>
      <c r="I475" s="167" t="s">
        <v>11</v>
      </c>
    </row>
    <row r="476" spans="1:9" x14ac:dyDescent="0.25">
      <c r="A476" s="95">
        <v>475</v>
      </c>
      <c r="B476" t="s">
        <v>1915</v>
      </c>
      <c r="C476" t="s">
        <v>1502</v>
      </c>
      <c r="D476" t="s">
        <v>1916</v>
      </c>
      <c r="F476" s="1">
        <v>23322</v>
      </c>
      <c r="G476" s="167" t="s">
        <v>2272</v>
      </c>
      <c r="H476" s="167" t="s">
        <v>121</v>
      </c>
      <c r="I476" s="167" t="s">
        <v>11</v>
      </c>
    </row>
    <row r="477" spans="1:9" x14ac:dyDescent="0.25">
      <c r="A477" s="95">
        <v>476</v>
      </c>
      <c r="B477" t="s">
        <v>1917</v>
      </c>
      <c r="C477" t="s">
        <v>151</v>
      </c>
      <c r="D477" t="s">
        <v>1918</v>
      </c>
      <c r="F477" s="1">
        <v>26553</v>
      </c>
      <c r="G477" s="167" t="s">
        <v>2276</v>
      </c>
      <c r="H477" s="167" t="s">
        <v>121</v>
      </c>
      <c r="I477" s="167" t="s">
        <v>11</v>
      </c>
    </row>
    <row r="478" spans="1:9" x14ac:dyDescent="0.25">
      <c r="A478" s="95">
        <v>477</v>
      </c>
      <c r="B478" t="s">
        <v>1833</v>
      </c>
      <c r="C478" t="s">
        <v>1880</v>
      </c>
      <c r="D478" t="s">
        <v>220</v>
      </c>
      <c r="F478" s="1">
        <v>35350</v>
      </c>
      <c r="G478" s="167" t="s">
        <v>2272</v>
      </c>
      <c r="H478" s="167" t="s">
        <v>121</v>
      </c>
      <c r="I478" s="167" t="s">
        <v>11</v>
      </c>
    </row>
    <row r="479" spans="1:9" x14ac:dyDescent="0.25">
      <c r="A479" s="95">
        <v>478</v>
      </c>
      <c r="B479" t="s">
        <v>1879</v>
      </c>
      <c r="C479" t="s">
        <v>1919</v>
      </c>
      <c r="D479" t="s">
        <v>117</v>
      </c>
      <c r="F479" s="1">
        <v>17503</v>
      </c>
      <c r="G479" s="167" t="s">
        <v>2272</v>
      </c>
      <c r="H479" s="167" t="s">
        <v>121</v>
      </c>
      <c r="I479" s="167" t="s">
        <v>11</v>
      </c>
    </row>
    <row r="480" spans="1:9" x14ac:dyDescent="0.25">
      <c r="A480" s="95">
        <v>479</v>
      </c>
      <c r="B480" t="s">
        <v>737</v>
      </c>
      <c r="C480" t="s">
        <v>1920</v>
      </c>
      <c r="D480" t="s">
        <v>1886</v>
      </c>
      <c r="F480" s="1">
        <v>33804</v>
      </c>
      <c r="G480" s="167" t="s">
        <v>2272</v>
      </c>
      <c r="H480" s="167" t="s">
        <v>121</v>
      </c>
      <c r="I480" s="167" t="s">
        <v>11</v>
      </c>
    </row>
    <row r="481" spans="1:9" x14ac:dyDescent="0.25">
      <c r="A481" s="95">
        <v>480</v>
      </c>
      <c r="B481" t="s">
        <v>129</v>
      </c>
      <c r="C481" t="s">
        <v>1921</v>
      </c>
      <c r="D481" t="s">
        <v>953</v>
      </c>
      <c r="F481" s="1">
        <v>33064</v>
      </c>
      <c r="G481" s="167" t="s">
        <v>2276</v>
      </c>
      <c r="H481" s="167" t="s">
        <v>121</v>
      </c>
      <c r="I481" s="167" t="s">
        <v>11</v>
      </c>
    </row>
    <row r="482" spans="1:9" x14ac:dyDescent="0.25">
      <c r="A482" s="95">
        <v>481</v>
      </c>
      <c r="B482" t="s">
        <v>1922</v>
      </c>
      <c r="C482" t="s">
        <v>1923</v>
      </c>
      <c r="D482" t="s">
        <v>1924</v>
      </c>
      <c r="F482" s="1">
        <v>27440</v>
      </c>
      <c r="G482" s="167" t="s">
        <v>2272</v>
      </c>
      <c r="H482" s="167" t="s">
        <v>121</v>
      </c>
      <c r="I482" s="167" t="s">
        <v>11</v>
      </c>
    </row>
    <row r="483" spans="1:9" x14ac:dyDescent="0.25">
      <c r="A483" s="95">
        <v>482</v>
      </c>
      <c r="B483" t="s">
        <v>1426</v>
      </c>
      <c r="C483" t="s">
        <v>1925</v>
      </c>
      <c r="D483" t="s">
        <v>1926</v>
      </c>
      <c r="F483" s="1">
        <v>26085</v>
      </c>
      <c r="G483" s="167" t="s">
        <v>2276</v>
      </c>
      <c r="H483" s="167" t="s">
        <v>121</v>
      </c>
      <c r="I483" s="167" t="s">
        <v>11</v>
      </c>
    </row>
    <row r="484" spans="1:9" x14ac:dyDescent="0.25">
      <c r="A484" s="95">
        <v>483</v>
      </c>
      <c r="B484" t="s">
        <v>1851</v>
      </c>
      <c r="C484" t="s">
        <v>1927</v>
      </c>
      <c r="D484" t="s">
        <v>1751</v>
      </c>
      <c r="F484" s="1">
        <v>31328</v>
      </c>
      <c r="G484" s="167" t="s">
        <v>2272</v>
      </c>
      <c r="H484" s="167" t="s">
        <v>121</v>
      </c>
      <c r="I484" s="167" t="s">
        <v>11</v>
      </c>
    </row>
    <row r="485" spans="1:9" x14ac:dyDescent="0.25">
      <c r="A485" s="95">
        <v>484</v>
      </c>
      <c r="B485" t="s">
        <v>89</v>
      </c>
      <c r="C485" t="s">
        <v>1928</v>
      </c>
      <c r="D485" t="s">
        <v>1929</v>
      </c>
      <c r="F485" s="1">
        <v>31570</v>
      </c>
      <c r="G485" s="167" t="s">
        <v>2272</v>
      </c>
      <c r="H485" s="167" t="s">
        <v>121</v>
      </c>
      <c r="I485" s="167" t="s">
        <v>11</v>
      </c>
    </row>
    <row r="486" spans="1:9" x14ac:dyDescent="0.25">
      <c r="A486" s="95">
        <v>485</v>
      </c>
      <c r="B486" t="s">
        <v>1275</v>
      </c>
      <c r="C486" t="s">
        <v>1512</v>
      </c>
      <c r="D486" t="s">
        <v>1773</v>
      </c>
      <c r="F486" s="1">
        <v>29793</v>
      </c>
      <c r="G486" s="167" t="s">
        <v>2272</v>
      </c>
      <c r="H486" s="167" t="s">
        <v>121</v>
      </c>
      <c r="I486" s="167" t="s">
        <v>11</v>
      </c>
    </row>
    <row r="487" spans="1:9" x14ac:dyDescent="0.25">
      <c r="A487" s="95">
        <v>486</v>
      </c>
      <c r="B487" t="s">
        <v>1930</v>
      </c>
      <c r="C487" t="s">
        <v>1382</v>
      </c>
      <c r="D487" t="s">
        <v>1758</v>
      </c>
      <c r="F487" s="1">
        <v>20369</v>
      </c>
      <c r="G487" s="167" t="s">
        <v>2272</v>
      </c>
      <c r="H487" s="167" t="s">
        <v>121</v>
      </c>
      <c r="I487" s="167" t="s">
        <v>11</v>
      </c>
    </row>
    <row r="488" spans="1:9" x14ac:dyDescent="0.25">
      <c r="A488" s="95">
        <v>487</v>
      </c>
      <c r="B488" t="s">
        <v>1426</v>
      </c>
      <c r="C488" t="s">
        <v>1931</v>
      </c>
      <c r="D488" t="s">
        <v>1001</v>
      </c>
      <c r="F488" s="1">
        <v>34895</v>
      </c>
      <c r="G488" s="167" t="s">
        <v>2276</v>
      </c>
      <c r="H488" s="167" t="s">
        <v>121</v>
      </c>
      <c r="I488" s="167" t="s">
        <v>11</v>
      </c>
    </row>
    <row r="489" spans="1:9" x14ac:dyDescent="0.25">
      <c r="A489" s="95">
        <v>488</v>
      </c>
      <c r="B489" t="s">
        <v>1533</v>
      </c>
      <c r="C489" t="s">
        <v>1502</v>
      </c>
      <c r="D489" t="s">
        <v>1932</v>
      </c>
      <c r="F489" s="1">
        <v>25790</v>
      </c>
      <c r="G489" s="167" t="s">
        <v>2276</v>
      </c>
      <c r="H489" s="167" t="s">
        <v>121</v>
      </c>
      <c r="I489" s="167" t="s">
        <v>11</v>
      </c>
    </row>
    <row r="490" spans="1:9" x14ac:dyDescent="0.25">
      <c r="A490" s="95">
        <v>489</v>
      </c>
      <c r="B490" t="s">
        <v>1933</v>
      </c>
      <c r="C490" t="s">
        <v>1934</v>
      </c>
      <c r="D490" t="s">
        <v>1935</v>
      </c>
      <c r="F490" s="1">
        <v>22332</v>
      </c>
      <c r="G490" s="167" t="s">
        <v>2272</v>
      </c>
      <c r="H490" s="167" t="s">
        <v>121</v>
      </c>
      <c r="I490" s="167" t="s">
        <v>11</v>
      </c>
    </row>
    <row r="491" spans="1:9" x14ac:dyDescent="0.25">
      <c r="A491" s="95">
        <v>490</v>
      </c>
      <c r="B491" t="s">
        <v>495</v>
      </c>
      <c r="C491" t="s">
        <v>1680</v>
      </c>
      <c r="D491" t="s">
        <v>1806</v>
      </c>
      <c r="F491" s="1">
        <v>21310</v>
      </c>
      <c r="G491" s="167" t="s">
        <v>2272</v>
      </c>
      <c r="H491" s="167" t="s">
        <v>121</v>
      </c>
      <c r="I491" s="167" t="s">
        <v>11</v>
      </c>
    </row>
    <row r="492" spans="1:9" x14ac:dyDescent="0.25">
      <c r="A492" s="95">
        <v>491</v>
      </c>
      <c r="B492" t="s">
        <v>1827</v>
      </c>
      <c r="C492" t="s">
        <v>1936</v>
      </c>
      <c r="D492" t="s">
        <v>1937</v>
      </c>
      <c r="F492" s="1">
        <v>21883</v>
      </c>
      <c r="G492" s="167" t="s">
        <v>2272</v>
      </c>
      <c r="H492" s="167" t="s">
        <v>121</v>
      </c>
      <c r="I492" s="167" t="s">
        <v>11</v>
      </c>
    </row>
    <row r="493" spans="1:9" x14ac:dyDescent="0.25">
      <c r="A493" s="95">
        <v>492</v>
      </c>
      <c r="B493" t="s">
        <v>87</v>
      </c>
      <c r="C493" t="s">
        <v>1938</v>
      </c>
      <c r="D493" t="s">
        <v>1939</v>
      </c>
      <c r="F493" s="1">
        <v>24842</v>
      </c>
      <c r="G493" s="167" t="s">
        <v>2272</v>
      </c>
      <c r="H493" s="167" t="s">
        <v>121</v>
      </c>
      <c r="I493" s="167" t="s">
        <v>11</v>
      </c>
    </row>
    <row r="494" spans="1:9" x14ac:dyDescent="0.25">
      <c r="A494" s="95">
        <v>493</v>
      </c>
      <c r="B494" t="s">
        <v>1345</v>
      </c>
      <c r="C494" t="s">
        <v>970</v>
      </c>
      <c r="D494" t="s">
        <v>1328</v>
      </c>
      <c r="F494" s="1">
        <v>32903</v>
      </c>
      <c r="G494" s="167" t="s">
        <v>2276</v>
      </c>
      <c r="H494" s="167" t="s">
        <v>121</v>
      </c>
      <c r="I494" s="167" t="s">
        <v>11</v>
      </c>
    </row>
    <row r="495" spans="1:9" x14ac:dyDescent="0.25">
      <c r="A495" s="95">
        <v>494</v>
      </c>
      <c r="B495" t="s">
        <v>1940</v>
      </c>
      <c r="C495" t="s">
        <v>144</v>
      </c>
      <c r="D495" t="s">
        <v>1941</v>
      </c>
      <c r="F495" s="1">
        <v>28906</v>
      </c>
      <c r="G495" s="167" t="s">
        <v>2276</v>
      </c>
      <c r="H495" s="167" t="s">
        <v>121</v>
      </c>
      <c r="I495" s="167" t="s">
        <v>11</v>
      </c>
    </row>
    <row r="496" spans="1:9" x14ac:dyDescent="0.25">
      <c r="A496" s="95">
        <v>495</v>
      </c>
      <c r="B496" t="s">
        <v>1752</v>
      </c>
      <c r="C496" t="s">
        <v>1942</v>
      </c>
      <c r="D496" t="s">
        <v>1848</v>
      </c>
      <c r="F496" s="1">
        <v>30260</v>
      </c>
      <c r="G496" s="167" t="s">
        <v>2272</v>
      </c>
      <c r="H496" s="167" t="s">
        <v>121</v>
      </c>
      <c r="I496" s="167" t="s">
        <v>11</v>
      </c>
    </row>
    <row r="497" spans="1:9" x14ac:dyDescent="0.25">
      <c r="A497" s="95">
        <v>496</v>
      </c>
      <c r="B497" t="s">
        <v>1867</v>
      </c>
      <c r="C497" t="s">
        <v>1659</v>
      </c>
      <c r="D497" t="s">
        <v>1452</v>
      </c>
      <c r="F497" s="1">
        <v>19983</v>
      </c>
      <c r="G497" s="167" t="s">
        <v>2272</v>
      </c>
      <c r="H497" s="167" t="s">
        <v>121</v>
      </c>
      <c r="I497" s="167" t="s">
        <v>11</v>
      </c>
    </row>
    <row r="498" spans="1:9" x14ac:dyDescent="0.25">
      <c r="A498" s="95">
        <v>497</v>
      </c>
      <c r="B498" t="s">
        <v>941</v>
      </c>
      <c r="C498" t="s">
        <v>146</v>
      </c>
      <c r="D498" t="s">
        <v>1943</v>
      </c>
      <c r="F498" s="1">
        <v>20803</v>
      </c>
      <c r="G498" s="167" t="s">
        <v>2272</v>
      </c>
      <c r="H498" s="167" t="s">
        <v>121</v>
      </c>
      <c r="I498" s="167" t="s">
        <v>11</v>
      </c>
    </row>
    <row r="499" spans="1:9" x14ac:dyDescent="0.25">
      <c r="A499" s="95">
        <v>498</v>
      </c>
      <c r="B499" t="s">
        <v>1426</v>
      </c>
      <c r="C499" t="s">
        <v>1944</v>
      </c>
      <c r="D499" t="s">
        <v>120</v>
      </c>
      <c r="F499" s="1">
        <v>34903</v>
      </c>
      <c r="G499" s="167" t="s">
        <v>2276</v>
      </c>
      <c r="H499" s="167" t="s">
        <v>121</v>
      </c>
      <c r="I499" s="167" t="s">
        <v>11</v>
      </c>
    </row>
    <row r="500" spans="1:9" x14ac:dyDescent="0.25">
      <c r="A500" s="95">
        <v>499</v>
      </c>
      <c r="B500" t="s">
        <v>1898</v>
      </c>
      <c r="C500" t="s">
        <v>322</v>
      </c>
      <c r="D500" t="s">
        <v>1945</v>
      </c>
      <c r="F500" s="1">
        <v>32853</v>
      </c>
      <c r="G500" s="167" t="s">
        <v>2272</v>
      </c>
      <c r="H500" s="167" t="s">
        <v>121</v>
      </c>
      <c r="I500" s="167" t="s">
        <v>11</v>
      </c>
    </row>
    <row r="501" spans="1:9" x14ac:dyDescent="0.25">
      <c r="A501" s="95">
        <v>500</v>
      </c>
      <c r="B501" t="s">
        <v>1900</v>
      </c>
      <c r="C501" t="s">
        <v>1946</v>
      </c>
      <c r="D501" t="s">
        <v>64</v>
      </c>
      <c r="F501" s="1">
        <v>17847</v>
      </c>
      <c r="G501" s="167" t="s">
        <v>2272</v>
      </c>
      <c r="H501" s="167" t="s">
        <v>121</v>
      </c>
      <c r="I501" s="167" t="s">
        <v>11</v>
      </c>
    </row>
    <row r="502" spans="1:9" x14ac:dyDescent="0.25">
      <c r="A502" s="95">
        <v>501</v>
      </c>
      <c r="B502" t="s">
        <v>1915</v>
      </c>
      <c r="C502" t="s">
        <v>1947</v>
      </c>
      <c r="D502" t="s">
        <v>1948</v>
      </c>
      <c r="F502" s="1">
        <v>19042</v>
      </c>
      <c r="G502" s="167" t="s">
        <v>2272</v>
      </c>
      <c r="H502" s="167" t="s">
        <v>121</v>
      </c>
      <c r="I502" s="167" t="s">
        <v>11</v>
      </c>
    </row>
    <row r="503" spans="1:9" x14ac:dyDescent="0.25">
      <c r="A503" s="95">
        <v>502</v>
      </c>
      <c r="B503" t="s">
        <v>1949</v>
      </c>
      <c r="C503" t="s">
        <v>1950</v>
      </c>
      <c r="D503" t="s">
        <v>1951</v>
      </c>
      <c r="F503" s="1">
        <v>18749</v>
      </c>
      <c r="G503" s="167" t="s">
        <v>2272</v>
      </c>
      <c r="H503" s="167" t="s">
        <v>121</v>
      </c>
      <c r="I503" s="167" t="s">
        <v>11</v>
      </c>
    </row>
    <row r="504" spans="1:9" x14ac:dyDescent="0.25">
      <c r="A504" s="95">
        <v>503</v>
      </c>
      <c r="B504" t="s">
        <v>120</v>
      </c>
      <c r="C504" t="s">
        <v>1952</v>
      </c>
      <c r="D504" t="s">
        <v>129</v>
      </c>
      <c r="F504" s="1">
        <v>25415</v>
      </c>
      <c r="G504" s="167" t="s">
        <v>2276</v>
      </c>
      <c r="H504" s="167" t="s">
        <v>121</v>
      </c>
      <c r="I504" s="167" t="s">
        <v>11</v>
      </c>
    </row>
    <row r="505" spans="1:9" x14ac:dyDescent="0.25">
      <c r="A505" s="95">
        <v>504</v>
      </c>
      <c r="B505" t="s">
        <v>1879</v>
      </c>
      <c r="C505" t="s">
        <v>1953</v>
      </c>
      <c r="D505" t="s">
        <v>117</v>
      </c>
      <c r="F505" s="1">
        <v>21583</v>
      </c>
      <c r="G505" s="167" t="s">
        <v>2272</v>
      </c>
      <c r="H505" s="167" t="s">
        <v>121</v>
      </c>
      <c r="I505" s="167" t="s">
        <v>11</v>
      </c>
    </row>
    <row r="506" spans="1:9" x14ac:dyDescent="0.25">
      <c r="A506" s="95">
        <v>505</v>
      </c>
      <c r="B506" t="s">
        <v>286</v>
      </c>
      <c r="C506" t="s">
        <v>1954</v>
      </c>
      <c r="D506" t="s">
        <v>54</v>
      </c>
      <c r="F506" s="1">
        <v>29821</v>
      </c>
      <c r="G506" s="167" t="s">
        <v>2272</v>
      </c>
      <c r="H506" s="167" t="s">
        <v>121</v>
      </c>
      <c r="I506" s="167" t="s">
        <v>11</v>
      </c>
    </row>
    <row r="507" spans="1:9" x14ac:dyDescent="0.25">
      <c r="A507" s="95">
        <v>506</v>
      </c>
      <c r="B507" t="s">
        <v>109</v>
      </c>
      <c r="C507" t="s">
        <v>1955</v>
      </c>
      <c r="D507" t="s">
        <v>64</v>
      </c>
      <c r="F507" s="1">
        <v>15893</v>
      </c>
      <c r="G507" s="167" t="s">
        <v>2272</v>
      </c>
      <c r="H507" s="167" t="s">
        <v>121</v>
      </c>
      <c r="I507" s="167" t="s">
        <v>11</v>
      </c>
    </row>
    <row r="508" spans="1:9" x14ac:dyDescent="0.25">
      <c r="A508" s="95">
        <v>507</v>
      </c>
      <c r="B508" t="s">
        <v>211</v>
      </c>
      <c r="C508" t="s">
        <v>1956</v>
      </c>
      <c r="D508" t="s">
        <v>1957</v>
      </c>
      <c r="F508" s="1">
        <v>31267</v>
      </c>
      <c r="G508" s="167" t="s">
        <v>2272</v>
      </c>
      <c r="H508" s="167" t="s">
        <v>121</v>
      </c>
      <c r="I508" s="167" t="s">
        <v>11</v>
      </c>
    </row>
    <row r="509" spans="1:9" x14ac:dyDescent="0.25">
      <c r="A509" s="95">
        <v>508</v>
      </c>
      <c r="B509" t="s">
        <v>89</v>
      </c>
      <c r="C509" t="s">
        <v>1958</v>
      </c>
      <c r="D509" t="s">
        <v>64</v>
      </c>
      <c r="F509" s="1">
        <v>28651</v>
      </c>
      <c r="G509" s="167" t="s">
        <v>2272</v>
      </c>
      <c r="H509" s="167" t="s">
        <v>121</v>
      </c>
      <c r="I509" s="167" t="s">
        <v>11</v>
      </c>
    </row>
    <row r="510" spans="1:9" x14ac:dyDescent="0.25">
      <c r="A510" s="95">
        <v>509</v>
      </c>
      <c r="B510" t="s">
        <v>1898</v>
      </c>
      <c r="C510" t="s">
        <v>138</v>
      </c>
      <c r="D510" t="s">
        <v>1328</v>
      </c>
      <c r="F510" s="1">
        <v>30310</v>
      </c>
      <c r="G510" s="167" t="s">
        <v>2276</v>
      </c>
      <c r="H510" s="167" t="s">
        <v>121</v>
      </c>
      <c r="I510" s="167" t="s">
        <v>11</v>
      </c>
    </row>
    <row r="511" spans="1:9" x14ac:dyDescent="0.25">
      <c r="A511" s="95">
        <v>510</v>
      </c>
      <c r="B511" t="s">
        <v>1959</v>
      </c>
      <c r="C511" t="s">
        <v>693</v>
      </c>
      <c r="D511" t="s">
        <v>1960</v>
      </c>
      <c r="F511" s="1">
        <v>17548</v>
      </c>
      <c r="G511" s="167" t="s">
        <v>2276</v>
      </c>
      <c r="H511" s="167" t="s">
        <v>121</v>
      </c>
      <c r="I511" s="167" t="s">
        <v>11</v>
      </c>
    </row>
    <row r="512" spans="1:9" x14ac:dyDescent="0.25">
      <c r="A512" s="95">
        <v>511</v>
      </c>
      <c r="B512" t="s">
        <v>1961</v>
      </c>
      <c r="C512" t="s">
        <v>1962</v>
      </c>
      <c r="D512" t="s">
        <v>1275</v>
      </c>
      <c r="F512" s="1">
        <v>16104</v>
      </c>
      <c r="G512" s="167" t="s">
        <v>2272</v>
      </c>
      <c r="H512" s="167" t="s">
        <v>121</v>
      </c>
      <c r="I512" s="167" t="s">
        <v>11</v>
      </c>
    </row>
    <row r="513" spans="1:9" x14ac:dyDescent="0.25">
      <c r="A513" s="95">
        <v>512</v>
      </c>
      <c r="B513" t="s">
        <v>1773</v>
      </c>
      <c r="C513" t="s">
        <v>1553</v>
      </c>
      <c r="D513" t="s">
        <v>1963</v>
      </c>
      <c r="F513" s="1">
        <v>25126</v>
      </c>
      <c r="G513" s="167" t="s">
        <v>2272</v>
      </c>
      <c r="H513" s="167" t="s">
        <v>121</v>
      </c>
      <c r="I513" s="167" t="s">
        <v>11</v>
      </c>
    </row>
    <row r="514" spans="1:9" x14ac:dyDescent="0.25">
      <c r="A514" s="95">
        <v>513</v>
      </c>
      <c r="B514" t="s">
        <v>621</v>
      </c>
      <c r="C514" t="s">
        <v>1964</v>
      </c>
      <c r="D514" t="s">
        <v>1710</v>
      </c>
      <c r="F514" s="1">
        <v>31764</v>
      </c>
      <c r="G514" s="167" t="s">
        <v>2272</v>
      </c>
      <c r="H514" s="167" t="s">
        <v>121</v>
      </c>
      <c r="I514" s="167" t="s">
        <v>11</v>
      </c>
    </row>
    <row r="515" spans="1:9" x14ac:dyDescent="0.25">
      <c r="A515" s="95">
        <v>514</v>
      </c>
      <c r="B515" t="s">
        <v>358</v>
      </c>
      <c r="C515" t="s">
        <v>776</v>
      </c>
      <c r="D515" t="s">
        <v>1898</v>
      </c>
      <c r="F515" s="1">
        <v>17198</v>
      </c>
      <c r="G515" s="167" t="s">
        <v>2276</v>
      </c>
      <c r="H515" s="167" t="s">
        <v>121</v>
      </c>
      <c r="I515" s="167" t="s">
        <v>11</v>
      </c>
    </row>
    <row r="516" spans="1:9" x14ac:dyDescent="0.25">
      <c r="A516" s="95">
        <v>515</v>
      </c>
      <c r="B516" t="s">
        <v>1965</v>
      </c>
      <c r="C516" t="s">
        <v>1966</v>
      </c>
      <c r="D516" t="s">
        <v>1967</v>
      </c>
      <c r="F516" s="1">
        <v>38618</v>
      </c>
      <c r="G516" s="167" t="s">
        <v>2272</v>
      </c>
      <c r="H516" s="167" t="s">
        <v>121</v>
      </c>
      <c r="I516" s="167" t="s">
        <v>11</v>
      </c>
    </row>
    <row r="517" spans="1:9" x14ac:dyDescent="0.25">
      <c r="A517" s="95">
        <v>516</v>
      </c>
      <c r="B517" t="s">
        <v>1926</v>
      </c>
      <c r="C517" t="s">
        <v>1968</v>
      </c>
      <c r="D517" t="s">
        <v>1769</v>
      </c>
      <c r="F517" s="1">
        <v>28906</v>
      </c>
      <c r="G517" s="167" t="s">
        <v>2272</v>
      </c>
      <c r="H517" s="167" t="s">
        <v>121</v>
      </c>
      <c r="I517" s="167" t="s">
        <v>11</v>
      </c>
    </row>
    <row r="518" spans="1:9" x14ac:dyDescent="0.25">
      <c r="A518" s="95">
        <v>517</v>
      </c>
      <c r="B518" t="s">
        <v>1797</v>
      </c>
      <c r="C518" t="s">
        <v>1969</v>
      </c>
      <c r="D518" t="s">
        <v>1970</v>
      </c>
      <c r="F518" s="1">
        <v>27773</v>
      </c>
      <c r="G518" s="167" t="s">
        <v>2272</v>
      </c>
      <c r="H518" s="167" t="s">
        <v>121</v>
      </c>
      <c r="I518" s="167" t="s">
        <v>11</v>
      </c>
    </row>
    <row r="519" spans="1:9" x14ac:dyDescent="0.25">
      <c r="A519" s="95">
        <v>518</v>
      </c>
      <c r="B519" t="s">
        <v>1971</v>
      </c>
      <c r="C519" t="s">
        <v>1972</v>
      </c>
      <c r="D519" t="s">
        <v>538</v>
      </c>
      <c r="F519" s="1">
        <v>26233</v>
      </c>
      <c r="G519" s="167" t="s">
        <v>2276</v>
      </c>
      <c r="H519" s="167" t="s">
        <v>121</v>
      </c>
      <c r="I519" s="167" t="s">
        <v>11</v>
      </c>
    </row>
    <row r="520" spans="1:9" x14ac:dyDescent="0.25">
      <c r="A520" s="95">
        <v>519</v>
      </c>
      <c r="B520" t="s">
        <v>1973</v>
      </c>
      <c r="C520" t="s">
        <v>1974</v>
      </c>
      <c r="D520" t="s">
        <v>1975</v>
      </c>
      <c r="F520" s="1">
        <v>23667</v>
      </c>
      <c r="G520" s="167" t="s">
        <v>2272</v>
      </c>
      <c r="H520" s="167" t="s">
        <v>121</v>
      </c>
      <c r="I520" s="167" t="s">
        <v>11</v>
      </c>
    </row>
    <row r="521" spans="1:9" x14ac:dyDescent="0.25">
      <c r="A521" s="95">
        <v>520</v>
      </c>
      <c r="B521" t="s">
        <v>1976</v>
      </c>
      <c r="C521" t="s">
        <v>1977</v>
      </c>
      <c r="D521" t="s">
        <v>52</v>
      </c>
      <c r="F521" s="1">
        <v>36463</v>
      </c>
      <c r="G521" s="167" t="s">
        <v>2276</v>
      </c>
      <c r="H521" s="167" t="s">
        <v>121</v>
      </c>
      <c r="I521" s="167" t="s">
        <v>11</v>
      </c>
    </row>
    <row r="522" spans="1:9" x14ac:dyDescent="0.25">
      <c r="A522" s="95">
        <v>521</v>
      </c>
      <c r="B522" t="s">
        <v>1978</v>
      </c>
      <c r="C522" t="s">
        <v>31</v>
      </c>
      <c r="D522" t="s">
        <v>1726</v>
      </c>
      <c r="E522" t="s">
        <v>76</v>
      </c>
      <c r="F522" s="1">
        <v>31280</v>
      </c>
      <c r="G522" s="167" t="s">
        <v>2272</v>
      </c>
      <c r="H522" s="167" t="s">
        <v>121</v>
      </c>
      <c r="I522" s="167" t="s">
        <v>11</v>
      </c>
    </row>
    <row r="523" spans="1:9" x14ac:dyDescent="0.25">
      <c r="A523" s="95">
        <v>522</v>
      </c>
      <c r="B523" t="s">
        <v>1288</v>
      </c>
      <c r="C523" t="s">
        <v>1979</v>
      </c>
      <c r="D523" t="s">
        <v>1980</v>
      </c>
      <c r="F523" s="1">
        <v>33605</v>
      </c>
      <c r="G523" s="167" t="s">
        <v>2276</v>
      </c>
      <c r="H523" s="167" t="s">
        <v>121</v>
      </c>
      <c r="I523" s="167" t="s">
        <v>11</v>
      </c>
    </row>
    <row r="524" spans="1:9" x14ac:dyDescent="0.25">
      <c r="A524" s="95">
        <v>523</v>
      </c>
      <c r="B524" t="s">
        <v>1981</v>
      </c>
      <c r="C524" t="s">
        <v>1982</v>
      </c>
      <c r="D524" t="s">
        <v>1715</v>
      </c>
      <c r="F524" s="1">
        <v>28857</v>
      </c>
      <c r="G524" s="167" t="s">
        <v>2272</v>
      </c>
      <c r="H524" s="167" t="s">
        <v>121</v>
      </c>
      <c r="I524" s="167" t="s">
        <v>11</v>
      </c>
    </row>
    <row r="525" spans="1:9" x14ac:dyDescent="0.25">
      <c r="A525" s="95">
        <v>524</v>
      </c>
      <c r="B525" t="s">
        <v>1983</v>
      </c>
      <c r="C525" t="s">
        <v>1984</v>
      </c>
      <c r="D525" t="s">
        <v>1898</v>
      </c>
      <c r="F525" s="1">
        <v>32951</v>
      </c>
      <c r="G525" s="167" t="s">
        <v>2276</v>
      </c>
      <c r="H525" s="167" t="s">
        <v>121</v>
      </c>
      <c r="I525" s="167" t="s">
        <v>11</v>
      </c>
    </row>
    <row r="526" spans="1:9" x14ac:dyDescent="0.25">
      <c r="A526" s="95">
        <v>525</v>
      </c>
      <c r="B526" t="s">
        <v>1898</v>
      </c>
      <c r="C526" t="s">
        <v>1985</v>
      </c>
      <c r="D526" t="s">
        <v>1345</v>
      </c>
      <c r="F526" s="1">
        <v>27080</v>
      </c>
      <c r="G526" s="167" t="s">
        <v>2272</v>
      </c>
      <c r="H526" s="167" t="s">
        <v>121</v>
      </c>
      <c r="I526" s="167" t="s">
        <v>11</v>
      </c>
    </row>
    <row r="527" spans="1:9" x14ac:dyDescent="0.25">
      <c r="A527" s="95">
        <v>526</v>
      </c>
      <c r="B527" t="s">
        <v>89</v>
      </c>
      <c r="C527" t="s">
        <v>219</v>
      </c>
      <c r="D527" t="s">
        <v>54</v>
      </c>
      <c r="F527" s="1">
        <v>17231</v>
      </c>
      <c r="G527" s="167" t="s">
        <v>2272</v>
      </c>
      <c r="H527" s="167" t="s">
        <v>121</v>
      </c>
      <c r="I527" s="167" t="s">
        <v>11</v>
      </c>
    </row>
    <row r="528" spans="1:9" x14ac:dyDescent="0.25">
      <c r="A528" s="95">
        <v>527</v>
      </c>
      <c r="B528" t="s">
        <v>1986</v>
      </c>
      <c r="C528" t="s">
        <v>1987</v>
      </c>
      <c r="F528" s="1">
        <v>27508</v>
      </c>
      <c r="G528" s="167" t="s">
        <v>2272</v>
      </c>
      <c r="H528" s="167" t="s">
        <v>121</v>
      </c>
      <c r="I528" s="167" t="s">
        <v>11</v>
      </c>
    </row>
    <row r="529" spans="1:9" x14ac:dyDescent="0.25">
      <c r="A529" s="95">
        <v>528</v>
      </c>
      <c r="B529" t="s">
        <v>538</v>
      </c>
      <c r="C529" t="s">
        <v>1988</v>
      </c>
      <c r="D529" t="s">
        <v>1971</v>
      </c>
      <c r="F529" s="1">
        <v>17801</v>
      </c>
      <c r="G529" s="167" t="s">
        <v>2276</v>
      </c>
      <c r="H529" s="167" t="s">
        <v>121</v>
      </c>
      <c r="I529" s="167" t="s">
        <v>11</v>
      </c>
    </row>
    <row r="530" spans="1:9" x14ac:dyDescent="0.25">
      <c r="A530" s="95">
        <v>529</v>
      </c>
      <c r="B530" t="s">
        <v>538</v>
      </c>
      <c r="C530" t="s">
        <v>1989</v>
      </c>
      <c r="D530" t="s">
        <v>87</v>
      </c>
      <c r="F530" s="1">
        <v>26995</v>
      </c>
      <c r="G530" s="167" t="s">
        <v>2272</v>
      </c>
      <c r="H530" s="167" t="s">
        <v>121</v>
      </c>
      <c r="I530" s="167" t="s">
        <v>11</v>
      </c>
    </row>
    <row r="531" spans="1:9" x14ac:dyDescent="0.25">
      <c r="A531" s="95">
        <v>530</v>
      </c>
      <c r="B531" t="s">
        <v>1275</v>
      </c>
      <c r="C531" t="s">
        <v>1990</v>
      </c>
      <c r="D531" t="s">
        <v>1498</v>
      </c>
      <c r="F531" s="1">
        <v>21451</v>
      </c>
      <c r="G531" s="167" t="s">
        <v>2272</v>
      </c>
      <c r="H531" s="167" t="s">
        <v>121</v>
      </c>
      <c r="I531" s="167" t="s">
        <v>11</v>
      </c>
    </row>
    <row r="532" spans="1:9" x14ac:dyDescent="0.25">
      <c r="A532" s="95">
        <v>531</v>
      </c>
      <c r="B532" t="s">
        <v>1447</v>
      </c>
      <c r="C532" t="s">
        <v>1991</v>
      </c>
      <c r="D532" t="s">
        <v>1992</v>
      </c>
      <c r="F532" s="1">
        <v>29101</v>
      </c>
      <c r="G532" s="167" t="s">
        <v>2276</v>
      </c>
      <c r="H532" s="167" t="s">
        <v>121</v>
      </c>
      <c r="I532" s="167" t="s">
        <v>11</v>
      </c>
    </row>
    <row r="533" spans="1:9" x14ac:dyDescent="0.25">
      <c r="A533" s="95">
        <v>532</v>
      </c>
      <c r="B533" t="s">
        <v>1993</v>
      </c>
      <c r="C533" t="s">
        <v>1994</v>
      </c>
      <c r="D533" t="s">
        <v>1758</v>
      </c>
      <c r="F533" s="1">
        <v>25852</v>
      </c>
      <c r="G533" s="167" t="s">
        <v>2272</v>
      </c>
      <c r="H533" s="167" t="s">
        <v>121</v>
      </c>
      <c r="I533" s="167" t="s">
        <v>11</v>
      </c>
    </row>
    <row r="534" spans="1:9" x14ac:dyDescent="0.25">
      <c r="A534" s="95">
        <v>533</v>
      </c>
      <c r="B534" t="s">
        <v>1995</v>
      </c>
      <c r="C534" t="s">
        <v>1996</v>
      </c>
      <c r="D534" t="s">
        <v>1997</v>
      </c>
      <c r="F534" s="1">
        <v>33931</v>
      </c>
      <c r="G534" s="167" t="s">
        <v>2276</v>
      </c>
      <c r="H534" s="167" t="s">
        <v>121</v>
      </c>
      <c r="I534" s="167" t="s">
        <v>11</v>
      </c>
    </row>
    <row r="535" spans="1:9" x14ac:dyDescent="0.25">
      <c r="A535" s="95">
        <v>534</v>
      </c>
      <c r="B535" t="s">
        <v>1480</v>
      </c>
      <c r="C535" t="s">
        <v>154</v>
      </c>
      <c r="D535" t="s">
        <v>1276</v>
      </c>
      <c r="F535" s="1">
        <v>29682</v>
      </c>
      <c r="G535" s="167" t="s">
        <v>2272</v>
      </c>
      <c r="H535" s="167" t="s">
        <v>121</v>
      </c>
      <c r="I535" s="167" t="s">
        <v>11</v>
      </c>
    </row>
    <row r="536" spans="1:9" x14ac:dyDescent="0.25">
      <c r="A536" s="95">
        <v>535</v>
      </c>
      <c r="B536" t="s">
        <v>1889</v>
      </c>
      <c r="C536" t="s">
        <v>1998</v>
      </c>
      <c r="D536" t="s">
        <v>1610</v>
      </c>
      <c r="F536" s="1">
        <v>39858</v>
      </c>
      <c r="G536" s="167" t="s">
        <v>2276</v>
      </c>
      <c r="H536" s="167" t="s">
        <v>121</v>
      </c>
      <c r="I536" s="167" t="s">
        <v>11</v>
      </c>
    </row>
    <row r="537" spans="1:9" x14ac:dyDescent="0.25">
      <c r="A537" s="95">
        <v>536</v>
      </c>
      <c r="B537" t="s">
        <v>1999</v>
      </c>
      <c r="C537" t="s">
        <v>297</v>
      </c>
      <c r="D537" t="s">
        <v>440</v>
      </c>
      <c r="F537" s="1">
        <v>30806</v>
      </c>
      <c r="G537" s="167" t="s">
        <v>2276</v>
      </c>
      <c r="H537" s="167" t="s">
        <v>121</v>
      </c>
      <c r="I537" s="167" t="s">
        <v>11</v>
      </c>
    </row>
    <row r="538" spans="1:9" x14ac:dyDescent="0.25">
      <c r="A538" s="95">
        <v>537</v>
      </c>
      <c r="B538" t="s">
        <v>2000</v>
      </c>
      <c r="C538" t="s">
        <v>61</v>
      </c>
      <c r="D538" t="s">
        <v>211</v>
      </c>
      <c r="F538" s="1">
        <v>29470</v>
      </c>
      <c r="G538" s="167" t="s">
        <v>2272</v>
      </c>
      <c r="H538" s="167" t="s">
        <v>121</v>
      </c>
      <c r="I538" s="167" t="s">
        <v>11</v>
      </c>
    </row>
    <row r="539" spans="1:9" x14ac:dyDescent="0.25">
      <c r="A539" s="95">
        <v>538</v>
      </c>
      <c r="B539" t="s">
        <v>87</v>
      </c>
      <c r="C539" t="s">
        <v>2001</v>
      </c>
      <c r="D539" t="s">
        <v>2002</v>
      </c>
      <c r="F539" s="1">
        <v>17030</v>
      </c>
      <c r="G539" s="167" t="s">
        <v>2272</v>
      </c>
      <c r="H539" s="167" t="s">
        <v>121</v>
      </c>
      <c r="I539" s="167" t="s">
        <v>11</v>
      </c>
    </row>
    <row r="540" spans="1:9" x14ac:dyDescent="0.25">
      <c r="A540" s="95">
        <v>539</v>
      </c>
      <c r="B540" t="s">
        <v>1426</v>
      </c>
      <c r="C540" t="s">
        <v>2003</v>
      </c>
      <c r="D540" t="s">
        <v>1176</v>
      </c>
      <c r="F540" s="1">
        <v>32678</v>
      </c>
      <c r="G540" s="167" t="s">
        <v>2276</v>
      </c>
      <c r="H540" s="167" t="s">
        <v>121</v>
      </c>
      <c r="I540" s="167" t="s">
        <v>11</v>
      </c>
    </row>
    <row r="541" spans="1:9" x14ac:dyDescent="0.25">
      <c r="A541" s="95">
        <v>540</v>
      </c>
      <c r="B541" t="s">
        <v>2004</v>
      </c>
      <c r="C541" t="s">
        <v>2005</v>
      </c>
      <c r="D541" t="s">
        <v>89</v>
      </c>
      <c r="F541" s="1">
        <v>26675</v>
      </c>
      <c r="G541" s="167" t="s">
        <v>2272</v>
      </c>
      <c r="H541" s="167" t="s">
        <v>121</v>
      </c>
      <c r="I541" s="167" t="s">
        <v>11</v>
      </c>
    </row>
    <row r="542" spans="1:9" x14ac:dyDescent="0.25">
      <c r="A542" s="95">
        <v>541</v>
      </c>
      <c r="B542" t="s">
        <v>2006</v>
      </c>
      <c r="C542" t="s">
        <v>2007</v>
      </c>
      <c r="D542" t="s">
        <v>854</v>
      </c>
      <c r="F542" s="1">
        <v>18377</v>
      </c>
      <c r="G542" s="167" t="s">
        <v>2272</v>
      </c>
      <c r="H542" s="167" t="s">
        <v>121</v>
      </c>
      <c r="I542" s="167" t="s">
        <v>11</v>
      </c>
    </row>
    <row r="543" spans="1:9" x14ac:dyDescent="0.25">
      <c r="A543" s="95">
        <v>542</v>
      </c>
      <c r="B543" t="s">
        <v>2008</v>
      </c>
      <c r="C543" t="s">
        <v>2009</v>
      </c>
      <c r="D543" t="s">
        <v>2010</v>
      </c>
      <c r="F543" s="1">
        <v>32528</v>
      </c>
      <c r="G543" s="167" t="s">
        <v>2276</v>
      </c>
      <c r="H543" s="167" t="s">
        <v>121</v>
      </c>
      <c r="I543" s="167" t="s">
        <v>11</v>
      </c>
    </row>
    <row r="544" spans="1:9" x14ac:dyDescent="0.25">
      <c r="A544" s="95">
        <v>543</v>
      </c>
      <c r="B544" t="s">
        <v>215</v>
      </c>
      <c r="C544" t="s">
        <v>2011</v>
      </c>
      <c r="D544" t="s">
        <v>2012</v>
      </c>
      <c r="F544" s="1">
        <v>30323</v>
      </c>
      <c r="G544" s="167" t="s">
        <v>2272</v>
      </c>
      <c r="H544" s="167" t="s">
        <v>121</v>
      </c>
      <c r="I544" s="167" t="s">
        <v>11</v>
      </c>
    </row>
    <row r="545" spans="1:9" x14ac:dyDescent="0.25">
      <c r="A545" s="95">
        <v>544</v>
      </c>
      <c r="B545" t="s">
        <v>1941</v>
      </c>
      <c r="C545" t="s">
        <v>550</v>
      </c>
      <c r="D545" t="s">
        <v>538</v>
      </c>
      <c r="F545" s="1">
        <v>24832</v>
      </c>
      <c r="G545" s="167" t="s">
        <v>2276</v>
      </c>
      <c r="H545" s="167" t="s">
        <v>121</v>
      </c>
      <c r="I545" s="167" t="s">
        <v>11</v>
      </c>
    </row>
    <row r="546" spans="1:9" x14ac:dyDescent="0.25">
      <c r="A546" s="95">
        <v>545</v>
      </c>
      <c r="B546" t="s">
        <v>286</v>
      </c>
      <c r="C546" t="s">
        <v>2013</v>
      </c>
      <c r="D546" t="s">
        <v>54</v>
      </c>
      <c r="F546" s="1">
        <v>30995</v>
      </c>
      <c r="G546" s="167" t="s">
        <v>2272</v>
      </c>
      <c r="H546" s="167" t="s">
        <v>121</v>
      </c>
      <c r="I546" s="167" t="s">
        <v>11</v>
      </c>
    </row>
    <row r="547" spans="1:9" x14ac:dyDescent="0.25">
      <c r="A547" s="95">
        <v>546</v>
      </c>
      <c r="B547" t="s">
        <v>155</v>
      </c>
      <c r="C547" t="s">
        <v>2014</v>
      </c>
      <c r="F547" s="1">
        <v>19438</v>
      </c>
      <c r="G547" s="167" t="s">
        <v>2272</v>
      </c>
      <c r="H547" s="167" t="s">
        <v>121</v>
      </c>
      <c r="I547" s="167" t="s">
        <v>11</v>
      </c>
    </row>
    <row r="548" spans="1:9" x14ac:dyDescent="0.25">
      <c r="A548" s="95">
        <v>547</v>
      </c>
      <c r="B548" t="s">
        <v>538</v>
      </c>
      <c r="C548" t="s">
        <v>2015</v>
      </c>
      <c r="D548" t="s">
        <v>1299</v>
      </c>
      <c r="F548" s="1">
        <v>18133</v>
      </c>
      <c r="G548" s="167" t="s">
        <v>2276</v>
      </c>
      <c r="H548" s="167" t="s">
        <v>121</v>
      </c>
      <c r="I548" s="167" t="s">
        <v>11</v>
      </c>
    </row>
    <row r="549" spans="1:9" x14ac:dyDescent="0.25">
      <c r="A549" s="95">
        <v>548</v>
      </c>
      <c r="B549" t="s">
        <v>538</v>
      </c>
      <c r="C549" t="s">
        <v>57</v>
      </c>
      <c r="D549" t="s">
        <v>2016</v>
      </c>
      <c r="F549" s="1">
        <v>30226</v>
      </c>
      <c r="G549" s="167" t="s">
        <v>2276</v>
      </c>
      <c r="H549" s="167" t="s">
        <v>121</v>
      </c>
      <c r="I549" s="167" t="s">
        <v>11</v>
      </c>
    </row>
    <row r="550" spans="1:9" x14ac:dyDescent="0.25">
      <c r="A550" s="95">
        <v>549</v>
      </c>
      <c r="B550" t="s">
        <v>2017</v>
      </c>
      <c r="C550" t="s">
        <v>550</v>
      </c>
      <c r="D550" t="s">
        <v>1328</v>
      </c>
      <c r="F550" s="1">
        <v>25146</v>
      </c>
      <c r="G550" s="167" t="s">
        <v>2276</v>
      </c>
      <c r="H550" s="167" t="s">
        <v>121</v>
      </c>
      <c r="I550" s="167" t="s">
        <v>11</v>
      </c>
    </row>
    <row r="551" spans="1:9" x14ac:dyDescent="0.25">
      <c r="A551" s="95">
        <v>550</v>
      </c>
      <c r="B551" t="s">
        <v>1838</v>
      </c>
      <c r="C551" t="s">
        <v>779</v>
      </c>
      <c r="D551" t="s">
        <v>1368</v>
      </c>
      <c r="F551" s="1">
        <v>29099</v>
      </c>
      <c r="G551" s="167" t="s">
        <v>2272</v>
      </c>
      <c r="H551" s="167" t="s">
        <v>121</v>
      </c>
      <c r="I551" s="167" t="s">
        <v>11</v>
      </c>
    </row>
    <row r="552" spans="1:9" x14ac:dyDescent="0.25">
      <c r="A552" s="95">
        <v>551</v>
      </c>
      <c r="B552" t="s">
        <v>2018</v>
      </c>
      <c r="C552" t="s">
        <v>2019</v>
      </c>
      <c r="D552" t="s">
        <v>1373</v>
      </c>
      <c r="F552" s="1">
        <v>35221</v>
      </c>
      <c r="G552" s="167" t="s">
        <v>2272</v>
      </c>
      <c r="H552" s="167" t="s">
        <v>121</v>
      </c>
      <c r="I552" s="167" t="s">
        <v>11</v>
      </c>
    </row>
    <row r="553" spans="1:9" x14ac:dyDescent="0.25">
      <c r="A553" s="95">
        <v>552</v>
      </c>
      <c r="B553" t="s">
        <v>1433</v>
      </c>
      <c r="C553" t="s">
        <v>1666</v>
      </c>
      <c r="D553" t="s">
        <v>2020</v>
      </c>
      <c r="F553" s="1">
        <v>15197</v>
      </c>
      <c r="G553" s="167" t="s">
        <v>2276</v>
      </c>
      <c r="H553" s="167" t="s">
        <v>121</v>
      </c>
      <c r="I553" s="167" t="s">
        <v>11</v>
      </c>
    </row>
    <row r="554" spans="1:9" x14ac:dyDescent="0.25">
      <c r="A554" s="95">
        <v>553</v>
      </c>
      <c r="B554" t="s">
        <v>1792</v>
      </c>
      <c r="C554" t="s">
        <v>2021</v>
      </c>
      <c r="D554" t="s">
        <v>325</v>
      </c>
      <c r="F554" s="1">
        <v>27005</v>
      </c>
      <c r="G554" s="167" t="s">
        <v>2272</v>
      </c>
      <c r="H554" s="167" t="s">
        <v>121</v>
      </c>
      <c r="I554" s="167" t="s">
        <v>11</v>
      </c>
    </row>
    <row r="555" spans="1:9" x14ac:dyDescent="0.25">
      <c r="A555" s="95">
        <v>554</v>
      </c>
      <c r="B555" t="s">
        <v>54</v>
      </c>
      <c r="C555" t="s">
        <v>2022</v>
      </c>
      <c r="F555" s="1">
        <v>27742</v>
      </c>
      <c r="G555" s="167" t="s">
        <v>2272</v>
      </c>
      <c r="H555" s="167" t="s">
        <v>121</v>
      </c>
      <c r="I555" s="167" t="s">
        <v>11</v>
      </c>
    </row>
    <row r="556" spans="1:9" x14ac:dyDescent="0.25">
      <c r="A556" s="95">
        <v>555</v>
      </c>
      <c r="B556" t="s">
        <v>1498</v>
      </c>
      <c r="C556" t="s">
        <v>2023</v>
      </c>
      <c r="D556" t="s">
        <v>2024</v>
      </c>
      <c r="F556" s="1">
        <v>26423</v>
      </c>
      <c r="G556" s="167" t="s">
        <v>2272</v>
      </c>
      <c r="H556" s="167" t="s">
        <v>121</v>
      </c>
      <c r="I556" s="167" t="s">
        <v>11</v>
      </c>
    </row>
    <row r="557" spans="1:9" x14ac:dyDescent="0.25">
      <c r="A557" s="95">
        <v>556</v>
      </c>
      <c r="B557" t="s">
        <v>1898</v>
      </c>
      <c r="C557" t="s">
        <v>144</v>
      </c>
      <c r="D557" t="s">
        <v>1971</v>
      </c>
      <c r="F557" s="1">
        <v>26222</v>
      </c>
      <c r="G557" s="167" t="s">
        <v>2276</v>
      </c>
      <c r="H557" s="167" t="s">
        <v>121</v>
      </c>
      <c r="I557" s="167" t="s">
        <v>11</v>
      </c>
    </row>
    <row r="558" spans="1:9" x14ac:dyDescent="0.25">
      <c r="A558" s="95">
        <v>557</v>
      </c>
      <c r="B558" t="s">
        <v>1857</v>
      </c>
      <c r="C558" t="s">
        <v>2025</v>
      </c>
      <c r="D558" t="s">
        <v>1915</v>
      </c>
      <c r="F558" s="1">
        <v>23199</v>
      </c>
      <c r="G558" s="167" t="s">
        <v>2272</v>
      </c>
      <c r="H558" s="167" t="s">
        <v>121</v>
      </c>
      <c r="I558" s="167" t="s">
        <v>11</v>
      </c>
    </row>
    <row r="559" spans="1:9" x14ac:dyDescent="0.25">
      <c r="A559" s="95">
        <v>558</v>
      </c>
      <c r="B559" t="s">
        <v>2026</v>
      </c>
      <c r="C559" t="s">
        <v>2027</v>
      </c>
      <c r="D559" t="s">
        <v>2028</v>
      </c>
      <c r="F559" s="1">
        <v>26362</v>
      </c>
      <c r="G559" s="167" t="s">
        <v>2276</v>
      </c>
      <c r="H559" s="167" t="s">
        <v>121</v>
      </c>
      <c r="I559" s="167" t="s">
        <v>11</v>
      </c>
    </row>
    <row r="560" spans="1:9" x14ac:dyDescent="0.25">
      <c r="A560" s="95">
        <v>559</v>
      </c>
      <c r="B560" t="s">
        <v>1848</v>
      </c>
      <c r="C560" t="s">
        <v>2029</v>
      </c>
      <c r="D560" t="s">
        <v>1959</v>
      </c>
      <c r="F560" s="1">
        <v>22025</v>
      </c>
      <c r="G560" s="167" t="s">
        <v>2272</v>
      </c>
      <c r="H560" s="167" t="s">
        <v>121</v>
      </c>
      <c r="I560" s="167" t="s">
        <v>11</v>
      </c>
    </row>
    <row r="561" spans="1:9" x14ac:dyDescent="0.25">
      <c r="A561" s="95">
        <v>560</v>
      </c>
      <c r="B561" t="s">
        <v>2030</v>
      </c>
      <c r="C561" t="s">
        <v>2031</v>
      </c>
      <c r="D561" t="s">
        <v>2032</v>
      </c>
      <c r="F561" s="1">
        <v>31008</v>
      </c>
      <c r="G561" s="167" t="s">
        <v>2272</v>
      </c>
      <c r="H561" s="167" t="s">
        <v>121</v>
      </c>
      <c r="I561" s="167" t="s">
        <v>11</v>
      </c>
    </row>
    <row r="562" spans="1:9" x14ac:dyDescent="0.25">
      <c r="A562" s="95">
        <v>561</v>
      </c>
      <c r="B562" t="s">
        <v>160</v>
      </c>
      <c r="C562" t="s">
        <v>200</v>
      </c>
      <c r="D562" t="s">
        <v>1299</v>
      </c>
      <c r="F562" s="1">
        <v>37654</v>
      </c>
      <c r="G562" s="167" t="s">
        <v>2276</v>
      </c>
      <c r="H562" s="167" t="s">
        <v>121</v>
      </c>
      <c r="I562" s="167" t="s">
        <v>11</v>
      </c>
    </row>
    <row r="563" spans="1:9" x14ac:dyDescent="0.25">
      <c r="A563" s="95">
        <v>562</v>
      </c>
      <c r="B563" t="s">
        <v>1932</v>
      </c>
      <c r="C563" t="s">
        <v>2033</v>
      </c>
      <c r="D563" t="s">
        <v>1959</v>
      </c>
      <c r="F563" s="1">
        <v>23550</v>
      </c>
      <c r="G563" s="167" t="s">
        <v>2276</v>
      </c>
      <c r="H563" s="167" t="s">
        <v>121</v>
      </c>
      <c r="I563" s="167" t="s">
        <v>11</v>
      </c>
    </row>
    <row r="564" spans="1:9" x14ac:dyDescent="0.25">
      <c r="A564" s="95">
        <v>563</v>
      </c>
      <c r="B564" t="s">
        <v>2034</v>
      </c>
      <c r="C564" t="s">
        <v>2035</v>
      </c>
      <c r="D564" t="s">
        <v>54</v>
      </c>
      <c r="F564" s="1">
        <v>5337</v>
      </c>
      <c r="G564" s="167" t="s">
        <v>2272</v>
      </c>
      <c r="H564" s="167" t="s">
        <v>121</v>
      </c>
      <c r="I564" s="167" t="s">
        <v>11</v>
      </c>
    </row>
    <row r="565" spans="1:9" x14ac:dyDescent="0.25">
      <c r="A565" s="95">
        <v>564</v>
      </c>
      <c r="B565" t="s">
        <v>85</v>
      </c>
      <c r="C565" t="s">
        <v>2036</v>
      </c>
      <c r="D565" t="s">
        <v>1381</v>
      </c>
      <c r="F565" s="1">
        <v>35180</v>
      </c>
      <c r="G565" s="167" t="s">
        <v>2272</v>
      </c>
      <c r="H565" s="167" t="s">
        <v>121</v>
      </c>
      <c r="I565" s="167" t="s">
        <v>11</v>
      </c>
    </row>
    <row r="566" spans="1:9" x14ac:dyDescent="0.25">
      <c r="A566" s="95">
        <v>565</v>
      </c>
      <c r="B566" t="s">
        <v>1848</v>
      </c>
      <c r="C566" t="s">
        <v>2037</v>
      </c>
      <c r="D566" t="s">
        <v>1393</v>
      </c>
      <c r="F566" s="1">
        <v>14486</v>
      </c>
      <c r="G566" s="167" t="s">
        <v>2272</v>
      </c>
      <c r="H566" s="167" t="s">
        <v>121</v>
      </c>
      <c r="I566" s="167" t="s">
        <v>11</v>
      </c>
    </row>
    <row r="567" spans="1:9" x14ac:dyDescent="0.25">
      <c r="A567" s="95">
        <v>566</v>
      </c>
      <c r="B567" t="s">
        <v>358</v>
      </c>
      <c r="C567" t="s">
        <v>2038</v>
      </c>
      <c r="D567" t="s">
        <v>1898</v>
      </c>
      <c r="F567" s="1">
        <v>19545</v>
      </c>
      <c r="G567" s="167" t="s">
        <v>2276</v>
      </c>
      <c r="H567" s="167" t="s">
        <v>121</v>
      </c>
      <c r="I567" s="167" t="s">
        <v>11</v>
      </c>
    </row>
    <row r="568" spans="1:9" x14ac:dyDescent="0.25">
      <c r="A568" s="95">
        <v>567</v>
      </c>
      <c r="B568" t="s">
        <v>918</v>
      </c>
      <c r="C568" t="s">
        <v>2039</v>
      </c>
      <c r="D568" t="s">
        <v>1751</v>
      </c>
      <c r="F568" s="1">
        <v>27532</v>
      </c>
      <c r="G568" s="167" t="s">
        <v>2272</v>
      </c>
      <c r="H568" s="167" t="s">
        <v>121</v>
      </c>
      <c r="I568" s="167" t="s">
        <v>11</v>
      </c>
    </row>
    <row r="569" spans="1:9" x14ac:dyDescent="0.25">
      <c r="A569" s="95">
        <v>568</v>
      </c>
      <c r="B569" t="s">
        <v>796</v>
      </c>
      <c r="C569" t="s">
        <v>2040</v>
      </c>
      <c r="D569" t="s">
        <v>2041</v>
      </c>
      <c r="F569" s="1">
        <v>25504</v>
      </c>
      <c r="G569" s="167" t="s">
        <v>2272</v>
      </c>
      <c r="H569" s="167" t="s">
        <v>121</v>
      </c>
      <c r="I569" s="167" t="s">
        <v>11</v>
      </c>
    </row>
    <row r="570" spans="1:9" x14ac:dyDescent="0.25">
      <c r="A570" s="95">
        <v>569</v>
      </c>
      <c r="B570" t="s">
        <v>2042</v>
      </c>
      <c r="C570" t="s">
        <v>402</v>
      </c>
      <c r="D570" t="s">
        <v>2043</v>
      </c>
      <c r="F570" s="1">
        <v>24432</v>
      </c>
      <c r="G570" s="167" t="s">
        <v>2272</v>
      </c>
      <c r="H570" s="167" t="s">
        <v>121</v>
      </c>
      <c r="I570" s="167" t="s">
        <v>11</v>
      </c>
    </row>
    <row r="571" spans="1:9" x14ac:dyDescent="0.25">
      <c r="A571" s="95">
        <v>570</v>
      </c>
      <c r="B571" t="s">
        <v>2044</v>
      </c>
      <c r="C571" t="s">
        <v>1416</v>
      </c>
      <c r="D571" t="s">
        <v>1426</v>
      </c>
      <c r="F571" s="1">
        <v>30326</v>
      </c>
      <c r="G571" s="167" t="s">
        <v>2276</v>
      </c>
      <c r="H571" s="167" t="s">
        <v>121</v>
      </c>
      <c r="I571" s="167" t="s">
        <v>11</v>
      </c>
    </row>
    <row r="572" spans="1:9" x14ac:dyDescent="0.25">
      <c r="A572" s="95">
        <v>571</v>
      </c>
      <c r="B572" t="s">
        <v>2045</v>
      </c>
      <c r="C572" t="s">
        <v>2046</v>
      </c>
      <c r="D572" t="s">
        <v>2047</v>
      </c>
      <c r="F572" s="1">
        <v>36954</v>
      </c>
      <c r="G572" s="167" t="s">
        <v>2276</v>
      </c>
      <c r="H572" s="167" t="s">
        <v>121</v>
      </c>
      <c r="I572" s="167" t="s">
        <v>11</v>
      </c>
    </row>
    <row r="573" spans="1:9" x14ac:dyDescent="0.25">
      <c r="A573" s="95">
        <v>572</v>
      </c>
      <c r="B573" t="s">
        <v>2048</v>
      </c>
      <c r="C573" t="s">
        <v>550</v>
      </c>
      <c r="D573" t="s">
        <v>2049</v>
      </c>
      <c r="F573" s="1">
        <v>29092</v>
      </c>
      <c r="G573" s="167" t="s">
        <v>2272</v>
      </c>
      <c r="H573" s="167" t="s">
        <v>121</v>
      </c>
      <c r="I573" s="167" t="s">
        <v>11</v>
      </c>
    </row>
    <row r="574" spans="1:9" x14ac:dyDescent="0.25">
      <c r="A574" s="95">
        <v>573</v>
      </c>
      <c r="B574" t="s">
        <v>737</v>
      </c>
      <c r="C574" t="s">
        <v>2050</v>
      </c>
      <c r="D574" t="s">
        <v>1886</v>
      </c>
      <c r="F574" s="1">
        <v>28779</v>
      </c>
      <c r="G574" s="167" t="s">
        <v>2272</v>
      </c>
      <c r="H574" s="167" t="s">
        <v>121</v>
      </c>
      <c r="I574" s="167" t="s">
        <v>11</v>
      </c>
    </row>
    <row r="575" spans="1:9" x14ac:dyDescent="0.25">
      <c r="A575" s="95">
        <v>574</v>
      </c>
      <c r="B575" t="s">
        <v>2051</v>
      </c>
      <c r="C575" t="s">
        <v>55</v>
      </c>
      <c r="D575" t="s">
        <v>1396</v>
      </c>
      <c r="F575" s="1">
        <v>28324</v>
      </c>
      <c r="G575" s="167" t="s">
        <v>2276</v>
      </c>
      <c r="H575" s="167" t="s">
        <v>121</v>
      </c>
      <c r="I575" s="167" t="s">
        <v>11</v>
      </c>
    </row>
    <row r="576" spans="1:9" x14ac:dyDescent="0.25">
      <c r="A576" s="95">
        <v>575</v>
      </c>
      <c r="B576" t="s">
        <v>1769</v>
      </c>
      <c r="C576" t="s">
        <v>2052</v>
      </c>
      <c r="D576" t="s">
        <v>1498</v>
      </c>
      <c r="F576" s="1">
        <v>24785</v>
      </c>
      <c r="G576" s="167" t="s">
        <v>2272</v>
      </c>
      <c r="H576" s="167" t="s">
        <v>121</v>
      </c>
      <c r="I576" s="167" t="s">
        <v>11</v>
      </c>
    </row>
    <row r="577" spans="1:9" x14ac:dyDescent="0.25">
      <c r="A577" s="95">
        <v>576</v>
      </c>
      <c r="B577" t="s">
        <v>2016</v>
      </c>
      <c r="C577" t="s">
        <v>2053</v>
      </c>
      <c r="D577" t="s">
        <v>2054</v>
      </c>
      <c r="F577" s="1">
        <v>20854</v>
      </c>
      <c r="G577" s="167" t="s">
        <v>2276</v>
      </c>
      <c r="H577" s="167" t="s">
        <v>121</v>
      </c>
      <c r="I577" s="167" t="s">
        <v>11</v>
      </c>
    </row>
    <row r="578" spans="1:9" x14ac:dyDescent="0.25">
      <c r="A578" s="95">
        <v>577</v>
      </c>
      <c r="B578" t="s">
        <v>1818</v>
      </c>
      <c r="C578" t="s">
        <v>2055</v>
      </c>
      <c r="D578" t="s">
        <v>188</v>
      </c>
      <c r="F578" s="1">
        <v>19758</v>
      </c>
      <c r="G578" s="167" t="s">
        <v>2272</v>
      </c>
      <c r="H578" s="167" t="s">
        <v>121</v>
      </c>
      <c r="I578" s="167" t="s">
        <v>11</v>
      </c>
    </row>
    <row r="579" spans="1:9" x14ac:dyDescent="0.25">
      <c r="A579" s="95">
        <v>578</v>
      </c>
      <c r="B579" t="s">
        <v>2056</v>
      </c>
      <c r="C579" t="s">
        <v>2057</v>
      </c>
      <c r="D579" t="s">
        <v>2058</v>
      </c>
      <c r="F579" s="1">
        <v>27243</v>
      </c>
      <c r="G579" s="167" t="s">
        <v>2276</v>
      </c>
      <c r="H579" s="167" t="s">
        <v>121</v>
      </c>
      <c r="I579" s="167" t="s">
        <v>11</v>
      </c>
    </row>
    <row r="580" spans="1:9" x14ac:dyDescent="0.25">
      <c r="A580" s="95">
        <v>579</v>
      </c>
      <c r="B580" t="s">
        <v>1299</v>
      </c>
      <c r="C580" t="s">
        <v>2059</v>
      </c>
      <c r="D580" t="s">
        <v>953</v>
      </c>
      <c r="F580" s="1">
        <v>27960</v>
      </c>
      <c r="G580" s="167" t="s">
        <v>2272</v>
      </c>
      <c r="H580" s="167" t="s">
        <v>121</v>
      </c>
      <c r="I580" s="167" t="s">
        <v>11</v>
      </c>
    </row>
    <row r="581" spans="1:9" x14ac:dyDescent="0.25">
      <c r="A581" s="95">
        <v>580</v>
      </c>
      <c r="B581" t="s">
        <v>2060</v>
      </c>
      <c r="C581" t="s">
        <v>2061</v>
      </c>
      <c r="D581" t="s">
        <v>129</v>
      </c>
      <c r="F581" s="1">
        <v>29899</v>
      </c>
      <c r="G581" s="167" t="s">
        <v>2276</v>
      </c>
      <c r="H581" s="167" t="s">
        <v>121</v>
      </c>
      <c r="I581" s="167" t="s">
        <v>11</v>
      </c>
    </row>
    <row r="582" spans="1:9" x14ac:dyDescent="0.25">
      <c r="A582" s="95">
        <v>581</v>
      </c>
      <c r="B582" t="s">
        <v>89</v>
      </c>
      <c r="C582" t="s">
        <v>2062</v>
      </c>
      <c r="D582" t="s">
        <v>54</v>
      </c>
      <c r="F582" s="1">
        <v>29834</v>
      </c>
      <c r="G582" s="167" t="s">
        <v>2272</v>
      </c>
      <c r="H582" s="167" t="s">
        <v>121</v>
      </c>
      <c r="I582" s="167" t="s">
        <v>11</v>
      </c>
    </row>
    <row r="583" spans="1:9" x14ac:dyDescent="0.25">
      <c r="A583" s="95">
        <v>582</v>
      </c>
      <c r="B583" t="s">
        <v>1417</v>
      </c>
      <c r="C583" t="s">
        <v>2063</v>
      </c>
      <c r="D583" t="s">
        <v>2064</v>
      </c>
      <c r="F583" s="1">
        <v>33680</v>
      </c>
      <c r="G583" s="167" t="s">
        <v>2272</v>
      </c>
      <c r="H583" s="167" t="s">
        <v>121</v>
      </c>
      <c r="I583" s="167" t="s">
        <v>11</v>
      </c>
    </row>
    <row r="584" spans="1:9" x14ac:dyDescent="0.25">
      <c r="A584" s="95">
        <v>583</v>
      </c>
      <c r="B584" t="s">
        <v>1051</v>
      </c>
      <c r="C584" t="s">
        <v>1839</v>
      </c>
      <c r="D584" t="s">
        <v>2065</v>
      </c>
      <c r="F584" s="1">
        <v>30004</v>
      </c>
      <c r="G584" s="167" t="s">
        <v>2272</v>
      </c>
      <c r="H584" s="167" t="s">
        <v>121</v>
      </c>
      <c r="I584" s="167" t="s">
        <v>11</v>
      </c>
    </row>
    <row r="585" spans="1:9" x14ac:dyDescent="0.25">
      <c r="A585" s="95">
        <v>584</v>
      </c>
      <c r="B585" t="s">
        <v>1498</v>
      </c>
      <c r="C585" t="s">
        <v>2066</v>
      </c>
      <c r="D585" t="s">
        <v>2067</v>
      </c>
      <c r="F585" s="1">
        <v>27132</v>
      </c>
      <c r="G585" s="167" t="s">
        <v>2272</v>
      </c>
      <c r="H585" s="167" t="s">
        <v>121</v>
      </c>
      <c r="I585" s="167" t="s">
        <v>11</v>
      </c>
    </row>
    <row r="586" spans="1:9" x14ac:dyDescent="0.25">
      <c r="A586" s="95">
        <v>585</v>
      </c>
      <c r="B586" t="s">
        <v>2068</v>
      </c>
      <c r="C586" t="s">
        <v>2069</v>
      </c>
      <c r="D586" t="s">
        <v>2070</v>
      </c>
      <c r="F586" s="1">
        <v>16003</v>
      </c>
      <c r="G586" s="167" t="s">
        <v>2276</v>
      </c>
      <c r="H586" s="167" t="s">
        <v>121</v>
      </c>
      <c r="I586" s="167" t="s">
        <v>11</v>
      </c>
    </row>
    <row r="587" spans="1:9" x14ac:dyDescent="0.25">
      <c r="A587" s="95">
        <v>586</v>
      </c>
      <c r="B587" t="s">
        <v>1735</v>
      </c>
      <c r="C587" t="s">
        <v>550</v>
      </c>
      <c r="D587" t="s">
        <v>839</v>
      </c>
      <c r="F587" s="1">
        <v>28066</v>
      </c>
      <c r="G587" s="167" t="s">
        <v>2272</v>
      </c>
      <c r="H587" s="167" t="s">
        <v>121</v>
      </c>
      <c r="I587" s="167" t="s">
        <v>11</v>
      </c>
    </row>
    <row r="588" spans="1:9" x14ac:dyDescent="0.25">
      <c r="A588" s="95">
        <v>587</v>
      </c>
      <c r="B588" t="s">
        <v>1339</v>
      </c>
      <c r="C588" t="s">
        <v>2071</v>
      </c>
      <c r="D588" t="s">
        <v>2072</v>
      </c>
      <c r="F588" s="1">
        <v>32308</v>
      </c>
      <c r="G588" s="167" t="s">
        <v>2272</v>
      </c>
      <c r="H588" s="167" t="s">
        <v>121</v>
      </c>
      <c r="I588" s="167" t="s">
        <v>11</v>
      </c>
    </row>
    <row r="589" spans="1:9" x14ac:dyDescent="0.25">
      <c r="A589" s="95">
        <v>588</v>
      </c>
      <c r="B589" t="s">
        <v>796</v>
      </c>
      <c r="C589" t="s">
        <v>1819</v>
      </c>
      <c r="D589" t="s">
        <v>1752</v>
      </c>
      <c r="F589" s="1">
        <v>23340</v>
      </c>
      <c r="G589" s="167" t="s">
        <v>2272</v>
      </c>
      <c r="H589" s="167" t="s">
        <v>121</v>
      </c>
      <c r="I589" s="167" t="s">
        <v>11</v>
      </c>
    </row>
    <row r="590" spans="1:9" x14ac:dyDescent="0.25">
      <c r="A590" s="95">
        <v>589</v>
      </c>
      <c r="B590" t="s">
        <v>2073</v>
      </c>
      <c r="C590" t="s">
        <v>2074</v>
      </c>
      <c r="D590" t="s">
        <v>2075</v>
      </c>
      <c r="F590" s="1">
        <v>33806</v>
      </c>
      <c r="G590" s="167" t="s">
        <v>2276</v>
      </c>
      <c r="H590" s="167" t="s">
        <v>121</v>
      </c>
      <c r="I590" s="167" t="s">
        <v>11</v>
      </c>
    </row>
    <row r="591" spans="1:9" x14ac:dyDescent="0.25">
      <c r="A591" s="95">
        <v>590</v>
      </c>
      <c r="B591" t="s">
        <v>1417</v>
      </c>
      <c r="C591" t="s">
        <v>2076</v>
      </c>
      <c r="D591" t="s">
        <v>2077</v>
      </c>
      <c r="F591" s="1">
        <v>24127</v>
      </c>
      <c r="G591" s="167" t="s">
        <v>2272</v>
      </c>
      <c r="H591" s="167" t="s">
        <v>121</v>
      </c>
      <c r="I591" s="167" t="s">
        <v>11</v>
      </c>
    </row>
    <row r="592" spans="1:9" x14ac:dyDescent="0.25">
      <c r="A592" s="95">
        <v>591</v>
      </c>
      <c r="B592" t="s">
        <v>2078</v>
      </c>
      <c r="C592" t="s">
        <v>60</v>
      </c>
      <c r="D592" t="s">
        <v>1373</v>
      </c>
      <c r="F592" s="1">
        <v>35338</v>
      </c>
      <c r="G592" s="167" t="s">
        <v>2272</v>
      </c>
      <c r="H592" s="167" t="s">
        <v>121</v>
      </c>
      <c r="I592" s="167" t="s">
        <v>11</v>
      </c>
    </row>
    <row r="593" spans="1:9" x14ac:dyDescent="0.25">
      <c r="A593" s="95">
        <v>592</v>
      </c>
      <c r="B593" t="s">
        <v>538</v>
      </c>
      <c r="C593" t="s">
        <v>2079</v>
      </c>
      <c r="D593" t="s">
        <v>1426</v>
      </c>
      <c r="F593" s="1">
        <v>33802</v>
      </c>
      <c r="G593" s="167" t="s">
        <v>2276</v>
      </c>
      <c r="H593" s="167" t="s">
        <v>121</v>
      </c>
      <c r="I593" s="167" t="s">
        <v>11</v>
      </c>
    </row>
    <row r="594" spans="1:9" x14ac:dyDescent="0.25">
      <c r="A594" s="95">
        <v>593</v>
      </c>
      <c r="B594" t="s">
        <v>1051</v>
      </c>
      <c r="C594" t="s">
        <v>2080</v>
      </c>
      <c r="D594" t="s">
        <v>1829</v>
      </c>
      <c r="F594" s="1">
        <v>31278</v>
      </c>
      <c r="G594" s="167" t="s">
        <v>2272</v>
      </c>
      <c r="H594" s="167" t="s">
        <v>121</v>
      </c>
      <c r="I594" s="167" t="s">
        <v>11</v>
      </c>
    </row>
    <row r="595" spans="1:9" x14ac:dyDescent="0.25">
      <c r="A595" s="95">
        <v>594</v>
      </c>
      <c r="B595" t="s">
        <v>2081</v>
      </c>
      <c r="C595" t="s">
        <v>2082</v>
      </c>
      <c r="D595" t="s">
        <v>1345</v>
      </c>
      <c r="F595" s="1">
        <v>34751</v>
      </c>
      <c r="G595" s="167" t="s">
        <v>2276</v>
      </c>
      <c r="H595" s="167" t="s">
        <v>121</v>
      </c>
      <c r="I595" s="167" t="s">
        <v>11</v>
      </c>
    </row>
    <row r="596" spans="1:9" x14ac:dyDescent="0.25">
      <c r="A596" s="95">
        <v>595</v>
      </c>
      <c r="B596" t="s">
        <v>54</v>
      </c>
      <c r="C596" t="s">
        <v>2083</v>
      </c>
      <c r="D596" t="s">
        <v>2084</v>
      </c>
      <c r="F596" s="1">
        <v>16038</v>
      </c>
      <c r="G596" s="167" t="s">
        <v>2272</v>
      </c>
      <c r="H596" s="167" t="s">
        <v>121</v>
      </c>
      <c r="I596" s="167" t="s">
        <v>11</v>
      </c>
    </row>
    <row r="597" spans="1:9" x14ac:dyDescent="0.25">
      <c r="A597" s="95">
        <v>596</v>
      </c>
      <c r="B597" t="s">
        <v>85</v>
      </c>
      <c r="C597" t="s">
        <v>459</v>
      </c>
      <c r="D597" t="s">
        <v>1827</v>
      </c>
      <c r="F597" s="1">
        <v>24454</v>
      </c>
      <c r="G597" s="167" t="s">
        <v>2272</v>
      </c>
      <c r="H597" s="167" t="s">
        <v>121</v>
      </c>
      <c r="I597" s="167" t="s">
        <v>11</v>
      </c>
    </row>
    <row r="598" spans="1:9" x14ac:dyDescent="0.25">
      <c r="A598" s="95">
        <v>597</v>
      </c>
      <c r="B598" t="s">
        <v>1426</v>
      </c>
      <c r="C598" t="s">
        <v>156</v>
      </c>
      <c r="D598" t="s">
        <v>2085</v>
      </c>
      <c r="F598" s="1">
        <v>35500</v>
      </c>
      <c r="G598" s="167" t="s">
        <v>2276</v>
      </c>
      <c r="H598" s="167" t="s">
        <v>121</v>
      </c>
      <c r="I598" s="167" t="s">
        <v>11</v>
      </c>
    </row>
    <row r="599" spans="1:9" x14ac:dyDescent="0.25">
      <c r="A599" s="95">
        <v>598</v>
      </c>
      <c r="B599" t="s">
        <v>1971</v>
      </c>
      <c r="C599" t="s">
        <v>1404</v>
      </c>
      <c r="D599" t="s">
        <v>742</v>
      </c>
      <c r="F599" s="1">
        <v>26107</v>
      </c>
      <c r="G599" s="167" t="s">
        <v>2276</v>
      </c>
      <c r="H599" s="167" t="s">
        <v>121</v>
      </c>
      <c r="I599" s="167" t="s">
        <v>11</v>
      </c>
    </row>
    <row r="600" spans="1:9" x14ac:dyDescent="0.25">
      <c r="A600" s="95">
        <v>599</v>
      </c>
      <c r="B600" t="s">
        <v>1932</v>
      </c>
      <c r="C600" t="s">
        <v>2086</v>
      </c>
      <c r="D600" t="s">
        <v>742</v>
      </c>
      <c r="F600" s="1">
        <v>27670</v>
      </c>
      <c r="G600" s="167" t="s">
        <v>2276</v>
      </c>
      <c r="H600" s="167" t="s">
        <v>121</v>
      </c>
      <c r="I600" s="167" t="s">
        <v>11</v>
      </c>
    </row>
    <row r="601" spans="1:9" x14ac:dyDescent="0.25">
      <c r="A601" s="95">
        <v>600</v>
      </c>
      <c r="B601" t="s">
        <v>1050</v>
      </c>
      <c r="C601" t="s">
        <v>1334</v>
      </c>
      <c r="D601" t="s">
        <v>87</v>
      </c>
      <c r="F601" s="1">
        <v>18069</v>
      </c>
      <c r="G601" s="167" t="s">
        <v>2276</v>
      </c>
      <c r="H601" s="167" t="s">
        <v>121</v>
      </c>
      <c r="I601" s="167" t="s">
        <v>11</v>
      </c>
    </row>
    <row r="602" spans="1:9" x14ac:dyDescent="0.25">
      <c r="A602" s="95">
        <v>601</v>
      </c>
      <c r="B602" t="s">
        <v>1752</v>
      </c>
      <c r="C602" t="s">
        <v>2087</v>
      </c>
      <c r="D602" t="s">
        <v>621</v>
      </c>
      <c r="F602" s="1">
        <v>29067</v>
      </c>
      <c r="G602" s="167" t="s">
        <v>2272</v>
      </c>
      <c r="H602" s="167" t="s">
        <v>121</v>
      </c>
      <c r="I602" s="167" t="s">
        <v>11</v>
      </c>
    </row>
    <row r="603" spans="1:9" x14ac:dyDescent="0.25">
      <c r="A603" s="95">
        <v>602</v>
      </c>
      <c r="B603" t="s">
        <v>2088</v>
      </c>
      <c r="C603" t="s">
        <v>2089</v>
      </c>
      <c r="D603" t="s">
        <v>2016</v>
      </c>
      <c r="F603" s="1">
        <v>32249</v>
      </c>
      <c r="G603" s="167" t="s">
        <v>2276</v>
      </c>
      <c r="H603" s="167" t="s">
        <v>121</v>
      </c>
      <c r="I603" s="167" t="s">
        <v>11</v>
      </c>
    </row>
    <row r="604" spans="1:9" x14ac:dyDescent="0.25">
      <c r="A604" s="95">
        <v>603</v>
      </c>
      <c r="B604" t="s">
        <v>450</v>
      </c>
      <c r="C604" t="s">
        <v>146</v>
      </c>
      <c r="D604" t="s">
        <v>1288</v>
      </c>
      <c r="F604" s="1">
        <v>22761</v>
      </c>
      <c r="G604" s="167" t="s">
        <v>2273</v>
      </c>
      <c r="H604" s="167" t="s">
        <v>121</v>
      </c>
      <c r="I604" s="167" t="s">
        <v>11</v>
      </c>
    </row>
    <row r="605" spans="1:9" x14ac:dyDescent="0.25">
      <c r="A605" s="95">
        <v>604</v>
      </c>
      <c r="B605" t="s">
        <v>538</v>
      </c>
      <c r="C605" t="s">
        <v>2090</v>
      </c>
      <c r="D605" t="s">
        <v>742</v>
      </c>
      <c r="F605" s="1">
        <v>23056</v>
      </c>
      <c r="G605" s="167" t="s">
        <v>2276</v>
      </c>
      <c r="H605" s="167" t="s">
        <v>121</v>
      </c>
      <c r="I605" s="167" t="s">
        <v>11</v>
      </c>
    </row>
    <row r="606" spans="1:9" x14ac:dyDescent="0.25">
      <c r="A606" s="95">
        <v>605</v>
      </c>
      <c r="B606" t="s">
        <v>737</v>
      </c>
      <c r="C606" t="s">
        <v>2091</v>
      </c>
      <c r="D606" t="s">
        <v>1886</v>
      </c>
      <c r="E606" t="s">
        <v>22</v>
      </c>
      <c r="F606" s="1">
        <v>29027</v>
      </c>
      <c r="G606" s="167" t="s">
        <v>2272</v>
      </c>
      <c r="H606" s="167" t="s">
        <v>121</v>
      </c>
      <c r="I606" s="167" t="s">
        <v>11</v>
      </c>
    </row>
    <row r="607" spans="1:9" x14ac:dyDescent="0.25">
      <c r="A607" s="95">
        <v>606</v>
      </c>
      <c r="B607" t="s">
        <v>2092</v>
      </c>
      <c r="C607" t="s">
        <v>2093</v>
      </c>
      <c r="D607" t="s">
        <v>2094</v>
      </c>
      <c r="F607" s="1">
        <v>32783</v>
      </c>
      <c r="G607" s="167" t="s">
        <v>2276</v>
      </c>
      <c r="H607" s="167" t="s">
        <v>121</v>
      </c>
      <c r="I607" s="167" t="s">
        <v>11</v>
      </c>
    </row>
    <row r="608" spans="1:9" x14ac:dyDescent="0.25">
      <c r="A608" s="95">
        <v>607</v>
      </c>
      <c r="B608" t="s">
        <v>2026</v>
      </c>
      <c r="C608" t="s">
        <v>2095</v>
      </c>
      <c r="D608" t="s">
        <v>538</v>
      </c>
      <c r="F608" s="1">
        <v>29481</v>
      </c>
      <c r="G608" s="167" t="s">
        <v>2276</v>
      </c>
      <c r="H608" s="167" t="s">
        <v>121</v>
      </c>
      <c r="I608" s="167" t="s">
        <v>11</v>
      </c>
    </row>
    <row r="609" spans="1:9" x14ac:dyDescent="0.25">
      <c r="A609" s="95">
        <v>608</v>
      </c>
      <c r="B609" t="s">
        <v>1339</v>
      </c>
      <c r="C609" t="s">
        <v>2096</v>
      </c>
      <c r="D609" t="s">
        <v>1951</v>
      </c>
      <c r="F609" s="1">
        <v>13530</v>
      </c>
      <c r="G609" s="167" t="s">
        <v>2272</v>
      </c>
      <c r="H609" s="167" t="s">
        <v>121</v>
      </c>
      <c r="I609" s="167" t="s">
        <v>11</v>
      </c>
    </row>
    <row r="610" spans="1:9" x14ac:dyDescent="0.25">
      <c r="A610" s="95">
        <v>609</v>
      </c>
      <c r="B610" t="s">
        <v>2097</v>
      </c>
      <c r="C610" t="s">
        <v>1861</v>
      </c>
      <c r="D610" t="s">
        <v>59</v>
      </c>
      <c r="F610" s="1">
        <v>34890</v>
      </c>
      <c r="G610" s="167" t="s">
        <v>2273</v>
      </c>
      <c r="H610" s="167" t="s">
        <v>121</v>
      </c>
      <c r="I610" s="167" t="s">
        <v>11</v>
      </c>
    </row>
    <row r="611" spans="1:9" x14ac:dyDescent="0.25">
      <c r="A611" s="95">
        <v>610</v>
      </c>
      <c r="B611" t="s">
        <v>1417</v>
      </c>
      <c r="C611" t="s">
        <v>91</v>
      </c>
      <c r="D611" t="s">
        <v>211</v>
      </c>
      <c r="F611" s="1">
        <v>26639</v>
      </c>
      <c r="G611" s="167" t="s">
        <v>2272</v>
      </c>
      <c r="H611" s="167" t="s">
        <v>121</v>
      </c>
      <c r="I611" s="167" t="s">
        <v>11</v>
      </c>
    </row>
    <row r="612" spans="1:9" x14ac:dyDescent="0.25">
      <c r="A612" s="95">
        <v>611</v>
      </c>
      <c r="B612" t="s">
        <v>1898</v>
      </c>
      <c r="C612" t="s">
        <v>2098</v>
      </c>
      <c r="D612" t="s">
        <v>538</v>
      </c>
      <c r="F612" s="1">
        <v>15390</v>
      </c>
      <c r="G612" s="167" t="s">
        <v>2276</v>
      </c>
      <c r="H612" s="167" t="s">
        <v>121</v>
      </c>
      <c r="I612" s="167" t="s">
        <v>11</v>
      </c>
    </row>
    <row r="613" spans="1:9" x14ac:dyDescent="0.25">
      <c r="A613" s="95">
        <v>612</v>
      </c>
      <c r="B613" t="s">
        <v>737</v>
      </c>
      <c r="C613" t="s">
        <v>2099</v>
      </c>
      <c r="D613" t="s">
        <v>2100</v>
      </c>
      <c r="F613" s="1">
        <v>34438</v>
      </c>
      <c r="G613" s="167" t="s">
        <v>2272</v>
      </c>
      <c r="H613" s="167" t="s">
        <v>121</v>
      </c>
      <c r="I613" s="167" t="s">
        <v>11</v>
      </c>
    </row>
    <row r="614" spans="1:9" x14ac:dyDescent="0.25">
      <c r="A614" s="95">
        <v>613</v>
      </c>
      <c r="B614" t="s">
        <v>176</v>
      </c>
      <c r="C614" t="s">
        <v>1355</v>
      </c>
      <c r="D614" t="s">
        <v>2101</v>
      </c>
      <c r="F614" s="1">
        <v>28199</v>
      </c>
      <c r="G614" s="167" t="s">
        <v>2272</v>
      </c>
      <c r="H614" s="167" t="s">
        <v>121</v>
      </c>
      <c r="I614" s="167" t="s">
        <v>11</v>
      </c>
    </row>
    <row r="615" spans="1:9" x14ac:dyDescent="0.25">
      <c r="A615" s="95">
        <v>614</v>
      </c>
      <c r="B615" t="s">
        <v>2102</v>
      </c>
      <c r="C615" t="s">
        <v>2103</v>
      </c>
      <c r="D615" t="s">
        <v>737</v>
      </c>
      <c r="F615" s="1">
        <v>25384</v>
      </c>
      <c r="G615" s="167" t="s">
        <v>2272</v>
      </c>
      <c r="H615" s="167" t="s">
        <v>121</v>
      </c>
      <c r="I615" s="167" t="s">
        <v>11</v>
      </c>
    </row>
    <row r="616" spans="1:9" x14ac:dyDescent="0.25">
      <c r="A616" s="95">
        <v>615</v>
      </c>
      <c r="B616" t="s">
        <v>2104</v>
      </c>
      <c r="C616" t="s">
        <v>606</v>
      </c>
      <c r="D616" t="s">
        <v>2105</v>
      </c>
      <c r="F616" s="1">
        <v>25913</v>
      </c>
      <c r="G616" s="167" t="s">
        <v>2272</v>
      </c>
      <c r="H616" s="167" t="s">
        <v>121</v>
      </c>
      <c r="I616" s="167" t="s">
        <v>11</v>
      </c>
    </row>
    <row r="617" spans="1:9" x14ac:dyDescent="0.25">
      <c r="A617" s="95">
        <v>616</v>
      </c>
      <c r="B617" t="s">
        <v>1752</v>
      </c>
      <c r="C617" t="s">
        <v>151</v>
      </c>
      <c r="D617" t="s">
        <v>2106</v>
      </c>
      <c r="F617" s="1">
        <v>31631</v>
      </c>
      <c r="G617" s="167" t="s">
        <v>2272</v>
      </c>
      <c r="H617" s="167" t="s">
        <v>121</v>
      </c>
      <c r="I617" s="167" t="s">
        <v>11</v>
      </c>
    </row>
    <row r="618" spans="1:9" x14ac:dyDescent="0.25">
      <c r="A618" s="95">
        <v>617</v>
      </c>
      <c r="B618" t="s">
        <v>1848</v>
      </c>
      <c r="C618" t="s">
        <v>2107</v>
      </c>
      <c r="D618" t="s">
        <v>87</v>
      </c>
      <c r="F618" s="1">
        <v>16379</v>
      </c>
      <c r="G618" s="167" t="s">
        <v>2272</v>
      </c>
      <c r="H618" s="167" t="s">
        <v>121</v>
      </c>
      <c r="I618" s="167" t="s">
        <v>11</v>
      </c>
    </row>
    <row r="619" spans="1:9" x14ac:dyDescent="0.25">
      <c r="A619" s="95">
        <v>618</v>
      </c>
      <c r="B619" t="s">
        <v>1050</v>
      </c>
      <c r="C619" t="s">
        <v>60</v>
      </c>
      <c r="D619" t="s">
        <v>1887</v>
      </c>
      <c r="F619" s="1">
        <v>27785</v>
      </c>
      <c r="G619" s="167" t="s">
        <v>2272</v>
      </c>
      <c r="H619" s="167" t="s">
        <v>121</v>
      </c>
      <c r="I619" s="167" t="s">
        <v>11</v>
      </c>
    </row>
    <row r="620" spans="1:9" x14ac:dyDescent="0.25">
      <c r="A620" s="95">
        <v>619</v>
      </c>
      <c r="B620" t="s">
        <v>742</v>
      </c>
      <c r="C620" t="s">
        <v>101</v>
      </c>
      <c r="D620" t="s">
        <v>1971</v>
      </c>
      <c r="F620" s="1">
        <v>23279</v>
      </c>
      <c r="G620" s="167" t="s">
        <v>2276</v>
      </c>
      <c r="H620" s="167" t="s">
        <v>121</v>
      </c>
      <c r="I620" s="167" t="s">
        <v>11</v>
      </c>
    </row>
    <row r="621" spans="1:9" x14ac:dyDescent="0.25">
      <c r="A621" s="95">
        <v>620</v>
      </c>
      <c r="B621" t="s">
        <v>1554</v>
      </c>
      <c r="C621" t="s">
        <v>2108</v>
      </c>
      <c r="D621" t="s">
        <v>1752</v>
      </c>
      <c r="F621" s="1">
        <v>18537</v>
      </c>
      <c r="G621" s="167" t="s">
        <v>2272</v>
      </c>
      <c r="H621" s="167" t="s">
        <v>121</v>
      </c>
      <c r="I621" s="167" t="s">
        <v>11</v>
      </c>
    </row>
    <row r="622" spans="1:9" x14ac:dyDescent="0.25">
      <c r="A622" s="95">
        <v>621</v>
      </c>
      <c r="B622" t="s">
        <v>2109</v>
      </c>
      <c r="C622" t="s">
        <v>2110</v>
      </c>
      <c r="D622" t="s">
        <v>2111</v>
      </c>
      <c r="F622" s="1">
        <v>33051</v>
      </c>
      <c r="G622" s="167" t="s">
        <v>2272</v>
      </c>
      <c r="H622" s="167" t="s">
        <v>121</v>
      </c>
      <c r="I622" s="167" t="s">
        <v>11</v>
      </c>
    </row>
    <row r="623" spans="1:9" x14ac:dyDescent="0.25">
      <c r="A623" s="95">
        <v>622</v>
      </c>
      <c r="B623" t="s">
        <v>605</v>
      </c>
      <c r="C623" t="s">
        <v>69</v>
      </c>
      <c r="D623" t="s">
        <v>538</v>
      </c>
      <c r="F623" s="1">
        <v>25306</v>
      </c>
      <c r="G623" s="167" t="s">
        <v>2276</v>
      </c>
      <c r="H623" s="167" t="s">
        <v>121</v>
      </c>
      <c r="I623" s="167" t="s">
        <v>11</v>
      </c>
    </row>
    <row r="624" spans="1:9" x14ac:dyDescent="0.25">
      <c r="A624" s="95">
        <v>623</v>
      </c>
      <c r="B624" t="s">
        <v>2112</v>
      </c>
      <c r="C624" t="s">
        <v>2113</v>
      </c>
      <c r="D624" t="s">
        <v>2114</v>
      </c>
      <c r="F624" s="1">
        <v>26396</v>
      </c>
      <c r="G624" s="167" t="s">
        <v>2272</v>
      </c>
      <c r="H624" s="167" t="s">
        <v>121</v>
      </c>
      <c r="I624" s="167" t="s">
        <v>11</v>
      </c>
    </row>
    <row r="625" spans="1:9" x14ac:dyDescent="0.25">
      <c r="A625" s="95">
        <v>624</v>
      </c>
      <c r="B625" t="s">
        <v>1941</v>
      </c>
      <c r="C625" t="s">
        <v>2115</v>
      </c>
      <c r="D625" t="s">
        <v>1039</v>
      </c>
      <c r="F625" s="1">
        <v>37146</v>
      </c>
      <c r="G625" s="167" t="s">
        <v>2276</v>
      </c>
      <c r="H625" s="167" t="s">
        <v>121</v>
      </c>
      <c r="I625" s="167" t="s">
        <v>11</v>
      </c>
    </row>
    <row r="626" spans="1:9" x14ac:dyDescent="0.25">
      <c r="A626" s="95">
        <v>625</v>
      </c>
      <c r="B626" t="s">
        <v>1783</v>
      </c>
      <c r="C626" t="s">
        <v>2116</v>
      </c>
      <c r="D626" t="s">
        <v>1752</v>
      </c>
      <c r="F626" s="1">
        <v>32727</v>
      </c>
      <c r="G626" s="167" t="s">
        <v>2272</v>
      </c>
      <c r="H626" s="167" t="s">
        <v>121</v>
      </c>
      <c r="I626" s="167" t="s">
        <v>11</v>
      </c>
    </row>
    <row r="627" spans="1:9" x14ac:dyDescent="0.25">
      <c r="A627" s="95">
        <v>626</v>
      </c>
      <c r="B627" t="s">
        <v>1882</v>
      </c>
      <c r="C627" t="s">
        <v>254</v>
      </c>
      <c r="D627" t="s">
        <v>2117</v>
      </c>
      <c r="F627" s="1">
        <v>25296</v>
      </c>
      <c r="G627" s="167" t="s">
        <v>2272</v>
      </c>
      <c r="H627" s="167" t="s">
        <v>121</v>
      </c>
      <c r="I627" s="167" t="s">
        <v>11</v>
      </c>
    </row>
    <row r="628" spans="1:9" x14ac:dyDescent="0.25">
      <c r="A628" s="95">
        <v>627</v>
      </c>
      <c r="B628" t="s">
        <v>2117</v>
      </c>
      <c r="C628" t="s">
        <v>2118</v>
      </c>
      <c r="D628" t="s">
        <v>1275</v>
      </c>
      <c r="F628" s="1">
        <v>14011</v>
      </c>
      <c r="G628" s="167" t="s">
        <v>2272</v>
      </c>
      <c r="H628" s="167" t="s">
        <v>121</v>
      </c>
      <c r="I628" s="167" t="s">
        <v>11</v>
      </c>
    </row>
    <row r="629" spans="1:9" x14ac:dyDescent="0.25">
      <c r="A629" s="95">
        <v>628</v>
      </c>
      <c r="B629" t="s">
        <v>1917</v>
      </c>
      <c r="C629" t="s">
        <v>151</v>
      </c>
      <c r="D629" t="s">
        <v>1918</v>
      </c>
      <c r="F629" s="1">
        <v>26553</v>
      </c>
      <c r="G629" s="167" t="s">
        <v>2276</v>
      </c>
      <c r="H629" s="167" t="s">
        <v>121</v>
      </c>
      <c r="I629" s="167" t="s">
        <v>11</v>
      </c>
    </row>
    <row r="630" spans="1:9" x14ac:dyDescent="0.25">
      <c r="A630" s="95">
        <v>629</v>
      </c>
      <c r="B630" t="s">
        <v>1292</v>
      </c>
      <c r="C630" t="s">
        <v>1660</v>
      </c>
      <c r="D630" t="s">
        <v>221</v>
      </c>
      <c r="F630" s="1">
        <v>13998</v>
      </c>
      <c r="G630" s="167" t="s">
        <v>2273</v>
      </c>
      <c r="H630" s="167" t="s">
        <v>121</v>
      </c>
      <c r="I630" s="167" t="s">
        <v>11</v>
      </c>
    </row>
    <row r="631" spans="1:9" x14ac:dyDescent="0.25">
      <c r="A631" s="95">
        <v>630</v>
      </c>
      <c r="B631" t="s">
        <v>53</v>
      </c>
      <c r="C631" t="s">
        <v>283</v>
      </c>
      <c r="D631" t="s">
        <v>2119</v>
      </c>
      <c r="F631" s="1">
        <v>34412</v>
      </c>
      <c r="G631" s="167" t="s">
        <v>2272</v>
      </c>
      <c r="H631" s="167" t="s">
        <v>121</v>
      </c>
      <c r="I631" s="167" t="s">
        <v>11</v>
      </c>
    </row>
    <row r="632" spans="1:9" x14ac:dyDescent="0.25">
      <c r="A632" s="95">
        <v>631</v>
      </c>
      <c r="B632" t="s">
        <v>64</v>
      </c>
      <c r="C632" t="s">
        <v>2120</v>
      </c>
      <c r="D632" t="s">
        <v>259</v>
      </c>
      <c r="F632" s="1">
        <v>34575</v>
      </c>
      <c r="G632" s="167" t="s">
        <v>2273</v>
      </c>
      <c r="H632" s="167" t="s">
        <v>121</v>
      </c>
      <c r="I632" s="167" t="s">
        <v>11</v>
      </c>
    </row>
    <row r="633" spans="1:9" x14ac:dyDescent="0.25">
      <c r="A633" s="95">
        <v>632</v>
      </c>
      <c r="B633" t="s">
        <v>58</v>
      </c>
      <c r="C633" t="s">
        <v>2121</v>
      </c>
      <c r="D633" t="s">
        <v>87</v>
      </c>
      <c r="E633" t="s">
        <v>67</v>
      </c>
      <c r="F633" s="1">
        <v>24933</v>
      </c>
      <c r="G633" s="167" t="s">
        <v>2272</v>
      </c>
      <c r="H633" s="167" t="s">
        <v>121</v>
      </c>
      <c r="I633" s="167" t="s">
        <v>11</v>
      </c>
    </row>
    <row r="634" spans="1:9" x14ac:dyDescent="0.25">
      <c r="A634" s="95">
        <v>633</v>
      </c>
      <c r="B634" t="s">
        <v>2122</v>
      </c>
      <c r="C634" t="s">
        <v>2123</v>
      </c>
      <c r="D634" t="s">
        <v>918</v>
      </c>
      <c r="F634" s="1">
        <v>22121</v>
      </c>
      <c r="G634" s="167" t="s">
        <v>2272</v>
      </c>
      <c r="H634" s="167" t="s">
        <v>121</v>
      </c>
      <c r="I634" s="167" t="s">
        <v>11</v>
      </c>
    </row>
    <row r="635" spans="1:9" x14ac:dyDescent="0.25">
      <c r="A635" s="95">
        <v>634</v>
      </c>
      <c r="B635" t="s">
        <v>2124</v>
      </c>
      <c r="C635" t="s">
        <v>2125</v>
      </c>
      <c r="D635" t="s">
        <v>2126</v>
      </c>
      <c r="F635" s="1">
        <v>18479</v>
      </c>
      <c r="G635" s="167" t="s">
        <v>2272</v>
      </c>
      <c r="H635" s="167" t="s">
        <v>121</v>
      </c>
      <c r="I635" s="167" t="s">
        <v>11</v>
      </c>
    </row>
    <row r="636" spans="1:9" x14ac:dyDescent="0.25">
      <c r="A636" s="95">
        <v>635</v>
      </c>
      <c r="B636" t="s">
        <v>742</v>
      </c>
      <c r="C636" t="s">
        <v>2127</v>
      </c>
      <c r="D636" t="s">
        <v>1609</v>
      </c>
      <c r="F636" s="1">
        <v>22934</v>
      </c>
      <c r="G636" s="167" t="s">
        <v>2276</v>
      </c>
      <c r="H636" s="167" t="s">
        <v>121</v>
      </c>
      <c r="I636" s="167" t="s">
        <v>11</v>
      </c>
    </row>
    <row r="637" spans="1:9" x14ac:dyDescent="0.25">
      <c r="A637" s="95">
        <v>636</v>
      </c>
      <c r="B637" t="s">
        <v>2128</v>
      </c>
      <c r="C637" t="s">
        <v>340</v>
      </c>
      <c r="D637" t="s">
        <v>2129</v>
      </c>
      <c r="F637" s="1">
        <v>26458</v>
      </c>
      <c r="G637" s="167" t="s">
        <v>2272</v>
      </c>
      <c r="H637" s="167" t="s">
        <v>121</v>
      </c>
      <c r="I637" s="167" t="s">
        <v>11</v>
      </c>
    </row>
    <row r="638" spans="1:9" x14ac:dyDescent="0.25">
      <c r="A638" s="95">
        <v>637</v>
      </c>
      <c r="B638" t="s">
        <v>2130</v>
      </c>
      <c r="C638" t="s">
        <v>2131</v>
      </c>
      <c r="D638" t="s">
        <v>2132</v>
      </c>
      <c r="F638" s="1">
        <v>21686</v>
      </c>
      <c r="G638" s="167" t="s">
        <v>2273</v>
      </c>
      <c r="H638" s="167" t="s">
        <v>121</v>
      </c>
      <c r="I638" s="167" t="s">
        <v>11</v>
      </c>
    </row>
    <row r="639" spans="1:9" x14ac:dyDescent="0.25">
      <c r="A639" s="95">
        <v>638</v>
      </c>
      <c r="B639" t="s">
        <v>1288</v>
      </c>
      <c r="C639" t="s">
        <v>2133</v>
      </c>
      <c r="D639" t="s">
        <v>2134</v>
      </c>
      <c r="F639" s="1">
        <v>28575</v>
      </c>
      <c r="G639" s="167" t="s">
        <v>2276</v>
      </c>
      <c r="H639" s="167" t="s">
        <v>121</v>
      </c>
      <c r="I639" s="167" t="s">
        <v>11</v>
      </c>
    </row>
    <row r="640" spans="1:9" x14ac:dyDescent="0.25">
      <c r="A640" s="95">
        <v>639</v>
      </c>
      <c r="B640" t="s">
        <v>54</v>
      </c>
      <c r="C640" t="s">
        <v>2135</v>
      </c>
      <c r="D640" t="s">
        <v>426</v>
      </c>
      <c r="F640" s="1">
        <v>17829</v>
      </c>
      <c r="G640" s="167" t="s">
        <v>2272</v>
      </c>
      <c r="H640" s="167" t="s">
        <v>121</v>
      </c>
      <c r="I640" s="167" t="s">
        <v>11</v>
      </c>
    </row>
    <row r="641" spans="1:9" x14ac:dyDescent="0.25">
      <c r="A641" s="95">
        <v>640</v>
      </c>
      <c r="B641" t="s">
        <v>2136</v>
      </c>
      <c r="C641" t="s">
        <v>1361</v>
      </c>
      <c r="D641" t="s">
        <v>941</v>
      </c>
      <c r="F641" s="1">
        <v>26637</v>
      </c>
      <c r="G641" s="167" t="s">
        <v>2272</v>
      </c>
      <c r="H641" s="167" t="s">
        <v>121</v>
      </c>
      <c r="I641" s="167" t="s">
        <v>11</v>
      </c>
    </row>
    <row r="642" spans="1:9" x14ac:dyDescent="0.25">
      <c r="A642" s="95">
        <v>641</v>
      </c>
      <c r="B642" t="s">
        <v>495</v>
      </c>
      <c r="C642" t="s">
        <v>1494</v>
      </c>
      <c r="D642" t="s">
        <v>1908</v>
      </c>
      <c r="F642" s="1">
        <v>27445</v>
      </c>
      <c r="G642" s="167" t="s">
        <v>2272</v>
      </c>
      <c r="H642" s="167" t="s">
        <v>121</v>
      </c>
      <c r="I642" s="167" t="s">
        <v>11</v>
      </c>
    </row>
    <row r="643" spans="1:9" x14ac:dyDescent="0.25">
      <c r="A643" s="95">
        <v>642</v>
      </c>
      <c r="B643" t="s">
        <v>2137</v>
      </c>
      <c r="C643" t="s">
        <v>2138</v>
      </c>
      <c r="D643" t="s">
        <v>538</v>
      </c>
      <c r="F643" s="1">
        <v>29635</v>
      </c>
      <c r="G643" s="167" t="s">
        <v>2272</v>
      </c>
      <c r="H643" s="167" t="s">
        <v>121</v>
      </c>
      <c r="I643" s="167" t="s">
        <v>11</v>
      </c>
    </row>
    <row r="644" spans="1:9" x14ac:dyDescent="0.25">
      <c r="A644" s="95">
        <v>643</v>
      </c>
      <c r="B644" t="s">
        <v>2088</v>
      </c>
      <c r="C644" t="s">
        <v>2139</v>
      </c>
      <c r="D644" t="s">
        <v>1814</v>
      </c>
      <c r="F644" s="1">
        <v>33688</v>
      </c>
      <c r="G644" s="167" t="s">
        <v>2272</v>
      </c>
      <c r="H644" s="167" t="s">
        <v>121</v>
      </c>
      <c r="I644" s="167" t="s">
        <v>11</v>
      </c>
    </row>
    <row r="645" spans="1:9" x14ac:dyDescent="0.25">
      <c r="A645" s="95">
        <v>644</v>
      </c>
      <c r="B645" t="s">
        <v>941</v>
      </c>
      <c r="C645" t="s">
        <v>501</v>
      </c>
      <c r="D645" t="s">
        <v>2140</v>
      </c>
      <c r="F645" s="1">
        <v>30854</v>
      </c>
      <c r="G645" s="167" t="s">
        <v>2272</v>
      </c>
      <c r="H645" s="167" t="s">
        <v>121</v>
      </c>
      <c r="I645" s="167" t="s">
        <v>11</v>
      </c>
    </row>
    <row r="646" spans="1:9" x14ac:dyDescent="0.25">
      <c r="A646" s="95">
        <v>645</v>
      </c>
      <c r="B646" t="s">
        <v>361</v>
      </c>
      <c r="C646" t="s">
        <v>2141</v>
      </c>
      <c r="D646" t="s">
        <v>1926</v>
      </c>
      <c r="E646" t="s">
        <v>106</v>
      </c>
      <c r="F646" s="1">
        <v>15062</v>
      </c>
      <c r="G646" s="167" t="s">
        <v>2276</v>
      </c>
      <c r="H646" s="167" t="s">
        <v>121</v>
      </c>
      <c r="I646" s="167" t="s">
        <v>11</v>
      </c>
    </row>
    <row r="647" spans="1:9" x14ac:dyDescent="0.25">
      <c r="A647" s="95">
        <v>646</v>
      </c>
      <c r="B647" t="s">
        <v>1554</v>
      </c>
      <c r="C647" t="s">
        <v>2142</v>
      </c>
      <c r="D647" t="s">
        <v>1497</v>
      </c>
      <c r="F647" s="1">
        <v>30698</v>
      </c>
      <c r="G647" s="167" t="s">
        <v>2272</v>
      </c>
      <c r="H647" s="167" t="s">
        <v>121</v>
      </c>
      <c r="I647" s="167" t="s">
        <v>11</v>
      </c>
    </row>
    <row r="648" spans="1:9" x14ac:dyDescent="0.25">
      <c r="A648" s="95">
        <v>647</v>
      </c>
      <c r="B648" t="s">
        <v>2143</v>
      </c>
      <c r="C648" t="s">
        <v>19</v>
      </c>
      <c r="D648" t="s">
        <v>2144</v>
      </c>
      <c r="F648" s="1">
        <v>20611</v>
      </c>
      <c r="G648" s="167" t="s">
        <v>2272</v>
      </c>
      <c r="H648" s="167" t="s">
        <v>121</v>
      </c>
      <c r="I648" s="167" t="s">
        <v>11</v>
      </c>
    </row>
    <row r="649" spans="1:9" x14ac:dyDescent="0.25">
      <c r="A649" s="95">
        <v>648</v>
      </c>
      <c r="B649" t="s">
        <v>2145</v>
      </c>
      <c r="C649" t="s">
        <v>2146</v>
      </c>
      <c r="D649" t="s">
        <v>2026</v>
      </c>
      <c r="F649" s="1">
        <v>18886</v>
      </c>
      <c r="G649" s="167" t="s">
        <v>2276</v>
      </c>
      <c r="H649" s="167" t="s">
        <v>121</v>
      </c>
      <c r="I649" s="167" t="s">
        <v>11</v>
      </c>
    </row>
    <row r="650" spans="1:9" x14ac:dyDescent="0.25">
      <c r="A650" s="95">
        <v>649</v>
      </c>
      <c r="B650" t="s">
        <v>2018</v>
      </c>
      <c r="C650" t="s">
        <v>2147</v>
      </c>
      <c r="D650" t="s">
        <v>2148</v>
      </c>
      <c r="F650" s="1">
        <v>24257</v>
      </c>
      <c r="G650" s="167" t="s">
        <v>2272</v>
      </c>
      <c r="H650" s="167" t="s">
        <v>121</v>
      </c>
      <c r="I650" s="167" t="s">
        <v>11</v>
      </c>
    </row>
    <row r="651" spans="1:9" x14ac:dyDescent="0.25">
      <c r="A651" s="95">
        <v>650</v>
      </c>
      <c r="B651" t="s">
        <v>2149</v>
      </c>
      <c r="C651" t="s">
        <v>2150</v>
      </c>
      <c r="D651" t="s">
        <v>2151</v>
      </c>
      <c r="F651" s="1">
        <v>25424</v>
      </c>
      <c r="G651" s="167" t="s">
        <v>2276</v>
      </c>
      <c r="H651" s="167" t="s">
        <v>121</v>
      </c>
      <c r="I651" s="167" t="s">
        <v>11</v>
      </c>
    </row>
    <row r="652" spans="1:9" x14ac:dyDescent="0.25">
      <c r="A652" s="95">
        <v>651</v>
      </c>
      <c r="B652" t="s">
        <v>2092</v>
      </c>
      <c r="C652" t="s">
        <v>2152</v>
      </c>
      <c r="D652" t="s">
        <v>1877</v>
      </c>
      <c r="F652" s="1">
        <v>30114</v>
      </c>
      <c r="G652" s="167" t="s">
        <v>2272</v>
      </c>
      <c r="H652" s="167" t="s">
        <v>121</v>
      </c>
      <c r="I652" s="167" t="s">
        <v>11</v>
      </c>
    </row>
    <row r="653" spans="1:9" x14ac:dyDescent="0.25">
      <c r="A653" s="95">
        <v>652</v>
      </c>
      <c r="B653" t="s">
        <v>2153</v>
      </c>
      <c r="C653" t="s">
        <v>2154</v>
      </c>
      <c r="D653" t="s">
        <v>1752</v>
      </c>
      <c r="F653" s="1">
        <v>30710</v>
      </c>
      <c r="G653" s="167" t="s">
        <v>2272</v>
      </c>
      <c r="H653" s="167" t="s">
        <v>121</v>
      </c>
      <c r="I653" s="167" t="s">
        <v>11</v>
      </c>
    </row>
    <row r="654" spans="1:9" x14ac:dyDescent="0.25">
      <c r="A654" s="95">
        <v>653</v>
      </c>
      <c r="B654" t="s">
        <v>2155</v>
      </c>
      <c r="C654" t="s">
        <v>2156</v>
      </c>
      <c r="D654" t="s">
        <v>2157</v>
      </c>
      <c r="F654" s="1">
        <v>35407</v>
      </c>
      <c r="G654" s="167" t="s">
        <v>2272</v>
      </c>
      <c r="H654" s="167" t="s">
        <v>121</v>
      </c>
      <c r="I654" s="167" t="s">
        <v>11</v>
      </c>
    </row>
    <row r="655" spans="1:9" x14ac:dyDescent="0.25">
      <c r="A655" s="95">
        <v>654</v>
      </c>
      <c r="B655" t="s">
        <v>750</v>
      </c>
      <c r="C655" t="s">
        <v>2158</v>
      </c>
      <c r="D655" t="s">
        <v>1848</v>
      </c>
      <c r="F655" s="1">
        <v>34137</v>
      </c>
      <c r="G655" s="167" t="s">
        <v>2272</v>
      </c>
      <c r="H655" s="167" t="s">
        <v>121</v>
      </c>
      <c r="I655" s="167" t="s">
        <v>11</v>
      </c>
    </row>
    <row r="656" spans="1:9" x14ac:dyDescent="0.25">
      <c r="A656" s="95">
        <v>655</v>
      </c>
      <c r="B656" t="s">
        <v>109</v>
      </c>
      <c r="C656" t="s">
        <v>1607</v>
      </c>
      <c r="D656" t="s">
        <v>85</v>
      </c>
      <c r="F656" s="1">
        <v>32275</v>
      </c>
      <c r="G656" s="167" t="s">
        <v>2272</v>
      </c>
      <c r="H656" s="167" t="s">
        <v>121</v>
      </c>
      <c r="I656" s="167" t="s">
        <v>11</v>
      </c>
    </row>
    <row r="657" spans="1:9" x14ac:dyDescent="0.25">
      <c r="A657" s="95">
        <v>656</v>
      </c>
      <c r="B657" t="s">
        <v>2159</v>
      </c>
      <c r="C657" t="s">
        <v>540</v>
      </c>
      <c r="D657" t="s">
        <v>2160</v>
      </c>
      <c r="F657" s="1">
        <v>26005</v>
      </c>
      <c r="G657" s="167" t="s">
        <v>2272</v>
      </c>
      <c r="H657" s="167" t="s">
        <v>121</v>
      </c>
      <c r="I657" s="167" t="s">
        <v>11</v>
      </c>
    </row>
    <row r="658" spans="1:9" x14ac:dyDescent="0.25">
      <c r="A658" s="95">
        <v>657</v>
      </c>
      <c r="B658" t="s">
        <v>77</v>
      </c>
      <c r="C658" t="s">
        <v>2161</v>
      </c>
      <c r="D658" t="s">
        <v>2162</v>
      </c>
      <c r="F658" s="1">
        <v>34260</v>
      </c>
      <c r="G658" s="167" t="s">
        <v>2276</v>
      </c>
      <c r="H658" s="167" t="s">
        <v>121</v>
      </c>
      <c r="I658" s="167" t="s">
        <v>11</v>
      </c>
    </row>
    <row r="659" spans="1:9" x14ac:dyDescent="0.25">
      <c r="A659" s="95">
        <v>658</v>
      </c>
      <c r="B659" t="s">
        <v>89</v>
      </c>
      <c r="C659" t="s">
        <v>2163</v>
      </c>
      <c r="D659" t="s">
        <v>54</v>
      </c>
      <c r="F659" s="1">
        <v>20297</v>
      </c>
      <c r="G659" s="167" t="s">
        <v>2272</v>
      </c>
      <c r="H659" s="167" t="s">
        <v>121</v>
      </c>
      <c r="I659" s="167" t="s">
        <v>11</v>
      </c>
    </row>
    <row r="660" spans="1:9" x14ac:dyDescent="0.25">
      <c r="A660" s="95">
        <v>659</v>
      </c>
      <c r="B660" t="s">
        <v>2034</v>
      </c>
      <c r="C660" t="s">
        <v>692</v>
      </c>
      <c r="D660" t="s">
        <v>54</v>
      </c>
      <c r="F660" s="1">
        <v>23142</v>
      </c>
      <c r="G660" s="167" t="s">
        <v>2272</v>
      </c>
      <c r="H660" s="167" t="s">
        <v>121</v>
      </c>
      <c r="I660" s="167" t="s">
        <v>11</v>
      </c>
    </row>
    <row r="661" spans="1:9" x14ac:dyDescent="0.25">
      <c r="A661" s="95">
        <v>660</v>
      </c>
      <c r="B661" t="s">
        <v>221</v>
      </c>
      <c r="C661" t="s">
        <v>2164</v>
      </c>
      <c r="D661" t="s">
        <v>54</v>
      </c>
      <c r="F661" s="1">
        <v>27014</v>
      </c>
      <c r="G661" s="167" t="s">
        <v>2272</v>
      </c>
      <c r="H661" s="167" t="s">
        <v>121</v>
      </c>
      <c r="I661" s="167" t="s">
        <v>11</v>
      </c>
    </row>
    <row r="662" spans="1:9" x14ac:dyDescent="0.25">
      <c r="A662" s="95">
        <v>661</v>
      </c>
      <c r="B662" t="s">
        <v>2026</v>
      </c>
      <c r="C662" t="s">
        <v>540</v>
      </c>
      <c r="D662" t="s">
        <v>2017</v>
      </c>
      <c r="F662" s="1">
        <v>26989</v>
      </c>
      <c r="G662" s="167" t="s">
        <v>2276</v>
      </c>
      <c r="H662" s="167" t="s">
        <v>121</v>
      </c>
      <c r="I662" s="167" t="s">
        <v>11</v>
      </c>
    </row>
    <row r="663" spans="1:9" x14ac:dyDescent="0.25">
      <c r="A663" s="95">
        <v>662</v>
      </c>
      <c r="B663" t="s">
        <v>2165</v>
      </c>
      <c r="C663" t="s">
        <v>2166</v>
      </c>
      <c r="D663" t="s">
        <v>2167</v>
      </c>
      <c r="F663" s="1">
        <v>35263</v>
      </c>
      <c r="G663" s="167" t="s">
        <v>2276</v>
      </c>
      <c r="H663" s="167" t="s">
        <v>121</v>
      </c>
      <c r="I663" s="167" t="s">
        <v>11</v>
      </c>
    </row>
    <row r="664" spans="1:9" x14ac:dyDescent="0.25">
      <c r="A664" s="95">
        <v>663</v>
      </c>
      <c r="B664" t="s">
        <v>2168</v>
      </c>
      <c r="C664" t="s">
        <v>2169</v>
      </c>
      <c r="D664" t="s">
        <v>1374</v>
      </c>
      <c r="F664" s="1">
        <v>33625</v>
      </c>
      <c r="G664" s="167" t="s">
        <v>2272</v>
      </c>
      <c r="H664" s="167" t="s">
        <v>121</v>
      </c>
      <c r="I664" s="167" t="s">
        <v>11</v>
      </c>
    </row>
    <row r="665" spans="1:9" x14ac:dyDescent="0.25">
      <c r="A665" s="95">
        <v>664</v>
      </c>
      <c r="B665" t="s">
        <v>1978</v>
      </c>
      <c r="C665" t="s">
        <v>137</v>
      </c>
      <c r="D665" t="s">
        <v>2170</v>
      </c>
      <c r="F665" s="1">
        <v>27662</v>
      </c>
      <c r="G665" s="167" t="s">
        <v>2272</v>
      </c>
      <c r="H665" s="167" t="s">
        <v>121</v>
      </c>
      <c r="I665" s="167" t="s">
        <v>11</v>
      </c>
    </row>
    <row r="666" spans="1:9" x14ac:dyDescent="0.25">
      <c r="A666" s="95">
        <v>665</v>
      </c>
      <c r="B666" t="s">
        <v>1326</v>
      </c>
      <c r="C666" t="s">
        <v>2171</v>
      </c>
      <c r="D666" t="s">
        <v>2172</v>
      </c>
      <c r="F666" s="1">
        <v>30424</v>
      </c>
      <c r="G666" s="167" t="s">
        <v>2276</v>
      </c>
      <c r="H666" s="167" t="s">
        <v>121</v>
      </c>
      <c r="I666" s="167" t="s">
        <v>11</v>
      </c>
    </row>
    <row r="667" spans="1:9" x14ac:dyDescent="0.25">
      <c r="A667" s="95">
        <v>666</v>
      </c>
      <c r="B667" t="s">
        <v>38</v>
      </c>
      <c r="C667" t="s">
        <v>726</v>
      </c>
      <c r="D667" t="s">
        <v>1339</v>
      </c>
      <c r="F667" s="1">
        <v>22090</v>
      </c>
      <c r="G667" s="167" t="s">
        <v>2272</v>
      </c>
      <c r="H667" s="167" t="s">
        <v>121</v>
      </c>
      <c r="I667" s="167" t="s">
        <v>11</v>
      </c>
    </row>
    <row r="668" spans="1:9" x14ac:dyDescent="0.25">
      <c r="A668" s="95">
        <v>667</v>
      </c>
      <c r="B668" t="s">
        <v>1848</v>
      </c>
      <c r="C668" t="s">
        <v>2173</v>
      </c>
      <c r="D668" t="s">
        <v>2174</v>
      </c>
      <c r="F668" s="1">
        <v>26976</v>
      </c>
      <c r="G668" s="167" t="s">
        <v>2272</v>
      </c>
      <c r="H668" s="167" t="s">
        <v>121</v>
      </c>
      <c r="I668" s="167" t="s">
        <v>11</v>
      </c>
    </row>
    <row r="669" spans="1:9" x14ac:dyDescent="0.25">
      <c r="A669" s="95">
        <v>668</v>
      </c>
      <c r="B669" t="s">
        <v>2175</v>
      </c>
      <c r="C669" t="s">
        <v>2176</v>
      </c>
      <c r="D669" t="s">
        <v>2026</v>
      </c>
      <c r="F669" s="1">
        <v>9945</v>
      </c>
      <c r="G669" s="167" t="s">
        <v>2276</v>
      </c>
      <c r="H669" s="167" t="s">
        <v>121</v>
      </c>
      <c r="I669" s="167" t="s">
        <v>11</v>
      </c>
    </row>
    <row r="670" spans="1:9" x14ac:dyDescent="0.25">
      <c r="A670" s="95">
        <v>669</v>
      </c>
      <c r="B670" t="s">
        <v>2177</v>
      </c>
      <c r="C670" t="s">
        <v>2178</v>
      </c>
      <c r="D670" t="s">
        <v>89</v>
      </c>
      <c r="F670" s="1">
        <v>31712</v>
      </c>
      <c r="G670" s="167" t="s">
        <v>2272</v>
      </c>
      <c r="H670" s="167" t="s">
        <v>121</v>
      </c>
      <c r="I670" s="167" t="s">
        <v>11</v>
      </c>
    </row>
    <row r="671" spans="1:9" x14ac:dyDescent="0.25">
      <c r="A671" s="95">
        <v>670</v>
      </c>
      <c r="B671" t="s">
        <v>2179</v>
      </c>
      <c r="C671" t="s">
        <v>2180</v>
      </c>
      <c r="D671" t="s">
        <v>1726</v>
      </c>
      <c r="F671" s="1">
        <v>20994</v>
      </c>
      <c r="G671" s="167" t="s">
        <v>2272</v>
      </c>
      <c r="H671" s="167" t="s">
        <v>121</v>
      </c>
      <c r="I671" s="167" t="s">
        <v>11</v>
      </c>
    </row>
    <row r="672" spans="1:9" x14ac:dyDescent="0.25">
      <c r="A672" s="95">
        <v>671</v>
      </c>
      <c r="B672" t="s">
        <v>1908</v>
      </c>
      <c r="C672" t="s">
        <v>2181</v>
      </c>
      <c r="D672" t="s">
        <v>2182</v>
      </c>
      <c r="F672" s="1">
        <v>27387</v>
      </c>
      <c r="G672" s="167" t="s">
        <v>2277</v>
      </c>
      <c r="H672" s="167" t="s">
        <v>121</v>
      </c>
      <c r="I672" s="167" t="s">
        <v>11</v>
      </c>
    </row>
    <row r="673" spans="1:9" x14ac:dyDescent="0.25">
      <c r="A673" s="95">
        <v>672</v>
      </c>
      <c r="B673" t="s">
        <v>1898</v>
      </c>
      <c r="C673" t="s">
        <v>869</v>
      </c>
      <c r="D673" t="s">
        <v>2183</v>
      </c>
      <c r="F673" s="1">
        <v>28666</v>
      </c>
      <c r="G673" s="167" t="s">
        <v>2276</v>
      </c>
      <c r="H673" s="167" t="s">
        <v>121</v>
      </c>
      <c r="I673" s="167" t="s">
        <v>11</v>
      </c>
    </row>
    <row r="674" spans="1:9" x14ac:dyDescent="0.25">
      <c r="A674" s="95">
        <v>673</v>
      </c>
      <c r="B674" t="s">
        <v>1288</v>
      </c>
      <c r="C674" t="s">
        <v>2184</v>
      </c>
      <c r="D674" t="s">
        <v>33</v>
      </c>
      <c r="F674" s="1">
        <v>32825</v>
      </c>
      <c r="G674" s="167" t="s">
        <v>2276</v>
      </c>
      <c r="H674" s="167" t="s">
        <v>121</v>
      </c>
      <c r="I674" s="167" t="s">
        <v>11</v>
      </c>
    </row>
    <row r="675" spans="1:9" x14ac:dyDescent="0.25">
      <c r="A675" s="95">
        <v>674</v>
      </c>
      <c r="B675" t="s">
        <v>1978</v>
      </c>
      <c r="C675" t="s">
        <v>475</v>
      </c>
      <c r="D675" t="s">
        <v>1726</v>
      </c>
      <c r="F675" s="1">
        <v>29426</v>
      </c>
      <c r="G675" s="167" t="s">
        <v>2272</v>
      </c>
      <c r="H675" s="167" t="s">
        <v>121</v>
      </c>
      <c r="I675" s="167" t="s">
        <v>11</v>
      </c>
    </row>
    <row r="676" spans="1:9" x14ac:dyDescent="0.25">
      <c r="A676" s="95">
        <v>675</v>
      </c>
      <c r="B676" t="s">
        <v>1971</v>
      </c>
      <c r="C676" t="s">
        <v>1361</v>
      </c>
      <c r="D676" t="s">
        <v>1898</v>
      </c>
      <c r="F676" s="1">
        <v>31125</v>
      </c>
      <c r="G676" s="167" t="s">
        <v>2276</v>
      </c>
      <c r="H676" s="167" t="s">
        <v>121</v>
      </c>
      <c r="I676" s="167" t="s">
        <v>11</v>
      </c>
    </row>
    <row r="677" spans="1:9" x14ac:dyDescent="0.25">
      <c r="A677" s="95">
        <v>676</v>
      </c>
      <c r="B677" t="s">
        <v>631</v>
      </c>
      <c r="C677" t="s">
        <v>2185</v>
      </c>
      <c r="D677" t="s">
        <v>2186</v>
      </c>
      <c r="F677" s="1">
        <v>31427</v>
      </c>
      <c r="G677" s="167" t="s">
        <v>2276</v>
      </c>
      <c r="H677" s="167" t="s">
        <v>121</v>
      </c>
      <c r="I677" s="167" t="s">
        <v>11</v>
      </c>
    </row>
    <row r="678" spans="1:9" x14ac:dyDescent="0.25">
      <c r="A678" s="95">
        <v>677</v>
      </c>
      <c r="B678" t="s">
        <v>1960</v>
      </c>
      <c r="C678" t="s">
        <v>2187</v>
      </c>
      <c r="D678" t="s">
        <v>120</v>
      </c>
      <c r="F678" s="1">
        <v>23997</v>
      </c>
      <c r="G678" s="167" t="s">
        <v>2276</v>
      </c>
      <c r="H678" s="167" t="s">
        <v>121</v>
      </c>
      <c r="I678" s="167" t="s">
        <v>11</v>
      </c>
    </row>
    <row r="679" spans="1:9" x14ac:dyDescent="0.25">
      <c r="A679" s="95">
        <v>678</v>
      </c>
      <c r="B679" t="s">
        <v>796</v>
      </c>
      <c r="C679" t="s">
        <v>2188</v>
      </c>
      <c r="D679" t="s">
        <v>2189</v>
      </c>
      <c r="F679" s="1">
        <v>27009</v>
      </c>
      <c r="G679" s="167" t="s">
        <v>2272</v>
      </c>
      <c r="H679" s="167" t="s">
        <v>121</v>
      </c>
      <c r="I679" s="167" t="s">
        <v>11</v>
      </c>
    </row>
    <row r="680" spans="1:9" x14ac:dyDescent="0.25">
      <c r="A680" s="95">
        <v>679</v>
      </c>
      <c r="B680" t="s">
        <v>1311</v>
      </c>
      <c r="C680" t="s">
        <v>2190</v>
      </c>
      <c r="D680" t="s">
        <v>690</v>
      </c>
      <c r="F680" s="1">
        <v>31212</v>
      </c>
      <c r="G680" s="167" t="s">
        <v>2272</v>
      </c>
      <c r="H680" s="167" t="s">
        <v>121</v>
      </c>
      <c r="I680" s="167" t="s">
        <v>11</v>
      </c>
    </row>
    <row r="681" spans="1:9" x14ac:dyDescent="0.25">
      <c r="A681" s="95">
        <v>680</v>
      </c>
      <c r="B681" t="s">
        <v>129</v>
      </c>
      <c r="C681" t="s">
        <v>2191</v>
      </c>
      <c r="D681" t="s">
        <v>1050</v>
      </c>
      <c r="F681" s="1">
        <v>23888</v>
      </c>
      <c r="G681" s="167" t="s">
        <v>2276</v>
      </c>
      <c r="H681" s="167" t="s">
        <v>121</v>
      </c>
      <c r="I681" s="167" t="s">
        <v>11</v>
      </c>
    </row>
    <row r="682" spans="1:9" x14ac:dyDescent="0.25">
      <c r="A682" s="95">
        <v>681</v>
      </c>
      <c r="B682" t="s">
        <v>1417</v>
      </c>
      <c r="C682" t="s">
        <v>2192</v>
      </c>
      <c r="D682" t="s">
        <v>2193</v>
      </c>
      <c r="F682" s="1">
        <v>33065</v>
      </c>
      <c r="G682" s="167" t="s">
        <v>2272</v>
      </c>
      <c r="H682" s="167" t="s">
        <v>121</v>
      </c>
      <c r="I682" s="167" t="s">
        <v>11</v>
      </c>
    </row>
    <row r="683" spans="1:9" x14ac:dyDescent="0.25">
      <c r="A683" s="95">
        <v>682</v>
      </c>
      <c r="B683" t="s">
        <v>77</v>
      </c>
      <c r="C683" t="s">
        <v>1057</v>
      </c>
      <c r="D683" t="s">
        <v>2129</v>
      </c>
      <c r="F683" s="1">
        <v>36911</v>
      </c>
      <c r="G683" s="167" t="s">
        <v>2276</v>
      </c>
      <c r="H683" s="167" t="s">
        <v>121</v>
      </c>
      <c r="I683" s="167" t="s">
        <v>11</v>
      </c>
    </row>
    <row r="684" spans="1:9" x14ac:dyDescent="0.25">
      <c r="A684" s="95">
        <v>683</v>
      </c>
      <c r="B684" t="s">
        <v>1288</v>
      </c>
      <c r="C684" t="s">
        <v>1440</v>
      </c>
      <c r="D684" t="s">
        <v>1345</v>
      </c>
      <c r="E684" t="s">
        <v>67</v>
      </c>
      <c r="F684" s="1">
        <v>26201</v>
      </c>
      <c r="G684" s="167" t="s">
        <v>2276</v>
      </c>
      <c r="H684" s="167" t="s">
        <v>121</v>
      </c>
      <c r="I684" s="167" t="s">
        <v>11</v>
      </c>
    </row>
    <row r="685" spans="1:9" x14ac:dyDescent="0.25">
      <c r="A685" s="95">
        <v>684</v>
      </c>
      <c r="B685" t="s">
        <v>2017</v>
      </c>
      <c r="C685" t="s">
        <v>2194</v>
      </c>
      <c r="D685" t="s">
        <v>1328</v>
      </c>
      <c r="F685" s="1">
        <v>26013</v>
      </c>
      <c r="G685" s="167" t="s">
        <v>2276</v>
      </c>
      <c r="H685" s="167" t="s">
        <v>121</v>
      </c>
      <c r="I685" s="167" t="s">
        <v>11</v>
      </c>
    </row>
    <row r="686" spans="1:9" x14ac:dyDescent="0.25">
      <c r="A686" s="95">
        <v>685</v>
      </c>
      <c r="B686" t="s">
        <v>160</v>
      </c>
      <c r="C686" t="s">
        <v>821</v>
      </c>
      <c r="D686" t="s">
        <v>77</v>
      </c>
      <c r="F686" s="1">
        <v>38307</v>
      </c>
      <c r="G686" s="167" t="s">
        <v>2276</v>
      </c>
      <c r="H686" s="167" t="s">
        <v>121</v>
      </c>
      <c r="I686" s="167" t="s">
        <v>11</v>
      </c>
    </row>
    <row r="687" spans="1:9" x14ac:dyDescent="0.25">
      <c r="A687" s="95">
        <v>686</v>
      </c>
      <c r="B687" t="s">
        <v>2195</v>
      </c>
      <c r="C687" t="s">
        <v>156</v>
      </c>
      <c r="D687" t="s">
        <v>2196</v>
      </c>
      <c r="F687" s="1">
        <v>34170</v>
      </c>
      <c r="G687" s="167" t="s">
        <v>2272</v>
      </c>
      <c r="H687" s="167" t="s">
        <v>121</v>
      </c>
      <c r="I687" s="167" t="s">
        <v>11</v>
      </c>
    </row>
    <row r="688" spans="1:9" x14ac:dyDescent="0.25">
      <c r="A688" s="95">
        <v>687</v>
      </c>
      <c r="B688" t="s">
        <v>2197</v>
      </c>
      <c r="C688" t="s">
        <v>2198</v>
      </c>
      <c r="D688" t="s">
        <v>2199</v>
      </c>
      <c r="F688" s="1">
        <v>31444</v>
      </c>
      <c r="G688" s="167" t="s">
        <v>2276</v>
      </c>
      <c r="H688" s="167" t="s">
        <v>121</v>
      </c>
      <c r="I688" s="167" t="s">
        <v>11</v>
      </c>
    </row>
    <row r="689" spans="1:9" x14ac:dyDescent="0.25">
      <c r="A689" s="95">
        <v>688</v>
      </c>
      <c r="B689" t="s">
        <v>361</v>
      </c>
      <c r="C689" t="s">
        <v>1325</v>
      </c>
      <c r="D689" t="s">
        <v>2200</v>
      </c>
      <c r="F689" s="1">
        <v>35341</v>
      </c>
      <c r="G689" s="167" t="s">
        <v>2276</v>
      </c>
      <c r="H689" s="167" t="s">
        <v>121</v>
      </c>
      <c r="I689" s="167" t="s">
        <v>11</v>
      </c>
    </row>
    <row r="690" spans="1:9" x14ac:dyDescent="0.25">
      <c r="A690" s="95">
        <v>689</v>
      </c>
      <c r="B690" t="s">
        <v>538</v>
      </c>
      <c r="C690" t="s">
        <v>2201</v>
      </c>
      <c r="D690" t="s">
        <v>1971</v>
      </c>
      <c r="F690" s="1">
        <v>23233</v>
      </c>
      <c r="G690" s="167" t="s">
        <v>2276</v>
      </c>
      <c r="H690" s="167" t="s">
        <v>121</v>
      </c>
      <c r="I690" s="167" t="s">
        <v>11</v>
      </c>
    </row>
    <row r="691" spans="1:9" x14ac:dyDescent="0.25">
      <c r="A691" s="95">
        <v>690</v>
      </c>
      <c r="B691" t="s">
        <v>1609</v>
      </c>
      <c r="C691" t="s">
        <v>2202</v>
      </c>
      <c r="D691" t="s">
        <v>1299</v>
      </c>
      <c r="F691" s="1">
        <v>24852</v>
      </c>
      <c r="G691" s="167" t="s">
        <v>2276</v>
      </c>
      <c r="H691" s="167" t="s">
        <v>121</v>
      </c>
      <c r="I691" s="167" t="s">
        <v>11</v>
      </c>
    </row>
    <row r="692" spans="1:9" x14ac:dyDescent="0.25">
      <c r="A692" s="95">
        <v>691</v>
      </c>
      <c r="B692" t="s">
        <v>361</v>
      </c>
      <c r="C692" t="s">
        <v>1768</v>
      </c>
      <c r="D692" t="s">
        <v>1345</v>
      </c>
      <c r="F692" s="1">
        <v>23912</v>
      </c>
      <c r="G692" s="167" t="s">
        <v>2276</v>
      </c>
      <c r="H692" s="167" t="s">
        <v>121</v>
      </c>
      <c r="I692" s="167" t="s">
        <v>11</v>
      </c>
    </row>
    <row r="693" spans="1:9" x14ac:dyDescent="0.25">
      <c r="A693" s="95">
        <v>692</v>
      </c>
      <c r="B693" t="s">
        <v>2203</v>
      </c>
      <c r="C693" t="s">
        <v>2204</v>
      </c>
      <c r="D693" t="s">
        <v>38</v>
      </c>
      <c r="F693" s="1">
        <v>34050</v>
      </c>
      <c r="G693" s="167" t="s">
        <v>2276</v>
      </c>
      <c r="H693" s="167" t="s">
        <v>121</v>
      </c>
      <c r="I693" s="167" t="s">
        <v>11</v>
      </c>
    </row>
    <row r="694" spans="1:9" x14ac:dyDescent="0.25">
      <c r="A694" s="95">
        <v>693</v>
      </c>
      <c r="B694" t="s">
        <v>2205</v>
      </c>
      <c r="C694" t="s">
        <v>2206</v>
      </c>
      <c r="D694" t="s">
        <v>1047</v>
      </c>
      <c r="F694" s="1">
        <v>38542</v>
      </c>
      <c r="G694" s="167" t="s">
        <v>2277</v>
      </c>
      <c r="H694" s="167" t="s">
        <v>121</v>
      </c>
      <c r="I694" s="167" t="s">
        <v>11</v>
      </c>
    </row>
    <row r="695" spans="1:9" x14ac:dyDescent="0.25">
      <c r="A695" s="95">
        <v>694</v>
      </c>
      <c r="B695" t="s">
        <v>2207</v>
      </c>
      <c r="C695" t="s">
        <v>2208</v>
      </c>
      <c r="D695" t="s">
        <v>361</v>
      </c>
      <c r="F695" s="1">
        <v>23656</v>
      </c>
      <c r="G695" s="167" t="s">
        <v>2276</v>
      </c>
      <c r="H695" s="167" t="s">
        <v>121</v>
      </c>
      <c r="I695" s="167" t="s">
        <v>11</v>
      </c>
    </row>
    <row r="696" spans="1:9" x14ac:dyDescent="0.25">
      <c r="A696" s="95">
        <v>695</v>
      </c>
      <c r="B696" t="s">
        <v>2209</v>
      </c>
      <c r="C696" t="s">
        <v>349</v>
      </c>
      <c r="D696" t="s">
        <v>1609</v>
      </c>
      <c r="F696" s="1">
        <v>24040</v>
      </c>
      <c r="G696" s="167" t="s">
        <v>2276</v>
      </c>
      <c r="H696" s="167" t="s">
        <v>121</v>
      </c>
      <c r="I696" s="167" t="s">
        <v>11</v>
      </c>
    </row>
    <row r="697" spans="1:9" x14ac:dyDescent="0.25">
      <c r="A697" s="95">
        <v>696</v>
      </c>
      <c r="B697" t="s">
        <v>358</v>
      </c>
      <c r="C697" t="s">
        <v>2210</v>
      </c>
      <c r="D697" t="s">
        <v>1971</v>
      </c>
      <c r="F697" s="1">
        <v>27094</v>
      </c>
      <c r="G697" s="167" t="s">
        <v>2276</v>
      </c>
      <c r="H697" s="167" t="s">
        <v>121</v>
      </c>
      <c r="I697" s="167" t="s">
        <v>11</v>
      </c>
    </row>
    <row r="698" spans="1:9" x14ac:dyDescent="0.25">
      <c r="A698" s="95">
        <v>697</v>
      </c>
      <c r="B698" t="s">
        <v>1426</v>
      </c>
      <c r="C698" t="s">
        <v>529</v>
      </c>
      <c r="D698" t="s">
        <v>1926</v>
      </c>
      <c r="F698" s="1">
        <v>23111</v>
      </c>
      <c r="G698" s="167" t="s">
        <v>2276</v>
      </c>
      <c r="H698" s="167" t="s">
        <v>121</v>
      </c>
      <c r="I698" s="167" t="s">
        <v>11</v>
      </c>
    </row>
    <row r="699" spans="1:9" x14ac:dyDescent="0.25">
      <c r="A699" s="95">
        <v>698</v>
      </c>
      <c r="B699" t="s">
        <v>2211</v>
      </c>
      <c r="C699" t="s">
        <v>1565</v>
      </c>
      <c r="D699" t="s">
        <v>2212</v>
      </c>
      <c r="F699" s="1">
        <v>29600</v>
      </c>
      <c r="G699" s="167" t="s">
        <v>2276</v>
      </c>
      <c r="H699" s="167" t="s">
        <v>121</v>
      </c>
      <c r="I699" s="167" t="s">
        <v>11</v>
      </c>
    </row>
    <row r="700" spans="1:9" x14ac:dyDescent="0.25">
      <c r="A700" s="95">
        <v>699</v>
      </c>
      <c r="B700" t="s">
        <v>2213</v>
      </c>
      <c r="C700" t="s">
        <v>161</v>
      </c>
      <c r="D700" t="s">
        <v>2214</v>
      </c>
      <c r="F700" s="1">
        <v>33295</v>
      </c>
      <c r="G700" s="167" t="s">
        <v>2276</v>
      </c>
      <c r="H700" s="167" t="s">
        <v>121</v>
      </c>
      <c r="I700" s="167" t="s">
        <v>11</v>
      </c>
    </row>
    <row r="701" spans="1:9" x14ac:dyDescent="0.25">
      <c r="A701" s="95">
        <v>700</v>
      </c>
      <c r="B701" t="s">
        <v>2215</v>
      </c>
      <c r="C701" t="s">
        <v>2216</v>
      </c>
      <c r="D701" t="s">
        <v>1898</v>
      </c>
      <c r="F701" s="1">
        <v>23532</v>
      </c>
      <c r="G701" s="167" t="s">
        <v>2276</v>
      </c>
      <c r="H701" s="167" t="s">
        <v>121</v>
      </c>
      <c r="I701" s="167" t="s">
        <v>11</v>
      </c>
    </row>
    <row r="702" spans="1:9" x14ac:dyDescent="0.25">
      <c r="A702" s="95">
        <v>701</v>
      </c>
      <c r="B702" t="s">
        <v>1898</v>
      </c>
      <c r="C702" t="s">
        <v>126</v>
      </c>
      <c r="D702" t="s">
        <v>419</v>
      </c>
      <c r="F702" s="1">
        <v>31924</v>
      </c>
      <c r="G702" s="167" t="s">
        <v>2276</v>
      </c>
      <c r="H702" s="167" t="s">
        <v>121</v>
      </c>
      <c r="I702" s="167" t="s">
        <v>11</v>
      </c>
    </row>
    <row r="703" spans="1:9" x14ac:dyDescent="0.25">
      <c r="A703" s="95">
        <v>702</v>
      </c>
      <c r="B703" t="s">
        <v>1426</v>
      </c>
      <c r="C703" t="s">
        <v>1923</v>
      </c>
      <c r="D703" t="s">
        <v>1288</v>
      </c>
      <c r="F703" s="1">
        <v>27359</v>
      </c>
      <c r="G703" s="167" t="s">
        <v>2276</v>
      </c>
      <c r="H703" s="167" t="s">
        <v>121</v>
      </c>
      <c r="I703" s="167" t="s">
        <v>11</v>
      </c>
    </row>
    <row r="704" spans="1:9" x14ac:dyDescent="0.25">
      <c r="A704" s="95">
        <v>703</v>
      </c>
      <c r="B704" t="s">
        <v>1426</v>
      </c>
      <c r="C704" t="s">
        <v>2217</v>
      </c>
      <c r="D704" t="s">
        <v>2218</v>
      </c>
      <c r="F704" s="1">
        <v>32009</v>
      </c>
      <c r="G704" s="167" t="s">
        <v>2276</v>
      </c>
      <c r="H704" s="167" t="s">
        <v>121</v>
      </c>
      <c r="I704" s="167" t="s">
        <v>11</v>
      </c>
    </row>
    <row r="705" spans="1:9" x14ac:dyDescent="0.25">
      <c r="A705" s="95">
        <v>704</v>
      </c>
      <c r="B705" t="s">
        <v>1898</v>
      </c>
      <c r="C705" t="s">
        <v>71</v>
      </c>
      <c r="D705" t="s">
        <v>419</v>
      </c>
      <c r="F705" s="1">
        <v>25106</v>
      </c>
      <c r="G705" s="167" t="s">
        <v>2276</v>
      </c>
      <c r="H705" s="167" t="s">
        <v>121</v>
      </c>
      <c r="I705" s="167" t="s">
        <v>11</v>
      </c>
    </row>
    <row r="706" spans="1:9" x14ac:dyDescent="0.25">
      <c r="A706" s="95">
        <v>705</v>
      </c>
      <c r="B706" t="s">
        <v>2219</v>
      </c>
      <c r="C706" t="s">
        <v>151</v>
      </c>
      <c r="D706" t="s">
        <v>2220</v>
      </c>
      <c r="F706" s="1">
        <v>33436</v>
      </c>
      <c r="G706" s="167" t="s">
        <v>2276</v>
      </c>
      <c r="H706" s="167" t="s">
        <v>121</v>
      </c>
      <c r="I706" s="167" t="s">
        <v>11</v>
      </c>
    </row>
    <row r="707" spans="1:9" x14ac:dyDescent="0.25">
      <c r="A707" s="95">
        <v>706</v>
      </c>
      <c r="B707" t="s">
        <v>2221</v>
      </c>
      <c r="C707" t="s">
        <v>2222</v>
      </c>
      <c r="D707" t="s">
        <v>538</v>
      </c>
      <c r="F707" s="1">
        <v>18628</v>
      </c>
      <c r="G707" s="167" t="s">
        <v>2276</v>
      </c>
      <c r="H707" s="167" t="s">
        <v>121</v>
      </c>
      <c r="I707" s="167" t="s">
        <v>11</v>
      </c>
    </row>
    <row r="708" spans="1:9" x14ac:dyDescent="0.25">
      <c r="A708" s="95">
        <v>707</v>
      </c>
      <c r="B708" t="s">
        <v>2223</v>
      </c>
      <c r="C708" t="s">
        <v>2224</v>
      </c>
      <c r="D708" t="s">
        <v>2225</v>
      </c>
      <c r="F708" s="1">
        <v>37439</v>
      </c>
      <c r="G708" s="167" t="s">
        <v>2276</v>
      </c>
      <c r="H708" s="167" t="s">
        <v>121</v>
      </c>
      <c r="I708" s="167" t="s">
        <v>11</v>
      </c>
    </row>
    <row r="709" spans="1:9" x14ac:dyDescent="0.25">
      <c r="A709" s="95">
        <v>708</v>
      </c>
      <c r="B709" t="s">
        <v>52</v>
      </c>
      <c r="C709" t="s">
        <v>170</v>
      </c>
      <c r="D709" t="s">
        <v>2226</v>
      </c>
      <c r="F709" s="1">
        <v>30854</v>
      </c>
      <c r="G709" s="167" t="s">
        <v>2276</v>
      </c>
      <c r="H709" s="167" t="s">
        <v>121</v>
      </c>
      <c r="I709" s="167" t="s">
        <v>11</v>
      </c>
    </row>
    <row r="710" spans="1:9" x14ac:dyDescent="0.25">
      <c r="A710" s="95">
        <v>709</v>
      </c>
      <c r="B710" t="s">
        <v>1971</v>
      </c>
      <c r="C710" t="s">
        <v>2227</v>
      </c>
      <c r="D710" t="s">
        <v>1426</v>
      </c>
      <c r="F710" s="1">
        <v>26069</v>
      </c>
      <c r="G710" s="167" t="s">
        <v>2276</v>
      </c>
      <c r="H710" s="167" t="s">
        <v>121</v>
      </c>
      <c r="I710" s="167" t="s">
        <v>11</v>
      </c>
    </row>
    <row r="711" spans="1:9" x14ac:dyDescent="0.25">
      <c r="A711" s="95">
        <v>710</v>
      </c>
      <c r="B711" t="s">
        <v>1898</v>
      </c>
      <c r="C711" t="s">
        <v>2228</v>
      </c>
      <c r="D711" t="s">
        <v>2229</v>
      </c>
      <c r="F711" s="1">
        <v>20256</v>
      </c>
      <c r="G711" s="167" t="s">
        <v>2276</v>
      </c>
      <c r="H711" s="167" t="s">
        <v>121</v>
      </c>
      <c r="I711" s="167" t="s">
        <v>11</v>
      </c>
    </row>
    <row r="712" spans="1:9" x14ac:dyDescent="0.25">
      <c r="A712" s="95">
        <v>711</v>
      </c>
      <c r="B712" t="s">
        <v>2230</v>
      </c>
      <c r="C712" t="s">
        <v>2231</v>
      </c>
      <c r="D712" t="s">
        <v>1345</v>
      </c>
      <c r="F712" s="1">
        <v>27791</v>
      </c>
      <c r="G712" s="167" t="s">
        <v>2276</v>
      </c>
      <c r="H712" s="167" t="s">
        <v>121</v>
      </c>
      <c r="I712" s="167" t="s">
        <v>11</v>
      </c>
    </row>
    <row r="713" spans="1:9" x14ac:dyDescent="0.25">
      <c r="A713" s="95">
        <v>712</v>
      </c>
      <c r="B713" t="s">
        <v>2232</v>
      </c>
      <c r="C713" t="s">
        <v>2233</v>
      </c>
      <c r="D713" t="s">
        <v>1426</v>
      </c>
      <c r="F713" s="1">
        <v>34123</v>
      </c>
      <c r="G713" s="167" t="s">
        <v>2276</v>
      </c>
      <c r="H713" s="167" t="s">
        <v>121</v>
      </c>
      <c r="I713" s="167" t="s">
        <v>11</v>
      </c>
    </row>
    <row r="714" spans="1:9" x14ac:dyDescent="0.25">
      <c r="A714" s="95">
        <v>713</v>
      </c>
      <c r="B714" t="s">
        <v>2175</v>
      </c>
      <c r="C714" t="s">
        <v>2234</v>
      </c>
      <c r="D714" t="s">
        <v>538</v>
      </c>
      <c r="F714" s="1">
        <v>31482</v>
      </c>
      <c r="G714" s="167" t="s">
        <v>2276</v>
      </c>
      <c r="H714" s="167" t="s">
        <v>121</v>
      </c>
      <c r="I714" s="167" t="s">
        <v>11</v>
      </c>
    </row>
    <row r="715" spans="1:9" x14ac:dyDescent="0.25">
      <c r="A715" s="95">
        <v>714</v>
      </c>
      <c r="B715" t="s">
        <v>538</v>
      </c>
      <c r="C715" t="s">
        <v>1377</v>
      </c>
      <c r="D715" t="s">
        <v>2235</v>
      </c>
      <c r="F715" s="1">
        <v>25362</v>
      </c>
      <c r="G715" s="167" t="s">
        <v>2276</v>
      </c>
      <c r="H715" s="167" t="s">
        <v>121</v>
      </c>
      <c r="I715" s="167" t="s">
        <v>11</v>
      </c>
    </row>
    <row r="716" spans="1:9" x14ac:dyDescent="0.25">
      <c r="A716" s="95">
        <v>715</v>
      </c>
      <c r="B716" t="s">
        <v>361</v>
      </c>
      <c r="C716" t="s">
        <v>2236</v>
      </c>
      <c r="D716" t="s">
        <v>2237</v>
      </c>
      <c r="F716" s="1">
        <v>34979</v>
      </c>
      <c r="G716" s="167" t="s">
        <v>2276</v>
      </c>
      <c r="H716" s="167" t="s">
        <v>121</v>
      </c>
      <c r="I716" s="167" t="s">
        <v>11</v>
      </c>
    </row>
    <row r="717" spans="1:9" x14ac:dyDescent="0.25">
      <c r="A717" s="95">
        <v>716</v>
      </c>
      <c r="B717" t="s">
        <v>1912</v>
      </c>
      <c r="C717" t="s">
        <v>1676</v>
      </c>
      <c r="D717" t="s">
        <v>361</v>
      </c>
      <c r="F717" s="1">
        <v>30298</v>
      </c>
      <c r="G717" s="167" t="s">
        <v>2276</v>
      </c>
      <c r="H717" s="167" t="s">
        <v>121</v>
      </c>
      <c r="I717" s="167" t="s">
        <v>11</v>
      </c>
    </row>
    <row r="718" spans="1:9" x14ac:dyDescent="0.25">
      <c r="A718" s="95">
        <v>717</v>
      </c>
      <c r="B718" t="s">
        <v>2230</v>
      </c>
      <c r="C718" t="s">
        <v>2238</v>
      </c>
      <c r="D718" t="s">
        <v>1898</v>
      </c>
      <c r="F718" s="1">
        <v>18488</v>
      </c>
      <c r="G718" s="167" t="s">
        <v>2276</v>
      </c>
      <c r="H718" s="167" t="s">
        <v>121</v>
      </c>
      <c r="I718" s="167" t="s">
        <v>11</v>
      </c>
    </row>
    <row r="719" spans="1:9" x14ac:dyDescent="0.25">
      <c r="A719" s="95">
        <v>718</v>
      </c>
      <c r="B719" t="s">
        <v>1426</v>
      </c>
      <c r="C719" t="s">
        <v>1293</v>
      </c>
      <c r="D719" t="s">
        <v>361</v>
      </c>
      <c r="F719" s="1">
        <v>20017</v>
      </c>
      <c r="G719" s="167" t="s">
        <v>2276</v>
      </c>
      <c r="H719" s="167" t="s">
        <v>121</v>
      </c>
      <c r="I719" s="167" t="s">
        <v>11</v>
      </c>
    </row>
    <row r="720" spans="1:9" x14ac:dyDescent="0.25">
      <c r="A720" s="95">
        <v>719</v>
      </c>
      <c r="B720" t="s">
        <v>1426</v>
      </c>
      <c r="C720" t="s">
        <v>2239</v>
      </c>
      <c r="D720" t="s">
        <v>1001</v>
      </c>
      <c r="F720" s="1">
        <v>19103</v>
      </c>
      <c r="G720" s="167" t="s">
        <v>2276</v>
      </c>
      <c r="H720" s="167" t="s">
        <v>121</v>
      </c>
      <c r="I720" s="167" t="s">
        <v>11</v>
      </c>
    </row>
    <row r="721" spans="1:9" x14ac:dyDescent="0.25">
      <c r="A721" s="95">
        <v>720</v>
      </c>
      <c r="B721" t="s">
        <v>2240</v>
      </c>
      <c r="C721" t="s">
        <v>2241</v>
      </c>
      <c r="D721" t="s">
        <v>1345</v>
      </c>
      <c r="F721" s="1">
        <v>30870</v>
      </c>
      <c r="G721" s="167" t="s">
        <v>2276</v>
      </c>
      <c r="H721" s="167" t="s">
        <v>121</v>
      </c>
      <c r="I721" s="167" t="s">
        <v>11</v>
      </c>
    </row>
    <row r="722" spans="1:9" x14ac:dyDescent="0.25">
      <c r="A722" s="95">
        <v>721</v>
      </c>
      <c r="B722" t="s">
        <v>1421</v>
      </c>
      <c r="C722" t="s">
        <v>2242</v>
      </c>
      <c r="D722" t="s">
        <v>1898</v>
      </c>
      <c r="F722" s="1">
        <v>30804</v>
      </c>
      <c r="G722" s="167" t="s">
        <v>2276</v>
      </c>
      <c r="H722" s="167" t="s">
        <v>121</v>
      </c>
      <c r="I722" s="167" t="s">
        <v>11</v>
      </c>
    </row>
    <row r="723" spans="1:9" x14ac:dyDescent="0.25">
      <c r="A723" s="95">
        <v>722</v>
      </c>
      <c r="B723" t="s">
        <v>1960</v>
      </c>
      <c r="C723" t="s">
        <v>2243</v>
      </c>
      <c r="D723" t="s">
        <v>1971</v>
      </c>
      <c r="F723" s="1">
        <v>20240</v>
      </c>
      <c r="G723" s="167" t="s">
        <v>2276</v>
      </c>
      <c r="H723" s="167" t="s">
        <v>121</v>
      </c>
      <c r="I723" s="167" t="s">
        <v>11</v>
      </c>
    </row>
    <row r="724" spans="1:9" x14ac:dyDescent="0.25">
      <c r="A724" s="95">
        <v>723</v>
      </c>
      <c r="B724" t="s">
        <v>1426</v>
      </c>
      <c r="C724" t="s">
        <v>2244</v>
      </c>
      <c r="D724" t="s">
        <v>2230</v>
      </c>
      <c r="F724" s="1">
        <v>32101</v>
      </c>
      <c r="G724" s="167" t="s">
        <v>2276</v>
      </c>
      <c r="H724" s="167" t="s">
        <v>121</v>
      </c>
      <c r="I724" s="167" t="s">
        <v>11</v>
      </c>
    </row>
    <row r="725" spans="1:9" x14ac:dyDescent="0.25">
      <c r="A725" s="95">
        <v>724</v>
      </c>
      <c r="B725" t="s">
        <v>536</v>
      </c>
      <c r="C725" t="s">
        <v>2245</v>
      </c>
      <c r="D725" t="s">
        <v>1294</v>
      </c>
      <c r="F725" s="1">
        <v>41305</v>
      </c>
      <c r="G725" s="167" t="s">
        <v>2273</v>
      </c>
      <c r="H725" s="167" t="s">
        <v>121</v>
      </c>
      <c r="I725" s="167" t="s">
        <v>11</v>
      </c>
    </row>
    <row r="726" spans="1:9" x14ac:dyDescent="0.25">
      <c r="A726" s="95">
        <v>725</v>
      </c>
      <c r="B726" t="s">
        <v>1621</v>
      </c>
      <c r="C726" t="s">
        <v>2246</v>
      </c>
      <c r="D726" t="s">
        <v>2247</v>
      </c>
      <c r="F726" s="1">
        <v>25081</v>
      </c>
      <c r="G726" s="167" t="s">
        <v>2276</v>
      </c>
      <c r="H726" s="167" t="s">
        <v>121</v>
      </c>
      <c r="I726" s="167" t="s">
        <v>11</v>
      </c>
    </row>
    <row r="727" spans="1:9" x14ac:dyDescent="0.25">
      <c r="A727" s="95">
        <v>726</v>
      </c>
      <c r="B727" t="s">
        <v>358</v>
      </c>
      <c r="C727" t="s">
        <v>2248</v>
      </c>
      <c r="D727" t="s">
        <v>538</v>
      </c>
      <c r="F727" s="1">
        <v>29065</v>
      </c>
      <c r="G727" s="167" t="s">
        <v>2276</v>
      </c>
      <c r="H727" s="167" t="s">
        <v>121</v>
      </c>
      <c r="I727" s="167" t="s">
        <v>11</v>
      </c>
    </row>
    <row r="728" spans="1:9" x14ac:dyDescent="0.25">
      <c r="A728" s="95">
        <v>727</v>
      </c>
      <c r="B728" t="s">
        <v>577</v>
      </c>
      <c r="C728" t="s">
        <v>1994</v>
      </c>
      <c r="D728" t="s">
        <v>1926</v>
      </c>
      <c r="F728" s="1">
        <v>23998</v>
      </c>
      <c r="G728" s="167" t="s">
        <v>2276</v>
      </c>
      <c r="H728" s="167" t="s">
        <v>121</v>
      </c>
      <c r="I728" s="167" t="s">
        <v>11</v>
      </c>
    </row>
    <row r="729" spans="1:9" x14ac:dyDescent="0.25">
      <c r="A729" s="95">
        <v>728</v>
      </c>
      <c r="B729" t="s">
        <v>1328</v>
      </c>
      <c r="C729" t="s">
        <v>1637</v>
      </c>
      <c r="D729" t="s">
        <v>2230</v>
      </c>
      <c r="F729" s="1">
        <v>21428</v>
      </c>
      <c r="G729" s="167" t="s">
        <v>2276</v>
      </c>
      <c r="H729" s="167" t="s">
        <v>121</v>
      </c>
      <c r="I729" s="167" t="s">
        <v>11</v>
      </c>
    </row>
    <row r="730" spans="1:9" x14ac:dyDescent="0.25">
      <c r="A730" s="95">
        <v>729</v>
      </c>
      <c r="B730" t="s">
        <v>1380</v>
      </c>
      <c r="C730" t="s">
        <v>247</v>
      </c>
      <c r="F730" s="1">
        <v>24562</v>
      </c>
      <c r="G730" s="167" t="s">
        <v>2276</v>
      </c>
      <c r="H730" s="167" t="s">
        <v>121</v>
      </c>
      <c r="I730" s="167" t="s">
        <v>11</v>
      </c>
    </row>
    <row r="731" spans="1:9" x14ac:dyDescent="0.25">
      <c r="A731" s="95">
        <v>730</v>
      </c>
      <c r="B731" t="s">
        <v>1345</v>
      </c>
      <c r="C731" t="s">
        <v>2249</v>
      </c>
      <c r="D731" t="s">
        <v>358</v>
      </c>
      <c r="F731" s="1">
        <v>17634</v>
      </c>
      <c r="G731" s="167" t="s">
        <v>2276</v>
      </c>
      <c r="H731" s="167" t="s">
        <v>121</v>
      </c>
      <c r="I731" s="167" t="s">
        <v>11</v>
      </c>
    </row>
    <row r="732" spans="1:9" x14ac:dyDescent="0.25">
      <c r="A732" s="95">
        <v>731</v>
      </c>
      <c r="B732" t="s">
        <v>2081</v>
      </c>
      <c r="C732" t="s">
        <v>2250</v>
      </c>
      <c r="D732" t="s">
        <v>1345</v>
      </c>
      <c r="F732" s="1">
        <v>22709</v>
      </c>
      <c r="G732" s="167" t="s">
        <v>2276</v>
      </c>
      <c r="H732" s="167" t="s">
        <v>121</v>
      </c>
      <c r="I732" s="167" t="s">
        <v>11</v>
      </c>
    </row>
    <row r="733" spans="1:9" x14ac:dyDescent="0.25">
      <c r="A733" s="95">
        <v>732</v>
      </c>
      <c r="B733" t="s">
        <v>1328</v>
      </c>
      <c r="C733" t="s">
        <v>1637</v>
      </c>
      <c r="D733" t="s">
        <v>1426</v>
      </c>
      <c r="E733" t="s">
        <v>22</v>
      </c>
      <c r="F733" s="1">
        <v>31388</v>
      </c>
      <c r="G733" s="167" t="s">
        <v>2276</v>
      </c>
      <c r="H733" s="167" t="s">
        <v>121</v>
      </c>
      <c r="I733" s="167" t="s">
        <v>11</v>
      </c>
    </row>
    <row r="734" spans="1:9" x14ac:dyDescent="0.25">
      <c r="A734" s="95">
        <v>733</v>
      </c>
      <c r="B734" t="s">
        <v>2026</v>
      </c>
      <c r="C734" t="s">
        <v>2251</v>
      </c>
      <c r="D734" t="s">
        <v>538</v>
      </c>
      <c r="F734" s="1">
        <v>25261</v>
      </c>
      <c r="G734" s="167" t="s">
        <v>2276</v>
      </c>
      <c r="H734" s="167" t="s">
        <v>121</v>
      </c>
      <c r="I734" s="167" t="s">
        <v>11</v>
      </c>
    </row>
    <row r="735" spans="1:9" x14ac:dyDescent="0.25">
      <c r="A735" s="95">
        <v>734</v>
      </c>
      <c r="B735" t="s">
        <v>1345</v>
      </c>
      <c r="C735" t="s">
        <v>2252</v>
      </c>
      <c r="D735" t="s">
        <v>1624</v>
      </c>
      <c r="F735" s="1">
        <v>28398</v>
      </c>
      <c r="G735" s="167" t="s">
        <v>2276</v>
      </c>
      <c r="H735" s="167" t="s">
        <v>121</v>
      </c>
      <c r="I735" s="167" t="s">
        <v>11</v>
      </c>
    </row>
    <row r="736" spans="1:9" x14ac:dyDescent="0.25">
      <c r="A736" s="95">
        <v>735</v>
      </c>
      <c r="B736" t="s">
        <v>361</v>
      </c>
      <c r="C736" t="s">
        <v>2253</v>
      </c>
      <c r="D736" t="s">
        <v>1417</v>
      </c>
      <c r="F736" s="1">
        <v>22277</v>
      </c>
      <c r="G736" s="167" t="s">
        <v>2276</v>
      </c>
      <c r="H736" s="167" t="s">
        <v>121</v>
      </c>
      <c r="I736" s="167" t="s">
        <v>11</v>
      </c>
    </row>
    <row r="737" spans="1:9" x14ac:dyDescent="0.25">
      <c r="A737" s="95">
        <v>736</v>
      </c>
      <c r="B737" t="s">
        <v>1548</v>
      </c>
      <c r="C737" t="s">
        <v>1423</v>
      </c>
      <c r="D737" t="s">
        <v>331</v>
      </c>
      <c r="F737" s="1">
        <v>34130</v>
      </c>
      <c r="G737" s="167" t="s">
        <v>2273</v>
      </c>
      <c r="H737" s="167" t="s">
        <v>121</v>
      </c>
      <c r="I737" s="167" t="s">
        <v>11</v>
      </c>
    </row>
    <row r="738" spans="1:9" x14ac:dyDescent="0.25">
      <c r="A738" s="95">
        <v>737</v>
      </c>
      <c r="B738" t="s">
        <v>2254</v>
      </c>
      <c r="C738" t="s">
        <v>2255</v>
      </c>
      <c r="D738" t="s">
        <v>1721</v>
      </c>
      <c r="F738" s="1">
        <v>37614</v>
      </c>
      <c r="G738" s="167" t="s">
        <v>2273</v>
      </c>
      <c r="H738" s="167" t="s">
        <v>121</v>
      </c>
      <c r="I738" s="167" t="s">
        <v>11</v>
      </c>
    </row>
    <row r="739" spans="1:9" x14ac:dyDescent="0.25">
      <c r="A739" s="95">
        <v>738</v>
      </c>
      <c r="B739" t="s">
        <v>2256</v>
      </c>
      <c r="C739" t="s">
        <v>2257</v>
      </c>
      <c r="D739" t="s">
        <v>2258</v>
      </c>
      <c r="F739" s="1">
        <v>29297</v>
      </c>
      <c r="G739" s="167" t="s">
        <v>2273</v>
      </c>
      <c r="H739" s="167" t="s">
        <v>121</v>
      </c>
      <c r="I739" s="167" t="s">
        <v>11</v>
      </c>
    </row>
    <row r="740" spans="1:9" x14ac:dyDescent="0.25">
      <c r="A740" s="95">
        <v>739</v>
      </c>
      <c r="B740" t="s">
        <v>2259</v>
      </c>
      <c r="C740" t="s">
        <v>2260</v>
      </c>
      <c r="D740" t="s">
        <v>331</v>
      </c>
      <c r="F740" s="1">
        <v>35513</v>
      </c>
      <c r="G740" s="167" t="s">
        <v>2273</v>
      </c>
      <c r="H740" s="167" t="s">
        <v>121</v>
      </c>
      <c r="I740" s="167" t="s">
        <v>11</v>
      </c>
    </row>
    <row r="741" spans="1:9" x14ac:dyDescent="0.25">
      <c r="A741" s="95">
        <v>740</v>
      </c>
      <c r="B741" t="s">
        <v>1788</v>
      </c>
      <c r="C741" t="s">
        <v>161</v>
      </c>
      <c r="D741" t="s">
        <v>1370</v>
      </c>
      <c r="F741" s="1">
        <v>27341</v>
      </c>
      <c r="G741" s="167" t="s">
        <v>2274</v>
      </c>
      <c r="H741" s="167" t="s">
        <v>121</v>
      </c>
      <c r="I741" s="167" t="s">
        <v>11</v>
      </c>
    </row>
    <row r="742" spans="1:9" x14ac:dyDescent="0.25">
      <c r="A742" s="95">
        <v>741</v>
      </c>
      <c r="B742" t="s">
        <v>129</v>
      </c>
      <c r="C742" t="s">
        <v>1955</v>
      </c>
      <c r="D742" t="s">
        <v>964</v>
      </c>
      <c r="F742" s="1">
        <v>19170</v>
      </c>
      <c r="G742" s="167" t="s">
        <v>2274</v>
      </c>
      <c r="H742" s="167" t="s">
        <v>121</v>
      </c>
      <c r="I742" s="167" t="s">
        <v>11</v>
      </c>
    </row>
    <row r="743" spans="1:9" x14ac:dyDescent="0.25">
      <c r="A743" s="95">
        <v>742</v>
      </c>
      <c r="B743" t="s">
        <v>1373</v>
      </c>
      <c r="C743" t="s">
        <v>2261</v>
      </c>
      <c r="D743" t="s">
        <v>1522</v>
      </c>
      <c r="F743" s="1">
        <v>28101</v>
      </c>
      <c r="G743" s="167" t="s">
        <v>2273</v>
      </c>
      <c r="H743" s="167" t="s">
        <v>121</v>
      </c>
      <c r="I743" s="167" t="s">
        <v>11</v>
      </c>
    </row>
    <row r="744" spans="1:9" x14ac:dyDescent="0.25">
      <c r="A744" s="95">
        <v>743</v>
      </c>
      <c r="B744" t="s">
        <v>1288</v>
      </c>
      <c r="C744" t="s">
        <v>1802</v>
      </c>
      <c r="D744" t="s">
        <v>1362</v>
      </c>
      <c r="F744" s="1">
        <v>27594</v>
      </c>
      <c r="G744" s="167" t="s">
        <v>2274</v>
      </c>
      <c r="H744" s="167" t="s">
        <v>121</v>
      </c>
      <c r="I744" s="167" t="s">
        <v>11</v>
      </c>
    </row>
    <row r="745" spans="1:9" x14ac:dyDescent="0.25">
      <c r="A745" s="95">
        <v>744</v>
      </c>
      <c r="B745" t="s">
        <v>120</v>
      </c>
      <c r="C745" t="s">
        <v>2262</v>
      </c>
      <c r="F745" s="1">
        <v>34587</v>
      </c>
      <c r="G745" s="167" t="s">
        <v>2274</v>
      </c>
      <c r="H745" s="167" t="s">
        <v>121</v>
      </c>
      <c r="I745" s="167" t="s">
        <v>11</v>
      </c>
    </row>
    <row r="746" spans="1:9" x14ac:dyDescent="0.25">
      <c r="A746" s="95">
        <v>745</v>
      </c>
      <c r="B746" t="s">
        <v>997</v>
      </c>
      <c r="C746" t="s">
        <v>55</v>
      </c>
      <c r="D746" t="s">
        <v>1269</v>
      </c>
      <c r="F746" s="1">
        <v>32925</v>
      </c>
      <c r="G746" s="167" t="s">
        <v>2273</v>
      </c>
      <c r="H746" s="167" t="s">
        <v>121</v>
      </c>
      <c r="I746" s="167" t="s">
        <v>11</v>
      </c>
    </row>
    <row r="747" spans="1:9" x14ac:dyDescent="0.25">
      <c r="A747" s="95">
        <v>746</v>
      </c>
      <c r="B747" t="s">
        <v>104</v>
      </c>
      <c r="C747" t="s">
        <v>2263</v>
      </c>
      <c r="D747" t="s">
        <v>1827</v>
      </c>
      <c r="F747" s="1">
        <v>29155</v>
      </c>
      <c r="G747" s="167" t="s">
        <v>2278</v>
      </c>
      <c r="H747" s="167" t="s">
        <v>121</v>
      </c>
      <c r="I747" s="167" t="s">
        <v>11</v>
      </c>
    </row>
    <row r="748" spans="1:9" x14ac:dyDescent="0.25">
      <c r="A748" s="95">
        <v>747</v>
      </c>
      <c r="B748" t="s">
        <v>1497</v>
      </c>
      <c r="C748" t="s">
        <v>2264</v>
      </c>
      <c r="D748" t="s">
        <v>64</v>
      </c>
      <c r="F748" s="1">
        <v>27174</v>
      </c>
      <c r="G748" s="167" t="s">
        <v>2278</v>
      </c>
      <c r="H748" s="167" t="s">
        <v>121</v>
      </c>
      <c r="I748" s="167" t="s">
        <v>11</v>
      </c>
    </row>
    <row r="749" spans="1:9" x14ac:dyDescent="0.25">
      <c r="A749" s="95">
        <v>748</v>
      </c>
      <c r="B749" t="s">
        <v>64</v>
      </c>
      <c r="C749" t="s">
        <v>75</v>
      </c>
      <c r="D749" t="s">
        <v>1848</v>
      </c>
      <c r="F749" s="1">
        <v>30030</v>
      </c>
      <c r="G749" s="167" t="s">
        <v>2278</v>
      </c>
      <c r="H749" s="167" t="s">
        <v>121</v>
      </c>
      <c r="I749" s="167" t="s">
        <v>11</v>
      </c>
    </row>
    <row r="750" spans="1:9" x14ac:dyDescent="0.25">
      <c r="A750" s="95">
        <v>749</v>
      </c>
      <c r="B750" t="s">
        <v>1279</v>
      </c>
      <c r="C750" t="s">
        <v>2265</v>
      </c>
      <c r="D750" t="s">
        <v>2266</v>
      </c>
      <c r="E750" t="s">
        <v>22</v>
      </c>
      <c r="F750" s="1">
        <v>23142</v>
      </c>
      <c r="G750" s="167" t="s">
        <v>2273</v>
      </c>
      <c r="H750" s="167" t="s">
        <v>121</v>
      </c>
      <c r="I750" s="167" t="s">
        <v>11</v>
      </c>
    </row>
    <row r="751" spans="1:9" x14ac:dyDescent="0.25">
      <c r="A751" s="95">
        <v>750</v>
      </c>
      <c r="B751" t="s">
        <v>1497</v>
      </c>
      <c r="C751" t="s">
        <v>2267</v>
      </c>
      <c r="D751" t="s">
        <v>2268</v>
      </c>
      <c r="F751" s="1">
        <v>16816</v>
      </c>
      <c r="G751" s="167" t="s">
        <v>2278</v>
      </c>
      <c r="H751" s="167" t="s">
        <v>121</v>
      </c>
      <c r="I751" s="167" t="s">
        <v>11</v>
      </c>
    </row>
    <row r="752" spans="1:9" x14ac:dyDescent="0.25">
      <c r="A752" s="95">
        <v>751</v>
      </c>
      <c r="B752" t="s">
        <v>1592</v>
      </c>
      <c r="C752" t="s">
        <v>1427</v>
      </c>
      <c r="D752" t="s">
        <v>2269</v>
      </c>
      <c r="F752" s="1">
        <v>19019</v>
      </c>
      <c r="G752" s="167" t="s">
        <v>2273</v>
      </c>
      <c r="H752" s="167" t="s">
        <v>121</v>
      </c>
      <c r="I752" s="167" t="s">
        <v>11</v>
      </c>
    </row>
    <row r="753" spans="1:11" x14ac:dyDescent="0.25">
      <c r="A753" s="95">
        <v>752</v>
      </c>
      <c r="B753" t="s">
        <v>2270</v>
      </c>
      <c r="C753" t="s">
        <v>2271</v>
      </c>
      <c r="D753" t="s">
        <v>1609</v>
      </c>
      <c r="F753" s="1">
        <v>29330</v>
      </c>
      <c r="G753" s="167" t="s">
        <v>2273</v>
      </c>
      <c r="H753" s="167" t="s">
        <v>121</v>
      </c>
      <c r="I753" s="167" t="s">
        <v>11</v>
      </c>
    </row>
    <row r="754" spans="1:11" x14ac:dyDescent="0.25">
      <c r="A754" s="95">
        <v>753</v>
      </c>
      <c r="B754" t="s">
        <v>1471</v>
      </c>
      <c r="C754" t="s">
        <v>1001</v>
      </c>
      <c r="D754" t="s">
        <v>1455</v>
      </c>
      <c r="F754" s="1">
        <v>24842</v>
      </c>
      <c r="G754" t="s">
        <v>2273</v>
      </c>
      <c r="H754" t="s">
        <v>121</v>
      </c>
      <c r="I754" t="s">
        <v>11</v>
      </c>
    </row>
    <row r="755" spans="1:11" x14ac:dyDescent="0.25">
      <c r="A755" s="95">
        <v>754</v>
      </c>
      <c r="B755" t="s">
        <v>1556</v>
      </c>
      <c r="C755" t="s">
        <v>2279</v>
      </c>
      <c r="D755" t="s">
        <v>2280</v>
      </c>
      <c r="F755" s="1">
        <v>24254</v>
      </c>
      <c r="G755" t="s">
        <v>2273</v>
      </c>
      <c r="H755" t="s">
        <v>121</v>
      </c>
      <c r="I755" t="s">
        <v>11</v>
      </c>
    </row>
    <row r="756" spans="1:11" x14ac:dyDescent="0.25">
      <c r="A756" s="95">
        <v>755</v>
      </c>
      <c r="B756" t="s">
        <v>232</v>
      </c>
      <c r="C756" t="s">
        <v>2281</v>
      </c>
      <c r="D756" t="s">
        <v>2282</v>
      </c>
      <c r="F756" s="1">
        <v>22809</v>
      </c>
      <c r="G756" t="s">
        <v>2273</v>
      </c>
      <c r="H756" t="s">
        <v>121</v>
      </c>
      <c r="I756" t="s">
        <v>11</v>
      </c>
    </row>
    <row r="757" spans="1:11" x14ac:dyDescent="0.25">
      <c r="A757" s="95">
        <v>756</v>
      </c>
      <c r="B757" t="s">
        <v>2283</v>
      </c>
      <c r="C757" t="s">
        <v>2284</v>
      </c>
      <c r="F757" s="1">
        <v>22896</v>
      </c>
      <c r="G757" t="s">
        <v>2272</v>
      </c>
      <c r="H757" t="s">
        <v>121</v>
      </c>
      <c r="I757" t="s">
        <v>11</v>
      </c>
      <c r="K757"/>
    </row>
    <row r="758" spans="1:11" x14ac:dyDescent="0.25">
      <c r="A758" s="95">
        <v>757</v>
      </c>
      <c r="B758" t="s">
        <v>1887</v>
      </c>
      <c r="C758" t="s">
        <v>57</v>
      </c>
      <c r="D758" t="s">
        <v>2285</v>
      </c>
      <c r="F758" s="1">
        <v>29655</v>
      </c>
      <c r="G758" t="s">
        <v>2276</v>
      </c>
      <c r="H758" t="s">
        <v>121</v>
      </c>
      <c r="I758" t="s">
        <v>11</v>
      </c>
      <c r="K758"/>
    </row>
    <row r="759" spans="1:11" x14ac:dyDescent="0.25">
      <c r="A759" s="95">
        <v>758</v>
      </c>
      <c r="B759" t="s">
        <v>1288</v>
      </c>
      <c r="C759" t="s">
        <v>2286</v>
      </c>
      <c r="D759" t="s">
        <v>27</v>
      </c>
      <c r="F759" s="1">
        <v>23622</v>
      </c>
      <c r="G759" t="s">
        <v>2276</v>
      </c>
      <c r="H759" t="s">
        <v>121</v>
      </c>
      <c r="I759" t="s">
        <v>11</v>
      </c>
      <c r="K759"/>
    </row>
    <row r="760" spans="1:11" x14ac:dyDescent="0.25">
      <c r="A760" s="95">
        <v>759</v>
      </c>
      <c r="B760" t="s">
        <v>2254</v>
      </c>
      <c r="C760" t="s">
        <v>136</v>
      </c>
      <c r="D760" t="s">
        <v>1503</v>
      </c>
      <c r="F760" s="1">
        <v>27906</v>
      </c>
      <c r="G760" t="s">
        <v>2273</v>
      </c>
      <c r="H760" t="s">
        <v>121</v>
      </c>
      <c r="I760" t="s">
        <v>11</v>
      </c>
      <c r="K760"/>
    </row>
    <row r="761" spans="1:11" x14ac:dyDescent="0.25">
      <c r="A761" s="95">
        <v>760</v>
      </c>
      <c r="B761" t="s">
        <v>1001</v>
      </c>
      <c r="C761" t="s">
        <v>2287</v>
      </c>
      <c r="D761" t="s">
        <v>1452</v>
      </c>
      <c r="F761" s="1">
        <v>25184</v>
      </c>
      <c r="G761" t="s">
        <v>2273</v>
      </c>
      <c r="H761" t="s">
        <v>121</v>
      </c>
      <c r="I761" t="s">
        <v>11</v>
      </c>
    </row>
    <row r="762" spans="1:11" x14ac:dyDescent="0.25">
      <c r="A762" s="95">
        <v>761</v>
      </c>
      <c r="B762" t="s">
        <v>538</v>
      </c>
      <c r="C762" t="s">
        <v>2202</v>
      </c>
      <c r="D762" t="s">
        <v>1001</v>
      </c>
      <c r="F762" s="1">
        <v>17392</v>
      </c>
      <c r="G762" t="s">
        <v>2273</v>
      </c>
      <c r="H762" t="s">
        <v>121</v>
      </c>
      <c r="I762" t="s">
        <v>11</v>
      </c>
    </row>
    <row r="763" spans="1:11" x14ac:dyDescent="0.25">
      <c r="A763" s="95">
        <v>762</v>
      </c>
      <c r="B763" t="s">
        <v>1373</v>
      </c>
      <c r="C763" t="s">
        <v>2288</v>
      </c>
      <c r="D763" t="s">
        <v>1294</v>
      </c>
      <c r="F763" s="1">
        <v>21484</v>
      </c>
      <c r="G763" t="s">
        <v>2273</v>
      </c>
      <c r="H763" t="s">
        <v>121</v>
      </c>
      <c r="I763" t="s">
        <v>11</v>
      </c>
    </row>
    <row r="764" spans="1:11" x14ac:dyDescent="0.25">
      <c r="A764" s="95">
        <v>763</v>
      </c>
      <c r="B764" t="s">
        <v>232</v>
      </c>
      <c r="C764" t="s">
        <v>2248</v>
      </c>
      <c r="D764" t="s">
        <v>1311</v>
      </c>
      <c r="F764" s="1">
        <v>22792</v>
      </c>
      <c r="G764" t="s">
        <v>2273</v>
      </c>
      <c r="H764" t="s">
        <v>121</v>
      </c>
      <c r="I764" t="s">
        <v>11</v>
      </c>
    </row>
    <row r="765" spans="1:11" x14ac:dyDescent="0.25">
      <c r="A765" s="95">
        <v>764</v>
      </c>
      <c r="B765" t="s">
        <v>1279</v>
      </c>
      <c r="C765" t="s">
        <v>1680</v>
      </c>
      <c r="D765" t="s">
        <v>1548</v>
      </c>
      <c r="F765" s="1">
        <v>15952</v>
      </c>
      <c r="G765" t="s">
        <v>2273</v>
      </c>
      <c r="H765" t="s">
        <v>121</v>
      </c>
      <c r="I765" t="s">
        <v>11</v>
      </c>
    </row>
    <row r="766" spans="1:11" x14ac:dyDescent="0.25">
      <c r="A766" s="95">
        <v>765</v>
      </c>
      <c r="B766" t="s">
        <v>1965</v>
      </c>
      <c r="C766" t="s">
        <v>2289</v>
      </c>
      <c r="F766" s="1">
        <v>26431</v>
      </c>
      <c r="G766" t="s">
        <v>2272</v>
      </c>
      <c r="H766" t="s">
        <v>121</v>
      </c>
      <c r="I766" t="s">
        <v>11</v>
      </c>
      <c r="K766"/>
    </row>
    <row r="767" spans="1:11" x14ac:dyDescent="0.25">
      <c r="A767" s="95">
        <v>766</v>
      </c>
      <c r="B767" t="s">
        <v>2290</v>
      </c>
      <c r="C767" t="s">
        <v>2202</v>
      </c>
      <c r="F767" s="1">
        <v>15781</v>
      </c>
      <c r="G767" t="s">
        <v>2272</v>
      </c>
      <c r="H767" t="s">
        <v>121</v>
      </c>
      <c r="I767" t="s">
        <v>11</v>
      </c>
      <c r="K767"/>
    </row>
    <row r="768" spans="1:11" x14ac:dyDescent="0.25">
      <c r="A768" s="95">
        <v>767</v>
      </c>
      <c r="B768" t="s">
        <v>1983</v>
      </c>
      <c r="C768" t="s">
        <v>1994</v>
      </c>
      <c r="F768" s="1">
        <v>22936</v>
      </c>
      <c r="G768" t="s">
        <v>2276</v>
      </c>
      <c r="H768" t="s">
        <v>121</v>
      </c>
      <c r="I768" t="s">
        <v>11</v>
      </c>
      <c r="K768"/>
    </row>
    <row r="769" spans="1:11" x14ac:dyDescent="0.25">
      <c r="A769" s="95">
        <v>768</v>
      </c>
      <c r="B769" t="s">
        <v>2205</v>
      </c>
      <c r="C769" t="s">
        <v>2291</v>
      </c>
      <c r="D769" t="s">
        <v>1047</v>
      </c>
      <c r="F769" s="1">
        <v>31050</v>
      </c>
      <c r="G769" t="s">
        <v>2277</v>
      </c>
      <c r="H769" t="s">
        <v>121</v>
      </c>
      <c r="I769" t="s">
        <v>11</v>
      </c>
      <c r="K769"/>
    </row>
    <row r="770" spans="1:11" x14ac:dyDescent="0.25">
      <c r="A770" s="95">
        <v>769</v>
      </c>
      <c r="B770" t="s">
        <v>361</v>
      </c>
      <c r="C770" t="s">
        <v>2288</v>
      </c>
      <c r="F770" s="1">
        <v>20047</v>
      </c>
      <c r="G770" t="s">
        <v>2276</v>
      </c>
      <c r="H770" t="s">
        <v>121</v>
      </c>
      <c r="I770" t="s">
        <v>11</v>
      </c>
      <c r="K770"/>
    </row>
    <row r="771" spans="1:11" x14ac:dyDescent="0.25">
      <c r="A771" s="95">
        <v>770</v>
      </c>
      <c r="B771" t="s">
        <v>1721</v>
      </c>
      <c r="C771" t="s">
        <v>2292</v>
      </c>
      <c r="D771" t="s">
        <v>789</v>
      </c>
      <c r="F771" s="1">
        <v>29271</v>
      </c>
      <c r="G771" t="s">
        <v>2273</v>
      </c>
      <c r="H771" t="s">
        <v>121</v>
      </c>
      <c r="I771" t="s">
        <v>11</v>
      </c>
      <c r="K771"/>
    </row>
    <row r="772" spans="1:11" x14ac:dyDescent="0.25">
      <c r="A772" s="95">
        <v>771</v>
      </c>
      <c r="B772" t="s">
        <v>710</v>
      </c>
      <c r="C772" t="s">
        <v>2692</v>
      </c>
      <c r="D772" t="s">
        <v>1320</v>
      </c>
      <c r="F772" s="1">
        <v>45807</v>
      </c>
      <c r="G772" t="s">
        <v>2273</v>
      </c>
      <c r="H772" t="s">
        <v>121</v>
      </c>
      <c r="I772" t="s">
        <v>11</v>
      </c>
    </row>
    <row r="773" spans="1:11" x14ac:dyDescent="0.25">
      <c r="A773" s="95">
        <v>772</v>
      </c>
      <c r="B773" t="s">
        <v>710</v>
      </c>
      <c r="C773" t="s">
        <v>2692</v>
      </c>
      <c r="D773" t="s">
        <v>1320</v>
      </c>
      <c r="F773" s="1">
        <v>45807</v>
      </c>
      <c r="G773" t="s">
        <v>2273</v>
      </c>
      <c r="H773" t="s">
        <v>121</v>
      </c>
      <c r="I773" t="s">
        <v>11</v>
      </c>
    </row>
    <row r="774" spans="1:11" x14ac:dyDescent="0.25">
      <c r="A774" s="95">
        <v>773</v>
      </c>
      <c r="B774" t="s">
        <v>1431</v>
      </c>
      <c r="C774" t="s">
        <v>2693</v>
      </c>
      <c r="D774" t="s">
        <v>1279</v>
      </c>
      <c r="F774" s="1">
        <v>38555</v>
      </c>
      <c r="G774" t="s">
        <v>2274</v>
      </c>
      <c r="H774" t="s">
        <v>121</v>
      </c>
      <c r="I774" t="s">
        <v>11</v>
      </c>
    </row>
    <row r="775" spans="1:11" x14ac:dyDescent="0.25">
      <c r="A775" s="95">
        <v>774</v>
      </c>
      <c r="B775" t="s">
        <v>1431</v>
      </c>
      <c r="C775" t="s">
        <v>2694</v>
      </c>
      <c r="D775" t="s">
        <v>1279</v>
      </c>
      <c r="F775" s="1">
        <v>39026</v>
      </c>
      <c r="G775" t="s">
        <v>2274</v>
      </c>
      <c r="H775" t="s">
        <v>121</v>
      </c>
      <c r="I775" t="s">
        <v>11</v>
      </c>
    </row>
    <row r="776" spans="1:11" x14ac:dyDescent="0.25">
      <c r="A776" s="95">
        <v>775</v>
      </c>
      <c r="B776" t="s">
        <v>577</v>
      </c>
      <c r="C776" t="s">
        <v>2695</v>
      </c>
      <c r="D776" t="s">
        <v>2696</v>
      </c>
      <c r="F776" s="1">
        <v>45343</v>
      </c>
      <c r="G776" t="s">
        <v>2273</v>
      </c>
      <c r="H776" t="s">
        <v>121</v>
      </c>
      <c r="I776" t="s">
        <v>11</v>
      </c>
    </row>
    <row r="777" spans="1:11" x14ac:dyDescent="0.25">
      <c r="A777" s="95">
        <v>776</v>
      </c>
      <c r="B777" t="s">
        <v>577</v>
      </c>
      <c r="C777" t="s">
        <v>2697</v>
      </c>
      <c r="F777" s="1">
        <v>43601</v>
      </c>
      <c r="G777" t="s">
        <v>2273</v>
      </c>
      <c r="H777" t="s">
        <v>121</v>
      </c>
      <c r="I777" t="s">
        <v>11</v>
      </c>
    </row>
    <row r="778" spans="1:11" x14ac:dyDescent="0.25">
      <c r="A778" s="95">
        <v>777</v>
      </c>
      <c r="B778" t="s">
        <v>2698</v>
      </c>
      <c r="C778" t="s">
        <v>2699</v>
      </c>
      <c r="D778" t="s">
        <v>2700</v>
      </c>
      <c r="F778" s="1">
        <v>30308</v>
      </c>
      <c r="G778" t="s">
        <v>2273</v>
      </c>
      <c r="H778" t="s">
        <v>121</v>
      </c>
      <c r="I778" t="s">
        <v>11</v>
      </c>
    </row>
    <row r="779" spans="1:11" x14ac:dyDescent="0.25">
      <c r="A779" s="95">
        <v>778</v>
      </c>
      <c r="B779" t="s">
        <v>611</v>
      </c>
      <c r="C779" t="s">
        <v>2701</v>
      </c>
      <c r="D779" t="s">
        <v>2698</v>
      </c>
      <c r="F779" s="1">
        <v>42048</v>
      </c>
      <c r="G779" t="s">
        <v>2273</v>
      </c>
      <c r="H779" t="s">
        <v>121</v>
      </c>
      <c r="I779" t="s">
        <v>11</v>
      </c>
    </row>
    <row r="780" spans="1:11" x14ac:dyDescent="0.25">
      <c r="A780" s="95">
        <v>779</v>
      </c>
      <c r="B780" t="s">
        <v>611</v>
      </c>
      <c r="C780" t="s">
        <v>2702</v>
      </c>
      <c r="D780" t="s">
        <v>2698</v>
      </c>
      <c r="F780" s="1">
        <v>43697</v>
      </c>
      <c r="G780" t="s">
        <v>2273</v>
      </c>
      <c r="H780" t="s">
        <v>121</v>
      </c>
      <c r="I780" t="s">
        <v>11</v>
      </c>
    </row>
    <row r="781" spans="1:11" x14ac:dyDescent="0.25">
      <c r="A781" s="95">
        <v>780</v>
      </c>
      <c r="B781" t="s">
        <v>1373</v>
      </c>
      <c r="C781" t="s">
        <v>2703</v>
      </c>
      <c r="D781" t="s">
        <v>1618</v>
      </c>
      <c r="F781" s="1">
        <v>25242</v>
      </c>
      <c r="G781" t="s">
        <v>2273</v>
      </c>
      <c r="H781" t="s">
        <v>121</v>
      </c>
      <c r="I781" t="s">
        <v>11</v>
      </c>
    </row>
    <row r="782" spans="1:11" x14ac:dyDescent="0.25">
      <c r="A782" s="95">
        <v>781</v>
      </c>
      <c r="B782" t="s">
        <v>1294</v>
      </c>
      <c r="C782" t="s">
        <v>2704</v>
      </c>
      <c r="D782" t="s">
        <v>1636</v>
      </c>
      <c r="F782" s="1">
        <v>32978</v>
      </c>
      <c r="G782" t="s">
        <v>2273</v>
      </c>
      <c r="H782" t="s">
        <v>121</v>
      </c>
      <c r="I782" t="s">
        <v>11</v>
      </c>
    </row>
    <row r="783" spans="1:11" x14ac:dyDescent="0.25">
      <c r="A783" s="95">
        <v>782</v>
      </c>
      <c r="B783" t="s">
        <v>1294</v>
      </c>
      <c r="C783" t="s">
        <v>137</v>
      </c>
      <c r="D783" t="s">
        <v>1636</v>
      </c>
      <c r="F783" s="1">
        <v>33799</v>
      </c>
      <c r="G783" t="s">
        <v>2273</v>
      </c>
      <c r="H783" t="s">
        <v>121</v>
      </c>
      <c r="I783" t="s">
        <v>11</v>
      </c>
    </row>
    <row r="784" spans="1:11" x14ac:dyDescent="0.25">
      <c r="A784" s="95">
        <v>783</v>
      </c>
      <c r="B784" t="s">
        <v>1294</v>
      </c>
      <c r="C784" t="s">
        <v>24</v>
      </c>
      <c r="D784" t="s">
        <v>1636</v>
      </c>
      <c r="F784" s="1">
        <v>35473</v>
      </c>
      <c r="G784" t="s">
        <v>2273</v>
      </c>
      <c r="H784" t="s">
        <v>121</v>
      </c>
      <c r="I784" t="s">
        <v>11</v>
      </c>
    </row>
    <row r="785" spans="1:11" x14ac:dyDescent="0.25">
      <c r="A785" s="95">
        <v>784</v>
      </c>
      <c r="B785" t="s">
        <v>1748</v>
      </c>
      <c r="C785" t="s">
        <v>494</v>
      </c>
      <c r="D785" t="s">
        <v>1749</v>
      </c>
      <c r="F785" s="1">
        <v>28041</v>
      </c>
      <c r="G785" t="s">
        <v>2272</v>
      </c>
      <c r="H785" t="s">
        <v>121</v>
      </c>
      <c r="I785" t="s">
        <v>11</v>
      </c>
      <c r="K785"/>
    </row>
    <row r="786" spans="1:11" x14ac:dyDescent="0.25">
      <c r="A786" s="95">
        <v>785</v>
      </c>
      <c r="B786" t="s">
        <v>2705</v>
      </c>
      <c r="C786" t="s">
        <v>2706</v>
      </c>
      <c r="F786" s="1">
        <v>31112</v>
      </c>
      <c r="G786" t="s">
        <v>2272</v>
      </c>
      <c r="H786" t="s">
        <v>121</v>
      </c>
      <c r="I786" t="s">
        <v>11</v>
      </c>
      <c r="K786"/>
    </row>
    <row r="787" spans="1:11" x14ac:dyDescent="0.25">
      <c r="A787" s="95">
        <v>786</v>
      </c>
      <c r="B787" t="s">
        <v>1887</v>
      </c>
      <c r="C787" t="s">
        <v>2707</v>
      </c>
      <c r="D787" t="s">
        <v>1889</v>
      </c>
      <c r="F787" s="1">
        <v>41215</v>
      </c>
      <c r="G787" t="s">
        <v>2276</v>
      </c>
      <c r="H787" t="s">
        <v>121</v>
      </c>
      <c r="I787" t="s">
        <v>11</v>
      </c>
      <c r="K787"/>
    </row>
    <row r="788" spans="1:11" x14ac:dyDescent="0.25">
      <c r="A788" s="95">
        <v>787</v>
      </c>
      <c r="B788" t="s">
        <v>1887</v>
      </c>
      <c r="C788" t="s">
        <v>2708</v>
      </c>
      <c r="D788" t="s">
        <v>1889</v>
      </c>
      <c r="F788" s="1">
        <v>39227</v>
      </c>
      <c r="G788" t="s">
        <v>2276</v>
      </c>
      <c r="H788" t="s">
        <v>121</v>
      </c>
      <c r="I788" t="s">
        <v>11</v>
      </c>
      <c r="K788"/>
    </row>
    <row r="789" spans="1:11" x14ac:dyDescent="0.25">
      <c r="A789" s="95">
        <v>788</v>
      </c>
      <c r="B789" t="s">
        <v>1904</v>
      </c>
      <c r="C789" t="s">
        <v>2709</v>
      </c>
      <c r="F789" s="1">
        <v>42557</v>
      </c>
      <c r="G789" t="s">
        <v>2272</v>
      </c>
      <c r="H789" t="s">
        <v>121</v>
      </c>
      <c r="I789" t="s">
        <v>11</v>
      </c>
      <c r="K789"/>
    </row>
    <row r="790" spans="1:11" x14ac:dyDescent="0.25">
      <c r="A790" s="95">
        <v>789</v>
      </c>
      <c r="B790" t="s">
        <v>737</v>
      </c>
      <c r="C790" t="s">
        <v>2710</v>
      </c>
      <c r="D790" t="s">
        <v>2711</v>
      </c>
      <c r="F790" s="1">
        <v>34403</v>
      </c>
      <c r="G790" t="s">
        <v>2272</v>
      </c>
      <c r="H790" t="s">
        <v>121</v>
      </c>
      <c r="I790" t="s">
        <v>11</v>
      </c>
      <c r="K790"/>
    </row>
    <row r="791" spans="1:11" x14ac:dyDescent="0.25">
      <c r="A791" s="95">
        <v>790</v>
      </c>
      <c r="B791" t="s">
        <v>737</v>
      </c>
      <c r="C791" t="s">
        <v>2712</v>
      </c>
      <c r="D791" t="s">
        <v>1886</v>
      </c>
      <c r="F791" s="1">
        <v>36923</v>
      </c>
      <c r="G791" t="s">
        <v>2272</v>
      </c>
      <c r="H791" t="s">
        <v>121</v>
      </c>
      <c r="I791" t="s">
        <v>11</v>
      </c>
      <c r="K791"/>
    </row>
    <row r="792" spans="1:11" x14ac:dyDescent="0.25">
      <c r="A792" s="95">
        <v>791</v>
      </c>
      <c r="B792" t="s">
        <v>737</v>
      </c>
      <c r="C792" t="s">
        <v>2713</v>
      </c>
      <c r="D792" t="s">
        <v>1886</v>
      </c>
      <c r="F792" s="1">
        <v>37397</v>
      </c>
      <c r="G792" t="s">
        <v>2272</v>
      </c>
      <c r="H792" t="s">
        <v>121</v>
      </c>
      <c r="I792" t="s">
        <v>11</v>
      </c>
      <c r="K792"/>
    </row>
    <row r="793" spans="1:11" x14ac:dyDescent="0.25">
      <c r="A793" s="95">
        <v>792</v>
      </c>
      <c r="B793" t="s">
        <v>737</v>
      </c>
      <c r="C793" t="s">
        <v>2714</v>
      </c>
      <c r="D793" t="s">
        <v>1886</v>
      </c>
      <c r="F793" s="1">
        <v>38155</v>
      </c>
      <c r="G793" t="s">
        <v>2272</v>
      </c>
      <c r="H793" t="s">
        <v>121</v>
      </c>
      <c r="I793" t="s">
        <v>11</v>
      </c>
      <c r="K793"/>
    </row>
    <row r="794" spans="1:11" x14ac:dyDescent="0.25">
      <c r="A794" s="95">
        <v>793</v>
      </c>
      <c r="B794" t="s">
        <v>1965</v>
      </c>
      <c r="C794" t="s">
        <v>2715</v>
      </c>
      <c r="F794" s="1">
        <v>37946</v>
      </c>
      <c r="G794" t="s">
        <v>2272</v>
      </c>
      <c r="H794" t="s">
        <v>121</v>
      </c>
      <c r="I794" t="s">
        <v>11</v>
      </c>
      <c r="K794"/>
    </row>
    <row r="795" spans="1:11" x14ac:dyDescent="0.25">
      <c r="A795" s="95">
        <v>794</v>
      </c>
      <c r="B795" t="s">
        <v>2290</v>
      </c>
      <c r="C795" t="s">
        <v>449</v>
      </c>
      <c r="F795" s="1">
        <v>29699</v>
      </c>
      <c r="G795" t="s">
        <v>2272</v>
      </c>
      <c r="H795" t="s">
        <v>121</v>
      </c>
      <c r="I795" t="s">
        <v>11</v>
      </c>
      <c r="K795"/>
    </row>
    <row r="796" spans="1:11" x14ac:dyDescent="0.25">
      <c r="A796" s="95">
        <v>795</v>
      </c>
      <c r="B796" t="s">
        <v>1983</v>
      </c>
      <c r="C796" t="s">
        <v>2716</v>
      </c>
      <c r="F796" s="1">
        <v>33758</v>
      </c>
      <c r="G796" t="s">
        <v>2276</v>
      </c>
      <c r="H796" t="s">
        <v>121</v>
      </c>
      <c r="I796" t="s">
        <v>11</v>
      </c>
      <c r="K796"/>
    </row>
    <row r="797" spans="1:11" x14ac:dyDescent="0.25">
      <c r="A797" s="95">
        <v>796</v>
      </c>
      <c r="B797" t="s">
        <v>2017</v>
      </c>
      <c r="C797" t="s">
        <v>889</v>
      </c>
      <c r="F797" s="1">
        <v>44817</v>
      </c>
      <c r="G797" t="s">
        <v>2276</v>
      </c>
      <c r="H797" t="s">
        <v>121</v>
      </c>
      <c r="I797" t="s">
        <v>11</v>
      </c>
      <c r="K797"/>
    </row>
    <row r="798" spans="1:11" x14ac:dyDescent="0.25">
      <c r="A798" s="95">
        <v>797</v>
      </c>
      <c r="B798" t="s">
        <v>2026</v>
      </c>
      <c r="C798" t="s">
        <v>285</v>
      </c>
      <c r="D798" t="s">
        <v>2492</v>
      </c>
      <c r="F798" s="1">
        <v>39415</v>
      </c>
      <c r="G798" t="s">
        <v>2276</v>
      </c>
      <c r="H798" t="s">
        <v>121</v>
      </c>
      <c r="I798" t="s">
        <v>11</v>
      </c>
      <c r="K798"/>
    </row>
    <row r="799" spans="1:11" x14ac:dyDescent="0.25">
      <c r="A799" s="95">
        <v>798</v>
      </c>
      <c r="B799" t="s">
        <v>2060</v>
      </c>
      <c r="C799" t="s">
        <v>2717</v>
      </c>
      <c r="F799" s="1">
        <v>29047</v>
      </c>
      <c r="G799" t="s">
        <v>2276</v>
      </c>
      <c r="H799" t="s">
        <v>121</v>
      </c>
      <c r="I799" t="s">
        <v>11</v>
      </c>
      <c r="K799"/>
    </row>
    <row r="800" spans="1:11" x14ac:dyDescent="0.25">
      <c r="A800" s="95">
        <v>799</v>
      </c>
      <c r="B800" t="s">
        <v>1752</v>
      </c>
      <c r="C800" t="s">
        <v>2718</v>
      </c>
      <c r="D800" t="s">
        <v>2561</v>
      </c>
      <c r="F800" s="1">
        <v>39822</v>
      </c>
      <c r="G800" t="s">
        <v>2272</v>
      </c>
      <c r="H800" t="s">
        <v>121</v>
      </c>
      <c r="I800" t="s">
        <v>11</v>
      </c>
      <c r="K800"/>
    </row>
    <row r="801" spans="1:11" x14ac:dyDescent="0.25">
      <c r="A801" s="95">
        <v>800</v>
      </c>
      <c r="B801" t="s">
        <v>1752</v>
      </c>
      <c r="C801" t="s">
        <v>2719</v>
      </c>
      <c r="D801" t="s">
        <v>2561</v>
      </c>
      <c r="F801" s="1">
        <v>40581</v>
      </c>
      <c r="G801" t="s">
        <v>2272</v>
      </c>
      <c r="H801" t="s">
        <v>121</v>
      </c>
      <c r="I801" t="s">
        <v>11</v>
      </c>
      <c r="K801"/>
    </row>
    <row r="802" spans="1:11" x14ac:dyDescent="0.25">
      <c r="A802" s="95">
        <v>801</v>
      </c>
      <c r="B802" t="s">
        <v>1752</v>
      </c>
      <c r="C802" t="s">
        <v>2720</v>
      </c>
      <c r="D802" t="s">
        <v>2561</v>
      </c>
      <c r="F802" s="1">
        <v>41807</v>
      </c>
      <c r="G802" t="s">
        <v>2272</v>
      </c>
      <c r="H802" t="s">
        <v>121</v>
      </c>
      <c r="I802" t="s">
        <v>11</v>
      </c>
      <c r="K802"/>
    </row>
    <row r="803" spans="1:11" x14ac:dyDescent="0.25">
      <c r="A803" s="95">
        <v>802</v>
      </c>
      <c r="B803" t="s">
        <v>2205</v>
      </c>
      <c r="C803" t="s">
        <v>133</v>
      </c>
      <c r="D803" t="s">
        <v>1047</v>
      </c>
      <c r="E803" t="s">
        <v>67</v>
      </c>
      <c r="F803" s="1">
        <v>40496</v>
      </c>
      <c r="G803" t="s">
        <v>2277</v>
      </c>
      <c r="H803" t="s">
        <v>121</v>
      </c>
      <c r="I803" t="s">
        <v>11</v>
      </c>
      <c r="K803"/>
    </row>
    <row r="804" spans="1:11" x14ac:dyDescent="0.25">
      <c r="A804" s="95">
        <v>803</v>
      </c>
      <c r="B804" t="s">
        <v>2205</v>
      </c>
      <c r="C804" t="s">
        <v>2721</v>
      </c>
      <c r="D804" t="s">
        <v>1047</v>
      </c>
      <c r="F804" s="1">
        <v>41060</v>
      </c>
      <c r="G804" t="s">
        <v>2277</v>
      </c>
      <c r="H804" t="s">
        <v>121</v>
      </c>
      <c r="I804" t="s">
        <v>11</v>
      </c>
      <c r="K804"/>
    </row>
    <row r="805" spans="1:11" x14ac:dyDescent="0.25">
      <c r="A805" s="95">
        <v>804</v>
      </c>
      <c r="B805" t="s">
        <v>2205</v>
      </c>
      <c r="C805" t="s">
        <v>2722</v>
      </c>
      <c r="D805" t="s">
        <v>1047</v>
      </c>
      <c r="F805" s="1">
        <v>42069</v>
      </c>
      <c r="G805" t="s">
        <v>2277</v>
      </c>
      <c r="H805" t="s">
        <v>121</v>
      </c>
      <c r="I805" t="s">
        <v>11</v>
      </c>
      <c r="K805"/>
    </row>
    <row r="806" spans="1:11" x14ac:dyDescent="0.25">
      <c r="A806" s="95">
        <v>805</v>
      </c>
      <c r="B806" t="s">
        <v>2205</v>
      </c>
      <c r="C806" t="s">
        <v>2723</v>
      </c>
      <c r="D806" t="s">
        <v>1047</v>
      </c>
      <c r="F806" s="1">
        <v>43063</v>
      </c>
      <c r="G806" t="s">
        <v>2277</v>
      </c>
      <c r="H806" t="s">
        <v>121</v>
      </c>
      <c r="I806" t="s">
        <v>11</v>
      </c>
      <c r="K806"/>
    </row>
    <row r="807" spans="1:11" x14ac:dyDescent="0.25">
      <c r="A807" s="95">
        <v>806</v>
      </c>
      <c r="B807" t="s">
        <v>2205</v>
      </c>
      <c r="C807" t="s">
        <v>2722</v>
      </c>
      <c r="D807" t="s">
        <v>1047</v>
      </c>
      <c r="F807" s="1">
        <v>42800</v>
      </c>
      <c r="G807" t="s">
        <v>2277</v>
      </c>
      <c r="H807" t="s">
        <v>121</v>
      </c>
      <c r="I807" t="s">
        <v>11</v>
      </c>
      <c r="K807"/>
    </row>
    <row r="808" spans="1:11" x14ac:dyDescent="0.25">
      <c r="A808" s="95">
        <v>807</v>
      </c>
      <c r="B808" t="s">
        <v>2724</v>
      </c>
      <c r="C808" t="s">
        <v>2725</v>
      </c>
      <c r="D808" t="s">
        <v>2678</v>
      </c>
      <c r="F808" s="1">
        <v>18464</v>
      </c>
      <c r="G808" t="s">
        <v>2276</v>
      </c>
      <c r="H808" t="s">
        <v>121</v>
      </c>
      <c r="I808" t="s">
        <v>11</v>
      </c>
      <c r="K808"/>
    </row>
    <row r="809" spans="1:11" x14ac:dyDescent="0.25">
      <c r="A809" s="95">
        <v>808</v>
      </c>
      <c r="B809" t="s">
        <v>2724</v>
      </c>
      <c r="C809" t="s">
        <v>2726</v>
      </c>
      <c r="F809" s="1">
        <v>18389</v>
      </c>
      <c r="G809" t="s">
        <v>2276</v>
      </c>
      <c r="H809" t="s">
        <v>121</v>
      </c>
      <c r="I809" t="s">
        <v>11</v>
      </c>
      <c r="K809"/>
    </row>
    <row r="810" spans="1:11" x14ac:dyDescent="0.25">
      <c r="A810" s="95">
        <v>809</v>
      </c>
      <c r="B810" t="s">
        <v>1345</v>
      </c>
      <c r="C810" t="s">
        <v>2727</v>
      </c>
      <c r="F810" s="1">
        <v>15501</v>
      </c>
      <c r="G810" t="s">
        <v>2276</v>
      </c>
      <c r="H810" t="s">
        <v>121</v>
      </c>
      <c r="I810" t="s">
        <v>11</v>
      </c>
      <c r="K810"/>
    </row>
    <row r="811" spans="1:11" x14ac:dyDescent="0.25">
      <c r="A811" s="95">
        <v>810</v>
      </c>
      <c r="B811" t="s">
        <v>1345</v>
      </c>
      <c r="C811" t="s">
        <v>2728</v>
      </c>
      <c r="F811" s="1">
        <v>18446</v>
      </c>
      <c r="G811" t="s">
        <v>2276</v>
      </c>
      <c r="H811" t="s">
        <v>121</v>
      </c>
      <c r="I811" t="s">
        <v>11</v>
      </c>
      <c r="K811"/>
    </row>
    <row r="812" spans="1:11" x14ac:dyDescent="0.25">
      <c r="A812" s="95">
        <v>811</v>
      </c>
      <c r="B812" t="s">
        <v>2729</v>
      </c>
      <c r="C812" t="s">
        <v>2730</v>
      </c>
      <c r="F812" s="1">
        <v>19297</v>
      </c>
      <c r="G812" t="s">
        <v>2276</v>
      </c>
      <c r="H812" t="s">
        <v>121</v>
      </c>
      <c r="I812" t="s">
        <v>11</v>
      </c>
      <c r="K812"/>
    </row>
    <row r="813" spans="1:11" x14ac:dyDescent="0.25">
      <c r="A813" s="95">
        <v>812</v>
      </c>
      <c r="B813" t="s">
        <v>1345</v>
      </c>
      <c r="C813" t="s">
        <v>2731</v>
      </c>
      <c r="F813" s="1">
        <v>23630</v>
      </c>
      <c r="G813" t="s">
        <v>2276</v>
      </c>
      <c r="H813" t="s">
        <v>121</v>
      </c>
      <c r="I813" t="s">
        <v>11</v>
      </c>
      <c r="K813"/>
    </row>
    <row r="814" spans="1:11" x14ac:dyDescent="0.25">
      <c r="A814" s="95">
        <v>813</v>
      </c>
      <c r="B814" t="s">
        <v>129</v>
      </c>
      <c r="C814" t="s">
        <v>2732</v>
      </c>
      <c r="F814" s="1">
        <v>35730</v>
      </c>
      <c r="G814" t="s">
        <v>2274</v>
      </c>
      <c r="H814" t="s">
        <v>121</v>
      </c>
      <c r="I814" t="s">
        <v>11</v>
      </c>
      <c r="K814"/>
    </row>
    <row r="815" spans="1:11" x14ac:dyDescent="0.25">
      <c r="A815" s="95">
        <v>814</v>
      </c>
      <c r="B815" t="s">
        <v>64</v>
      </c>
      <c r="C815" t="s">
        <v>2733</v>
      </c>
      <c r="F815" s="1">
        <v>41707</v>
      </c>
      <c r="G815" t="s">
        <v>2278</v>
      </c>
      <c r="H815" t="s">
        <v>121</v>
      </c>
      <c r="I815" t="s">
        <v>11</v>
      </c>
      <c r="K815"/>
    </row>
    <row r="816" spans="1:11" x14ac:dyDescent="0.25">
      <c r="A816" s="95">
        <v>815</v>
      </c>
      <c r="B816" t="s">
        <v>1266</v>
      </c>
      <c r="C816" t="s">
        <v>658</v>
      </c>
      <c r="D816" t="s">
        <v>2018</v>
      </c>
      <c r="F816" s="1">
        <v>33399</v>
      </c>
      <c r="G816" t="s">
        <v>2272</v>
      </c>
      <c r="H816" t="s">
        <v>121</v>
      </c>
      <c r="I816" t="s">
        <v>11</v>
      </c>
    </row>
    <row r="817" spans="1:9" x14ac:dyDescent="0.25">
      <c r="A817" s="95">
        <v>816</v>
      </c>
      <c r="B817" t="s">
        <v>1269</v>
      </c>
      <c r="C817" t="s">
        <v>2293</v>
      </c>
      <c r="D817" t="s">
        <v>286</v>
      </c>
      <c r="F817" s="1">
        <v>33535</v>
      </c>
      <c r="G817" t="s">
        <v>2273</v>
      </c>
      <c r="H817" t="s">
        <v>121</v>
      </c>
      <c r="I817" t="s">
        <v>11</v>
      </c>
    </row>
    <row r="818" spans="1:9" x14ac:dyDescent="0.25">
      <c r="A818" s="95">
        <v>817</v>
      </c>
      <c r="B818" t="s">
        <v>911</v>
      </c>
      <c r="C818" t="s">
        <v>2294</v>
      </c>
      <c r="D818" t="s">
        <v>30</v>
      </c>
      <c r="F818" s="1">
        <v>23849</v>
      </c>
      <c r="G818" t="s">
        <v>2273</v>
      </c>
      <c r="H818" t="s">
        <v>121</v>
      </c>
      <c r="I818" t="s">
        <v>11</v>
      </c>
    </row>
    <row r="819" spans="1:9" x14ac:dyDescent="0.25">
      <c r="A819" s="95">
        <v>818</v>
      </c>
      <c r="B819" t="s">
        <v>1270</v>
      </c>
      <c r="C819" t="s">
        <v>2295</v>
      </c>
      <c r="D819" t="s">
        <v>2296</v>
      </c>
      <c r="F819" s="1">
        <v>29553</v>
      </c>
      <c r="G819" t="s">
        <v>2273</v>
      </c>
      <c r="H819" t="s">
        <v>121</v>
      </c>
      <c r="I819" t="s">
        <v>11</v>
      </c>
    </row>
    <row r="820" spans="1:9" x14ac:dyDescent="0.25">
      <c r="A820" s="95">
        <v>819</v>
      </c>
      <c r="B820" t="s">
        <v>1276</v>
      </c>
      <c r="C820" t="s">
        <v>2297</v>
      </c>
      <c r="D820" t="s">
        <v>450</v>
      </c>
      <c r="F820" s="1">
        <v>34187</v>
      </c>
      <c r="G820" t="s">
        <v>2273</v>
      </c>
      <c r="H820" t="s">
        <v>121</v>
      </c>
      <c r="I820" t="s">
        <v>11</v>
      </c>
    </row>
    <row r="821" spans="1:9" x14ac:dyDescent="0.25">
      <c r="A821" s="95">
        <v>820</v>
      </c>
      <c r="B821" t="s">
        <v>1282</v>
      </c>
      <c r="C821" t="s">
        <v>2298</v>
      </c>
      <c r="D821" t="s">
        <v>1406</v>
      </c>
      <c r="F821" s="1">
        <v>31483</v>
      </c>
      <c r="G821" t="s">
        <v>2273</v>
      </c>
      <c r="H821" t="s">
        <v>121</v>
      </c>
      <c r="I821" t="s">
        <v>11</v>
      </c>
    </row>
    <row r="822" spans="1:9" x14ac:dyDescent="0.25">
      <c r="A822" s="95">
        <v>821</v>
      </c>
      <c r="B822" t="s">
        <v>1284</v>
      </c>
      <c r="C822" t="s">
        <v>1623</v>
      </c>
      <c r="D822" t="s">
        <v>1624</v>
      </c>
      <c r="F822" s="1">
        <v>33394</v>
      </c>
      <c r="G822" t="s">
        <v>2273</v>
      </c>
      <c r="H822" t="s">
        <v>121</v>
      </c>
      <c r="I822" t="s">
        <v>11</v>
      </c>
    </row>
    <row r="823" spans="1:9" x14ac:dyDescent="0.25">
      <c r="A823" s="95">
        <v>822</v>
      </c>
      <c r="B823" t="s">
        <v>997</v>
      </c>
      <c r="C823" t="s">
        <v>2299</v>
      </c>
      <c r="D823" t="s">
        <v>1408</v>
      </c>
      <c r="F823" s="1">
        <v>29653</v>
      </c>
      <c r="G823" t="s">
        <v>2273</v>
      </c>
      <c r="H823" t="s">
        <v>121</v>
      </c>
      <c r="I823" t="s">
        <v>11</v>
      </c>
    </row>
    <row r="824" spans="1:9" x14ac:dyDescent="0.25">
      <c r="A824" s="95">
        <v>823</v>
      </c>
      <c r="B824" t="s">
        <v>1289</v>
      </c>
      <c r="C824" t="s">
        <v>2300</v>
      </c>
      <c r="D824" t="s">
        <v>1426</v>
      </c>
      <c r="F824" s="1">
        <v>29887</v>
      </c>
      <c r="G824" t="s">
        <v>2273</v>
      </c>
      <c r="H824" t="s">
        <v>121</v>
      </c>
      <c r="I824" t="s">
        <v>11</v>
      </c>
    </row>
    <row r="825" spans="1:9" x14ac:dyDescent="0.25">
      <c r="A825" s="95">
        <v>824</v>
      </c>
      <c r="B825" t="s">
        <v>1292</v>
      </c>
      <c r="C825" t="s">
        <v>247</v>
      </c>
      <c r="D825" t="s">
        <v>2301</v>
      </c>
      <c r="F825" s="1">
        <v>27311</v>
      </c>
      <c r="G825" t="s">
        <v>2274</v>
      </c>
      <c r="H825" t="s">
        <v>121</v>
      </c>
      <c r="I825" t="s">
        <v>11</v>
      </c>
    </row>
    <row r="826" spans="1:9" x14ac:dyDescent="0.25">
      <c r="A826" s="95">
        <v>825</v>
      </c>
      <c r="B826" t="s">
        <v>1275</v>
      </c>
      <c r="C826" t="s">
        <v>2302</v>
      </c>
      <c r="D826" t="s">
        <v>2303</v>
      </c>
      <c r="F826" s="1">
        <v>35910</v>
      </c>
      <c r="G826" t="s">
        <v>2273</v>
      </c>
      <c r="H826" t="s">
        <v>121</v>
      </c>
      <c r="I826" t="s">
        <v>11</v>
      </c>
    </row>
    <row r="827" spans="1:9" x14ac:dyDescent="0.25">
      <c r="A827" s="95">
        <v>826</v>
      </c>
      <c r="B827" t="s">
        <v>1292</v>
      </c>
      <c r="C827" t="s">
        <v>247</v>
      </c>
      <c r="D827" t="s">
        <v>2301</v>
      </c>
      <c r="F827" s="1">
        <v>27311</v>
      </c>
      <c r="G827" t="s">
        <v>2274</v>
      </c>
      <c r="H827" t="s">
        <v>121</v>
      </c>
      <c r="I827" t="s">
        <v>11</v>
      </c>
    </row>
    <row r="828" spans="1:9" x14ac:dyDescent="0.25">
      <c r="A828" s="95">
        <v>827</v>
      </c>
      <c r="B828" t="s">
        <v>1289</v>
      </c>
      <c r="C828" t="s">
        <v>2248</v>
      </c>
      <c r="D828" t="s">
        <v>1291</v>
      </c>
      <c r="F828" s="1">
        <v>21419</v>
      </c>
      <c r="G828" t="s">
        <v>2273</v>
      </c>
      <c r="H828" t="s">
        <v>121</v>
      </c>
      <c r="I828" t="s">
        <v>11</v>
      </c>
    </row>
    <row r="829" spans="1:9" x14ac:dyDescent="0.25">
      <c r="A829" s="95">
        <v>828</v>
      </c>
      <c r="B829" t="s">
        <v>1269</v>
      </c>
      <c r="C829" t="s">
        <v>2304</v>
      </c>
      <c r="D829" t="s">
        <v>536</v>
      </c>
      <c r="F829" s="1">
        <v>30545</v>
      </c>
      <c r="G829" t="s">
        <v>2273</v>
      </c>
      <c r="H829" t="s">
        <v>121</v>
      </c>
      <c r="I829" t="s">
        <v>11</v>
      </c>
    </row>
    <row r="830" spans="1:9" x14ac:dyDescent="0.25">
      <c r="A830" s="95">
        <v>829</v>
      </c>
      <c r="B830" t="s">
        <v>90</v>
      </c>
      <c r="C830" t="s">
        <v>2305</v>
      </c>
      <c r="D830" t="s">
        <v>1307</v>
      </c>
      <c r="F830" s="1">
        <v>20777</v>
      </c>
      <c r="G830" t="s">
        <v>2273</v>
      </c>
      <c r="H830" t="s">
        <v>121</v>
      </c>
      <c r="I830" t="s">
        <v>11</v>
      </c>
    </row>
    <row r="831" spans="1:9" x14ac:dyDescent="0.25">
      <c r="A831" s="95">
        <v>830</v>
      </c>
      <c r="B831" t="s">
        <v>1309</v>
      </c>
      <c r="C831" t="s">
        <v>2306</v>
      </c>
      <c r="D831" t="s">
        <v>1278</v>
      </c>
      <c r="F831" s="1">
        <v>33914</v>
      </c>
      <c r="G831" t="s">
        <v>2273</v>
      </c>
      <c r="H831" t="s">
        <v>121</v>
      </c>
      <c r="I831" t="s">
        <v>11</v>
      </c>
    </row>
    <row r="832" spans="1:9" x14ac:dyDescent="0.25">
      <c r="A832" s="95">
        <v>831</v>
      </c>
      <c r="B832" t="s">
        <v>1311</v>
      </c>
      <c r="C832" t="s">
        <v>2307</v>
      </c>
      <c r="D832" t="s">
        <v>1511</v>
      </c>
      <c r="F832" s="1">
        <v>20257</v>
      </c>
      <c r="G832" t="s">
        <v>2273</v>
      </c>
      <c r="H832" t="s">
        <v>121</v>
      </c>
      <c r="I832" t="s">
        <v>11</v>
      </c>
    </row>
    <row r="833" spans="1:9" x14ac:dyDescent="0.25">
      <c r="A833" s="95">
        <v>832</v>
      </c>
      <c r="B833" t="s">
        <v>1292</v>
      </c>
      <c r="C833" t="s">
        <v>2308</v>
      </c>
      <c r="D833" t="s">
        <v>2309</v>
      </c>
      <c r="F833" s="1">
        <v>27279</v>
      </c>
      <c r="G833" t="s">
        <v>2274</v>
      </c>
      <c r="H833" t="s">
        <v>121</v>
      </c>
      <c r="I833" t="s">
        <v>11</v>
      </c>
    </row>
    <row r="834" spans="1:9" x14ac:dyDescent="0.25">
      <c r="A834" s="95">
        <v>833</v>
      </c>
      <c r="B834" t="s">
        <v>1299</v>
      </c>
      <c r="C834" t="s">
        <v>2310</v>
      </c>
      <c r="D834" t="s">
        <v>621</v>
      </c>
      <c r="F834" s="1">
        <v>30477</v>
      </c>
      <c r="G834" t="s">
        <v>2274</v>
      </c>
      <c r="H834" t="s">
        <v>121</v>
      </c>
      <c r="I834" t="s">
        <v>11</v>
      </c>
    </row>
    <row r="835" spans="1:9" x14ac:dyDescent="0.25">
      <c r="A835" s="95">
        <v>834</v>
      </c>
      <c r="B835" t="s">
        <v>38</v>
      </c>
      <c r="C835" t="s">
        <v>2311</v>
      </c>
      <c r="D835" t="s">
        <v>997</v>
      </c>
      <c r="F835" s="1">
        <v>30635</v>
      </c>
      <c r="G835" t="s">
        <v>2273</v>
      </c>
      <c r="H835" t="s">
        <v>121</v>
      </c>
      <c r="I835" t="s">
        <v>11</v>
      </c>
    </row>
    <row r="836" spans="1:9" x14ac:dyDescent="0.25">
      <c r="A836" s="95">
        <v>835</v>
      </c>
      <c r="B836" t="s">
        <v>839</v>
      </c>
      <c r="C836" t="s">
        <v>2312</v>
      </c>
      <c r="D836" t="s">
        <v>1269</v>
      </c>
      <c r="F836" s="1">
        <v>32277</v>
      </c>
      <c r="G836" t="s">
        <v>2273</v>
      </c>
      <c r="H836" t="s">
        <v>121</v>
      </c>
      <c r="I836" t="s">
        <v>11</v>
      </c>
    </row>
    <row r="837" spans="1:9" x14ac:dyDescent="0.25">
      <c r="A837" s="95">
        <v>836</v>
      </c>
      <c r="B837" t="s">
        <v>997</v>
      </c>
      <c r="C837" t="s">
        <v>2313</v>
      </c>
      <c r="D837" t="s">
        <v>1269</v>
      </c>
      <c r="F837" s="1">
        <v>23072</v>
      </c>
      <c r="G837" t="s">
        <v>2273</v>
      </c>
      <c r="H837" t="s">
        <v>121</v>
      </c>
      <c r="I837" t="s">
        <v>11</v>
      </c>
    </row>
    <row r="838" spans="1:9" x14ac:dyDescent="0.25">
      <c r="A838" s="95">
        <v>837</v>
      </c>
      <c r="B838" t="s">
        <v>1326</v>
      </c>
      <c r="C838" t="s">
        <v>2314</v>
      </c>
      <c r="F838" s="1">
        <v>25080</v>
      </c>
      <c r="G838" t="s">
        <v>2273</v>
      </c>
      <c r="H838" t="s">
        <v>121</v>
      </c>
      <c r="I838" t="s">
        <v>11</v>
      </c>
    </row>
    <row r="839" spans="1:9" x14ac:dyDescent="0.25">
      <c r="A839" s="95">
        <v>838</v>
      </c>
      <c r="B839" t="s">
        <v>1292</v>
      </c>
      <c r="C839" t="s">
        <v>2315</v>
      </c>
      <c r="D839" t="s">
        <v>2316</v>
      </c>
      <c r="F839" s="1">
        <v>28253</v>
      </c>
      <c r="G839" t="s">
        <v>2274</v>
      </c>
      <c r="H839" t="s">
        <v>121</v>
      </c>
      <c r="I839" t="s">
        <v>11</v>
      </c>
    </row>
    <row r="840" spans="1:9" x14ac:dyDescent="0.25">
      <c r="A840" s="95">
        <v>839</v>
      </c>
      <c r="B840" t="s">
        <v>1320</v>
      </c>
      <c r="C840" t="s">
        <v>2317</v>
      </c>
      <c r="D840" t="s">
        <v>1322</v>
      </c>
      <c r="F840" s="1">
        <v>29761</v>
      </c>
      <c r="G840" t="s">
        <v>2273</v>
      </c>
      <c r="H840" t="s">
        <v>121</v>
      </c>
      <c r="I840" t="s">
        <v>11</v>
      </c>
    </row>
    <row r="841" spans="1:9" x14ac:dyDescent="0.25">
      <c r="A841" s="95">
        <v>840</v>
      </c>
      <c r="B841" t="s">
        <v>78</v>
      </c>
      <c r="C841" t="s">
        <v>2318</v>
      </c>
      <c r="D841" t="s">
        <v>2319</v>
      </c>
      <c r="F841" s="1">
        <v>29072</v>
      </c>
      <c r="G841" t="s">
        <v>2274</v>
      </c>
      <c r="H841" t="s">
        <v>121</v>
      </c>
      <c r="I841" t="s">
        <v>11</v>
      </c>
    </row>
    <row r="842" spans="1:9" x14ac:dyDescent="0.25">
      <c r="A842" s="95">
        <v>841</v>
      </c>
      <c r="B842" t="s">
        <v>1333</v>
      </c>
      <c r="C842" t="s">
        <v>258</v>
      </c>
      <c r="D842" t="s">
        <v>1428</v>
      </c>
      <c r="F842" s="1">
        <v>26196</v>
      </c>
      <c r="G842" t="s">
        <v>2273</v>
      </c>
      <c r="H842" t="s">
        <v>121</v>
      </c>
      <c r="I842" t="s">
        <v>11</v>
      </c>
    </row>
    <row r="843" spans="1:9" x14ac:dyDescent="0.25">
      <c r="A843" s="95">
        <v>842</v>
      </c>
      <c r="B843" t="s">
        <v>196</v>
      </c>
      <c r="C843" t="s">
        <v>2320</v>
      </c>
      <c r="D843" t="s">
        <v>41</v>
      </c>
      <c r="F843" s="1">
        <v>25373</v>
      </c>
      <c r="G843" t="s">
        <v>2273</v>
      </c>
      <c r="H843" t="s">
        <v>121</v>
      </c>
      <c r="I843" t="s">
        <v>11</v>
      </c>
    </row>
    <row r="844" spans="1:9" x14ac:dyDescent="0.25">
      <c r="A844" s="95">
        <v>843</v>
      </c>
      <c r="B844" t="s">
        <v>38</v>
      </c>
      <c r="C844" t="s">
        <v>2311</v>
      </c>
      <c r="D844" t="s">
        <v>997</v>
      </c>
      <c r="F844" s="1">
        <v>31731</v>
      </c>
      <c r="G844" t="s">
        <v>2273</v>
      </c>
      <c r="H844" t="s">
        <v>121</v>
      </c>
      <c r="I844" t="s">
        <v>11</v>
      </c>
    </row>
    <row r="845" spans="1:9" x14ac:dyDescent="0.25">
      <c r="A845" s="95">
        <v>844</v>
      </c>
      <c r="B845" t="s">
        <v>816</v>
      </c>
      <c r="C845" t="s">
        <v>1438</v>
      </c>
      <c r="D845" t="s">
        <v>1278</v>
      </c>
      <c r="F845" s="1">
        <v>25363</v>
      </c>
      <c r="G845" t="s">
        <v>2273</v>
      </c>
      <c r="H845" t="s">
        <v>121</v>
      </c>
      <c r="I845" t="s">
        <v>11</v>
      </c>
    </row>
    <row r="846" spans="1:9" x14ac:dyDescent="0.25">
      <c r="A846" s="95">
        <v>845</v>
      </c>
      <c r="B846" t="s">
        <v>1292</v>
      </c>
      <c r="C846" t="s">
        <v>2308</v>
      </c>
      <c r="D846" t="s">
        <v>2309</v>
      </c>
      <c r="F846" s="1">
        <v>27279</v>
      </c>
      <c r="G846" t="s">
        <v>2274</v>
      </c>
      <c r="H846" t="s">
        <v>121</v>
      </c>
      <c r="I846" t="s">
        <v>11</v>
      </c>
    </row>
    <row r="847" spans="1:9" x14ac:dyDescent="0.25">
      <c r="A847" s="95">
        <v>846</v>
      </c>
      <c r="B847" t="s">
        <v>1320</v>
      </c>
      <c r="C847" t="s">
        <v>2317</v>
      </c>
      <c r="D847" t="s">
        <v>1322</v>
      </c>
      <c r="F847" s="1">
        <v>29761</v>
      </c>
      <c r="G847" t="s">
        <v>2273</v>
      </c>
      <c r="H847" t="s">
        <v>121</v>
      </c>
      <c r="I847" t="s">
        <v>11</v>
      </c>
    </row>
    <row r="848" spans="1:9" x14ac:dyDescent="0.25">
      <c r="A848" s="95">
        <v>847</v>
      </c>
      <c r="B848" t="s">
        <v>90</v>
      </c>
      <c r="C848" t="s">
        <v>2321</v>
      </c>
      <c r="D848" t="s">
        <v>1307</v>
      </c>
      <c r="F848" s="1">
        <v>35316</v>
      </c>
      <c r="G848" t="s">
        <v>2273</v>
      </c>
      <c r="H848" t="s">
        <v>121</v>
      </c>
      <c r="I848" t="s">
        <v>11</v>
      </c>
    </row>
    <row r="849" spans="1:9" x14ac:dyDescent="0.25">
      <c r="A849" s="95">
        <v>848</v>
      </c>
      <c r="B849" t="s">
        <v>997</v>
      </c>
      <c r="C849" t="s">
        <v>2313</v>
      </c>
      <c r="D849" t="s">
        <v>1269</v>
      </c>
      <c r="F849" s="1">
        <v>23072</v>
      </c>
      <c r="G849" t="s">
        <v>2273</v>
      </c>
      <c r="H849" t="s">
        <v>121</v>
      </c>
      <c r="I849" t="s">
        <v>11</v>
      </c>
    </row>
    <row r="850" spans="1:9" x14ac:dyDescent="0.25">
      <c r="A850" s="95">
        <v>849</v>
      </c>
      <c r="B850" t="s">
        <v>81</v>
      </c>
      <c r="C850" t="s">
        <v>2322</v>
      </c>
      <c r="D850" t="s">
        <v>1279</v>
      </c>
      <c r="F850" s="1">
        <v>29246</v>
      </c>
      <c r="G850" t="s">
        <v>2274</v>
      </c>
      <c r="H850" t="s">
        <v>121</v>
      </c>
      <c r="I850" t="s">
        <v>11</v>
      </c>
    </row>
    <row r="851" spans="1:9" x14ac:dyDescent="0.25">
      <c r="A851" s="95">
        <v>850</v>
      </c>
      <c r="B851" t="s">
        <v>38</v>
      </c>
      <c r="C851" t="s">
        <v>2323</v>
      </c>
      <c r="D851" t="s">
        <v>1352</v>
      </c>
      <c r="F851" s="1">
        <v>23360</v>
      </c>
      <c r="G851" t="s">
        <v>2274</v>
      </c>
      <c r="H851" t="s">
        <v>121</v>
      </c>
      <c r="I851" t="s">
        <v>11</v>
      </c>
    </row>
    <row r="852" spans="1:9" x14ac:dyDescent="0.25">
      <c r="A852" s="95">
        <v>851</v>
      </c>
      <c r="B852" t="s">
        <v>1347</v>
      </c>
      <c r="C852" t="s">
        <v>2324</v>
      </c>
      <c r="D852" t="s">
        <v>38</v>
      </c>
      <c r="F852" s="1">
        <v>31250</v>
      </c>
      <c r="G852" t="s">
        <v>2273</v>
      </c>
      <c r="H852" t="s">
        <v>121</v>
      </c>
      <c r="I852" t="s">
        <v>11</v>
      </c>
    </row>
    <row r="853" spans="1:9" x14ac:dyDescent="0.25">
      <c r="A853" s="95">
        <v>852</v>
      </c>
      <c r="B853" t="s">
        <v>1350</v>
      </c>
      <c r="C853" t="s">
        <v>47</v>
      </c>
      <c r="D853" t="s">
        <v>2325</v>
      </c>
      <c r="F853" s="1">
        <v>27652</v>
      </c>
      <c r="G853" t="s">
        <v>2274</v>
      </c>
      <c r="H853" t="s">
        <v>121</v>
      </c>
      <c r="I853" t="s">
        <v>11</v>
      </c>
    </row>
    <row r="854" spans="1:9" x14ac:dyDescent="0.25">
      <c r="A854" s="95">
        <v>853</v>
      </c>
      <c r="B854" t="s">
        <v>2326</v>
      </c>
      <c r="C854" t="s">
        <v>1678</v>
      </c>
      <c r="D854" t="s">
        <v>2327</v>
      </c>
      <c r="F854" s="1">
        <v>23978</v>
      </c>
      <c r="G854" t="s">
        <v>2274</v>
      </c>
      <c r="H854" t="s">
        <v>121</v>
      </c>
      <c r="I854" t="s">
        <v>11</v>
      </c>
    </row>
    <row r="855" spans="1:9" x14ac:dyDescent="0.25">
      <c r="A855" s="95">
        <v>854</v>
      </c>
      <c r="B855" t="s">
        <v>621</v>
      </c>
      <c r="C855" t="s">
        <v>2328</v>
      </c>
      <c r="D855" t="s">
        <v>2329</v>
      </c>
      <c r="F855" s="1">
        <v>29659</v>
      </c>
      <c r="G855" t="s">
        <v>2274</v>
      </c>
      <c r="H855" t="s">
        <v>121</v>
      </c>
      <c r="I855" t="s">
        <v>11</v>
      </c>
    </row>
    <row r="856" spans="1:9" x14ac:dyDescent="0.25">
      <c r="A856" s="95">
        <v>855</v>
      </c>
      <c r="B856" t="s">
        <v>2330</v>
      </c>
      <c r="C856" t="s">
        <v>2331</v>
      </c>
      <c r="D856" t="s">
        <v>27</v>
      </c>
      <c r="F856" s="1">
        <v>35601</v>
      </c>
      <c r="G856" t="s">
        <v>2274</v>
      </c>
      <c r="H856" t="s">
        <v>121</v>
      </c>
      <c r="I856" t="s">
        <v>11</v>
      </c>
    </row>
    <row r="857" spans="1:9" x14ac:dyDescent="0.25">
      <c r="A857" s="95">
        <v>856</v>
      </c>
      <c r="B857" t="s">
        <v>1352</v>
      </c>
      <c r="C857" t="s">
        <v>338</v>
      </c>
      <c r="D857" t="s">
        <v>2332</v>
      </c>
      <c r="F857" s="1">
        <v>26013</v>
      </c>
      <c r="G857" t="s">
        <v>2274</v>
      </c>
      <c r="H857" t="s">
        <v>121</v>
      </c>
      <c r="I857" t="s">
        <v>11</v>
      </c>
    </row>
    <row r="858" spans="1:9" x14ac:dyDescent="0.25">
      <c r="A858" s="95">
        <v>857</v>
      </c>
      <c r="B858" t="s">
        <v>1292</v>
      </c>
      <c r="C858" t="s">
        <v>210</v>
      </c>
      <c r="D858" t="s">
        <v>419</v>
      </c>
      <c r="F858" s="1">
        <v>28883</v>
      </c>
      <c r="G858" t="s">
        <v>2274</v>
      </c>
      <c r="H858" t="s">
        <v>121</v>
      </c>
      <c r="I858" t="s">
        <v>11</v>
      </c>
    </row>
    <row r="859" spans="1:9" x14ac:dyDescent="0.25">
      <c r="A859" s="95">
        <v>858</v>
      </c>
      <c r="B859" t="s">
        <v>2333</v>
      </c>
      <c r="C859" t="s">
        <v>2334</v>
      </c>
      <c r="D859" t="s">
        <v>27</v>
      </c>
      <c r="F859" s="1">
        <v>23708</v>
      </c>
      <c r="G859" t="s">
        <v>2274</v>
      </c>
      <c r="H859" t="s">
        <v>121</v>
      </c>
      <c r="I859" t="s">
        <v>11</v>
      </c>
    </row>
    <row r="860" spans="1:9" x14ac:dyDescent="0.25">
      <c r="A860" s="95">
        <v>859</v>
      </c>
      <c r="B860" t="s">
        <v>1362</v>
      </c>
      <c r="C860" t="s">
        <v>910</v>
      </c>
      <c r="D860" t="s">
        <v>2335</v>
      </c>
      <c r="F860" s="1">
        <v>31367</v>
      </c>
      <c r="G860" t="s">
        <v>2274</v>
      </c>
      <c r="H860" t="s">
        <v>121</v>
      </c>
      <c r="I860" t="s">
        <v>11</v>
      </c>
    </row>
    <row r="861" spans="1:9" x14ac:dyDescent="0.25">
      <c r="A861" s="95">
        <v>860</v>
      </c>
      <c r="B861" t="s">
        <v>2336</v>
      </c>
      <c r="C861" t="s">
        <v>2337</v>
      </c>
      <c r="D861" t="s">
        <v>27</v>
      </c>
      <c r="F861" s="1">
        <v>39230</v>
      </c>
      <c r="G861" t="s">
        <v>2274</v>
      </c>
      <c r="H861" t="s">
        <v>121</v>
      </c>
      <c r="I861" t="s">
        <v>11</v>
      </c>
    </row>
    <row r="862" spans="1:9" x14ac:dyDescent="0.25">
      <c r="A862" s="95">
        <v>861</v>
      </c>
      <c r="B862" t="s">
        <v>343</v>
      </c>
      <c r="C862" t="s">
        <v>2009</v>
      </c>
      <c r="D862" t="s">
        <v>27</v>
      </c>
      <c r="F862" s="1">
        <v>33004</v>
      </c>
      <c r="G862" t="s">
        <v>2274</v>
      </c>
      <c r="H862" t="s">
        <v>121</v>
      </c>
      <c r="I862" t="s">
        <v>11</v>
      </c>
    </row>
    <row r="863" spans="1:9" x14ac:dyDescent="0.25">
      <c r="A863" s="95">
        <v>862</v>
      </c>
      <c r="B863" t="s">
        <v>2338</v>
      </c>
      <c r="C863" t="s">
        <v>2339</v>
      </c>
      <c r="D863" t="s">
        <v>27</v>
      </c>
      <c r="F863" s="1">
        <v>34534</v>
      </c>
      <c r="G863" t="s">
        <v>2274</v>
      </c>
      <c r="H863" t="s">
        <v>121</v>
      </c>
      <c r="I863" t="s">
        <v>11</v>
      </c>
    </row>
    <row r="864" spans="1:9" x14ac:dyDescent="0.25">
      <c r="A864" s="95">
        <v>863</v>
      </c>
      <c r="B864" t="s">
        <v>1371</v>
      </c>
      <c r="C864" t="s">
        <v>2340</v>
      </c>
      <c r="D864" t="s">
        <v>27</v>
      </c>
      <c r="F864" s="1">
        <v>21138</v>
      </c>
      <c r="G864" t="s">
        <v>2274</v>
      </c>
      <c r="H864" t="s">
        <v>121</v>
      </c>
      <c r="I864" t="s">
        <v>11</v>
      </c>
    </row>
    <row r="865" spans="1:9" x14ac:dyDescent="0.25">
      <c r="A865" s="95">
        <v>864</v>
      </c>
      <c r="B865" t="s">
        <v>1374</v>
      </c>
      <c r="C865" t="s">
        <v>999</v>
      </c>
      <c r="D865" t="s">
        <v>27</v>
      </c>
      <c r="F865" s="1">
        <v>24024</v>
      </c>
      <c r="G865" t="s">
        <v>2274</v>
      </c>
      <c r="H865" t="s">
        <v>121</v>
      </c>
      <c r="I865" t="s">
        <v>11</v>
      </c>
    </row>
    <row r="866" spans="1:9" x14ac:dyDescent="0.25">
      <c r="A866" s="95">
        <v>865</v>
      </c>
      <c r="B866" t="s">
        <v>38</v>
      </c>
      <c r="C866" t="s">
        <v>2341</v>
      </c>
      <c r="D866" t="s">
        <v>426</v>
      </c>
      <c r="F866" s="1">
        <v>34722</v>
      </c>
      <c r="G866" t="s">
        <v>2274</v>
      </c>
      <c r="H866" t="s">
        <v>121</v>
      </c>
      <c r="I866" t="s">
        <v>11</v>
      </c>
    </row>
    <row r="867" spans="1:9" x14ac:dyDescent="0.25">
      <c r="A867" s="95">
        <v>866</v>
      </c>
      <c r="B867" t="s">
        <v>289</v>
      </c>
      <c r="C867" t="s">
        <v>2241</v>
      </c>
      <c r="D867" t="s">
        <v>1971</v>
      </c>
      <c r="F867" s="1">
        <v>32075</v>
      </c>
      <c r="G867" t="s">
        <v>2274</v>
      </c>
      <c r="H867" t="s">
        <v>121</v>
      </c>
      <c r="I867" t="s">
        <v>11</v>
      </c>
    </row>
    <row r="868" spans="1:9" x14ac:dyDescent="0.25">
      <c r="A868" s="95">
        <v>867</v>
      </c>
      <c r="B868" t="s">
        <v>1380</v>
      </c>
      <c r="C868" t="s">
        <v>2342</v>
      </c>
      <c r="D868" t="s">
        <v>1368</v>
      </c>
      <c r="F868" s="1">
        <v>27316</v>
      </c>
      <c r="G868" t="s">
        <v>2274</v>
      </c>
      <c r="H868" t="s">
        <v>121</v>
      </c>
      <c r="I868" t="s">
        <v>11</v>
      </c>
    </row>
    <row r="869" spans="1:9" x14ac:dyDescent="0.25">
      <c r="A869" s="95">
        <v>868</v>
      </c>
      <c r="B869" t="s">
        <v>1294</v>
      </c>
      <c r="C869" t="s">
        <v>2343</v>
      </c>
      <c r="D869" t="s">
        <v>426</v>
      </c>
      <c r="F869" s="1">
        <v>22986</v>
      </c>
      <c r="G869" t="s">
        <v>2274</v>
      </c>
      <c r="H869" t="s">
        <v>121</v>
      </c>
      <c r="I869" t="s">
        <v>11</v>
      </c>
    </row>
    <row r="870" spans="1:9" x14ac:dyDescent="0.25">
      <c r="A870" s="95">
        <v>869</v>
      </c>
      <c r="B870" t="s">
        <v>1294</v>
      </c>
      <c r="C870" t="s">
        <v>2344</v>
      </c>
      <c r="D870" t="s">
        <v>2266</v>
      </c>
      <c r="F870" s="1">
        <v>22168</v>
      </c>
      <c r="G870" t="s">
        <v>2274</v>
      </c>
      <c r="H870" t="s">
        <v>121</v>
      </c>
      <c r="I870" t="s">
        <v>11</v>
      </c>
    </row>
    <row r="871" spans="1:9" x14ac:dyDescent="0.25">
      <c r="A871" s="95">
        <v>870</v>
      </c>
      <c r="B871" t="s">
        <v>1385</v>
      </c>
      <c r="C871" t="s">
        <v>254</v>
      </c>
      <c r="D871" t="s">
        <v>1350</v>
      </c>
      <c r="F871" s="1">
        <v>22207</v>
      </c>
      <c r="G871" t="s">
        <v>2274</v>
      </c>
      <c r="H871" t="s">
        <v>121</v>
      </c>
      <c r="I871" t="s">
        <v>11</v>
      </c>
    </row>
    <row r="872" spans="1:9" x14ac:dyDescent="0.25">
      <c r="A872" s="95">
        <v>871</v>
      </c>
      <c r="B872" t="s">
        <v>1292</v>
      </c>
      <c r="C872" t="s">
        <v>247</v>
      </c>
      <c r="D872" t="s">
        <v>2301</v>
      </c>
      <c r="F872" s="1">
        <v>27311</v>
      </c>
      <c r="G872" t="s">
        <v>2274</v>
      </c>
      <c r="H872" t="s">
        <v>121</v>
      </c>
      <c r="I872" t="s">
        <v>11</v>
      </c>
    </row>
    <row r="873" spans="1:9" x14ac:dyDescent="0.25">
      <c r="A873" s="95">
        <v>872</v>
      </c>
      <c r="B873" t="s">
        <v>738</v>
      </c>
      <c r="C873" t="s">
        <v>2345</v>
      </c>
      <c r="D873" t="s">
        <v>2346</v>
      </c>
      <c r="F873" s="1">
        <v>34189</v>
      </c>
      <c r="G873" t="s">
        <v>2274</v>
      </c>
      <c r="H873" t="s">
        <v>121</v>
      </c>
      <c r="I873" t="s">
        <v>11</v>
      </c>
    </row>
    <row r="874" spans="1:9" x14ac:dyDescent="0.25">
      <c r="A874" s="95">
        <v>873</v>
      </c>
      <c r="B874" t="s">
        <v>1964</v>
      </c>
      <c r="C874" t="s">
        <v>1396</v>
      </c>
      <c r="D874" t="s">
        <v>2347</v>
      </c>
      <c r="F874" s="1">
        <v>32067</v>
      </c>
      <c r="G874" t="s">
        <v>2273</v>
      </c>
      <c r="H874" t="s">
        <v>121</v>
      </c>
      <c r="I874" t="s">
        <v>11</v>
      </c>
    </row>
    <row r="875" spans="1:9" x14ac:dyDescent="0.25">
      <c r="A875" s="95">
        <v>874</v>
      </c>
      <c r="B875" t="s">
        <v>2348</v>
      </c>
      <c r="C875" t="s">
        <v>1269</v>
      </c>
      <c r="D875" t="s">
        <v>108</v>
      </c>
      <c r="F875" s="1">
        <v>27763</v>
      </c>
      <c r="G875" t="s">
        <v>2273</v>
      </c>
      <c r="H875" t="s">
        <v>121</v>
      </c>
      <c r="I875" t="s">
        <v>11</v>
      </c>
    </row>
    <row r="876" spans="1:9" x14ac:dyDescent="0.25">
      <c r="A876" s="95">
        <v>875</v>
      </c>
      <c r="B876" t="s">
        <v>782</v>
      </c>
      <c r="C876" t="s">
        <v>2349</v>
      </c>
      <c r="D876" t="s">
        <v>2347</v>
      </c>
      <c r="F876" s="1">
        <v>28713</v>
      </c>
      <c r="G876" t="s">
        <v>2273</v>
      </c>
      <c r="H876" t="s">
        <v>121</v>
      </c>
      <c r="I876" t="s">
        <v>11</v>
      </c>
    </row>
    <row r="877" spans="1:9" x14ac:dyDescent="0.25">
      <c r="A877" s="95">
        <v>876</v>
      </c>
      <c r="B877" t="s">
        <v>1269</v>
      </c>
      <c r="C877" t="s">
        <v>2350</v>
      </c>
      <c r="D877" t="s">
        <v>2351</v>
      </c>
      <c r="F877" s="1">
        <v>28076</v>
      </c>
      <c r="G877" t="s">
        <v>2273</v>
      </c>
      <c r="H877" t="s">
        <v>121</v>
      </c>
      <c r="I877" t="s">
        <v>11</v>
      </c>
    </row>
    <row r="878" spans="1:9" x14ac:dyDescent="0.25">
      <c r="A878" s="95">
        <v>877</v>
      </c>
      <c r="B878" t="s">
        <v>997</v>
      </c>
      <c r="C878" t="s">
        <v>2352</v>
      </c>
      <c r="D878" t="s">
        <v>2353</v>
      </c>
      <c r="F878" s="1">
        <v>32004</v>
      </c>
      <c r="G878" t="s">
        <v>2273</v>
      </c>
      <c r="H878" t="s">
        <v>121</v>
      </c>
      <c r="I878" t="s">
        <v>11</v>
      </c>
    </row>
    <row r="879" spans="1:9" x14ac:dyDescent="0.25">
      <c r="A879" s="95">
        <v>878</v>
      </c>
      <c r="B879" t="s">
        <v>1352</v>
      </c>
      <c r="C879" t="s">
        <v>2354</v>
      </c>
      <c r="D879" t="s">
        <v>27</v>
      </c>
      <c r="F879" s="1">
        <v>22843</v>
      </c>
      <c r="G879" t="s">
        <v>2274</v>
      </c>
      <c r="H879" t="s">
        <v>121</v>
      </c>
      <c r="I879" t="s">
        <v>11</v>
      </c>
    </row>
    <row r="880" spans="1:9" x14ac:dyDescent="0.25">
      <c r="A880" s="95">
        <v>879</v>
      </c>
      <c r="B880" t="s">
        <v>1276</v>
      </c>
      <c r="C880" t="s">
        <v>2355</v>
      </c>
      <c r="D880" t="s">
        <v>997</v>
      </c>
      <c r="F880" s="1">
        <v>23412</v>
      </c>
      <c r="G880" t="s">
        <v>2273</v>
      </c>
      <c r="H880" t="s">
        <v>121</v>
      </c>
      <c r="I880" t="s">
        <v>11</v>
      </c>
    </row>
    <row r="881" spans="1:9" x14ac:dyDescent="0.25">
      <c r="A881" s="95">
        <v>880</v>
      </c>
      <c r="B881" t="s">
        <v>1352</v>
      </c>
      <c r="C881" t="s">
        <v>2306</v>
      </c>
      <c r="D881" t="s">
        <v>27</v>
      </c>
      <c r="F881" s="1">
        <v>36086</v>
      </c>
      <c r="G881" t="s">
        <v>2274</v>
      </c>
      <c r="H881" t="s">
        <v>121</v>
      </c>
      <c r="I881" t="s">
        <v>11</v>
      </c>
    </row>
    <row r="882" spans="1:9" x14ac:dyDescent="0.25">
      <c r="A882" s="95">
        <v>881</v>
      </c>
      <c r="B882" t="s">
        <v>1281</v>
      </c>
      <c r="C882" t="s">
        <v>2356</v>
      </c>
      <c r="D882" t="s">
        <v>1294</v>
      </c>
      <c r="F882" s="1">
        <v>22230</v>
      </c>
      <c r="G882" t="s">
        <v>2273</v>
      </c>
      <c r="H882" t="s">
        <v>121</v>
      </c>
      <c r="I882" t="s">
        <v>11</v>
      </c>
    </row>
    <row r="883" spans="1:9" x14ac:dyDescent="0.25">
      <c r="A883" s="95">
        <v>882</v>
      </c>
      <c r="B883" t="s">
        <v>443</v>
      </c>
      <c r="C883" t="s">
        <v>2357</v>
      </c>
      <c r="D883" t="s">
        <v>1415</v>
      </c>
      <c r="F883" s="1">
        <v>23282</v>
      </c>
      <c r="G883" t="s">
        <v>2273</v>
      </c>
      <c r="H883" t="s">
        <v>121</v>
      </c>
      <c r="I883" t="s">
        <v>11</v>
      </c>
    </row>
    <row r="884" spans="1:9" x14ac:dyDescent="0.25">
      <c r="A884" s="95">
        <v>883</v>
      </c>
      <c r="B884" t="s">
        <v>1350</v>
      </c>
      <c r="C884" t="s">
        <v>2358</v>
      </c>
      <c r="D884" t="s">
        <v>2008</v>
      </c>
      <c r="F884" s="1">
        <v>28806</v>
      </c>
      <c r="G884" t="s">
        <v>2274</v>
      </c>
      <c r="H884" t="s">
        <v>121</v>
      </c>
      <c r="I884" t="s">
        <v>11</v>
      </c>
    </row>
    <row r="885" spans="1:9" x14ac:dyDescent="0.25">
      <c r="A885" s="95">
        <v>884</v>
      </c>
      <c r="B885" t="s">
        <v>1350</v>
      </c>
      <c r="C885" t="s">
        <v>1677</v>
      </c>
      <c r="D885" t="s">
        <v>2359</v>
      </c>
      <c r="F885" s="1">
        <v>24883</v>
      </c>
      <c r="G885" t="s">
        <v>2274</v>
      </c>
      <c r="H885" t="s">
        <v>121</v>
      </c>
      <c r="I885" t="s">
        <v>11</v>
      </c>
    </row>
    <row r="886" spans="1:9" x14ac:dyDescent="0.25">
      <c r="A886" s="95">
        <v>885</v>
      </c>
      <c r="B886" t="s">
        <v>1428</v>
      </c>
      <c r="C886" t="s">
        <v>566</v>
      </c>
      <c r="D886" t="s">
        <v>2360</v>
      </c>
      <c r="F886" s="1">
        <v>25755</v>
      </c>
      <c r="G886" t="s">
        <v>2273</v>
      </c>
      <c r="H886" t="s">
        <v>121</v>
      </c>
      <c r="I886" t="s">
        <v>11</v>
      </c>
    </row>
    <row r="887" spans="1:9" x14ac:dyDescent="0.25">
      <c r="A887" s="95">
        <v>886</v>
      </c>
      <c r="B887" t="s">
        <v>997</v>
      </c>
      <c r="C887" t="s">
        <v>2361</v>
      </c>
      <c r="D887" t="s">
        <v>450</v>
      </c>
      <c r="F887" s="1">
        <v>23585</v>
      </c>
      <c r="G887" t="s">
        <v>2273</v>
      </c>
      <c r="H887" t="s">
        <v>121</v>
      </c>
      <c r="I887" t="s">
        <v>11</v>
      </c>
    </row>
    <row r="888" spans="1:9" x14ac:dyDescent="0.25">
      <c r="A888" s="95">
        <v>887</v>
      </c>
      <c r="B888" t="s">
        <v>1433</v>
      </c>
      <c r="C888" t="s">
        <v>1553</v>
      </c>
      <c r="D888" t="s">
        <v>112</v>
      </c>
      <c r="F888" s="1">
        <v>31072</v>
      </c>
      <c r="G888" t="s">
        <v>2273</v>
      </c>
      <c r="H888" t="s">
        <v>121</v>
      </c>
      <c r="I888" t="s">
        <v>11</v>
      </c>
    </row>
    <row r="889" spans="1:9" x14ac:dyDescent="0.25">
      <c r="A889" s="95">
        <v>888</v>
      </c>
      <c r="B889" t="s">
        <v>1436</v>
      </c>
      <c r="C889" t="s">
        <v>247</v>
      </c>
      <c r="D889" t="s">
        <v>997</v>
      </c>
      <c r="F889" s="1">
        <v>24246</v>
      </c>
      <c r="G889" t="s">
        <v>2273</v>
      </c>
      <c r="H889" t="s">
        <v>121</v>
      </c>
      <c r="I889" t="s">
        <v>11</v>
      </c>
    </row>
    <row r="890" spans="1:9" x14ac:dyDescent="0.25">
      <c r="A890" s="95">
        <v>889</v>
      </c>
      <c r="B890" t="s">
        <v>816</v>
      </c>
      <c r="C890" t="s">
        <v>1337</v>
      </c>
      <c r="D890" t="s">
        <v>174</v>
      </c>
      <c r="F890" s="1">
        <v>27893</v>
      </c>
      <c r="G890" t="s">
        <v>2273</v>
      </c>
      <c r="H890" t="s">
        <v>121</v>
      </c>
      <c r="I890" t="s">
        <v>11</v>
      </c>
    </row>
    <row r="891" spans="1:9" x14ac:dyDescent="0.25">
      <c r="A891" s="95">
        <v>890</v>
      </c>
      <c r="B891" t="s">
        <v>1439</v>
      </c>
      <c r="C891" t="s">
        <v>2362</v>
      </c>
      <c r="D891" t="s">
        <v>2363</v>
      </c>
      <c r="F891" s="1">
        <v>25693</v>
      </c>
      <c r="G891" t="s">
        <v>2273</v>
      </c>
      <c r="H891" t="s">
        <v>121</v>
      </c>
      <c r="I891" t="s">
        <v>11</v>
      </c>
    </row>
    <row r="892" spans="1:9" x14ac:dyDescent="0.25">
      <c r="A892" s="95">
        <v>891</v>
      </c>
      <c r="B892" t="s">
        <v>1289</v>
      </c>
      <c r="C892" t="s">
        <v>2364</v>
      </c>
      <c r="D892" t="s">
        <v>2353</v>
      </c>
      <c r="F892" s="1">
        <v>30079</v>
      </c>
      <c r="G892" t="s">
        <v>2273</v>
      </c>
      <c r="H892" t="s">
        <v>121</v>
      </c>
      <c r="I892" t="s">
        <v>11</v>
      </c>
    </row>
    <row r="893" spans="1:9" x14ac:dyDescent="0.25">
      <c r="A893" s="95">
        <v>892</v>
      </c>
      <c r="B893" t="s">
        <v>1447</v>
      </c>
      <c r="C893" t="s">
        <v>2052</v>
      </c>
      <c r="D893" t="s">
        <v>1706</v>
      </c>
      <c r="F893" s="1">
        <v>28758</v>
      </c>
      <c r="G893" t="s">
        <v>2273</v>
      </c>
      <c r="H893" t="s">
        <v>121</v>
      </c>
      <c r="I893" t="s">
        <v>11</v>
      </c>
    </row>
    <row r="894" spans="1:9" x14ac:dyDescent="0.25">
      <c r="A894" s="95">
        <v>893</v>
      </c>
      <c r="B894" t="s">
        <v>1453</v>
      </c>
      <c r="C894" t="s">
        <v>258</v>
      </c>
      <c r="D894" t="s">
        <v>2365</v>
      </c>
      <c r="F894" s="1">
        <v>61708</v>
      </c>
      <c r="G894" t="s">
        <v>2273</v>
      </c>
      <c r="H894" t="s">
        <v>121</v>
      </c>
      <c r="I894" t="s">
        <v>11</v>
      </c>
    </row>
    <row r="895" spans="1:9" x14ac:dyDescent="0.25">
      <c r="A895" s="95">
        <v>894</v>
      </c>
      <c r="B895" t="s">
        <v>1001</v>
      </c>
      <c r="C895" t="s">
        <v>2366</v>
      </c>
      <c r="D895" t="s">
        <v>1360</v>
      </c>
      <c r="F895" s="1">
        <v>22318</v>
      </c>
      <c r="G895" t="s">
        <v>2273</v>
      </c>
      <c r="H895" t="s">
        <v>121</v>
      </c>
      <c r="I895" t="s">
        <v>11</v>
      </c>
    </row>
    <row r="896" spans="1:9" x14ac:dyDescent="0.25">
      <c r="A896" s="95">
        <v>895</v>
      </c>
      <c r="B896" t="s">
        <v>131</v>
      </c>
      <c r="C896" t="s">
        <v>2367</v>
      </c>
      <c r="D896" t="s">
        <v>1001</v>
      </c>
      <c r="F896" s="1">
        <v>28972</v>
      </c>
      <c r="G896" t="s">
        <v>2273</v>
      </c>
      <c r="H896" t="s">
        <v>121</v>
      </c>
      <c r="I896" t="s">
        <v>11</v>
      </c>
    </row>
    <row r="897" spans="1:9" x14ac:dyDescent="0.25">
      <c r="A897" s="95">
        <v>896</v>
      </c>
      <c r="B897" t="s">
        <v>1269</v>
      </c>
      <c r="C897" t="s">
        <v>2368</v>
      </c>
      <c r="D897" t="s">
        <v>1311</v>
      </c>
      <c r="F897" s="1">
        <v>33302</v>
      </c>
      <c r="G897" t="s">
        <v>2273</v>
      </c>
      <c r="H897" t="s">
        <v>121</v>
      </c>
      <c r="I897" t="s">
        <v>11</v>
      </c>
    </row>
    <row r="898" spans="1:9" x14ac:dyDescent="0.25">
      <c r="A898" s="95">
        <v>897</v>
      </c>
      <c r="B898" t="s">
        <v>997</v>
      </c>
      <c r="C898" t="s">
        <v>2369</v>
      </c>
      <c r="D898" t="s">
        <v>2353</v>
      </c>
      <c r="F898" s="1">
        <v>34653</v>
      </c>
      <c r="G898" t="s">
        <v>2273</v>
      </c>
      <c r="H898" t="s">
        <v>121</v>
      </c>
      <c r="I898" t="s">
        <v>11</v>
      </c>
    </row>
    <row r="899" spans="1:9" x14ac:dyDescent="0.25">
      <c r="A899" s="95">
        <v>898</v>
      </c>
      <c r="B899" t="s">
        <v>1460</v>
      </c>
      <c r="C899" t="s">
        <v>2370</v>
      </c>
      <c r="D899" t="s">
        <v>2371</v>
      </c>
      <c r="F899" s="1">
        <v>22149</v>
      </c>
      <c r="G899" t="s">
        <v>2273</v>
      </c>
      <c r="H899" t="s">
        <v>121</v>
      </c>
      <c r="I899" t="s">
        <v>11</v>
      </c>
    </row>
    <row r="900" spans="1:9" x14ac:dyDescent="0.25">
      <c r="A900" s="95">
        <v>899</v>
      </c>
      <c r="B900" t="s">
        <v>1464</v>
      </c>
      <c r="C900" t="s">
        <v>2372</v>
      </c>
      <c r="D900" t="s">
        <v>1460</v>
      </c>
      <c r="F900" s="1">
        <v>29711</v>
      </c>
      <c r="G900" t="s">
        <v>2273</v>
      </c>
      <c r="H900" t="s">
        <v>121</v>
      </c>
      <c r="I900" t="s">
        <v>11</v>
      </c>
    </row>
    <row r="901" spans="1:9" x14ac:dyDescent="0.25">
      <c r="A901" s="95">
        <v>900</v>
      </c>
      <c r="B901" t="s">
        <v>1466</v>
      </c>
      <c r="C901" t="s">
        <v>1622</v>
      </c>
      <c r="D901" t="s">
        <v>997</v>
      </c>
      <c r="F901" s="1">
        <v>30231</v>
      </c>
      <c r="G901" t="s">
        <v>2273</v>
      </c>
      <c r="H901" t="s">
        <v>121</v>
      </c>
      <c r="I901" t="s">
        <v>11</v>
      </c>
    </row>
    <row r="902" spans="1:9" x14ac:dyDescent="0.25">
      <c r="A902" s="95">
        <v>901</v>
      </c>
      <c r="B902" t="s">
        <v>997</v>
      </c>
      <c r="C902" t="s">
        <v>1810</v>
      </c>
      <c r="D902" t="s">
        <v>2373</v>
      </c>
      <c r="F902" s="1">
        <v>30885</v>
      </c>
      <c r="G902" t="s">
        <v>2273</v>
      </c>
      <c r="H902" t="s">
        <v>121</v>
      </c>
      <c r="I902" t="s">
        <v>11</v>
      </c>
    </row>
    <row r="903" spans="1:9" x14ac:dyDescent="0.25">
      <c r="A903" s="95">
        <v>902</v>
      </c>
      <c r="B903" t="s">
        <v>1292</v>
      </c>
      <c r="C903" t="s">
        <v>1637</v>
      </c>
      <c r="D903" t="s">
        <v>1291</v>
      </c>
      <c r="F903" s="1">
        <v>46126</v>
      </c>
      <c r="G903" t="s">
        <v>2273</v>
      </c>
      <c r="H903" t="s">
        <v>121</v>
      </c>
      <c r="I903" t="s">
        <v>11</v>
      </c>
    </row>
    <row r="904" spans="1:9" x14ac:dyDescent="0.25">
      <c r="A904" s="95">
        <v>903</v>
      </c>
      <c r="B904" t="s">
        <v>1001</v>
      </c>
      <c r="C904" t="s">
        <v>2287</v>
      </c>
      <c r="D904" t="s">
        <v>1452</v>
      </c>
      <c r="F904" s="1">
        <v>25184</v>
      </c>
      <c r="G904" t="s">
        <v>2273</v>
      </c>
      <c r="H904" t="s">
        <v>121</v>
      </c>
      <c r="I904" t="s">
        <v>11</v>
      </c>
    </row>
    <row r="905" spans="1:9" x14ac:dyDescent="0.25">
      <c r="A905" s="95">
        <v>904</v>
      </c>
      <c r="B905" t="s">
        <v>1294</v>
      </c>
      <c r="C905" t="s">
        <v>254</v>
      </c>
      <c r="D905" t="s">
        <v>1496</v>
      </c>
      <c r="F905" s="1">
        <v>21488</v>
      </c>
      <c r="G905" t="s">
        <v>2273</v>
      </c>
      <c r="H905" t="s">
        <v>121</v>
      </c>
      <c r="I905" t="s">
        <v>11</v>
      </c>
    </row>
    <row r="906" spans="1:9" x14ac:dyDescent="0.25">
      <c r="A906" s="95">
        <v>905</v>
      </c>
      <c r="B906" t="s">
        <v>1294</v>
      </c>
      <c r="C906" t="s">
        <v>2374</v>
      </c>
      <c r="D906" t="s">
        <v>1422</v>
      </c>
      <c r="F906" s="1">
        <v>34810</v>
      </c>
      <c r="G906" t="s">
        <v>2273</v>
      </c>
      <c r="H906" t="s">
        <v>121</v>
      </c>
      <c r="I906" t="s">
        <v>11</v>
      </c>
    </row>
    <row r="907" spans="1:9" x14ac:dyDescent="0.25">
      <c r="A907" s="95">
        <v>906</v>
      </c>
      <c r="B907" t="s">
        <v>1480</v>
      </c>
      <c r="C907" t="s">
        <v>1361</v>
      </c>
      <c r="D907" t="s">
        <v>1276</v>
      </c>
      <c r="F907" s="1">
        <v>22647</v>
      </c>
      <c r="G907" t="s">
        <v>2273</v>
      </c>
      <c r="H907" t="s">
        <v>121</v>
      </c>
      <c r="I907" t="s">
        <v>11</v>
      </c>
    </row>
    <row r="908" spans="1:9" x14ac:dyDescent="0.25">
      <c r="A908" s="95">
        <v>907</v>
      </c>
      <c r="B908" t="s">
        <v>1473</v>
      </c>
      <c r="C908" t="s">
        <v>2375</v>
      </c>
      <c r="D908" t="s">
        <v>1480</v>
      </c>
      <c r="F908" s="1">
        <v>33242</v>
      </c>
      <c r="G908" t="s">
        <v>2273</v>
      </c>
      <c r="H908" t="s">
        <v>121</v>
      </c>
      <c r="I908" t="s">
        <v>11</v>
      </c>
    </row>
    <row r="909" spans="1:9" x14ac:dyDescent="0.25">
      <c r="A909" s="95">
        <v>908</v>
      </c>
      <c r="B909" t="s">
        <v>745</v>
      </c>
      <c r="C909" t="s">
        <v>2376</v>
      </c>
      <c r="D909" t="s">
        <v>2377</v>
      </c>
      <c r="F909" s="1">
        <v>31606</v>
      </c>
      <c r="G909" t="s">
        <v>2273</v>
      </c>
      <c r="H909" t="s">
        <v>121</v>
      </c>
      <c r="I909" t="s">
        <v>11</v>
      </c>
    </row>
    <row r="910" spans="1:9" x14ac:dyDescent="0.25">
      <c r="A910" s="95">
        <v>909</v>
      </c>
      <c r="B910" t="s">
        <v>1249</v>
      </c>
      <c r="C910" t="s">
        <v>2313</v>
      </c>
      <c r="D910" t="s">
        <v>450</v>
      </c>
      <c r="F910" s="1">
        <v>22352</v>
      </c>
      <c r="G910" t="s">
        <v>2273</v>
      </c>
      <c r="H910" t="s">
        <v>121</v>
      </c>
      <c r="I910" t="s">
        <v>11</v>
      </c>
    </row>
    <row r="911" spans="1:9" x14ac:dyDescent="0.25">
      <c r="A911" s="95">
        <v>910</v>
      </c>
      <c r="B911" t="s">
        <v>611</v>
      </c>
      <c r="C911" t="s">
        <v>2378</v>
      </c>
      <c r="D911" t="s">
        <v>2379</v>
      </c>
      <c r="F911" s="1">
        <v>31409</v>
      </c>
      <c r="G911" t="s">
        <v>2273</v>
      </c>
      <c r="H911" t="s">
        <v>121</v>
      </c>
      <c r="I911" t="s">
        <v>11</v>
      </c>
    </row>
    <row r="912" spans="1:9" x14ac:dyDescent="0.25">
      <c r="A912" s="95">
        <v>911</v>
      </c>
      <c r="B912" t="s">
        <v>1493</v>
      </c>
      <c r="C912" t="s">
        <v>2380</v>
      </c>
      <c r="D912" t="s">
        <v>2381</v>
      </c>
      <c r="F912" s="1">
        <v>24671</v>
      </c>
      <c r="G912" t="s">
        <v>2273</v>
      </c>
      <c r="H912" t="s">
        <v>121</v>
      </c>
      <c r="I912" t="s">
        <v>11</v>
      </c>
    </row>
    <row r="913" spans="1:11" x14ac:dyDescent="0.25">
      <c r="A913" s="95">
        <v>912</v>
      </c>
      <c r="B913" t="s">
        <v>325</v>
      </c>
      <c r="C913" t="s">
        <v>61</v>
      </c>
      <c r="D913" t="s">
        <v>1269</v>
      </c>
      <c r="F913" s="1">
        <v>29251</v>
      </c>
      <c r="G913" t="s">
        <v>2273</v>
      </c>
      <c r="H913" t="s">
        <v>121</v>
      </c>
      <c r="I913" t="s">
        <v>11</v>
      </c>
    </row>
    <row r="914" spans="1:11" x14ac:dyDescent="0.25">
      <c r="A914" s="95">
        <v>913</v>
      </c>
      <c r="B914" t="s">
        <v>1497</v>
      </c>
      <c r="C914" t="s">
        <v>247</v>
      </c>
      <c r="D914" t="s">
        <v>1902</v>
      </c>
      <c r="F914" s="1">
        <v>27771</v>
      </c>
      <c r="G914" t="s">
        <v>2273</v>
      </c>
      <c r="H914" t="s">
        <v>121</v>
      </c>
      <c r="I914" t="s">
        <v>11</v>
      </c>
    </row>
    <row r="915" spans="1:11" x14ac:dyDescent="0.25">
      <c r="A915" s="95">
        <v>914</v>
      </c>
      <c r="B915" t="s">
        <v>1499</v>
      </c>
      <c r="C915" t="s">
        <v>91</v>
      </c>
      <c r="D915" t="s">
        <v>845</v>
      </c>
      <c r="E915" t="s">
        <v>67</v>
      </c>
      <c r="F915" s="1">
        <v>28206</v>
      </c>
      <c r="G915" t="s">
        <v>2273</v>
      </c>
      <c r="H915" t="s">
        <v>121</v>
      </c>
      <c r="I915" t="s">
        <v>11</v>
      </c>
    </row>
    <row r="916" spans="1:11" x14ac:dyDescent="0.25">
      <c r="A916" s="95">
        <v>915</v>
      </c>
      <c r="B916" t="s">
        <v>1464</v>
      </c>
      <c r="C916" t="s">
        <v>2382</v>
      </c>
      <c r="D916" t="s">
        <v>1904</v>
      </c>
      <c r="F916" s="1">
        <v>26234</v>
      </c>
      <c r="G916" t="s">
        <v>2273</v>
      </c>
      <c r="H916" t="s">
        <v>121</v>
      </c>
      <c r="I916" t="s">
        <v>11</v>
      </c>
    </row>
    <row r="917" spans="1:11" x14ac:dyDescent="0.25">
      <c r="A917" s="95">
        <v>916</v>
      </c>
      <c r="B917" t="s">
        <v>1503</v>
      </c>
      <c r="C917" t="s">
        <v>2383</v>
      </c>
      <c r="D917" t="s">
        <v>1422</v>
      </c>
      <c r="F917" s="1">
        <v>33311</v>
      </c>
      <c r="G917" t="s">
        <v>2273</v>
      </c>
      <c r="H917" t="s">
        <v>121</v>
      </c>
      <c r="I917" t="s">
        <v>11</v>
      </c>
    </row>
    <row r="918" spans="1:11" x14ac:dyDescent="0.25">
      <c r="A918" s="95">
        <v>917</v>
      </c>
      <c r="B918" t="s">
        <v>41</v>
      </c>
      <c r="C918" t="s">
        <v>2384</v>
      </c>
      <c r="D918" t="s">
        <v>1001</v>
      </c>
      <c r="F918" s="1">
        <v>32008</v>
      </c>
      <c r="G918" t="s">
        <v>2273</v>
      </c>
      <c r="H918" t="s">
        <v>121</v>
      </c>
      <c r="I918" t="s">
        <v>11</v>
      </c>
    </row>
    <row r="919" spans="1:11" x14ac:dyDescent="0.25">
      <c r="A919" s="95">
        <v>918</v>
      </c>
      <c r="B919" t="s">
        <v>77</v>
      </c>
      <c r="C919" t="s">
        <v>2385</v>
      </c>
      <c r="D919" t="s">
        <v>2230</v>
      </c>
      <c r="F919" s="1">
        <v>33018</v>
      </c>
      <c r="G919" t="s">
        <v>2273</v>
      </c>
      <c r="H919" t="s">
        <v>121</v>
      </c>
      <c r="I919" t="s">
        <v>11</v>
      </c>
      <c r="K919"/>
    </row>
    <row r="920" spans="1:11" x14ac:dyDescent="0.25">
      <c r="A920" s="95">
        <v>919</v>
      </c>
      <c r="B920" t="s">
        <v>1511</v>
      </c>
      <c r="C920" t="s">
        <v>2386</v>
      </c>
      <c r="D920" t="s">
        <v>2232</v>
      </c>
      <c r="F920" s="1">
        <v>30484</v>
      </c>
      <c r="G920" t="s">
        <v>2273</v>
      </c>
      <c r="H920" t="s">
        <v>121</v>
      </c>
      <c r="I920" t="s">
        <v>11</v>
      </c>
    </row>
    <row r="921" spans="1:11" x14ac:dyDescent="0.25">
      <c r="A921" s="95">
        <v>920</v>
      </c>
      <c r="B921" t="s">
        <v>1503</v>
      </c>
      <c r="C921" t="s">
        <v>2387</v>
      </c>
      <c r="D921" t="s">
        <v>816</v>
      </c>
      <c r="F921" s="1">
        <v>30155</v>
      </c>
      <c r="G921" t="s">
        <v>2273</v>
      </c>
      <c r="H921" t="s">
        <v>121</v>
      </c>
      <c r="I921" t="s">
        <v>11</v>
      </c>
    </row>
    <row r="922" spans="1:11" x14ac:dyDescent="0.25">
      <c r="A922" s="95">
        <v>921</v>
      </c>
      <c r="B922" t="s">
        <v>1415</v>
      </c>
      <c r="C922" t="s">
        <v>637</v>
      </c>
      <c r="D922" t="s">
        <v>2388</v>
      </c>
      <c r="F922" s="1">
        <v>33664</v>
      </c>
      <c r="G922" t="s">
        <v>2273</v>
      </c>
      <c r="H922" t="s">
        <v>121</v>
      </c>
      <c r="I922" t="s">
        <v>11</v>
      </c>
    </row>
    <row r="923" spans="1:11" x14ac:dyDescent="0.25">
      <c r="A923" s="95">
        <v>922</v>
      </c>
      <c r="B923" t="s">
        <v>1501</v>
      </c>
      <c r="C923" t="s">
        <v>2389</v>
      </c>
      <c r="D923" t="s">
        <v>1406</v>
      </c>
      <c r="F923" s="1">
        <v>28465</v>
      </c>
      <c r="G923" t="s">
        <v>2273</v>
      </c>
      <c r="H923" t="s">
        <v>121</v>
      </c>
      <c r="I923" t="s">
        <v>11</v>
      </c>
    </row>
    <row r="924" spans="1:11" x14ac:dyDescent="0.25">
      <c r="A924" s="95">
        <v>923</v>
      </c>
      <c r="B924" t="s">
        <v>331</v>
      </c>
      <c r="C924" t="s">
        <v>2390</v>
      </c>
      <c r="D924" t="s">
        <v>1473</v>
      </c>
      <c r="F924" s="1">
        <v>30495</v>
      </c>
      <c r="G924" t="s">
        <v>2273</v>
      </c>
      <c r="H924" t="s">
        <v>121</v>
      </c>
      <c r="I924" t="s">
        <v>11</v>
      </c>
    </row>
    <row r="925" spans="1:11" x14ac:dyDescent="0.25">
      <c r="A925" s="95">
        <v>924</v>
      </c>
      <c r="B925" t="s">
        <v>1507</v>
      </c>
      <c r="C925" t="s">
        <v>2391</v>
      </c>
      <c r="D925" t="s">
        <v>2392</v>
      </c>
      <c r="F925" s="1">
        <v>33651</v>
      </c>
      <c r="G925" t="s">
        <v>2273</v>
      </c>
      <c r="H925" t="s">
        <v>121</v>
      </c>
      <c r="I925" t="s">
        <v>11</v>
      </c>
    </row>
    <row r="926" spans="1:11" x14ac:dyDescent="0.25">
      <c r="A926" s="95">
        <v>925</v>
      </c>
      <c r="B926" t="s">
        <v>2393</v>
      </c>
      <c r="C926" t="s">
        <v>2394</v>
      </c>
      <c r="D926" t="s">
        <v>419</v>
      </c>
      <c r="F926" s="1">
        <v>31091</v>
      </c>
      <c r="G926" t="s">
        <v>2273</v>
      </c>
      <c r="H926" t="s">
        <v>121</v>
      </c>
      <c r="I926" t="s">
        <v>11</v>
      </c>
    </row>
    <row r="927" spans="1:11" x14ac:dyDescent="0.25">
      <c r="A927" s="95">
        <v>926</v>
      </c>
      <c r="B927" t="s">
        <v>1548</v>
      </c>
      <c r="C927" t="s">
        <v>1423</v>
      </c>
      <c r="D927" t="s">
        <v>331</v>
      </c>
      <c r="F927" s="1">
        <v>34130</v>
      </c>
      <c r="G927" t="s">
        <v>2273</v>
      </c>
      <c r="H927" t="s">
        <v>121</v>
      </c>
      <c r="I927" t="s">
        <v>11</v>
      </c>
    </row>
    <row r="928" spans="1:11" x14ac:dyDescent="0.25">
      <c r="A928" s="95">
        <v>927</v>
      </c>
      <c r="B928" t="s">
        <v>1527</v>
      </c>
      <c r="C928" t="s">
        <v>895</v>
      </c>
      <c r="D928" t="s">
        <v>1473</v>
      </c>
      <c r="F928" s="1">
        <v>32140</v>
      </c>
      <c r="G928" t="s">
        <v>2273</v>
      </c>
      <c r="H928" t="s">
        <v>121</v>
      </c>
      <c r="I928" t="s">
        <v>11</v>
      </c>
    </row>
    <row r="929" spans="1:9" x14ac:dyDescent="0.25">
      <c r="A929" s="95">
        <v>928</v>
      </c>
      <c r="B929" t="s">
        <v>1501</v>
      </c>
      <c r="C929" t="s">
        <v>2395</v>
      </c>
      <c r="D929" t="s">
        <v>2396</v>
      </c>
      <c r="F929" s="1">
        <v>35367</v>
      </c>
      <c r="G929" t="s">
        <v>2273</v>
      </c>
      <c r="H929" t="s">
        <v>121</v>
      </c>
      <c r="I929" t="s">
        <v>11</v>
      </c>
    </row>
    <row r="930" spans="1:9" x14ac:dyDescent="0.25">
      <c r="A930" s="95">
        <v>929</v>
      </c>
      <c r="B930" t="s">
        <v>38</v>
      </c>
      <c r="C930" t="s">
        <v>1389</v>
      </c>
      <c r="D930" t="s">
        <v>1486</v>
      </c>
      <c r="F930" s="1">
        <v>23110</v>
      </c>
      <c r="G930" t="s">
        <v>2273</v>
      </c>
      <c r="H930" t="s">
        <v>121</v>
      </c>
      <c r="I930" t="s">
        <v>11</v>
      </c>
    </row>
    <row r="931" spans="1:9" x14ac:dyDescent="0.25">
      <c r="A931" s="95">
        <v>930</v>
      </c>
      <c r="B931" t="s">
        <v>1473</v>
      </c>
      <c r="C931" t="s">
        <v>2397</v>
      </c>
      <c r="D931" t="s">
        <v>1480</v>
      </c>
      <c r="F931" s="1">
        <v>19348</v>
      </c>
      <c r="G931" t="s">
        <v>2273</v>
      </c>
      <c r="H931" t="s">
        <v>121</v>
      </c>
      <c r="I931" t="s">
        <v>11</v>
      </c>
    </row>
    <row r="932" spans="1:9" x14ac:dyDescent="0.25">
      <c r="A932" s="95">
        <v>931</v>
      </c>
      <c r="B932" t="s">
        <v>1288</v>
      </c>
      <c r="C932" t="s">
        <v>2398</v>
      </c>
      <c r="D932" t="s">
        <v>997</v>
      </c>
      <c r="F932" s="1">
        <v>31626</v>
      </c>
      <c r="G932" t="s">
        <v>2273</v>
      </c>
      <c r="H932" t="s">
        <v>121</v>
      </c>
      <c r="I932" t="s">
        <v>11</v>
      </c>
    </row>
    <row r="933" spans="1:9" x14ac:dyDescent="0.25">
      <c r="A933" s="95">
        <v>932</v>
      </c>
      <c r="B933" t="s">
        <v>2399</v>
      </c>
      <c r="C933" t="s">
        <v>732</v>
      </c>
      <c r="D933" t="s">
        <v>2400</v>
      </c>
      <c r="F933" s="1">
        <v>32815</v>
      </c>
      <c r="G933" t="s">
        <v>2273</v>
      </c>
      <c r="H933" t="s">
        <v>121</v>
      </c>
      <c r="I933" t="s">
        <v>11</v>
      </c>
    </row>
    <row r="934" spans="1:9" x14ac:dyDescent="0.25">
      <c r="A934" s="95">
        <v>933</v>
      </c>
      <c r="B934" t="s">
        <v>331</v>
      </c>
      <c r="C934" t="s">
        <v>2401</v>
      </c>
      <c r="D934" t="s">
        <v>1542</v>
      </c>
      <c r="F934" s="1">
        <v>30765</v>
      </c>
      <c r="G934" t="s">
        <v>2273</v>
      </c>
      <c r="H934" t="s">
        <v>121</v>
      </c>
      <c r="I934" t="s">
        <v>11</v>
      </c>
    </row>
    <row r="935" spans="1:9" x14ac:dyDescent="0.25">
      <c r="A935" s="95">
        <v>934</v>
      </c>
      <c r="B935" t="s">
        <v>90</v>
      </c>
      <c r="C935" t="s">
        <v>2367</v>
      </c>
      <c r="D935" t="s">
        <v>450</v>
      </c>
      <c r="F935" s="1">
        <v>29063</v>
      </c>
      <c r="G935" t="s">
        <v>2273</v>
      </c>
      <c r="H935" t="s">
        <v>121</v>
      </c>
      <c r="I935" t="s">
        <v>11</v>
      </c>
    </row>
    <row r="936" spans="1:9" x14ac:dyDescent="0.25">
      <c r="A936" s="95">
        <v>935</v>
      </c>
      <c r="B936" t="s">
        <v>1406</v>
      </c>
      <c r="C936" t="s">
        <v>2402</v>
      </c>
      <c r="D936" t="s">
        <v>2403</v>
      </c>
      <c r="F936" s="1">
        <v>19676</v>
      </c>
      <c r="G936" t="s">
        <v>2273</v>
      </c>
      <c r="H936" t="s">
        <v>121</v>
      </c>
      <c r="I936" t="s">
        <v>11</v>
      </c>
    </row>
    <row r="937" spans="1:9" x14ac:dyDescent="0.25">
      <c r="A937" s="95">
        <v>936</v>
      </c>
      <c r="B937" t="s">
        <v>232</v>
      </c>
      <c r="C937" t="s">
        <v>1416</v>
      </c>
      <c r="D937" t="s">
        <v>2404</v>
      </c>
      <c r="F937" s="1">
        <v>33167</v>
      </c>
      <c r="G937" t="s">
        <v>2273</v>
      </c>
      <c r="H937" t="s">
        <v>121</v>
      </c>
      <c r="I937" t="s">
        <v>11</v>
      </c>
    </row>
    <row r="938" spans="1:9" x14ac:dyDescent="0.25">
      <c r="A938" s="95">
        <v>937</v>
      </c>
      <c r="B938" t="s">
        <v>1484</v>
      </c>
      <c r="C938" t="s">
        <v>156</v>
      </c>
      <c r="D938" t="s">
        <v>90</v>
      </c>
      <c r="F938" s="1">
        <v>30422</v>
      </c>
      <c r="G938" t="s">
        <v>2273</v>
      </c>
      <c r="H938" t="s">
        <v>121</v>
      </c>
      <c r="I938" t="s">
        <v>11</v>
      </c>
    </row>
    <row r="939" spans="1:9" x14ac:dyDescent="0.25">
      <c r="A939" s="95">
        <v>938</v>
      </c>
      <c r="B939" t="s">
        <v>121</v>
      </c>
      <c r="C939" t="s">
        <v>2405</v>
      </c>
      <c r="D939" t="s">
        <v>2406</v>
      </c>
      <c r="E939" t="s">
        <v>67</v>
      </c>
      <c r="F939" s="1">
        <v>30263</v>
      </c>
      <c r="G939" t="s">
        <v>2273</v>
      </c>
      <c r="H939" t="s">
        <v>121</v>
      </c>
      <c r="I939" t="s">
        <v>11</v>
      </c>
    </row>
    <row r="940" spans="1:9" x14ac:dyDescent="0.25">
      <c r="A940" s="95">
        <v>939</v>
      </c>
      <c r="B940" t="s">
        <v>1278</v>
      </c>
      <c r="C940" t="s">
        <v>1048</v>
      </c>
      <c r="D940" t="s">
        <v>2407</v>
      </c>
      <c r="F940" s="1">
        <v>22377</v>
      </c>
      <c r="G940" t="s">
        <v>2273</v>
      </c>
      <c r="H940" t="s">
        <v>121</v>
      </c>
      <c r="I940" t="s">
        <v>11</v>
      </c>
    </row>
    <row r="941" spans="1:9" x14ac:dyDescent="0.25">
      <c r="A941" s="95">
        <v>940</v>
      </c>
      <c r="B941" t="s">
        <v>1484</v>
      </c>
      <c r="C941" t="s">
        <v>247</v>
      </c>
      <c r="D941" t="s">
        <v>41</v>
      </c>
      <c r="F941" s="1">
        <v>27884</v>
      </c>
      <c r="G941" t="s">
        <v>2273</v>
      </c>
      <c r="H941" t="s">
        <v>121</v>
      </c>
      <c r="I941" t="s">
        <v>11</v>
      </c>
    </row>
    <row r="942" spans="1:9" x14ac:dyDescent="0.25">
      <c r="A942" s="95">
        <v>941</v>
      </c>
      <c r="B942" t="s">
        <v>1548</v>
      </c>
      <c r="C942" t="s">
        <v>2408</v>
      </c>
      <c r="D942" t="s">
        <v>1373</v>
      </c>
      <c r="F942" s="1">
        <v>23987</v>
      </c>
      <c r="G942" t="s">
        <v>2273</v>
      </c>
      <c r="H942" t="s">
        <v>121</v>
      </c>
      <c r="I942" t="s">
        <v>11</v>
      </c>
    </row>
    <row r="943" spans="1:9" x14ac:dyDescent="0.25">
      <c r="A943" s="95">
        <v>942</v>
      </c>
      <c r="B943" t="s">
        <v>1311</v>
      </c>
      <c r="C943" t="s">
        <v>158</v>
      </c>
      <c r="D943" t="s">
        <v>2409</v>
      </c>
      <c r="F943" s="1">
        <v>29051</v>
      </c>
      <c r="G943" t="s">
        <v>2273</v>
      </c>
      <c r="H943" t="s">
        <v>121</v>
      </c>
      <c r="I943" t="s">
        <v>11</v>
      </c>
    </row>
    <row r="944" spans="1:9" x14ac:dyDescent="0.25">
      <c r="A944" s="95">
        <v>943</v>
      </c>
      <c r="B944" t="s">
        <v>1406</v>
      </c>
      <c r="C944" t="s">
        <v>2410</v>
      </c>
      <c r="D944" t="s">
        <v>1922</v>
      </c>
      <c r="F944" s="1">
        <v>31203</v>
      </c>
      <c r="G944" t="s">
        <v>2273</v>
      </c>
      <c r="H944" t="s">
        <v>121</v>
      </c>
      <c r="I944" t="s">
        <v>11</v>
      </c>
    </row>
    <row r="945" spans="1:9" x14ac:dyDescent="0.25">
      <c r="A945" s="95">
        <v>944</v>
      </c>
      <c r="B945" t="s">
        <v>997</v>
      </c>
      <c r="C945" t="s">
        <v>162</v>
      </c>
      <c r="D945" t="s">
        <v>1269</v>
      </c>
      <c r="F945" s="1">
        <v>24000</v>
      </c>
      <c r="G945" t="s">
        <v>2273</v>
      </c>
      <c r="H945" t="s">
        <v>121</v>
      </c>
      <c r="I945" t="s">
        <v>11</v>
      </c>
    </row>
    <row r="946" spans="1:9" x14ac:dyDescent="0.25">
      <c r="A946" s="95">
        <v>945</v>
      </c>
      <c r="B946" t="s">
        <v>1503</v>
      </c>
      <c r="C946" t="s">
        <v>2383</v>
      </c>
      <c r="D946" t="s">
        <v>1422</v>
      </c>
      <c r="F946" s="1">
        <v>33311</v>
      </c>
      <c r="G946" t="s">
        <v>2273</v>
      </c>
      <c r="H946" t="s">
        <v>121</v>
      </c>
      <c r="I946" t="s">
        <v>11</v>
      </c>
    </row>
    <row r="947" spans="1:9" x14ac:dyDescent="0.25">
      <c r="A947" s="95">
        <v>946</v>
      </c>
      <c r="B947" t="s">
        <v>1560</v>
      </c>
      <c r="C947" t="s">
        <v>2411</v>
      </c>
      <c r="D947" t="s">
        <v>2412</v>
      </c>
      <c r="F947" s="1">
        <v>23653</v>
      </c>
      <c r="G947" t="s">
        <v>2273</v>
      </c>
      <c r="H947" t="s">
        <v>121</v>
      </c>
      <c r="I947" t="s">
        <v>11</v>
      </c>
    </row>
    <row r="948" spans="1:9" x14ac:dyDescent="0.25">
      <c r="A948" s="95">
        <v>947</v>
      </c>
      <c r="B948" t="s">
        <v>1415</v>
      </c>
      <c r="C948" t="s">
        <v>2413</v>
      </c>
      <c r="D948" t="s">
        <v>38</v>
      </c>
      <c r="F948" s="1">
        <v>23056</v>
      </c>
      <c r="G948" t="s">
        <v>2273</v>
      </c>
      <c r="H948" t="s">
        <v>121</v>
      </c>
      <c r="I948" t="s">
        <v>11</v>
      </c>
    </row>
    <row r="949" spans="1:9" x14ac:dyDescent="0.25">
      <c r="A949" s="95">
        <v>948</v>
      </c>
      <c r="B949" t="s">
        <v>1460</v>
      </c>
      <c r="C949" t="s">
        <v>2414</v>
      </c>
      <c r="D949" t="s">
        <v>41</v>
      </c>
      <c r="F949" s="1">
        <v>29796</v>
      </c>
      <c r="G949" t="s">
        <v>2273</v>
      </c>
      <c r="H949" t="s">
        <v>121</v>
      </c>
      <c r="I949" t="s">
        <v>11</v>
      </c>
    </row>
    <row r="950" spans="1:9" x14ac:dyDescent="0.25">
      <c r="A950" s="95">
        <v>949</v>
      </c>
      <c r="B950" t="s">
        <v>232</v>
      </c>
      <c r="C950" t="s">
        <v>2415</v>
      </c>
      <c r="D950" t="s">
        <v>997</v>
      </c>
      <c r="F950" s="1">
        <v>22792</v>
      </c>
      <c r="G950" t="s">
        <v>2273</v>
      </c>
      <c r="H950" t="s">
        <v>121</v>
      </c>
      <c r="I950" t="s">
        <v>11</v>
      </c>
    </row>
    <row r="951" spans="1:9" x14ac:dyDescent="0.25">
      <c r="A951" s="95">
        <v>950</v>
      </c>
      <c r="B951" t="s">
        <v>2416</v>
      </c>
      <c r="C951" t="s">
        <v>2417</v>
      </c>
      <c r="D951" t="s">
        <v>41</v>
      </c>
      <c r="F951" s="1">
        <v>26363</v>
      </c>
      <c r="G951" t="s">
        <v>2273</v>
      </c>
      <c r="H951" t="s">
        <v>121</v>
      </c>
      <c r="I951" t="s">
        <v>11</v>
      </c>
    </row>
    <row r="952" spans="1:9" x14ac:dyDescent="0.25">
      <c r="A952" s="95">
        <v>951</v>
      </c>
      <c r="B952" t="s">
        <v>1279</v>
      </c>
      <c r="C952" t="s">
        <v>2418</v>
      </c>
      <c r="D952" t="s">
        <v>997</v>
      </c>
      <c r="F952" s="1">
        <v>37002</v>
      </c>
      <c r="G952" t="s">
        <v>2273</v>
      </c>
      <c r="H952" t="s">
        <v>121</v>
      </c>
      <c r="I952" t="s">
        <v>11</v>
      </c>
    </row>
    <row r="953" spans="1:9" x14ac:dyDescent="0.25">
      <c r="A953" s="95">
        <v>952</v>
      </c>
      <c r="B953" t="s">
        <v>443</v>
      </c>
      <c r="C953" t="s">
        <v>408</v>
      </c>
      <c r="D953" t="s">
        <v>816</v>
      </c>
      <c r="F953" s="1">
        <v>23022</v>
      </c>
      <c r="G953" t="s">
        <v>2273</v>
      </c>
      <c r="H953" t="s">
        <v>121</v>
      </c>
      <c r="I953" t="s">
        <v>11</v>
      </c>
    </row>
    <row r="954" spans="1:9" x14ac:dyDescent="0.25">
      <c r="A954" s="95">
        <v>953</v>
      </c>
      <c r="B954" t="s">
        <v>1433</v>
      </c>
      <c r="C954" t="s">
        <v>2419</v>
      </c>
      <c r="D954" t="s">
        <v>1503</v>
      </c>
      <c r="F954" s="1">
        <v>34832</v>
      </c>
      <c r="G954" t="s">
        <v>2273</v>
      </c>
      <c r="H954" t="s">
        <v>121</v>
      </c>
      <c r="I954" t="s">
        <v>11</v>
      </c>
    </row>
    <row r="955" spans="1:9" x14ac:dyDescent="0.25">
      <c r="A955" s="95">
        <v>954</v>
      </c>
      <c r="B955" t="s">
        <v>1460</v>
      </c>
      <c r="C955" t="s">
        <v>2420</v>
      </c>
      <c r="D955" t="s">
        <v>2421</v>
      </c>
      <c r="F955" s="1">
        <v>32306</v>
      </c>
      <c r="G955" t="s">
        <v>2273</v>
      </c>
      <c r="H955" t="s">
        <v>121</v>
      </c>
      <c r="I955" t="s">
        <v>11</v>
      </c>
    </row>
    <row r="956" spans="1:9" x14ac:dyDescent="0.25">
      <c r="A956" s="95">
        <v>955</v>
      </c>
      <c r="B956" t="s">
        <v>2422</v>
      </c>
      <c r="C956" t="s">
        <v>2423</v>
      </c>
      <c r="D956" t="s">
        <v>997</v>
      </c>
      <c r="F956" s="1">
        <v>30461</v>
      </c>
      <c r="G956" t="s">
        <v>2273</v>
      </c>
      <c r="H956" t="s">
        <v>121</v>
      </c>
      <c r="I956" t="s">
        <v>11</v>
      </c>
    </row>
    <row r="957" spans="1:9" x14ac:dyDescent="0.25">
      <c r="A957" s="95">
        <v>956</v>
      </c>
      <c r="B957" t="s">
        <v>1503</v>
      </c>
      <c r="C957" t="s">
        <v>2417</v>
      </c>
      <c r="D957" t="s">
        <v>41</v>
      </c>
      <c r="F957" s="1">
        <v>25515</v>
      </c>
      <c r="G957" t="s">
        <v>2273</v>
      </c>
      <c r="H957" t="s">
        <v>121</v>
      </c>
      <c r="I957" t="s">
        <v>11</v>
      </c>
    </row>
    <row r="958" spans="1:9" x14ac:dyDescent="0.25">
      <c r="A958" s="95">
        <v>957</v>
      </c>
      <c r="B958" t="s">
        <v>120</v>
      </c>
      <c r="C958" t="s">
        <v>69</v>
      </c>
      <c r="D958" t="s">
        <v>1395</v>
      </c>
      <c r="F958" s="1">
        <v>23133</v>
      </c>
      <c r="G958" t="s">
        <v>2273</v>
      </c>
      <c r="H958" t="s">
        <v>121</v>
      </c>
      <c r="I958" t="s">
        <v>11</v>
      </c>
    </row>
    <row r="959" spans="1:9" x14ac:dyDescent="0.25">
      <c r="A959" s="95">
        <v>958</v>
      </c>
      <c r="B959" t="s">
        <v>1311</v>
      </c>
      <c r="C959" t="s">
        <v>2307</v>
      </c>
      <c r="D959" t="s">
        <v>2424</v>
      </c>
      <c r="F959" s="1">
        <v>20257</v>
      </c>
      <c r="G959" t="s">
        <v>2273</v>
      </c>
      <c r="H959" t="s">
        <v>121</v>
      </c>
      <c r="I959" t="s">
        <v>11</v>
      </c>
    </row>
    <row r="960" spans="1:9" x14ac:dyDescent="0.25">
      <c r="A960" s="95">
        <v>959</v>
      </c>
      <c r="B960" t="s">
        <v>964</v>
      </c>
      <c r="C960" t="s">
        <v>1609</v>
      </c>
      <c r="D960" t="s">
        <v>1610</v>
      </c>
      <c r="F960" s="1">
        <v>17596</v>
      </c>
      <c r="G960" t="s">
        <v>2273</v>
      </c>
      <c r="H960" t="s">
        <v>121</v>
      </c>
      <c r="I960" t="s">
        <v>11</v>
      </c>
    </row>
    <row r="961" spans="1:9" x14ac:dyDescent="0.25">
      <c r="A961" s="95">
        <v>960</v>
      </c>
      <c r="B961" t="s">
        <v>1613</v>
      </c>
      <c r="C961" t="s">
        <v>2425</v>
      </c>
      <c r="D961" t="s">
        <v>1279</v>
      </c>
      <c r="F961" s="1">
        <v>37682</v>
      </c>
      <c r="G961" t="s">
        <v>2273</v>
      </c>
      <c r="H961" t="s">
        <v>121</v>
      </c>
      <c r="I961" t="s">
        <v>11</v>
      </c>
    </row>
    <row r="962" spans="1:9" x14ac:dyDescent="0.25">
      <c r="A962" s="95">
        <v>961</v>
      </c>
      <c r="B962" t="s">
        <v>1615</v>
      </c>
      <c r="C962" t="s">
        <v>2426</v>
      </c>
      <c r="D962" t="s">
        <v>1373</v>
      </c>
      <c r="F962" s="1">
        <v>28212</v>
      </c>
      <c r="G962" t="s">
        <v>2273</v>
      </c>
      <c r="H962" t="s">
        <v>121</v>
      </c>
      <c r="I962" t="s">
        <v>11</v>
      </c>
    </row>
    <row r="963" spans="1:9" x14ac:dyDescent="0.25">
      <c r="A963" s="95">
        <v>962</v>
      </c>
      <c r="B963" t="s">
        <v>1294</v>
      </c>
      <c r="C963" t="s">
        <v>1057</v>
      </c>
      <c r="D963" t="s">
        <v>1496</v>
      </c>
      <c r="F963" s="1">
        <v>36173</v>
      </c>
      <c r="G963" t="s">
        <v>2273</v>
      </c>
      <c r="H963" t="s">
        <v>121</v>
      </c>
      <c r="I963" t="s">
        <v>11</v>
      </c>
    </row>
    <row r="964" spans="1:9" x14ac:dyDescent="0.25">
      <c r="A964" s="95">
        <v>963</v>
      </c>
      <c r="B964" t="s">
        <v>605</v>
      </c>
      <c r="C964" t="s">
        <v>247</v>
      </c>
      <c r="D964" t="s">
        <v>816</v>
      </c>
      <c r="F964" s="1">
        <v>26258</v>
      </c>
      <c r="G964" t="s">
        <v>2273</v>
      </c>
      <c r="H964" t="s">
        <v>121</v>
      </c>
      <c r="I964" t="s">
        <v>11</v>
      </c>
    </row>
    <row r="965" spans="1:9" x14ac:dyDescent="0.25">
      <c r="A965" s="95">
        <v>964</v>
      </c>
      <c r="B965" t="s">
        <v>356</v>
      </c>
      <c r="C965" t="s">
        <v>2427</v>
      </c>
      <c r="D965" t="s">
        <v>1882</v>
      </c>
      <c r="F965" s="1">
        <v>39826</v>
      </c>
      <c r="G965" t="s">
        <v>2273</v>
      </c>
      <c r="H965" t="s">
        <v>121</v>
      </c>
      <c r="I965" t="s">
        <v>11</v>
      </c>
    </row>
    <row r="966" spans="1:9" x14ac:dyDescent="0.25">
      <c r="A966" s="95">
        <v>965</v>
      </c>
      <c r="B966" t="s">
        <v>1284</v>
      </c>
      <c r="C966" t="s">
        <v>677</v>
      </c>
      <c r="D966" t="s">
        <v>816</v>
      </c>
      <c r="F966" s="1">
        <v>32990</v>
      </c>
      <c r="G966" t="s">
        <v>2273</v>
      </c>
      <c r="H966" t="s">
        <v>121</v>
      </c>
      <c r="I966" t="s">
        <v>11</v>
      </c>
    </row>
    <row r="967" spans="1:9" x14ac:dyDescent="0.25">
      <c r="A967" s="95">
        <v>966</v>
      </c>
      <c r="B967" t="s">
        <v>1279</v>
      </c>
      <c r="C967" t="s">
        <v>1048</v>
      </c>
      <c r="D967" t="s">
        <v>358</v>
      </c>
      <c r="F967" s="1">
        <v>16838</v>
      </c>
      <c r="G967" t="s">
        <v>2273</v>
      </c>
      <c r="H967" t="s">
        <v>121</v>
      </c>
      <c r="I967" t="s">
        <v>11</v>
      </c>
    </row>
    <row r="968" spans="1:9" x14ac:dyDescent="0.25">
      <c r="A968" s="95">
        <v>967</v>
      </c>
      <c r="B968" t="s">
        <v>1626</v>
      </c>
      <c r="C968" t="s">
        <v>2428</v>
      </c>
      <c r="D968" t="s">
        <v>1480</v>
      </c>
      <c r="F968" s="1">
        <v>20572</v>
      </c>
      <c r="G968" t="s">
        <v>2273</v>
      </c>
      <c r="H968" t="s">
        <v>121</v>
      </c>
      <c r="I968" t="s">
        <v>11</v>
      </c>
    </row>
    <row r="969" spans="1:9" x14ac:dyDescent="0.25">
      <c r="A969" s="95">
        <v>968</v>
      </c>
      <c r="B969" t="s">
        <v>1581</v>
      </c>
      <c r="C969" t="s">
        <v>1006</v>
      </c>
      <c r="D969" t="s">
        <v>1279</v>
      </c>
      <c r="F969" s="1">
        <v>21207</v>
      </c>
      <c r="G969" t="s">
        <v>2273</v>
      </c>
      <c r="H969" t="s">
        <v>121</v>
      </c>
      <c r="I969" t="s">
        <v>11</v>
      </c>
    </row>
    <row r="970" spans="1:9" x14ac:dyDescent="0.25">
      <c r="A970" s="95">
        <v>969</v>
      </c>
      <c r="B970" t="s">
        <v>1581</v>
      </c>
      <c r="C970" t="s">
        <v>1006</v>
      </c>
      <c r="D970" t="s">
        <v>1279</v>
      </c>
      <c r="F970" s="1">
        <v>21207</v>
      </c>
      <c r="G970" t="s">
        <v>2273</v>
      </c>
      <c r="H970" t="s">
        <v>121</v>
      </c>
      <c r="I970" t="s">
        <v>11</v>
      </c>
    </row>
    <row r="971" spans="1:9" x14ac:dyDescent="0.25">
      <c r="A971" s="95">
        <v>970</v>
      </c>
      <c r="B971" t="s">
        <v>1326</v>
      </c>
      <c r="C971" t="s">
        <v>47</v>
      </c>
      <c r="D971" t="s">
        <v>1548</v>
      </c>
      <c r="F971" s="1">
        <v>25959</v>
      </c>
      <c r="G971" t="s">
        <v>2273</v>
      </c>
      <c r="H971" t="s">
        <v>121</v>
      </c>
      <c r="I971" t="s">
        <v>11</v>
      </c>
    </row>
    <row r="972" spans="1:9" x14ac:dyDescent="0.25">
      <c r="A972" s="95">
        <v>971</v>
      </c>
      <c r="B972" t="s">
        <v>1294</v>
      </c>
      <c r="C972" t="s">
        <v>1595</v>
      </c>
      <c r="D972" t="s">
        <v>2429</v>
      </c>
      <c r="F972" s="1">
        <v>28758</v>
      </c>
      <c r="G972" t="s">
        <v>2273</v>
      </c>
      <c r="H972" t="s">
        <v>121</v>
      </c>
      <c r="I972" t="s">
        <v>11</v>
      </c>
    </row>
    <row r="973" spans="1:9" x14ac:dyDescent="0.25">
      <c r="A973" s="95">
        <v>972</v>
      </c>
      <c r="B973" t="s">
        <v>2430</v>
      </c>
      <c r="C973" t="s">
        <v>2431</v>
      </c>
      <c r="D973" t="s">
        <v>2432</v>
      </c>
      <c r="F973" s="1">
        <v>33423</v>
      </c>
      <c r="G973" t="s">
        <v>2273</v>
      </c>
      <c r="H973" t="s">
        <v>121</v>
      </c>
      <c r="I973" t="s">
        <v>11</v>
      </c>
    </row>
    <row r="974" spans="1:9" x14ac:dyDescent="0.25">
      <c r="A974" s="95">
        <v>973</v>
      </c>
      <c r="B974" t="s">
        <v>1294</v>
      </c>
      <c r="C974" t="s">
        <v>2433</v>
      </c>
      <c r="D974" t="s">
        <v>2434</v>
      </c>
      <c r="F974" s="1">
        <v>24649</v>
      </c>
      <c r="G974" t="s">
        <v>2273</v>
      </c>
      <c r="H974" t="s">
        <v>121</v>
      </c>
      <c r="I974" t="s">
        <v>11</v>
      </c>
    </row>
    <row r="975" spans="1:9" x14ac:dyDescent="0.25">
      <c r="A975" s="95">
        <v>974</v>
      </c>
      <c r="B975" t="s">
        <v>1292</v>
      </c>
      <c r="C975" t="s">
        <v>1469</v>
      </c>
      <c r="D975" t="s">
        <v>1470</v>
      </c>
      <c r="F975" s="1">
        <v>46177</v>
      </c>
      <c r="G975" t="s">
        <v>2273</v>
      </c>
      <c r="H975" t="s">
        <v>121</v>
      </c>
      <c r="I975" t="s">
        <v>11</v>
      </c>
    </row>
    <row r="976" spans="1:9" x14ac:dyDescent="0.25">
      <c r="A976" s="95">
        <v>975</v>
      </c>
      <c r="B976" t="s">
        <v>1294</v>
      </c>
      <c r="C976" t="s">
        <v>1389</v>
      </c>
      <c r="D976" t="s">
        <v>1399</v>
      </c>
      <c r="F976" s="1">
        <v>22428</v>
      </c>
      <c r="G976" t="s">
        <v>2273</v>
      </c>
      <c r="H976" t="s">
        <v>121</v>
      </c>
      <c r="I976" t="s">
        <v>11</v>
      </c>
    </row>
    <row r="977" spans="1:9" x14ac:dyDescent="0.25">
      <c r="A977" s="95">
        <v>976</v>
      </c>
      <c r="B977" t="s">
        <v>1269</v>
      </c>
      <c r="C977" t="s">
        <v>306</v>
      </c>
      <c r="D977" t="s">
        <v>1608</v>
      </c>
      <c r="F977" s="1">
        <v>28111</v>
      </c>
      <c r="G977" t="s">
        <v>2273</v>
      </c>
      <c r="H977" t="s">
        <v>121</v>
      </c>
      <c r="I977" t="s">
        <v>11</v>
      </c>
    </row>
    <row r="978" spans="1:9" x14ac:dyDescent="0.25">
      <c r="A978" s="95">
        <v>977</v>
      </c>
      <c r="B978" t="s">
        <v>1276</v>
      </c>
      <c r="C978" t="s">
        <v>2435</v>
      </c>
      <c r="D978" t="s">
        <v>1406</v>
      </c>
      <c r="F978" s="1">
        <v>30116</v>
      </c>
      <c r="G978" t="s">
        <v>2273</v>
      </c>
      <c r="H978" t="s">
        <v>121</v>
      </c>
      <c r="I978" t="s">
        <v>11</v>
      </c>
    </row>
    <row r="979" spans="1:9" x14ac:dyDescent="0.25">
      <c r="A979" s="95">
        <v>978</v>
      </c>
      <c r="B979" t="s">
        <v>1294</v>
      </c>
      <c r="C979" t="s">
        <v>2436</v>
      </c>
      <c r="D979" t="s">
        <v>2437</v>
      </c>
      <c r="F979" s="1">
        <v>33057</v>
      </c>
      <c r="G979" t="s">
        <v>2273</v>
      </c>
      <c r="H979" t="s">
        <v>121</v>
      </c>
      <c r="I979" t="s">
        <v>11</v>
      </c>
    </row>
    <row r="980" spans="1:9" x14ac:dyDescent="0.25">
      <c r="A980" s="95">
        <v>979</v>
      </c>
      <c r="B980" t="s">
        <v>125</v>
      </c>
      <c r="C980" t="s">
        <v>138</v>
      </c>
      <c r="D980" t="s">
        <v>2438</v>
      </c>
      <c r="F980" s="1">
        <v>39378</v>
      </c>
      <c r="G980" t="s">
        <v>2273</v>
      </c>
      <c r="H980" t="s">
        <v>121</v>
      </c>
      <c r="I980" t="s">
        <v>11</v>
      </c>
    </row>
    <row r="981" spans="1:9" x14ac:dyDescent="0.25">
      <c r="A981" s="95">
        <v>980</v>
      </c>
      <c r="B981" t="s">
        <v>962</v>
      </c>
      <c r="C981" t="s">
        <v>570</v>
      </c>
      <c r="D981" t="s">
        <v>121</v>
      </c>
      <c r="F981" s="1">
        <v>24535</v>
      </c>
      <c r="G981" t="s">
        <v>2273</v>
      </c>
      <c r="H981" t="s">
        <v>121</v>
      </c>
      <c r="I981" t="s">
        <v>11</v>
      </c>
    </row>
    <row r="982" spans="1:9" x14ac:dyDescent="0.25">
      <c r="A982" s="95">
        <v>981</v>
      </c>
      <c r="B982" t="s">
        <v>1643</v>
      </c>
      <c r="C982" t="s">
        <v>2439</v>
      </c>
      <c r="D982" t="s">
        <v>2440</v>
      </c>
      <c r="F982" s="1">
        <v>25152</v>
      </c>
      <c r="G982" t="s">
        <v>2273</v>
      </c>
      <c r="H982" t="s">
        <v>121</v>
      </c>
      <c r="I982" t="s">
        <v>11</v>
      </c>
    </row>
    <row r="983" spans="1:9" x14ac:dyDescent="0.25">
      <c r="A983" s="95">
        <v>982</v>
      </c>
      <c r="B983" t="s">
        <v>30</v>
      </c>
      <c r="C983" t="s">
        <v>2441</v>
      </c>
      <c r="D983" t="s">
        <v>1943</v>
      </c>
      <c r="F983" s="1">
        <v>30399</v>
      </c>
      <c r="G983" t="s">
        <v>2273</v>
      </c>
      <c r="H983" t="s">
        <v>121</v>
      </c>
      <c r="I983" t="s">
        <v>11</v>
      </c>
    </row>
    <row r="984" spans="1:9" x14ac:dyDescent="0.25">
      <c r="A984" s="95">
        <v>983</v>
      </c>
      <c r="B984" t="s">
        <v>962</v>
      </c>
      <c r="C984" t="s">
        <v>570</v>
      </c>
      <c r="D984" t="s">
        <v>121</v>
      </c>
      <c r="F984" s="1">
        <v>24535</v>
      </c>
      <c r="G984" t="s">
        <v>2273</v>
      </c>
      <c r="H984" t="s">
        <v>121</v>
      </c>
      <c r="I984" t="s">
        <v>11</v>
      </c>
    </row>
    <row r="985" spans="1:9" x14ac:dyDescent="0.25">
      <c r="A985" s="95">
        <v>984</v>
      </c>
      <c r="B985" t="s">
        <v>1269</v>
      </c>
      <c r="C985" t="s">
        <v>2442</v>
      </c>
      <c r="F985" s="1">
        <v>31664</v>
      </c>
      <c r="G985" t="s">
        <v>2273</v>
      </c>
      <c r="H985" t="s">
        <v>121</v>
      </c>
      <c r="I985" t="s">
        <v>11</v>
      </c>
    </row>
    <row r="986" spans="1:9" x14ac:dyDescent="0.25">
      <c r="A986" s="95">
        <v>985</v>
      </c>
      <c r="B986" t="s">
        <v>2443</v>
      </c>
      <c r="C986" t="s">
        <v>2444</v>
      </c>
      <c r="D986" t="s">
        <v>131</v>
      </c>
      <c r="F986" s="1">
        <v>27314</v>
      </c>
      <c r="G986" t="s">
        <v>2273</v>
      </c>
      <c r="H986" t="s">
        <v>121</v>
      </c>
      <c r="I986" t="s">
        <v>11</v>
      </c>
    </row>
    <row r="987" spans="1:9" x14ac:dyDescent="0.25">
      <c r="A987" s="95">
        <v>986</v>
      </c>
      <c r="B987" t="s">
        <v>1548</v>
      </c>
      <c r="C987" t="s">
        <v>2445</v>
      </c>
      <c r="D987" t="s">
        <v>90</v>
      </c>
      <c r="F987" s="1">
        <v>38540</v>
      </c>
      <c r="G987" t="s">
        <v>2273</v>
      </c>
      <c r="H987" t="s">
        <v>121</v>
      </c>
      <c r="I987" t="s">
        <v>11</v>
      </c>
    </row>
    <row r="988" spans="1:9" x14ac:dyDescent="0.25">
      <c r="A988" s="95">
        <v>987</v>
      </c>
      <c r="B988" t="s">
        <v>1503</v>
      </c>
      <c r="C988" t="s">
        <v>2446</v>
      </c>
      <c r="D988" t="s">
        <v>2447</v>
      </c>
      <c r="F988" s="1">
        <v>30281</v>
      </c>
      <c r="G988" t="s">
        <v>2273</v>
      </c>
      <c r="H988" t="s">
        <v>121</v>
      </c>
      <c r="I988" t="s">
        <v>11</v>
      </c>
    </row>
    <row r="989" spans="1:9" x14ac:dyDescent="0.25">
      <c r="A989" s="95">
        <v>988</v>
      </c>
      <c r="B989" t="s">
        <v>358</v>
      </c>
      <c r="C989" t="s">
        <v>2448</v>
      </c>
      <c r="D989" t="s">
        <v>2449</v>
      </c>
      <c r="F989" s="1">
        <v>30233</v>
      </c>
      <c r="G989" t="s">
        <v>2273</v>
      </c>
      <c r="H989" t="s">
        <v>121</v>
      </c>
      <c r="I989" t="s">
        <v>11</v>
      </c>
    </row>
    <row r="990" spans="1:9" x14ac:dyDescent="0.25">
      <c r="A990" s="95">
        <v>989</v>
      </c>
      <c r="B990" t="s">
        <v>1503</v>
      </c>
      <c r="C990" t="s">
        <v>501</v>
      </c>
      <c r="D990" t="s">
        <v>2450</v>
      </c>
      <c r="F990" s="1">
        <v>31571</v>
      </c>
      <c r="G990" t="s">
        <v>2273</v>
      </c>
      <c r="H990" t="s">
        <v>121</v>
      </c>
      <c r="I990" t="s">
        <v>11</v>
      </c>
    </row>
    <row r="991" spans="1:9" x14ac:dyDescent="0.25">
      <c r="A991" s="95">
        <v>990</v>
      </c>
      <c r="B991" t="s">
        <v>1433</v>
      </c>
      <c r="C991" t="s">
        <v>1553</v>
      </c>
      <c r="D991" t="s">
        <v>112</v>
      </c>
      <c r="F991" s="1">
        <v>31072</v>
      </c>
      <c r="G991" t="s">
        <v>2273</v>
      </c>
      <c r="H991" t="s">
        <v>121</v>
      </c>
      <c r="I991" t="s">
        <v>11</v>
      </c>
    </row>
    <row r="992" spans="1:9" x14ac:dyDescent="0.25">
      <c r="A992" s="95">
        <v>991</v>
      </c>
      <c r="B992" t="s">
        <v>1373</v>
      </c>
      <c r="C992" t="s">
        <v>1361</v>
      </c>
      <c r="D992" t="s">
        <v>2451</v>
      </c>
      <c r="F992" s="1">
        <v>33790</v>
      </c>
      <c r="G992" t="s">
        <v>2273</v>
      </c>
      <c r="H992" t="s">
        <v>121</v>
      </c>
      <c r="I992" t="s">
        <v>11</v>
      </c>
    </row>
    <row r="993" spans="1:9" x14ac:dyDescent="0.25">
      <c r="A993" s="95">
        <v>992</v>
      </c>
      <c r="B993" t="s">
        <v>1326</v>
      </c>
      <c r="C993" t="s">
        <v>2452</v>
      </c>
      <c r="D993" t="s">
        <v>77</v>
      </c>
      <c r="F993" s="1">
        <v>30847</v>
      </c>
      <c r="G993" t="s">
        <v>2273</v>
      </c>
      <c r="H993" t="s">
        <v>121</v>
      </c>
      <c r="I993" t="s">
        <v>11</v>
      </c>
    </row>
    <row r="994" spans="1:9" x14ac:dyDescent="0.25">
      <c r="A994" s="95">
        <v>993</v>
      </c>
      <c r="B994" t="s">
        <v>1452</v>
      </c>
      <c r="C994" t="s">
        <v>2453</v>
      </c>
      <c r="D994" t="s">
        <v>1373</v>
      </c>
      <c r="F994" s="1">
        <v>26415</v>
      </c>
      <c r="G994" t="s">
        <v>2273</v>
      </c>
      <c r="H994" t="s">
        <v>121</v>
      </c>
      <c r="I994" t="s">
        <v>11</v>
      </c>
    </row>
    <row r="995" spans="1:9" x14ac:dyDescent="0.25">
      <c r="A995" s="95">
        <v>994</v>
      </c>
      <c r="B995" t="s">
        <v>1658</v>
      </c>
      <c r="C995" t="s">
        <v>1607</v>
      </c>
      <c r="D995" t="s">
        <v>1548</v>
      </c>
      <c r="F995" s="1">
        <v>22698</v>
      </c>
      <c r="G995" t="s">
        <v>2273</v>
      </c>
      <c r="H995" t="s">
        <v>121</v>
      </c>
      <c r="I995" t="s">
        <v>11</v>
      </c>
    </row>
    <row r="996" spans="1:9" x14ac:dyDescent="0.25">
      <c r="A996" s="95">
        <v>995</v>
      </c>
      <c r="B996" t="s">
        <v>1278</v>
      </c>
      <c r="C996" t="s">
        <v>2455</v>
      </c>
      <c r="D996" t="s">
        <v>2456</v>
      </c>
      <c r="F996" s="1">
        <v>31221</v>
      </c>
      <c r="G996" t="s">
        <v>2273</v>
      </c>
      <c r="H996" t="s">
        <v>121</v>
      </c>
      <c r="I996" t="s">
        <v>11</v>
      </c>
    </row>
    <row r="997" spans="1:9" x14ac:dyDescent="0.25">
      <c r="A997" s="95">
        <v>996</v>
      </c>
      <c r="B997" t="s">
        <v>1292</v>
      </c>
      <c r="C997" t="s">
        <v>2457</v>
      </c>
      <c r="D997" t="s">
        <v>1409</v>
      </c>
      <c r="F997" s="1">
        <v>15804</v>
      </c>
      <c r="G997" t="s">
        <v>2273</v>
      </c>
      <c r="H997" t="s">
        <v>121</v>
      </c>
      <c r="I997" t="s">
        <v>11</v>
      </c>
    </row>
    <row r="998" spans="1:9" x14ac:dyDescent="0.25">
      <c r="A998" s="95">
        <v>997</v>
      </c>
      <c r="B998" t="s">
        <v>1661</v>
      </c>
      <c r="C998" t="s">
        <v>2458</v>
      </c>
      <c r="D998" t="s">
        <v>2459</v>
      </c>
      <c r="F998" s="1">
        <v>29186</v>
      </c>
      <c r="G998" t="s">
        <v>2273</v>
      </c>
      <c r="H998" t="s">
        <v>121</v>
      </c>
      <c r="I998" t="s">
        <v>11</v>
      </c>
    </row>
    <row r="999" spans="1:9" x14ac:dyDescent="0.25">
      <c r="A999" s="95">
        <v>998</v>
      </c>
      <c r="B999" t="s">
        <v>1269</v>
      </c>
      <c r="C999" t="s">
        <v>133</v>
      </c>
      <c r="D999" t="s">
        <v>2460</v>
      </c>
      <c r="F999" s="1">
        <v>27760</v>
      </c>
      <c r="G999" t="s">
        <v>2273</v>
      </c>
      <c r="H999" t="s">
        <v>121</v>
      </c>
      <c r="I999" t="s">
        <v>11</v>
      </c>
    </row>
    <row r="1000" spans="1:9" x14ac:dyDescent="0.25">
      <c r="A1000" s="95">
        <v>999</v>
      </c>
      <c r="B1000" t="s">
        <v>41</v>
      </c>
      <c r="C1000" t="s">
        <v>2461</v>
      </c>
      <c r="D1000" t="s">
        <v>2462</v>
      </c>
      <c r="F1000" s="1">
        <v>34175</v>
      </c>
      <c r="G1000" t="s">
        <v>2273</v>
      </c>
      <c r="H1000" t="s">
        <v>121</v>
      </c>
      <c r="I1000" t="s">
        <v>11</v>
      </c>
    </row>
    <row r="1001" spans="1:9" x14ac:dyDescent="0.25">
      <c r="A1001" s="95">
        <v>1000</v>
      </c>
      <c r="B1001" t="s">
        <v>941</v>
      </c>
      <c r="C1001" t="s">
        <v>2463</v>
      </c>
      <c r="D1001" t="s">
        <v>41</v>
      </c>
      <c r="F1001" s="1">
        <v>25212</v>
      </c>
      <c r="G1001" t="s">
        <v>2273</v>
      </c>
      <c r="H1001" t="s">
        <v>121</v>
      </c>
      <c r="I1001" t="s">
        <v>11</v>
      </c>
    </row>
    <row r="1002" spans="1:9" x14ac:dyDescent="0.25">
      <c r="A1002" s="95">
        <v>1001</v>
      </c>
      <c r="B1002" t="s">
        <v>1339</v>
      </c>
      <c r="C1002" t="s">
        <v>2464</v>
      </c>
      <c r="D1002" t="s">
        <v>1673</v>
      </c>
      <c r="F1002" s="1">
        <v>32471</v>
      </c>
      <c r="G1002" t="s">
        <v>2273</v>
      </c>
      <c r="H1002" t="s">
        <v>121</v>
      </c>
      <c r="I1002" t="s">
        <v>11</v>
      </c>
    </row>
    <row r="1003" spans="1:9" x14ac:dyDescent="0.25">
      <c r="A1003" s="95">
        <v>1002</v>
      </c>
      <c r="B1003" t="s">
        <v>1433</v>
      </c>
      <c r="C1003" t="s">
        <v>1531</v>
      </c>
      <c r="D1003" t="s">
        <v>1269</v>
      </c>
      <c r="F1003" s="1">
        <v>19818</v>
      </c>
      <c r="G1003" t="s">
        <v>2273</v>
      </c>
      <c r="H1003" t="s">
        <v>121</v>
      </c>
      <c r="I1003" t="s">
        <v>11</v>
      </c>
    </row>
    <row r="1004" spans="1:9" x14ac:dyDescent="0.25">
      <c r="A1004" s="95">
        <v>1003</v>
      </c>
      <c r="B1004" t="s">
        <v>1294</v>
      </c>
      <c r="C1004" t="s">
        <v>2465</v>
      </c>
      <c r="D1004" t="s">
        <v>1399</v>
      </c>
      <c r="F1004" s="1">
        <v>32570</v>
      </c>
      <c r="G1004" t="s">
        <v>2273</v>
      </c>
      <c r="H1004" t="s">
        <v>121</v>
      </c>
      <c r="I1004" t="s">
        <v>11</v>
      </c>
    </row>
    <row r="1005" spans="1:9" x14ac:dyDescent="0.25">
      <c r="A1005" s="95">
        <v>1004</v>
      </c>
      <c r="B1005" t="s">
        <v>2466</v>
      </c>
      <c r="C1005" t="s">
        <v>1295</v>
      </c>
      <c r="D1005" t="s">
        <v>2467</v>
      </c>
      <c r="F1005" s="1">
        <v>33942</v>
      </c>
      <c r="G1005" t="s">
        <v>2273</v>
      </c>
      <c r="H1005" t="s">
        <v>121</v>
      </c>
      <c r="I1005" t="s">
        <v>11</v>
      </c>
    </row>
    <row r="1006" spans="1:9" x14ac:dyDescent="0.25">
      <c r="A1006" s="95">
        <v>1005</v>
      </c>
      <c r="B1006" t="s">
        <v>1326</v>
      </c>
      <c r="C1006" t="s">
        <v>2206</v>
      </c>
      <c r="D1006" t="s">
        <v>90</v>
      </c>
      <c r="F1006" s="1">
        <v>20322</v>
      </c>
      <c r="G1006" t="s">
        <v>2273</v>
      </c>
      <c r="H1006" t="s">
        <v>121</v>
      </c>
      <c r="I1006" t="s">
        <v>11</v>
      </c>
    </row>
    <row r="1007" spans="1:9" x14ac:dyDescent="0.25">
      <c r="A1007" s="95">
        <v>1006</v>
      </c>
      <c r="B1007" t="s">
        <v>356</v>
      </c>
      <c r="C1007" t="s">
        <v>2468</v>
      </c>
      <c r="D1007" t="s">
        <v>1294</v>
      </c>
      <c r="F1007" s="1">
        <v>22694</v>
      </c>
      <c r="G1007" t="s">
        <v>2273</v>
      </c>
      <c r="H1007" t="s">
        <v>121</v>
      </c>
      <c r="I1007" t="s">
        <v>11</v>
      </c>
    </row>
    <row r="1008" spans="1:9" x14ac:dyDescent="0.25">
      <c r="A1008" s="95">
        <v>1007</v>
      </c>
      <c r="B1008" t="s">
        <v>1294</v>
      </c>
      <c r="C1008" t="s">
        <v>2469</v>
      </c>
      <c r="D1008" t="s">
        <v>49</v>
      </c>
      <c r="F1008" s="1">
        <v>22334</v>
      </c>
      <c r="G1008" t="s">
        <v>2273</v>
      </c>
      <c r="H1008" t="s">
        <v>121</v>
      </c>
      <c r="I1008" t="s">
        <v>11</v>
      </c>
    </row>
    <row r="1009" spans="1:9" x14ac:dyDescent="0.25">
      <c r="A1009" s="95">
        <v>1008</v>
      </c>
      <c r="B1009" t="s">
        <v>1683</v>
      </c>
      <c r="C1009" t="s">
        <v>791</v>
      </c>
      <c r="D1009" t="s">
        <v>1288</v>
      </c>
      <c r="F1009" s="1">
        <v>26181</v>
      </c>
      <c r="G1009" t="s">
        <v>2273</v>
      </c>
      <c r="H1009" t="s">
        <v>121</v>
      </c>
      <c r="I1009" t="s">
        <v>11</v>
      </c>
    </row>
    <row r="1010" spans="1:9" x14ac:dyDescent="0.25">
      <c r="A1010" s="95">
        <v>1009</v>
      </c>
      <c r="B1010" t="s">
        <v>2470</v>
      </c>
      <c r="C1010" t="s">
        <v>19</v>
      </c>
      <c r="D1010" t="s">
        <v>2471</v>
      </c>
      <c r="F1010" s="1">
        <v>20251</v>
      </c>
      <c r="G1010" t="s">
        <v>2273</v>
      </c>
      <c r="H1010" t="s">
        <v>121</v>
      </c>
      <c r="I1010" t="s">
        <v>11</v>
      </c>
    </row>
    <row r="1011" spans="1:9" x14ac:dyDescent="0.25">
      <c r="A1011" s="95">
        <v>1010</v>
      </c>
      <c r="B1011" t="s">
        <v>358</v>
      </c>
      <c r="C1011" t="s">
        <v>2448</v>
      </c>
      <c r="D1011" t="s">
        <v>2449</v>
      </c>
      <c r="F1011" s="1">
        <v>30233</v>
      </c>
      <c r="G1011" t="s">
        <v>2273</v>
      </c>
      <c r="H1011" t="s">
        <v>121</v>
      </c>
      <c r="I1011" t="s">
        <v>11</v>
      </c>
    </row>
    <row r="1012" spans="1:9" x14ac:dyDescent="0.25">
      <c r="A1012" s="95">
        <v>1011</v>
      </c>
      <c r="B1012" t="s">
        <v>1292</v>
      </c>
      <c r="C1012" t="s">
        <v>2457</v>
      </c>
      <c r="D1012" t="s">
        <v>426</v>
      </c>
      <c r="F1012" s="1">
        <v>15804</v>
      </c>
      <c r="G1012" t="s">
        <v>2273</v>
      </c>
      <c r="H1012" t="s">
        <v>121</v>
      </c>
      <c r="I1012" t="s">
        <v>11</v>
      </c>
    </row>
    <row r="1013" spans="1:9" x14ac:dyDescent="0.25">
      <c r="A1013" s="95">
        <v>1012</v>
      </c>
      <c r="B1013" t="s">
        <v>59</v>
      </c>
      <c r="C1013" t="s">
        <v>2472</v>
      </c>
      <c r="D1013" t="s">
        <v>2473</v>
      </c>
      <c r="F1013" s="1">
        <v>32680</v>
      </c>
      <c r="G1013" t="s">
        <v>2275</v>
      </c>
      <c r="H1013" t="s">
        <v>121</v>
      </c>
      <c r="I1013" t="s">
        <v>11</v>
      </c>
    </row>
    <row r="1014" spans="1:9" x14ac:dyDescent="0.25">
      <c r="A1014" s="95">
        <v>1013</v>
      </c>
      <c r="B1014" t="s">
        <v>1693</v>
      </c>
      <c r="C1014" t="s">
        <v>2474</v>
      </c>
      <c r="D1014" t="s">
        <v>2475</v>
      </c>
      <c r="F1014" s="1">
        <v>32603</v>
      </c>
      <c r="G1014" t="s">
        <v>2275</v>
      </c>
      <c r="H1014" t="s">
        <v>121</v>
      </c>
      <c r="I1014" t="s">
        <v>11</v>
      </c>
    </row>
    <row r="1015" spans="1:9" x14ac:dyDescent="0.25">
      <c r="A1015" s="95">
        <v>1014</v>
      </c>
      <c r="B1015" t="s">
        <v>1503</v>
      </c>
      <c r="C1015" t="s">
        <v>2476</v>
      </c>
      <c r="D1015" t="s">
        <v>1618</v>
      </c>
      <c r="F1015" s="1">
        <v>22786</v>
      </c>
      <c r="G1015" t="s">
        <v>2273</v>
      </c>
      <c r="H1015" t="s">
        <v>121</v>
      </c>
      <c r="I1015" t="s">
        <v>11</v>
      </c>
    </row>
    <row r="1016" spans="1:9" x14ac:dyDescent="0.25">
      <c r="A1016" s="95">
        <v>1015</v>
      </c>
      <c r="B1016" t="s">
        <v>176</v>
      </c>
      <c r="C1016" t="s">
        <v>2477</v>
      </c>
      <c r="D1016" t="s">
        <v>2478</v>
      </c>
      <c r="F1016" s="1">
        <v>26548</v>
      </c>
      <c r="G1016" t="s">
        <v>2275</v>
      </c>
      <c r="H1016" t="s">
        <v>121</v>
      </c>
      <c r="I1016" t="s">
        <v>11</v>
      </c>
    </row>
    <row r="1017" spans="1:9" x14ac:dyDescent="0.25">
      <c r="A1017" s="95">
        <v>1016</v>
      </c>
      <c r="B1017" t="s">
        <v>1698</v>
      </c>
      <c r="C1017" t="s">
        <v>2479</v>
      </c>
      <c r="D1017" t="s">
        <v>2480</v>
      </c>
      <c r="F1017" s="1">
        <v>30175</v>
      </c>
      <c r="G1017" t="s">
        <v>2275</v>
      </c>
      <c r="H1017" t="s">
        <v>121</v>
      </c>
      <c r="I1017" t="s">
        <v>11</v>
      </c>
    </row>
    <row r="1018" spans="1:9" x14ac:dyDescent="0.25">
      <c r="A1018" s="95">
        <v>1017</v>
      </c>
      <c r="B1018" t="s">
        <v>1284</v>
      </c>
      <c r="C1018" t="s">
        <v>1755</v>
      </c>
      <c r="D1018" t="s">
        <v>1756</v>
      </c>
      <c r="F1018" s="1">
        <v>33189</v>
      </c>
      <c r="G1018" t="s">
        <v>2272</v>
      </c>
      <c r="H1018" t="s">
        <v>121</v>
      </c>
      <c r="I1018" t="s">
        <v>11</v>
      </c>
    </row>
    <row r="1019" spans="1:9" x14ac:dyDescent="0.25">
      <c r="A1019" s="95">
        <v>1018</v>
      </c>
      <c r="B1019" t="s">
        <v>911</v>
      </c>
      <c r="C1019" t="s">
        <v>2452</v>
      </c>
      <c r="D1019" t="s">
        <v>2359</v>
      </c>
      <c r="F1019" s="1">
        <v>37002</v>
      </c>
      <c r="G1019" t="s">
        <v>2272</v>
      </c>
      <c r="H1019" t="s">
        <v>121</v>
      </c>
      <c r="I1019" t="s">
        <v>11</v>
      </c>
    </row>
    <row r="1020" spans="1:9" x14ac:dyDescent="0.25">
      <c r="A1020" s="95">
        <v>1019</v>
      </c>
      <c r="B1020" t="s">
        <v>1712</v>
      </c>
      <c r="C1020" t="s">
        <v>2481</v>
      </c>
      <c r="D1020" t="s">
        <v>2482</v>
      </c>
      <c r="F1020" s="1">
        <v>35730</v>
      </c>
      <c r="G1020" t="s">
        <v>2272</v>
      </c>
      <c r="H1020" t="s">
        <v>121</v>
      </c>
      <c r="I1020" t="s">
        <v>11</v>
      </c>
    </row>
    <row r="1021" spans="1:9" x14ac:dyDescent="0.25">
      <c r="A1021" s="95">
        <v>1020</v>
      </c>
      <c r="B1021" t="s">
        <v>1715</v>
      </c>
      <c r="C1021" t="s">
        <v>2483</v>
      </c>
      <c r="F1021" s="1">
        <v>29264</v>
      </c>
      <c r="G1021" t="s">
        <v>2272</v>
      </c>
      <c r="H1021" t="s">
        <v>121</v>
      </c>
      <c r="I1021" t="s">
        <v>11</v>
      </c>
    </row>
    <row r="1022" spans="1:9" x14ac:dyDescent="0.25">
      <c r="A1022" s="95">
        <v>1021</v>
      </c>
      <c r="B1022" t="s">
        <v>1716</v>
      </c>
      <c r="C1022" t="s">
        <v>2484</v>
      </c>
      <c r="F1022" s="1">
        <v>21373</v>
      </c>
      <c r="G1022" t="s">
        <v>2275</v>
      </c>
      <c r="H1022" t="s">
        <v>121</v>
      </c>
      <c r="I1022" t="s">
        <v>11</v>
      </c>
    </row>
    <row r="1023" spans="1:9" x14ac:dyDescent="0.25">
      <c r="A1023" s="95">
        <v>1022</v>
      </c>
      <c r="B1023" t="s">
        <v>1729</v>
      </c>
      <c r="C1023" t="s">
        <v>162</v>
      </c>
      <c r="F1023" s="1">
        <v>29871</v>
      </c>
      <c r="G1023" t="s">
        <v>2272</v>
      </c>
      <c r="H1023" t="s">
        <v>121</v>
      </c>
      <c r="I1023" t="s">
        <v>11</v>
      </c>
    </row>
    <row r="1024" spans="1:9" x14ac:dyDescent="0.25">
      <c r="A1024" s="95">
        <v>1023</v>
      </c>
      <c r="B1024" t="s">
        <v>1275</v>
      </c>
      <c r="C1024" t="s">
        <v>2485</v>
      </c>
      <c r="F1024" s="1">
        <v>27875</v>
      </c>
      <c r="G1024" t="s">
        <v>2272</v>
      </c>
      <c r="H1024" t="s">
        <v>121</v>
      </c>
      <c r="I1024" t="s">
        <v>11</v>
      </c>
    </row>
    <row r="1025" spans="1:9" x14ac:dyDescent="0.25">
      <c r="A1025" s="95">
        <v>1024</v>
      </c>
      <c r="B1025" t="s">
        <v>1731</v>
      </c>
      <c r="C1025" t="s">
        <v>1699</v>
      </c>
      <c r="F1025" s="1">
        <v>26794</v>
      </c>
      <c r="G1025" t="s">
        <v>2272</v>
      </c>
      <c r="H1025" t="s">
        <v>121</v>
      </c>
      <c r="I1025" t="s">
        <v>11</v>
      </c>
    </row>
    <row r="1026" spans="1:9" x14ac:dyDescent="0.25">
      <c r="A1026" s="95">
        <v>1025</v>
      </c>
      <c r="B1026" t="s">
        <v>1701</v>
      </c>
      <c r="C1026" t="s">
        <v>2486</v>
      </c>
      <c r="D1026" t="s">
        <v>2487</v>
      </c>
      <c r="F1026" s="1">
        <v>26086</v>
      </c>
      <c r="G1026" t="s">
        <v>2272</v>
      </c>
      <c r="H1026" t="s">
        <v>121</v>
      </c>
      <c r="I1026" t="s">
        <v>11</v>
      </c>
    </row>
    <row r="1027" spans="1:9" x14ac:dyDescent="0.25">
      <c r="A1027" s="95">
        <v>1026</v>
      </c>
      <c r="B1027" t="s">
        <v>89</v>
      </c>
      <c r="C1027" t="s">
        <v>2488</v>
      </c>
      <c r="D1027" t="s">
        <v>1929</v>
      </c>
      <c r="F1027" s="1">
        <v>20330</v>
      </c>
      <c r="G1027" t="s">
        <v>2272</v>
      </c>
      <c r="H1027" t="s">
        <v>121</v>
      </c>
      <c r="I1027" t="s">
        <v>11</v>
      </c>
    </row>
    <row r="1028" spans="1:9" x14ac:dyDescent="0.25">
      <c r="A1028" s="95">
        <v>1027</v>
      </c>
      <c r="B1028" t="s">
        <v>1275</v>
      </c>
      <c r="C1028" t="s">
        <v>338</v>
      </c>
      <c r="F1028" s="1">
        <v>22801</v>
      </c>
      <c r="G1028" t="s">
        <v>2272</v>
      </c>
      <c r="H1028" t="s">
        <v>121</v>
      </c>
      <c r="I1028" t="s">
        <v>11</v>
      </c>
    </row>
    <row r="1029" spans="1:9" x14ac:dyDescent="0.25">
      <c r="A1029" s="95">
        <v>1028</v>
      </c>
      <c r="B1029" t="s">
        <v>2489</v>
      </c>
      <c r="C1029" t="s">
        <v>2083</v>
      </c>
      <c r="F1029" s="1">
        <v>26074</v>
      </c>
      <c r="G1029" t="s">
        <v>2272</v>
      </c>
      <c r="H1029" t="s">
        <v>121</v>
      </c>
      <c r="I1029" t="s">
        <v>11</v>
      </c>
    </row>
    <row r="1030" spans="1:9" x14ac:dyDescent="0.25">
      <c r="A1030" s="95">
        <v>1029</v>
      </c>
      <c r="B1030" t="s">
        <v>356</v>
      </c>
      <c r="C1030" t="s">
        <v>141</v>
      </c>
      <c r="F1030" s="1">
        <v>25259</v>
      </c>
      <c r="G1030" t="s">
        <v>2272</v>
      </c>
      <c r="H1030" t="s">
        <v>121</v>
      </c>
      <c r="I1030" t="s">
        <v>11</v>
      </c>
    </row>
    <row r="1031" spans="1:9" x14ac:dyDescent="0.25">
      <c r="A1031" s="95">
        <v>1030</v>
      </c>
      <c r="B1031" t="s">
        <v>1745</v>
      </c>
      <c r="C1031" t="s">
        <v>2490</v>
      </c>
      <c r="D1031" t="s">
        <v>2491</v>
      </c>
      <c r="F1031" s="1">
        <v>33051</v>
      </c>
      <c r="G1031" t="s">
        <v>2272</v>
      </c>
      <c r="H1031" t="s">
        <v>121</v>
      </c>
      <c r="I1031" t="s">
        <v>11</v>
      </c>
    </row>
    <row r="1032" spans="1:9" x14ac:dyDescent="0.25">
      <c r="A1032" s="95">
        <v>1031</v>
      </c>
      <c r="B1032" t="s">
        <v>1748</v>
      </c>
      <c r="C1032" t="s">
        <v>1361</v>
      </c>
      <c r="F1032" s="1">
        <v>27038</v>
      </c>
      <c r="G1032" t="s">
        <v>2272</v>
      </c>
      <c r="H1032" t="s">
        <v>121</v>
      </c>
      <c r="I1032" t="s">
        <v>11</v>
      </c>
    </row>
    <row r="1033" spans="1:9" x14ac:dyDescent="0.25">
      <c r="A1033" s="95">
        <v>1032</v>
      </c>
      <c r="B1033" t="s">
        <v>918</v>
      </c>
      <c r="C1033" t="s">
        <v>80</v>
      </c>
      <c r="D1033" t="s">
        <v>2492</v>
      </c>
      <c r="F1033" s="1">
        <v>27198</v>
      </c>
      <c r="G1033" t="s">
        <v>2272</v>
      </c>
      <c r="H1033" t="s">
        <v>121</v>
      </c>
      <c r="I1033" t="s">
        <v>11</v>
      </c>
    </row>
    <row r="1034" spans="1:9" x14ac:dyDescent="0.25">
      <c r="A1034" s="95">
        <v>1033</v>
      </c>
      <c r="B1034" t="s">
        <v>1752</v>
      </c>
      <c r="C1034" t="s">
        <v>2493</v>
      </c>
      <c r="E1034" t="s">
        <v>76</v>
      </c>
      <c r="F1034" s="1">
        <v>17222</v>
      </c>
      <c r="G1034" t="s">
        <v>2272</v>
      </c>
      <c r="H1034" t="s">
        <v>121</v>
      </c>
      <c r="I1034" t="s">
        <v>11</v>
      </c>
    </row>
    <row r="1035" spans="1:9" x14ac:dyDescent="0.25">
      <c r="A1035" s="95">
        <v>1034</v>
      </c>
      <c r="B1035" t="s">
        <v>1480</v>
      </c>
      <c r="C1035" t="s">
        <v>2494</v>
      </c>
      <c r="D1035" t="s">
        <v>2495</v>
      </c>
      <c r="F1035" s="1">
        <v>28938</v>
      </c>
      <c r="G1035" t="s">
        <v>2273</v>
      </c>
      <c r="H1035" t="s">
        <v>121</v>
      </c>
      <c r="I1035" t="s">
        <v>11</v>
      </c>
    </row>
    <row r="1036" spans="1:9" x14ac:dyDescent="0.25">
      <c r="A1036" s="95">
        <v>1035</v>
      </c>
      <c r="B1036" t="s">
        <v>1417</v>
      </c>
      <c r="C1036" t="s">
        <v>1367</v>
      </c>
      <c r="D1036" t="s">
        <v>2496</v>
      </c>
      <c r="F1036" s="1">
        <v>33468</v>
      </c>
      <c r="G1036" t="s">
        <v>2272</v>
      </c>
      <c r="H1036" t="s">
        <v>121</v>
      </c>
      <c r="I1036" t="s">
        <v>11</v>
      </c>
    </row>
    <row r="1037" spans="1:9" x14ac:dyDescent="0.25">
      <c r="A1037" s="95">
        <v>1036</v>
      </c>
      <c r="B1037" t="s">
        <v>390</v>
      </c>
      <c r="C1037" t="s">
        <v>2497</v>
      </c>
      <c r="D1037" t="s">
        <v>941</v>
      </c>
      <c r="F1037" s="1">
        <v>30263</v>
      </c>
      <c r="G1037" t="s">
        <v>2272</v>
      </c>
      <c r="H1037" t="s">
        <v>121</v>
      </c>
      <c r="I1037" t="s">
        <v>11</v>
      </c>
    </row>
    <row r="1038" spans="1:9" x14ac:dyDescent="0.25">
      <c r="A1038" s="95">
        <v>1037</v>
      </c>
      <c r="B1038" t="s">
        <v>737</v>
      </c>
      <c r="C1038" t="s">
        <v>2498</v>
      </c>
      <c r="D1038" t="s">
        <v>2499</v>
      </c>
      <c r="F1038" s="1">
        <v>37730</v>
      </c>
      <c r="G1038" t="s">
        <v>2272</v>
      </c>
      <c r="H1038" t="s">
        <v>121</v>
      </c>
      <c r="I1038" t="s">
        <v>11</v>
      </c>
    </row>
    <row r="1039" spans="1:9" x14ac:dyDescent="0.25">
      <c r="A1039" s="95">
        <v>1038</v>
      </c>
      <c r="B1039" t="s">
        <v>941</v>
      </c>
      <c r="C1039" t="s">
        <v>899</v>
      </c>
      <c r="F1039" s="1">
        <v>32033</v>
      </c>
      <c r="G1039" t="s">
        <v>2272</v>
      </c>
      <c r="H1039" t="s">
        <v>121</v>
      </c>
      <c r="I1039" t="s">
        <v>11</v>
      </c>
    </row>
    <row r="1040" spans="1:9" x14ac:dyDescent="0.25">
      <c r="A1040" s="95">
        <v>1039</v>
      </c>
      <c r="B1040" t="s">
        <v>188</v>
      </c>
      <c r="C1040" t="s">
        <v>72</v>
      </c>
      <c r="D1040" t="s">
        <v>2487</v>
      </c>
      <c r="F1040" s="1">
        <v>27286</v>
      </c>
      <c r="G1040" t="s">
        <v>2272</v>
      </c>
      <c r="H1040" t="s">
        <v>121</v>
      </c>
      <c r="I1040" t="s">
        <v>11</v>
      </c>
    </row>
    <row r="1041" spans="1:9" x14ac:dyDescent="0.25">
      <c r="A1041" s="95">
        <v>1040</v>
      </c>
      <c r="B1041" t="s">
        <v>2500</v>
      </c>
      <c r="C1041" t="s">
        <v>2501</v>
      </c>
      <c r="F1041" s="1">
        <v>37352</v>
      </c>
      <c r="G1041" t="s">
        <v>2272</v>
      </c>
      <c r="H1041" t="s">
        <v>121</v>
      </c>
      <c r="I1041" t="s">
        <v>11</v>
      </c>
    </row>
    <row r="1042" spans="1:9" x14ac:dyDescent="0.25">
      <c r="A1042" s="95">
        <v>1041</v>
      </c>
      <c r="B1042" t="s">
        <v>1758</v>
      </c>
      <c r="C1042" t="s">
        <v>2502</v>
      </c>
      <c r="F1042" s="1">
        <v>28034</v>
      </c>
      <c r="G1042" t="s">
        <v>2272</v>
      </c>
      <c r="H1042" t="s">
        <v>121</v>
      </c>
      <c r="I1042" t="s">
        <v>11</v>
      </c>
    </row>
    <row r="1043" spans="1:9" x14ac:dyDescent="0.25">
      <c r="A1043" s="95">
        <v>1042</v>
      </c>
      <c r="B1043" t="s">
        <v>157</v>
      </c>
      <c r="C1043" t="s">
        <v>2503</v>
      </c>
      <c r="F1043" s="1">
        <v>24472</v>
      </c>
      <c r="G1043" t="s">
        <v>2272</v>
      </c>
      <c r="H1043" t="s">
        <v>121</v>
      </c>
      <c r="I1043" t="s">
        <v>11</v>
      </c>
    </row>
    <row r="1044" spans="1:9" x14ac:dyDescent="0.25">
      <c r="A1044" s="95">
        <v>1043</v>
      </c>
      <c r="B1044" t="s">
        <v>1775</v>
      </c>
      <c r="C1044" t="s">
        <v>2457</v>
      </c>
      <c r="D1044" t="s">
        <v>2487</v>
      </c>
      <c r="F1044" s="1">
        <v>23607</v>
      </c>
      <c r="G1044" t="s">
        <v>2272</v>
      </c>
      <c r="H1044" t="s">
        <v>121</v>
      </c>
      <c r="I1044" t="s">
        <v>11</v>
      </c>
    </row>
    <row r="1045" spans="1:9" x14ac:dyDescent="0.25">
      <c r="A1045" s="95">
        <v>1044</v>
      </c>
      <c r="B1045" t="s">
        <v>1778</v>
      </c>
      <c r="C1045" t="s">
        <v>2504</v>
      </c>
      <c r="D1045" t="s">
        <v>2505</v>
      </c>
      <c r="F1045" s="1">
        <v>28357</v>
      </c>
      <c r="G1045" t="s">
        <v>2272</v>
      </c>
      <c r="H1045" t="s">
        <v>121</v>
      </c>
      <c r="I1045" t="s">
        <v>11</v>
      </c>
    </row>
    <row r="1046" spans="1:9" x14ac:dyDescent="0.25">
      <c r="A1046" s="95">
        <v>1045</v>
      </c>
      <c r="B1046" t="s">
        <v>1781</v>
      </c>
      <c r="C1046" t="s">
        <v>2506</v>
      </c>
      <c r="F1046" s="1">
        <v>30910</v>
      </c>
      <c r="G1046" t="s">
        <v>2272</v>
      </c>
      <c r="H1046" t="s">
        <v>121</v>
      </c>
      <c r="I1046" t="s">
        <v>11</v>
      </c>
    </row>
    <row r="1047" spans="1:9" x14ac:dyDescent="0.25">
      <c r="A1047" s="95">
        <v>1046</v>
      </c>
      <c r="B1047" t="s">
        <v>1275</v>
      </c>
      <c r="C1047" t="s">
        <v>2507</v>
      </c>
      <c r="D1047" t="s">
        <v>2508</v>
      </c>
      <c r="F1047" s="1">
        <v>29578</v>
      </c>
      <c r="G1047" t="s">
        <v>2272</v>
      </c>
      <c r="H1047" t="s">
        <v>121</v>
      </c>
      <c r="I1047" t="s">
        <v>11</v>
      </c>
    </row>
    <row r="1048" spans="1:9" x14ac:dyDescent="0.25">
      <c r="A1048" s="95">
        <v>1047</v>
      </c>
      <c r="B1048" t="s">
        <v>117</v>
      </c>
      <c r="C1048" t="s">
        <v>2509</v>
      </c>
      <c r="F1048" s="1">
        <v>33705</v>
      </c>
      <c r="G1048" t="s">
        <v>2272</v>
      </c>
      <c r="H1048" t="s">
        <v>121</v>
      </c>
      <c r="I1048" t="s">
        <v>11</v>
      </c>
    </row>
    <row r="1049" spans="1:9" x14ac:dyDescent="0.25">
      <c r="A1049" s="95">
        <v>1048</v>
      </c>
      <c r="B1049" t="s">
        <v>1279</v>
      </c>
      <c r="C1049" t="s">
        <v>2510</v>
      </c>
      <c r="F1049" s="1">
        <v>34732</v>
      </c>
      <c r="G1049" t="s">
        <v>2272</v>
      </c>
      <c r="H1049" t="s">
        <v>121</v>
      </c>
      <c r="I1049" t="s">
        <v>11</v>
      </c>
    </row>
    <row r="1050" spans="1:9" x14ac:dyDescent="0.25">
      <c r="A1050" s="95">
        <v>1049</v>
      </c>
      <c r="B1050" t="s">
        <v>1790</v>
      </c>
      <c r="C1050" t="s">
        <v>2511</v>
      </c>
      <c r="D1050" t="s">
        <v>2512</v>
      </c>
      <c r="F1050" s="1">
        <v>34713</v>
      </c>
      <c r="G1050" t="s">
        <v>2272</v>
      </c>
      <c r="H1050" t="s">
        <v>121</v>
      </c>
      <c r="I1050" t="s">
        <v>11</v>
      </c>
    </row>
    <row r="1051" spans="1:9" x14ac:dyDescent="0.25">
      <c r="A1051" s="95">
        <v>1050</v>
      </c>
      <c r="B1051" t="s">
        <v>1792</v>
      </c>
      <c r="C1051" t="s">
        <v>465</v>
      </c>
      <c r="F1051" s="1">
        <v>21395</v>
      </c>
      <c r="G1051" t="s">
        <v>2272</v>
      </c>
      <c r="H1051" t="s">
        <v>121</v>
      </c>
      <c r="I1051" t="s">
        <v>11</v>
      </c>
    </row>
    <row r="1052" spans="1:9" x14ac:dyDescent="0.25">
      <c r="A1052" s="95">
        <v>1051</v>
      </c>
      <c r="B1052" t="s">
        <v>1794</v>
      </c>
      <c r="C1052" t="s">
        <v>722</v>
      </c>
      <c r="F1052" s="1">
        <v>23553</v>
      </c>
      <c r="G1052" t="s">
        <v>2272</v>
      </c>
      <c r="H1052" t="s">
        <v>121</v>
      </c>
      <c r="I1052" t="s">
        <v>11</v>
      </c>
    </row>
    <row r="1053" spans="1:9" x14ac:dyDescent="0.25">
      <c r="A1053" s="95">
        <v>1052</v>
      </c>
      <c r="B1053" t="s">
        <v>1275</v>
      </c>
      <c r="C1053" t="s">
        <v>2513</v>
      </c>
      <c r="D1053" t="s">
        <v>2514</v>
      </c>
      <c r="F1053" s="1">
        <v>27378</v>
      </c>
      <c r="G1053" t="s">
        <v>2272</v>
      </c>
      <c r="H1053" t="s">
        <v>121</v>
      </c>
      <c r="I1053" t="s">
        <v>11</v>
      </c>
    </row>
    <row r="1054" spans="1:9" x14ac:dyDescent="0.25">
      <c r="A1054" s="95">
        <v>1053</v>
      </c>
      <c r="B1054" t="s">
        <v>1797</v>
      </c>
      <c r="C1054" t="s">
        <v>2515</v>
      </c>
      <c r="D1054" t="s">
        <v>2516</v>
      </c>
      <c r="F1054" s="1">
        <v>44331</v>
      </c>
      <c r="G1054" t="s">
        <v>2272</v>
      </c>
      <c r="H1054" t="s">
        <v>121</v>
      </c>
      <c r="I1054" t="s">
        <v>11</v>
      </c>
    </row>
    <row r="1055" spans="1:9" x14ac:dyDescent="0.25">
      <c r="A1055" s="95">
        <v>1054</v>
      </c>
      <c r="B1055" t="s">
        <v>1799</v>
      </c>
      <c r="C1055" t="s">
        <v>1964</v>
      </c>
      <c r="F1055" s="1">
        <v>32586</v>
      </c>
      <c r="G1055" t="s">
        <v>2272</v>
      </c>
      <c r="H1055" t="s">
        <v>121</v>
      </c>
      <c r="I1055" t="s">
        <v>11</v>
      </c>
    </row>
    <row r="1056" spans="1:9" x14ac:dyDescent="0.25">
      <c r="A1056" s="95">
        <v>1055</v>
      </c>
      <c r="B1056" t="s">
        <v>38</v>
      </c>
      <c r="C1056" t="s">
        <v>338</v>
      </c>
      <c r="F1056" s="1">
        <v>28711</v>
      </c>
      <c r="G1056" t="s">
        <v>2272</v>
      </c>
      <c r="H1056" t="s">
        <v>121</v>
      </c>
      <c r="I1056" t="s">
        <v>11</v>
      </c>
    </row>
    <row r="1057" spans="1:9" x14ac:dyDescent="0.25">
      <c r="A1057" s="95">
        <v>1056</v>
      </c>
      <c r="B1057" t="s">
        <v>2056</v>
      </c>
      <c r="C1057" t="s">
        <v>2517</v>
      </c>
      <c r="F1057" s="1">
        <v>35242</v>
      </c>
      <c r="G1057" t="s">
        <v>2272</v>
      </c>
      <c r="H1057" t="s">
        <v>121</v>
      </c>
      <c r="I1057" t="s">
        <v>11</v>
      </c>
    </row>
    <row r="1058" spans="1:9" x14ac:dyDescent="0.25">
      <c r="A1058" s="95">
        <v>1057</v>
      </c>
      <c r="B1058" t="s">
        <v>1808</v>
      </c>
      <c r="C1058" t="s">
        <v>2518</v>
      </c>
      <c r="F1058" s="1">
        <v>25765</v>
      </c>
      <c r="G1058" t="s">
        <v>2272</v>
      </c>
      <c r="H1058" t="s">
        <v>121</v>
      </c>
      <c r="I1058" t="s">
        <v>11</v>
      </c>
    </row>
    <row r="1059" spans="1:9" x14ac:dyDescent="0.25">
      <c r="A1059" s="95">
        <v>1058</v>
      </c>
      <c r="B1059" t="s">
        <v>941</v>
      </c>
      <c r="C1059" t="s">
        <v>2519</v>
      </c>
      <c r="D1059" t="s">
        <v>2516</v>
      </c>
      <c r="F1059" s="1">
        <v>35403</v>
      </c>
      <c r="G1059" t="s">
        <v>2272</v>
      </c>
      <c r="H1059" t="s">
        <v>121</v>
      </c>
      <c r="I1059" t="s">
        <v>11</v>
      </c>
    </row>
    <row r="1060" spans="1:9" x14ac:dyDescent="0.25">
      <c r="A1060" s="95">
        <v>1059</v>
      </c>
      <c r="B1060" t="s">
        <v>1815</v>
      </c>
      <c r="C1060" t="s">
        <v>84</v>
      </c>
      <c r="F1060" s="1">
        <v>32990</v>
      </c>
      <c r="G1060" t="s">
        <v>2272</v>
      </c>
      <c r="H1060" t="s">
        <v>121</v>
      </c>
      <c r="I1060" t="s">
        <v>11</v>
      </c>
    </row>
    <row r="1061" spans="1:9" x14ac:dyDescent="0.25">
      <c r="A1061" s="95">
        <v>1060</v>
      </c>
      <c r="B1061" t="s">
        <v>1816</v>
      </c>
      <c r="C1061" t="s">
        <v>2520</v>
      </c>
      <c r="E1061" t="s">
        <v>22</v>
      </c>
      <c r="F1061" s="1">
        <v>24580</v>
      </c>
      <c r="G1061" t="s">
        <v>2272</v>
      </c>
      <c r="H1061" t="s">
        <v>121</v>
      </c>
      <c r="I1061" t="s">
        <v>11</v>
      </c>
    </row>
    <row r="1062" spans="1:9" x14ac:dyDescent="0.25">
      <c r="A1062" s="95">
        <v>1061</v>
      </c>
      <c r="B1062" t="s">
        <v>1818</v>
      </c>
      <c r="C1062" t="s">
        <v>2344</v>
      </c>
      <c r="D1062" t="s">
        <v>2521</v>
      </c>
      <c r="F1062" s="1">
        <v>22925</v>
      </c>
      <c r="G1062" t="s">
        <v>2272</v>
      </c>
      <c r="H1062" t="s">
        <v>121</v>
      </c>
      <c r="I1062" t="s">
        <v>11</v>
      </c>
    </row>
    <row r="1063" spans="1:9" x14ac:dyDescent="0.25">
      <c r="A1063" s="95">
        <v>1062</v>
      </c>
      <c r="B1063" t="s">
        <v>1820</v>
      </c>
      <c r="C1063" t="s">
        <v>2300</v>
      </c>
      <c r="F1063" s="1">
        <v>33632</v>
      </c>
      <c r="G1063" t="s">
        <v>2272</v>
      </c>
      <c r="H1063" t="s">
        <v>121</v>
      </c>
      <c r="I1063" t="s">
        <v>11</v>
      </c>
    </row>
    <row r="1064" spans="1:9" x14ac:dyDescent="0.25">
      <c r="A1064" s="95">
        <v>1063</v>
      </c>
      <c r="B1064" t="s">
        <v>1823</v>
      </c>
      <c r="C1064" t="s">
        <v>2522</v>
      </c>
      <c r="F1064" s="1">
        <v>33644</v>
      </c>
      <c r="G1064" t="s">
        <v>2272</v>
      </c>
      <c r="H1064" t="s">
        <v>121</v>
      </c>
      <c r="I1064" t="s">
        <v>11</v>
      </c>
    </row>
    <row r="1065" spans="1:9" x14ac:dyDescent="0.25">
      <c r="A1065" s="95">
        <v>1064</v>
      </c>
      <c r="B1065" t="s">
        <v>188</v>
      </c>
      <c r="C1065" t="s">
        <v>383</v>
      </c>
      <c r="F1065" s="1">
        <v>19898</v>
      </c>
      <c r="G1065" t="s">
        <v>2272</v>
      </c>
      <c r="H1065" t="s">
        <v>121</v>
      </c>
      <c r="I1065" t="s">
        <v>11</v>
      </c>
    </row>
    <row r="1066" spans="1:9" x14ac:dyDescent="0.25">
      <c r="A1066" s="95">
        <v>1065</v>
      </c>
      <c r="B1066" t="s">
        <v>38</v>
      </c>
      <c r="C1066" t="s">
        <v>2523</v>
      </c>
      <c r="F1066" s="1">
        <v>29783</v>
      </c>
      <c r="G1066" t="s">
        <v>2272</v>
      </c>
      <c r="H1066" t="s">
        <v>121</v>
      </c>
      <c r="I1066" t="s">
        <v>11</v>
      </c>
    </row>
    <row r="1067" spans="1:9" x14ac:dyDescent="0.25">
      <c r="A1067" s="95">
        <v>1066</v>
      </c>
      <c r="B1067" t="s">
        <v>53</v>
      </c>
      <c r="C1067" t="s">
        <v>2524</v>
      </c>
      <c r="F1067" s="1">
        <v>33768</v>
      </c>
      <c r="G1067" t="s">
        <v>2272</v>
      </c>
      <c r="H1067" t="s">
        <v>121</v>
      </c>
      <c r="I1067" t="s">
        <v>11</v>
      </c>
    </row>
    <row r="1068" spans="1:9" x14ac:dyDescent="0.25">
      <c r="A1068" s="95">
        <v>1067</v>
      </c>
      <c r="B1068" t="s">
        <v>2525</v>
      </c>
      <c r="C1068" t="s">
        <v>2526</v>
      </c>
      <c r="F1068" s="1">
        <v>24354</v>
      </c>
      <c r="G1068" t="s">
        <v>2272</v>
      </c>
      <c r="H1068" t="s">
        <v>121</v>
      </c>
      <c r="I1068" t="s">
        <v>11</v>
      </c>
    </row>
    <row r="1069" spans="1:9" x14ac:dyDescent="0.25">
      <c r="A1069" s="95">
        <v>1068</v>
      </c>
      <c r="B1069" t="s">
        <v>1833</v>
      </c>
      <c r="C1069" t="s">
        <v>2527</v>
      </c>
      <c r="F1069" s="1">
        <v>33768</v>
      </c>
      <c r="G1069" t="s">
        <v>2272</v>
      </c>
      <c r="H1069" t="s">
        <v>121</v>
      </c>
      <c r="I1069" t="s">
        <v>11</v>
      </c>
    </row>
    <row r="1070" spans="1:9" x14ac:dyDescent="0.25">
      <c r="A1070" s="95">
        <v>1069</v>
      </c>
      <c r="B1070" t="s">
        <v>1773</v>
      </c>
      <c r="C1070" t="s">
        <v>2528</v>
      </c>
      <c r="F1070" s="1">
        <v>22339</v>
      </c>
      <c r="G1070" t="s">
        <v>2272</v>
      </c>
      <c r="H1070" t="s">
        <v>121</v>
      </c>
      <c r="I1070" t="s">
        <v>11</v>
      </c>
    </row>
    <row r="1071" spans="1:9" x14ac:dyDescent="0.25">
      <c r="A1071" s="95">
        <v>1070</v>
      </c>
      <c r="B1071" t="s">
        <v>94</v>
      </c>
      <c r="C1071" t="s">
        <v>2529</v>
      </c>
      <c r="F1071" s="1">
        <v>31840</v>
      </c>
      <c r="G1071" t="s">
        <v>2272</v>
      </c>
      <c r="H1071" t="s">
        <v>121</v>
      </c>
      <c r="I1071" t="s">
        <v>11</v>
      </c>
    </row>
    <row r="1072" spans="1:9" x14ac:dyDescent="0.25">
      <c r="A1072" s="95">
        <v>1071</v>
      </c>
      <c r="B1072" t="s">
        <v>1838</v>
      </c>
      <c r="C1072" t="s">
        <v>2530</v>
      </c>
      <c r="D1072" t="s">
        <v>2531</v>
      </c>
      <c r="F1072" s="1">
        <v>28710</v>
      </c>
      <c r="G1072" t="s">
        <v>2272</v>
      </c>
      <c r="H1072" t="s">
        <v>121</v>
      </c>
      <c r="I1072" t="s">
        <v>11</v>
      </c>
    </row>
    <row r="1073" spans="1:9" x14ac:dyDescent="0.25">
      <c r="A1073" s="95">
        <v>1072</v>
      </c>
      <c r="B1073" t="s">
        <v>1841</v>
      </c>
      <c r="C1073" t="s">
        <v>2532</v>
      </c>
      <c r="F1073" s="1">
        <v>30791</v>
      </c>
      <c r="G1073" t="s">
        <v>2272</v>
      </c>
      <c r="H1073" t="s">
        <v>121</v>
      </c>
      <c r="I1073" t="s">
        <v>11</v>
      </c>
    </row>
    <row r="1074" spans="1:9" x14ac:dyDescent="0.25">
      <c r="A1074" s="95">
        <v>1073</v>
      </c>
      <c r="B1074" t="s">
        <v>1554</v>
      </c>
      <c r="C1074" t="s">
        <v>2533</v>
      </c>
      <c r="F1074" s="1">
        <v>27302</v>
      </c>
      <c r="G1074" t="s">
        <v>2272</v>
      </c>
      <c r="H1074" t="s">
        <v>121</v>
      </c>
      <c r="I1074" t="s">
        <v>11</v>
      </c>
    </row>
    <row r="1075" spans="1:9" x14ac:dyDescent="0.25">
      <c r="A1075" s="95">
        <v>1074</v>
      </c>
      <c r="B1075" t="s">
        <v>2534</v>
      </c>
      <c r="C1075" t="s">
        <v>61</v>
      </c>
      <c r="F1075" s="1">
        <v>33008</v>
      </c>
      <c r="G1075" t="s">
        <v>2272</v>
      </c>
      <c r="H1075" t="s">
        <v>121</v>
      </c>
      <c r="I1075" t="s">
        <v>11</v>
      </c>
    </row>
    <row r="1076" spans="1:9" x14ac:dyDescent="0.25">
      <c r="A1076" s="95">
        <v>1075</v>
      </c>
      <c r="B1076" t="s">
        <v>87</v>
      </c>
      <c r="C1076" t="s">
        <v>2535</v>
      </c>
      <c r="F1076" s="1">
        <v>29719</v>
      </c>
      <c r="G1076" t="s">
        <v>2272</v>
      </c>
      <c r="H1076" t="s">
        <v>121</v>
      </c>
      <c r="I1076" t="s">
        <v>11</v>
      </c>
    </row>
    <row r="1077" spans="1:9" x14ac:dyDescent="0.25">
      <c r="A1077" s="95">
        <v>1076</v>
      </c>
      <c r="B1077" t="s">
        <v>1848</v>
      </c>
      <c r="C1077" t="s">
        <v>2536</v>
      </c>
      <c r="F1077" s="1">
        <v>24909</v>
      </c>
      <c r="G1077" t="s">
        <v>2272</v>
      </c>
      <c r="H1077" t="s">
        <v>121</v>
      </c>
      <c r="I1077" t="s">
        <v>11</v>
      </c>
    </row>
    <row r="1078" spans="1:9" x14ac:dyDescent="0.25">
      <c r="A1078" s="95">
        <v>1077</v>
      </c>
      <c r="B1078" t="s">
        <v>117</v>
      </c>
      <c r="C1078" t="s">
        <v>2479</v>
      </c>
      <c r="F1078" s="1">
        <v>34396</v>
      </c>
      <c r="G1078" t="s">
        <v>2272</v>
      </c>
      <c r="H1078" t="s">
        <v>121</v>
      </c>
      <c r="I1078" t="s">
        <v>11</v>
      </c>
    </row>
    <row r="1079" spans="1:9" x14ac:dyDescent="0.25">
      <c r="A1079" s="95">
        <v>1078</v>
      </c>
      <c r="B1079" t="s">
        <v>188</v>
      </c>
      <c r="C1079" t="s">
        <v>1994</v>
      </c>
      <c r="F1079" s="1">
        <v>28226</v>
      </c>
      <c r="G1079" t="s">
        <v>2272</v>
      </c>
      <c r="H1079" t="s">
        <v>121</v>
      </c>
      <c r="I1079" t="s">
        <v>11</v>
      </c>
    </row>
    <row r="1080" spans="1:9" x14ac:dyDescent="0.25">
      <c r="A1080" s="95">
        <v>1079</v>
      </c>
      <c r="B1080" t="s">
        <v>577</v>
      </c>
      <c r="C1080" t="s">
        <v>2433</v>
      </c>
      <c r="D1080" t="s">
        <v>2537</v>
      </c>
      <c r="F1080" s="1">
        <v>27123</v>
      </c>
      <c r="G1080" t="s">
        <v>2273</v>
      </c>
      <c r="H1080" t="s">
        <v>121</v>
      </c>
      <c r="I1080" t="s">
        <v>11</v>
      </c>
    </row>
    <row r="1081" spans="1:9" x14ac:dyDescent="0.25">
      <c r="A1081" s="95">
        <v>1080</v>
      </c>
      <c r="B1081" t="s">
        <v>1856</v>
      </c>
      <c r="C1081" t="s">
        <v>2538</v>
      </c>
      <c r="F1081" s="1">
        <v>35712</v>
      </c>
      <c r="G1081" t="s">
        <v>2272</v>
      </c>
      <c r="H1081" t="s">
        <v>121</v>
      </c>
      <c r="I1081" t="s">
        <v>11</v>
      </c>
    </row>
    <row r="1082" spans="1:9" x14ac:dyDescent="0.25">
      <c r="A1082" s="95">
        <v>1081</v>
      </c>
      <c r="B1082" t="s">
        <v>58</v>
      </c>
      <c r="C1082" t="s">
        <v>2539</v>
      </c>
      <c r="F1082" s="1">
        <v>26495</v>
      </c>
      <c r="G1082" t="s">
        <v>2272</v>
      </c>
      <c r="H1082" t="s">
        <v>121</v>
      </c>
      <c r="I1082" t="s">
        <v>11</v>
      </c>
    </row>
    <row r="1083" spans="1:9" x14ac:dyDescent="0.25">
      <c r="A1083" s="95">
        <v>1082</v>
      </c>
      <c r="B1083" t="s">
        <v>1862</v>
      </c>
      <c r="C1083" t="s">
        <v>2540</v>
      </c>
      <c r="F1083" s="1">
        <v>31914</v>
      </c>
      <c r="G1083" t="s">
        <v>2272</v>
      </c>
      <c r="H1083" t="s">
        <v>121</v>
      </c>
      <c r="I1083" t="s">
        <v>11</v>
      </c>
    </row>
    <row r="1084" spans="1:9" x14ac:dyDescent="0.25">
      <c r="A1084" s="95">
        <v>1083</v>
      </c>
      <c r="B1084" t="s">
        <v>1865</v>
      </c>
      <c r="C1084" t="s">
        <v>2541</v>
      </c>
      <c r="F1084" s="1">
        <v>26696</v>
      </c>
      <c r="G1084" t="s">
        <v>2272</v>
      </c>
      <c r="H1084" t="s">
        <v>121</v>
      </c>
      <c r="I1084" t="s">
        <v>11</v>
      </c>
    </row>
    <row r="1085" spans="1:9" x14ac:dyDescent="0.25">
      <c r="A1085" s="95">
        <v>1084</v>
      </c>
      <c r="B1085" t="s">
        <v>2542</v>
      </c>
      <c r="C1085" t="s">
        <v>2543</v>
      </c>
      <c r="F1085" s="1">
        <v>35876</v>
      </c>
      <c r="G1085" t="s">
        <v>2272</v>
      </c>
      <c r="H1085" t="s">
        <v>121</v>
      </c>
      <c r="I1085" t="s">
        <v>11</v>
      </c>
    </row>
    <row r="1086" spans="1:9" x14ac:dyDescent="0.25">
      <c r="A1086" s="95">
        <v>1085</v>
      </c>
      <c r="B1086" t="s">
        <v>1279</v>
      </c>
      <c r="C1086" t="s">
        <v>2544</v>
      </c>
      <c r="D1086" t="s">
        <v>1408</v>
      </c>
      <c r="F1086" s="1">
        <v>34361</v>
      </c>
      <c r="G1086" t="s">
        <v>2273</v>
      </c>
      <c r="H1086" t="s">
        <v>121</v>
      </c>
      <c r="I1086" t="s">
        <v>11</v>
      </c>
    </row>
    <row r="1087" spans="1:9" x14ac:dyDescent="0.25">
      <c r="A1087" s="95">
        <v>1086</v>
      </c>
      <c r="B1087" t="s">
        <v>1874</v>
      </c>
      <c r="C1087" t="s">
        <v>2545</v>
      </c>
      <c r="F1087" s="1">
        <v>29213</v>
      </c>
      <c r="G1087" t="s">
        <v>2272</v>
      </c>
      <c r="H1087" t="s">
        <v>121</v>
      </c>
      <c r="I1087" t="s">
        <v>11</v>
      </c>
    </row>
    <row r="1088" spans="1:9" x14ac:dyDescent="0.25">
      <c r="A1088" s="95">
        <v>1087</v>
      </c>
      <c r="B1088" t="s">
        <v>1848</v>
      </c>
      <c r="C1088" t="s">
        <v>69</v>
      </c>
      <c r="F1088" s="1">
        <v>25159</v>
      </c>
      <c r="G1088" t="s">
        <v>2272</v>
      </c>
      <c r="H1088" t="s">
        <v>121</v>
      </c>
      <c r="I1088" t="s">
        <v>11</v>
      </c>
    </row>
    <row r="1089" spans="1:9" x14ac:dyDescent="0.25">
      <c r="A1089" s="95">
        <v>1088</v>
      </c>
      <c r="B1089" t="s">
        <v>1876</v>
      </c>
      <c r="C1089" t="s">
        <v>459</v>
      </c>
      <c r="F1089" s="1">
        <v>26853</v>
      </c>
      <c r="G1089" t="s">
        <v>2272</v>
      </c>
      <c r="H1089" t="s">
        <v>121</v>
      </c>
      <c r="I1089" t="s">
        <v>11</v>
      </c>
    </row>
    <row r="1090" spans="1:9" x14ac:dyDescent="0.25">
      <c r="A1090" s="95">
        <v>1089</v>
      </c>
      <c r="B1090" t="s">
        <v>2546</v>
      </c>
      <c r="C1090" t="s">
        <v>2547</v>
      </c>
      <c r="F1090" s="1">
        <v>27427</v>
      </c>
      <c r="G1090" t="s">
        <v>2272</v>
      </c>
      <c r="H1090" t="s">
        <v>121</v>
      </c>
      <c r="I1090" t="s">
        <v>11</v>
      </c>
    </row>
    <row r="1091" spans="1:9" x14ac:dyDescent="0.25">
      <c r="A1091" s="95">
        <v>1090</v>
      </c>
      <c r="B1091" t="s">
        <v>1797</v>
      </c>
      <c r="C1091" t="s">
        <v>791</v>
      </c>
      <c r="F1091" s="1">
        <v>21323</v>
      </c>
      <c r="G1091" t="s">
        <v>2272</v>
      </c>
      <c r="H1091" t="s">
        <v>121</v>
      </c>
      <c r="I1091" t="s">
        <v>11</v>
      </c>
    </row>
    <row r="1092" spans="1:9" x14ac:dyDescent="0.25">
      <c r="A1092" s="95">
        <v>1091</v>
      </c>
      <c r="B1092" t="s">
        <v>1833</v>
      </c>
      <c r="C1092" t="s">
        <v>69</v>
      </c>
      <c r="D1092" t="s">
        <v>2548</v>
      </c>
      <c r="F1092" s="1">
        <v>35603</v>
      </c>
      <c r="G1092" t="s">
        <v>2272</v>
      </c>
      <c r="H1092" t="s">
        <v>121</v>
      </c>
      <c r="I1092" t="s">
        <v>11</v>
      </c>
    </row>
    <row r="1093" spans="1:9" x14ac:dyDescent="0.25">
      <c r="A1093" s="95">
        <v>1092</v>
      </c>
      <c r="B1093" t="s">
        <v>1882</v>
      </c>
      <c r="C1093" t="s">
        <v>2549</v>
      </c>
      <c r="F1093" s="1">
        <v>26344</v>
      </c>
      <c r="G1093" t="s">
        <v>2272</v>
      </c>
      <c r="H1093" t="s">
        <v>121</v>
      </c>
      <c r="I1093" t="s">
        <v>11</v>
      </c>
    </row>
    <row r="1094" spans="1:9" x14ac:dyDescent="0.25">
      <c r="A1094" s="95">
        <v>1093</v>
      </c>
      <c r="B1094" t="s">
        <v>117</v>
      </c>
      <c r="C1094" t="s">
        <v>1561</v>
      </c>
      <c r="D1094" t="s">
        <v>64</v>
      </c>
      <c r="F1094" s="1">
        <v>14862</v>
      </c>
      <c r="G1094" t="s">
        <v>2272</v>
      </c>
      <c r="H1094" t="s">
        <v>121</v>
      </c>
      <c r="I1094" t="s">
        <v>11</v>
      </c>
    </row>
    <row r="1095" spans="1:9" x14ac:dyDescent="0.25">
      <c r="A1095" s="95">
        <v>1094</v>
      </c>
      <c r="B1095" t="s">
        <v>1554</v>
      </c>
      <c r="C1095" t="s">
        <v>1784</v>
      </c>
      <c r="F1095" s="1">
        <v>30055</v>
      </c>
      <c r="G1095" t="s">
        <v>2272</v>
      </c>
      <c r="H1095" t="s">
        <v>121</v>
      </c>
      <c r="I1095" t="s">
        <v>11</v>
      </c>
    </row>
    <row r="1096" spans="1:9" x14ac:dyDescent="0.25">
      <c r="A1096" s="95">
        <v>1095</v>
      </c>
      <c r="B1096" t="s">
        <v>1885</v>
      </c>
      <c r="C1096" t="s">
        <v>2550</v>
      </c>
      <c r="F1096" s="1">
        <v>22157</v>
      </c>
      <c r="G1096" t="s">
        <v>2272</v>
      </c>
      <c r="H1096" t="s">
        <v>121</v>
      </c>
      <c r="I1096" t="s">
        <v>11</v>
      </c>
    </row>
    <row r="1097" spans="1:9" x14ac:dyDescent="0.25">
      <c r="A1097" s="95">
        <v>1096</v>
      </c>
      <c r="B1097" t="s">
        <v>737</v>
      </c>
      <c r="C1097" t="s">
        <v>2551</v>
      </c>
      <c r="D1097" t="s">
        <v>2424</v>
      </c>
      <c r="F1097" s="1">
        <v>32187</v>
      </c>
      <c r="G1097" t="s">
        <v>2272</v>
      </c>
      <c r="H1097" t="s">
        <v>121</v>
      </c>
      <c r="I1097" t="s">
        <v>11</v>
      </c>
    </row>
    <row r="1098" spans="1:9" x14ac:dyDescent="0.25">
      <c r="A1098" s="95">
        <v>1097</v>
      </c>
      <c r="B1098" t="s">
        <v>1827</v>
      </c>
      <c r="C1098" t="s">
        <v>1290</v>
      </c>
      <c r="F1098" s="1">
        <v>30853</v>
      </c>
      <c r="G1098" t="s">
        <v>2272</v>
      </c>
      <c r="H1098" t="s">
        <v>121</v>
      </c>
      <c r="I1098" t="s">
        <v>11</v>
      </c>
    </row>
    <row r="1099" spans="1:9" x14ac:dyDescent="0.25">
      <c r="A1099" s="95">
        <v>1098</v>
      </c>
      <c r="B1099" t="s">
        <v>1780</v>
      </c>
      <c r="C1099" t="s">
        <v>1893</v>
      </c>
      <c r="F1099" s="1">
        <v>20043</v>
      </c>
      <c r="G1099" t="s">
        <v>2272</v>
      </c>
      <c r="H1099" t="s">
        <v>121</v>
      </c>
      <c r="I1099" t="s">
        <v>11</v>
      </c>
    </row>
    <row r="1100" spans="1:9" x14ac:dyDescent="0.25">
      <c r="A1100" s="95">
        <v>1099</v>
      </c>
      <c r="B1100" t="s">
        <v>2552</v>
      </c>
      <c r="C1100" t="s">
        <v>1308</v>
      </c>
      <c r="D1100" t="s">
        <v>2487</v>
      </c>
      <c r="F1100" s="1">
        <v>26617</v>
      </c>
      <c r="G1100" t="s">
        <v>2272</v>
      </c>
      <c r="H1100" t="s">
        <v>121</v>
      </c>
      <c r="I1100" t="s">
        <v>11</v>
      </c>
    </row>
    <row r="1101" spans="1:9" x14ac:dyDescent="0.25">
      <c r="A1101" s="95">
        <v>1100</v>
      </c>
      <c r="B1101" t="s">
        <v>1896</v>
      </c>
      <c r="C1101" t="s">
        <v>2364</v>
      </c>
      <c r="D1101" t="s">
        <v>2496</v>
      </c>
      <c r="F1101" s="1">
        <v>32346</v>
      </c>
      <c r="G1101" t="s">
        <v>2272</v>
      </c>
      <c r="H1101" t="s">
        <v>121</v>
      </c>
      <c r="I1101" t="s">
        <v>11</v>
      </c>
    </row>
    <row r="1102" spans="1:9" x14ac:dyDescent="0.25">
      <c r="A1102" s="95">
        <v>1101</v>
      </c>
      <c r="B1102" t="s">
        <v>1922</v>
      </c>
      <c r="C1102" t="s">
        <v>2553</v>
      </c>
      <c r="F1102" s="1">
        <v>25627</v>
      </c>
      <c r="G1102" t="s">
        <v>2272</v>
      </c>
      <c r="H1102" t="s">
        <v>121</v>
      </c>
      <c r="I1102" t="s">
        <v>11</v>
      </c>
    </row>
    <row r="1103" spans="1:9" x14ac:dyDescent="0.25">
      <c r="A1103" s="95">
        <v>1102</v>
      </c>
      <c r="B1103" t="s">
        <v>54</v>
      </c>
      <c r="C1103" t="s">
        <v>26</v>
      </c>
      <c r="F1103" s="1">
        <v>22770</v>
      </c>
      <c r="G1103" t="s">
        <v>2272</v>
      </c>
      <c r="H1103" t="s">
        <v>121</v>
      </c>
      <c r="I1103" t="s">
        <v>11</v>
      </c>
    </row>
    <row r="1104" spans="1:9" x14ac:dyDescent="0.25">
      <c r="A1104" s="95">
        <v>1103</v>
      </c>
      <c r="B1104" t="s">
        <v>1859</v>
      </c>
      <c r="C1104" t="s">
        <v>2549</v>
      </c>
      <c r="F1104" s="1">
        <v>24263</v>
      </c>
      <c r="G1104" t="s">
        <v>2272</v>
      </c>
      <c r="H1104" t="s">
        <v>121</v>
      </c>
      <c r="I1104" t="s">
        <v>11</v>
      </c>
    </row>
    <row r="1105" spans="1:9" x14ac:dyDescent="0.25">
      <c r="A1105" s="95">
        <v>1104</v>
      </c>
      <c r="B1105" t="s">
        <v>1848</v>
      </c>
      <c r="C1105" t="s">
        <v>2554</v>
      </c>
      <c r="F1105" s="1">
        <v>22025</v>
      </c>
      <c r="G1105" t="s">
        <v>2272</v>
      </c>
      <c r="H1105" t="s">
        <v>121</v>
      </c>
      <c r="I1105" t="s">
        <v>11</v>
      </c>
    </row>
    <row r="1106" spans="1:9" x14ac:dyDescent="0.25">
      <c r="A1106" s="95">
        <v>1105</v>
      </c>
      <c r="B1106" t="s">
        <v>1417</v>
      </c>
      <c r="C1106" t="s">
        <v>2555</v>
      </c>
      <c r="F1106" s="1">
        <v>29828</v>
      </c>
      <c r="G1106" t="s">
        <v>2272</v>
      </c>
      <c r="H1106" t="s">
        <v>121</v>
      </c>
      <c r="I1106" t="s">
        <v>11</v>
      </c>
    </row>
    <row r="1107" spans="1:9" x14ac:dyDescent="0.25">
      <c r="A1107" s="95">
        <v>1106</v>
      </c>
      <c r="B1107" t="s">
        <v>97</v>
      </c>
      <c r="C1107" t="s">
        <v>2261</v>
      </c>
      <c r="F1107" s="1">
        <v>29134</v>
      </c>
      <c r="G1107" t="s">
        <v>2272</v>
      </c>
      <c r="H1107" t="s">
        <v>121</v>
      </c>
      <c r="I1107" t="s">
        <v>11</v>
      </c>
    </row>
    <row r="1108" spans="1:9" x14ac:dyDescent="0.25">
      <c r="A1108" s="95">
        <v>1107</v>
      </c>
      <c r="B1108" t="s">
        <v>1915</v>
      </c>
      <c r="C1108" t="s">
        <v>722</v>
      </c>
      <c r="D1108" t="s">
        <v>421</v>
      </c>
      <c r="F1108" s="1">
        <v>22474</v>
      </c>
      <c r="G1108" t="s">
        <v>2272</v>
      </c>
      <c r="H1108" t="s">
        <v>121</v>
      </c>
      <c r="I1108" t="s">
        <v>11</v>
      </c>
    </row>
    <row r="1109" spans="1:9" x14ac:dyDescent="0.25">
      <c r="A1109" s="95">
        <v>1108</v>
      </c>
      <c r="B1109" t="s">
        <v>1917</v>
      </c>
      <c r="C1109" t="s">
        <v>1994</v>
      </c>
      <c r="D1109" t="s">
        <v>1050</v>
      </c>
      <c r="F1109" s="1">
        <v>25710</v>
      </c>
      <c r="G1109" t="s">
        <v>2276</v>
      </c>
      <c r="H1109" t="s">
        <v>121</v>
      </c>
      <c r="I1109" t="s">
        <v>11</v>
      </c>
    </row>
    <row r="1110" spans="1:9" x14ac:dyDescent="0.25">
      <c r="A1110" s="95">
        <v>1109</v>
      </c>
      <c r="B1110" t="s">
        <v>1833</v>
      </c>
      <c r="C1110" t="s">
        <v>2556</v>
      </c>
      <c r="F1110" s="1">
        <v>35524</v>
      </c>
      <c r="G1110" t="s">
        <v>2272</v>
      </c>
      <c r="H1110" t="s">
        <v>121</v>
      </c>
      <c r="I1110" t="s">
        <v>11</v>
      </c>
    </row>
    <row r="1111" spans="1:9" x14ac:dyDescent="0.25">
      <c r="A1111" s="95">
        <v>1110</v>
      </c>
      <c r="B1111" t="s">
        <v>129</v>
      </c>
      <c r="C1111" t="s">
        <v>2557</v>
      </c>
      <c r="D1111" t="s">
        <v>2558</v>
      </c>
      <c r="F1111" s="1">
        <v>35006</v>
      </c>
      <c r="G1111" t="s">
        <v>2276</v>
      </c>
      <c r="H1111" t="s">
        <v>121</v>
      </c>
      <c r="I1111" t="s">
        <v>11</v>
      </c>
    </row>
    <row r="1112" spans="1:9" x14ac:dyDescent="0.25">
      <c r="A1112" s="95">
        <v>1111</v>
      </c>
      <c r="B1112" t="s">
        <v>1426</v>
      </c>
      <c r="C1112" t="s">
        <v>141</v>
      </c>
      <c r="D1112" t="s">
        <v>2559</v>
      </c>
      <c r="F1112" s="1">
        <v>26392</v>
      </c>
      <c r="G1112" t="s">
        <v>2276</v>
      </c>
      <c r="H1112" t="s">
        <v>121</v>
      </c>
      <c r="I1112" t="s">
        <v>11</v>
      </c>
    </row>
    <row r="1113" spans="1:9" x14ac:dyDescent="0.25">
      <c r="A1113" s="95">
        <v>1112</v>
      </c>
      <c r="B1113" t="s">
        <v>89</v>
      </c>
      <c r="C1113" t="s">
        <v>2560</v>
      </c>
      <c r="D1113" t="s">
        <v>2487</v>
      </c>
      <c r="F1113" s="1">
        <v>33454</v>
      </c>
      <c r="G1113" t="s">
        <v>2272</v>
      </c>
      <c r="H1113" t="s">
        <v>121</v>
      </c>
      <c r="I1113" t="s">
        <v>11</v>
      </c>
    </row>
    <row r="1114" spans="1:9" x14ac:dyDescent="0.25">
      <c r="A1114" s="95">
        <v>1113</v>
      </c>
      <c r="B1114" t="s">
        <v>1275</v>
      </c>
      <c r="C1114" t="s">
        <v>2452</v>
      </c>
      <c r="F1114" s="1">
        <v>29222</v>
      </c>
      <c r="G1114" t="s">
        <v>2272</v>
      </c>
      <c r="H1114" t="s">
        <v>121</v>
      </c>
      <c r="I1114" t="s">
        <v>11</v>
      </c>
    </row>
    <row r="1115" spans="1:9" x14ac:dyDescent="0.25">
      <c r="A1115" s="95">
        <v>1114</v>
      </c>
      <c r="B1115" t="s">
        <v>1426</v>
      </c>
      <c r="C1115" t="s">
        <v>2535</v>
      </c>
      <c r="D1115" t="s">
        <v>1001</v>
      </c>
      <c r="F1115" s="1">
        <v>29009</v>
      </c>
      <c r="G1115" t="s">
        <v>2276</v>
      </c>
      <c r="H1115" t="s">
        <v>121</v>
      </c>
      <c r="I1115" t="s">
        <v>11</v>
      </c>
    </row>
    <row r="1116" spans="1:9" x14ac:dyDescent="0.25">
      <c r="A1116" s="95">
        <v>1115</v>
      </c>
      <c r="B1116" t="s">
        <v>1533</v>
      </c>
      <c r="C1116" t="s">
        <v>886</v>
      </c>
      <c r="D1116" t="s">
        <v>2561</v>
      </c>
      <c r="F1116" s="1">
        <v>25721</v>
      </c>
      <c r="G1116" t="s">
        <v>2276</v>
      </c>
      <c r="H1116" t="s">
        <v>121</v>
      </c>
      <c r="I1116" t="s">
        <v>11</v>
      </c>
    </row>
    <row r="1117" spans="1:9" x14ac:dyDescent="0.25">
      <c r="A1117" s="95">
        <v>1116</v>
      </c>
      <c r="B1117" t="s">
        <v>1940</v>
      </c>
      <c r="C1117" t="s">
        <v>2562</v>
      </c>
      <c r="D1117" t="s">
        <v>2561</v>
      </c>
      <c r="F1117" s="1">
        <v>31620</v>
      </c>
      <c r="G1117" t="s">
        <v>2276</v>
      </c>
      <c r="H1117" t="s">
        <v>121</v>
      </c>
      <c r="I1117" t="s">
        <v>11</v>
      </c>
    </row>
    <row r="1118" spans="1:9" x14ac:dyDescent="0.25">
      <c r="A1118" s="95">
        <v>1117</v>
      </c>
      <c r="B1118" t="s">
        <v>1752</v>
      </c>
      <c r="C1118" t="s">
        <v>2563</v>
      </c>
      <c r="D1118" t="s">
        <v>2512</v>
      </c>
      <c r="F1118" s="1">
        <v>29947</v>
      </c>
      <c r="G1118" t="s">
        <v>2272</v>
      </c>
      <c r="H1118" t="s">
        <v>121</v>
      </c>
      <c r="I1118" t="s">
        <v>11</v>
      </c>
    </row>
    <row r="1119" spans="1:9" x14ac:dyDescent="0.25">
      <c r="A1119" s="95">
        <v>1118</v>
      </c>
      <c r="B1119" t="s">
        <v>2564</v>
      </c>
      <c r="C1119" t="s">
        <v>2565</v>
      </c>
      <c r="D1119" t="s">
        <v>2559</v>
      </c>
      <c r="F1119" s="1">
        <v>35299</v>
      </c>
      <c r="G1119" t="s">
        <v>2276</v>
      </c>
      <c r="H1119" t="s">
        <v>121</v>
      </c>
      <c r="I1119" t="s">
        <v>11</v>
      </c>
    </row>
    <row r="1120" spans="1:9" x14ac:dyDescent="0.25">
      <c r="A1120" s="95">
        <v>1119</v>
      </c>
      <c r="B1120" t="s">
        <v>1898</v>
      </c>
      <c r="C1120" t="s">
        <v>163</v>
      </c>
      <c r="F1120" s="1">
        <v>32466</v>
      </c>
      <c r="G1120" t="s">
        <v>2272</v>
      </c>
      <c r="H1120" t="s">
        <v>121</v>
      </c>
      <c r="I1120" t="s">
        <v>11</v>
      </c>
    </row>
    <row r="1121" spans="1:9" x14ac:dyDescent="0.25">
      <c r="A1121" s="95">
        <v>1120</v>
      </c>
      <c r="B1121" t="s">
        <v>1915</v>
      </c>
      <c r="C1121" t="s">
        <v>566</v>
      </c>
      <c r="F1121" s="1">
        <v>22478</v>
      </c>
      <c r="G1121" t="s">
        <v>2272</v>
      </c>
      <c r="H1121" t="s">
        <v>121</v>
      </c>
      <c r="I1121" t="s">
        <v>11</v>
      </c>
    </row>
    <row r="1122" spans="1:9" x14ac:dyDescent="0.25">
      <c r="A1122" s="95">
        <v>1121</v>
      </c>
      <c r="B1122" t="s">
        <v>1949</v>
      </c>
      <c r="C1122" t="s">
        <v>2566</v>
      </c>
      <c r="F1122" s="1">
        <v>21508</v>
      </c>
      <c r="G1122" t="s">
        <v>2272</v>
      </c>
      <c r="H1122" t="s">
        <v>121</v>
      </c>
      <c r="I1122" t="s">
        <v>11</v>
      </c>
    </row>
    <row r="1123" spans="1:9" x14ac:dyDescent="0.25">
      <c r="A1123" s="95">
        <v>1122</v>
      </c>
      <c r="B1123" t="s">
        <v>120</v>
      </c>
      <c r="C1123" t="s">
        <v>2567</v>
      </c>
      <c r="F1123" s="1">
        <v>26771</v>
      </c>
      <c r="G1123" t="s">
        <v>2276</v>
      </c>
      <c r="H1123" t="s">
        <v>121</v>
      </c>
      <c r="I1123" t="s">
        <v>11</v>
      </c>
    </row>
    <row r="1124" spans="1:9" x14ac:dyDescent="0.25">
      <c r="A1124" s="95">
        <v>1123</v>
      </c>
      <c r="B1124" t="s">
        <v>1879</v>
      </c>
      <c r="C1124" t="s">
        <v>1895</v>
      </c>
      <c r="F1124" s="1">
        <v>22577</v>
      </c>
      <c r="G1124" t="s">
        <v>2272</v>
      </c>
      <c r="H1124" t="s">
        <v>121</v>
      </c>
      <c r="I1124" t="s">
        <v>11</v>
      </c>
    </row>
    <row r="1125" spans="1:9" x14ac:dyDescent="0.25">
      <c r="A1125" s="95">
        <v>1124</v>
      </c>
      <c r="B1125" t="s">
        <v>2568</v>
      </c>
      <c r="C1125" t="s">
        <v>130</v>
      </c>
      <c r="D1125" t="s">
        <v>2569</v>
      </c>
      <c r="F1125" s="1">
        <v>28779</v>
      </c>
      <c r="G1125" t="s">
        <v>2272</v>
      </c>
      <c r="H1125" t="s">
        <v>121</v>
      </c>
      <c r="I1125" t="s">
        <v>11</v>
      </c>
    </row>
    <row r="1126" spans="1:9" x14ac:dyDescent="0.25">
      <c r="A1126" s="95">
        <v>1125</v>
      </c>
      <c r="B1126" t="s">
        <v>2570</v>
      </c>
      <c r="C1126" t="s">
        <v>1052</v>
      </c>
      <c r="F1126" s="1">
        <v>29044</v>
      </c>
      <c r="G1126" t="s">
        <v>2276</v>
      </c>
      <c r="H1126" t="s">
        <v>121</v>
      </c>
      <c r="I1126" t="s">
        <v>11</v>
      </c>
    </row>
    <row r="1127" spans="1:9" x14ac:dyDescent="0.25">
      <c r="A1127" s="95">
        <v>1126</v>
      </c>
      <c r="B1127" t="s">
        <v>1959</v>
      </c>
      <c r="C1127" t="s">
        <v>2571</v>
      </c>
      <c r="F1127" s="1">
        <v>18217</v>
      </c>
      <c r="G1127" t="s">
        <v>2276</v>
      </c>
      <c r="H1127" t="s">
        <v>121</v>
      </c>
      <c r="I1127" t="s">
        <v>11</v>
      </c>
    </row>
    <row r="1128" spans="1:9" x14ac:dyDescent="0.25">
      <c r="A1128" s="95">
        <v>1127</v>
      </c>
      <c r="B1128" t="s">
        <v>339</v>
      </c>
      <c r="C1128" t="s">
        <v>886</v>
      </c>
      <c r="F1128" s="1">
        <v>25995</v>
      </c>
      <c r="G1128" t="s">
        <v>2272</v>
      </c>
      <c r="H1128" t="s">
        <v>121</v>
      </c>
      <c r="I1128" t="s">
        <v>11</v>
      </c>
    </row>
    <row r="1129" spans="1:9" x14ac:dyDescent="0.25">
      <c r="A1129" s="95">
        <v>1128</v>
      </c>
      <c r="B1129" t="s">
        <v>1926</v>
      </c>
      <c r="C1129" t="s">
        <v>856</v>
      </c>
      <c r="F1129" s="1">
        <v>27889</v>
      </c>
      <c r="G1129" t="s">
        <v>2272</v>
      </c>
      <c r="H1129" t="s">
        <v>121</v>
      </c>
      <c r="I1129" t="s">
        <v>11</v>
      </c>
    </row>
    <row r="1130" spans="1:9" x14ac:dyDescent="0.25">
      <c r="A1130" s="95">
        <v>1129</v>
      </c>
      <c r="B1130" t="s">
        <v>1797</v>
      </c>
      <c r="C1130" t="s">
        <v>1607</v>
      </c>
      <c r="F1130" s="1">
        <v>30465</v>
      </c>
      <c r="G1130" t="s">
        <v>2272</v>
      </c>
      <c r="H1130" t="s">
        <v>121</v>
      </c>
      <c r="I1130" t="s">
        <v>11</v>
      </c>
    </row>
    <row r="1131" spans="1:9" x14ac:dyDescent="0.25">
      <c r="A1131" s="95">
        <v>1130</v>
      </c>
      <c r="B1131" t="s">
        <v>1971</v>
      </c>
      <c r="C1131" t="s">
        <v>2572</v>
      </c>
      <c r="F1131" s="1">
        <v>26923</v>
      </c>
      <c r="G1131" t="s">
        <v>2276</v>
      </c>
      <c r="H1131" t="s">
        <v>121</v>
      </c>
      <c r="I1131" t="s">
        <v>11</v>
      </c>
    </row>
    <row r="1132" spans="1:9" x14ac:dyDescent="0.25">
      <c r="A1132" s="95">
        <v>1131</v>
      </c>
      <c r="B1132" t="s">
        <v>1426</v>
      </c>
      <c r="C1132" t="s">
        <v>707</v>
      </c>
      <c r="D1132" t="s">
        <v>2569</v>
      </c>
      <c r="F1132" s="1">
        <v>37343</v>
      </c>
      <c r="G1132" t="s">
        <v>2276</v>
      </c>
      <c r="H1132" t="s">
        <v>121</v>
      </c>
      <c r="I1132" t="s">
        <v>11</v>
      </c>
    </row>
    <row r="1133" spans="1:9" x14ac:dyDescent="0.25">
      <c r="A1133" s="95">
        <v>1132</v>
      </c>
      <c r="B1133" t="s">
        <v>1898</v>
      </c>
      <c r="C1133" t="s">
        <v>2573</v>
      </c>
      <c r="F1133" s="1">
        <v>25573</v>
      </c>
      <c r="G1133" t="s">
        <v>2272</v>
      </c>
      <c r="H1133" t="s">
        <v>121</v>
      </c>
      <c r="I1133" t="s">
        <v>11</v>
      </c>
    </row>
    <row r="1134" spans="1:9" x14ac:dyDescent="0.25">
      <c r="A1134" s="95">
        <v>1133</v>
      </c>
      <c r="B1134" t="s">
        <v>2574</v>
      </c>
      <c r="C1134" t="s">
        <v>2575</v>
      </c>
      <c r="F1134" s="1">
        <v>23005</v>
      </c>
      <c r="G1134" t="s">
        <v>2276</v>
      </c>
      <c r="H1134" t="s">
        <v>121</v>
      </c>
      <c r="I1134" t="s">
        <v>11</v>
      </c>
    </row>
    <row r="1135" spans="1:9" x14ac:dyDescent="0.25">
      <c r="A1135" s="95">
        <v>1134</v>
      </c>
      <c r="B1135" t="s">
        <v>538</v>
      </c>
      <c r="C1135" t="s">
        <v>247</v>
      </c>
      <c r="F1135" s="1">
        <v>28797</v>
      </c>
      <c r="G1135" t="s">
        <v>2272</v>
      </c>
      <c r="H1135" t="s">
        <v>121</v>
      </c>
      <c r="I1135" t="s">
        <v>11</v>
      </c>
    </row>
    <row r="1136" spans="1:9" x14ac:dyDescent="0.25">
      <c r="A1136" s="95">
        <v>1135</v>
      </c>
      <c r="B1136" t="s">
        <v>1993</v>
      </c>
      <c r="C1136" t="s">
        <v>2576</v>
      </c>
      <c r="D1136" t="s">
        <v>1758</v>
      </c>
      <c r="F1136" s="1">
        <v>39867</v>
      </c>
      <c r="G1136" t="s">
        <v>2272</v>
      </c>
      <c r="H1136" t="s">
        <v>121</v>
      </c>
      <c r="I1136" t="s">
        <v>11</v>
      </c>
    </row>
    <row r="1137" spans="1:9" x14ac:dyDescent="0.25">
      <c r="A1137" s="95">
        <v>1136</v>
      </c>
      <c r="B1137" t="s">
        <v>1995</v>
      </c>
      <c r="C1137" t="s">
        <v>2152</v>
      </c>
      <c r="D1137" t="s">
        <v>2482</v>
      </c>
      <c r="F1137" s="1">
        <v>32951</v>
      </c>
      <c r="G1137" t="s">
        <v>2276</v>
      </c>
      <c r="H1137" t="s">
        <v>121</v>
      </c>
      <c r="I1137" t="s">
        <v>11</v>
      </c>
    </row>
    <row r="1138" spans="1:9" x14ac:dyDescent="0.25">
      <c r="A1138" s="95">
        <v>1137</v>
      </c>
      <c r="B1138" t="s">
        <v>1480</v>
      </c>
      <c r="C1138" t="s">
        <v>2577</v>
      </c>
      <c r="F1138" s="1">
        <v>30403</v>
      </c>
      <c r="G1138" t="s">
        <v>2272</v>
      </c>
      <c r="H1138" t="s">
        <v>121</v>
      </c>
      <c r="I1138" t="s">
        <v>11</v>
      </c>
    </row>
    <row r="1139" spans="1:9" x14ac:dyDescent="0.25">
      <c r="A1139" s="95">
        <v>1138</v>
      </c>
      <c r="B1139" t="s">
        <v>2434</v>
      </c>
      <c r="C1139" t="s">
        <v>2578</v>
      </c>
      <c r="F1139" s="1">
        <v>38980</v>
      </c>
      <c r="G1139" t="s">
        <v>2276</v>
      </c>
      <c r="H1139" t="s">
        <v>121</v>
      </c>
      <c r="I1139" t="s">
        <v>11</v>
      </c>
    </row>
    <row r="1140" spans="1:9" x14ac:dyDescent="0.25">
      <c r="A1140" s="95">
        <v>1139</v>
      </c>
      <c r="B1140" t="s">
        <v>1288</v>
      </c>
      <c r="C1140" t="s">
        <v>494</v>
      </c>
      <c r="F1140" s="1">
        <v>29136</v>
      </c>
      <c r="G1140" t="s">
        <v>2276</v>
      </c>
      <c r="H1140" t="s">
        <v>121</v>
      </c>
      <c r="I1140" t="s">
        <v>11</v>
      </c>
    </row>
    <row r="1141" spans="1:9" x14ac:dyDescent="0.25">
      <c r="A1141" s="95">
        <v>1140</v>
      </c>
      <c r="B1141" t="s">
        <v>2000</v>
      </c>
      <c r="C1141" t="s">
        <v>2579</v>
      </c>
      <c r="D1141" t="s">
        <v>2580</v>
      </c>
      <c r="F1141" s="1">
        <v>30112</v>
      </c>
      <c r="G1141" t="s">
        <v>2272</v>
      </c>
      <c r="H1141" t="s">
        <v>121</v>
      </c>
      <c r="I1141" t="s">
        <v>11</v>
      </c>
    </row>
    <row r="1142" spans="1:9" x14ac:dyDescent="0.25">
      <c r="A1142" s="95">
        <v>1141</v>
      </c>
      <c r="B1142" t="s">
        <v>1426</v>
      </c>
      <c r="C1142" t="s">
        <v>2581</v>
      </c>
      <c r="D1142" t="s">
        <v>2559</v>
      </c>
      <c r="F1142" s="1">
        <v>33194</v>
      </c>
      <c r="G1142" t="s">
        <v>2276</v>
      </c>
      <c r="H1142" t="s">
        <v>121</v>
      </c>
      <c r="I1142" t="s">
        <v>11</v>
      </c>
    </row>
    <row r="1143" spans="1:9" x14ac:dyDescent="0.25">
      <c r="A1143" s="95">
        <v>1142</v>
      </c>
      <c r="B1143" t="s">
        <v>2008</v>
      </c>
      <c r="C1143" t="s">
        <v>2582</v>
      </c>
      <c r="D1143" t="s">
        <v>2561</v>
      </c>
      <c r="F1143" s="1">
        <v>33937</v>
      </c>
      <c r="G1143" t="s">
        <v>2276</v>
      </c>
      <c r="H1143" t="s">
        <v>121</v>
      </c>
      <c r="I1143" t="s">
        <v>11</v>
      </c>
    </row>
    <row r="1144" spans="1:9" x14ac:dyDescent="0.25">
      <c r="A1144" s="95">
        <v>1143</v>
      </c>
      <c r="B1144" t="s">
        <v>215</v>
      </c>
      <c r="C1144" t="s">
        <v>2583</v>
      </c>
      <c r="F1144" s="1">
        <v>29478</v>
      </c>
      <c r="G1144" t="s">
        <v>2272</v>
      </c>
      <c r="H1144" t="s">
        <v>121</v>
      </c>
      <c r="I1144" t="s">
        <v>11</v>
      </c>
    </row>
    <row r="1145" spans="1:9" x14ac:dyDescent="0.25">
      <c r="A1145" s="95">
        <v>1144</v>
      </c>
      <c r="B1145" t="s">
        <v>1941</v>
      </c>
      <c r="C1145" t="s">
        <v>510</v>
      </c>
      <c r="F1145" s="1">
        <v>27432</v>
      </c>
      <c r="G1145" t="s">
        <v>2276</v>
      </c>
      <c r="H1145" t="s">
        <v>121</v>
      </c>
      <c r="I1145" t="s">
        <v>11</v>
      </c>
    </row>
    <row r="1146" spans="1:9" x14ac:dyDescent="0.25">
      <c r="A1146" s="95">
        <v>1145</v>
      </c>
      <c r="B1146" t="s">
        <v>155</v>
      </c>
      <c r="C1146" t="s">
        <v>2584</v>
      </c>
      <c r="F1146" s="1">
        <v>18642</v>
      </c>
      <c r="G1146" t="s">
        <v>2272</v>
      </c>
      <c r="H1146" t="s">
        <v>121</v>
      </c>
      <c r="I1146" t="s">
        <v>11</v>
      </c>
    </row>
    <row r="1147" spans="1:9" x14ac:dyDescent="0.25">
      <c r="A1147" s="95">
        <v>1146</v>
      </c>
      <c r="B1147" t="s">
        <v>1838</v>
      </c>
      <c r="C1147" t="s">
        <v>779</v>
      </c>
      <c r="F1147" s="1">
        <v>30449</v>
      </c>
      <c r="G1147" t="s">
        <v>2272</v>
      </c>
      <c r="H1147" t="s">
        <v>121</v>
      </c>
      <c r="I1147" t="s">
        <v>11</v>
      </c>
    </row>
    <row r="1148" spans="1:9" x14ac:dyDescent="0.25">
      <c r="A1148" s="95">
        <v>1147</v>
      </c>
      <c r="B1148" t="s">
        <v>2018</v>
      </c>
      <c r="C1148" t="s">
        <v>2364</v>
      </c>
      <c r="D1148" t="s">
        <v>2585</v>
      </c>
      <c r="F1148" s="1">
        <v>36451</v>
      </c>
      <c r="G1148" t="s">
        <v>2272</v>
      </c>
      <c r="H1148" t="s">
        <v>121</v>
      </c>
      <c r="I1148" t="s">
        <v>11</v>
      </c>
    </row>
    <row r="1149" spans="1:9" x14ac:dyDescent="0.25">
      <c r="A1149" s="95">
        <v>1148</v>
      </c>
      <c r="B1149" t="s">
        <v>1498</v>
      </c>
      <c r="C1149" t="s">
        <v>2586</v>
      </c>
      <c r="F1149" s="1">
        <v>36071</v>
      </c>
      <c r="G1149" t="s">
        <v>2272</v>
      </c>
      <c r="H1149" t="s">
        <v>121</v>
      </c>
      <c r="I1149" t="s">
        <v>11</v>
      </c>
    </row>
    <row r="1150" spans="1:9" x14ac:dyDescent="0.25">
      <c r="A1150" s="95">
        <v>1149</v>
      </c>
      <c r="B1150" t="s">
        <v>1857</v>
      </c>
      <c r="C1150" t="s">
        <v>1884</v>
      </c>
      <c r="F1150" s="1">
        <v>22528</v>
      </c>
      <c r="G1150" t="s">
        <v>2272</v>
      </c>
      <c r="H1150" t="s">
        <v>121</v>
      </c>
      <c r="I1150" t="s">
        <v>11</v>
      </c>
    </row>
    <row r="1151" spans="1:9" x14ac:dyDescent="0.25">
      <c r="A1151" s="95">
        <v>1150</v>
      </c>
      <c r="B1151" t="s">
        <v>2587</v>
      </c>
      <c r="C1151" t="s">
        <v>1367</v>
      </c>
      <c r="F1151" s="1">
        <v>30339</v>
      </c>
      <c r="G1151" t="s">
        <v>2272</v>
      </c>
      <c r="H1151" t="s">
        <v>121</v>
      </c>
      <c r="I1151" t="s">
        <v>11</v>
      </c>
    </row>
    <row r="1152" spans="1:9" x14ac:dyDescent="0.25">
      <c r="A1152" s="95">
        <v>1151</v>
      </c>
      <c r="B1152" t="s">
        <v>77</v>
      </c>
      <c r="C1152" t="s">
        <v>167</v>
      </c>
      <c r="F1152" s="1">
        <v>36044</v>
      </c>
      <c r="G1152" t="s">
        <v>2276</v>
      </c>
      <c r="H1152" t="s">
        <v>121</v>
      </c>
      <c r="I1152" t="s">
        <v>11</v>
      </c>
    </row>
    <row r="1153" spans="1:9" x14ac:dyDescent="0.25">
      <c r="A1153" s="95">
        <v>1152</v>
      </c>
      <c r="B1153" t="s">
        <v>1932</v>
      </c>
      <c r="C1153" t="s">
        <v>1861</v>
      </c>
      <c r="D1153" t="s">
        <v>2482</v>
      </c>
      <c r="F1153" s="1">
        <v>25035</v>
      </c>
      <c r="G1153" t="s">
        <v>2276</v>
      </c>
      <c r="H1153" t="s">
        <v>121</v>
      </c>
      <c r="I1153" t="s">
        <v>11</v>
      </c>
    </row>
    <row r="1154" spans="1:9" x14ac:dyDescent="0.25">
      <c r="A1154" s="95">
        <v>1153</v>
      </c>
      <c r="B1154" t="s">
        <v>2588</v>
      </c>
      <c r="C1154" t="s">
        <v>2589</v>
      </c>
      <c r="F1154" s="1">
        <v>39405</v>
      </c>
      <c r="G1154" t="s">
        <v>2272</v>
      </c>
      <c r="H1154" t="s">
        <v>121</v>
      </c>
      <c r="I1154" t="s">
        <v>11</v>
      </c>
    </row>
    <row r="1155" spans="1:9" x14ac:dyDescent="0.25">
      <c r="A1155" s="95">
        <v>1154</v>
      </c>
      <c r="B1155" t="s">
        <v>1848</v>
      </c>
      <c r="C1155" t="s">
        <v>1020</v>
      </c>
      <c r="F1155" s="1">
        <v>15276</v>
      </c>
      <c r="G1155" t="s">
        <v>2272</v>
      </c>
      <c r="H1155" t="s">
        <v>121</v>
      </c>
      <c r="I1155" t="s">
        <v>11</v>
      </c>
    </row>
    <row r="1156" spans="1:9" x14ac:dyDescent="0.25">
      <c r="A1156" s="95">
        <v>1155</v>
      </c>
      <c r="B1156" t="s">
        <v>358</v>
      </c>
      <c r="C1156" t="s">
        <v>2590</v>
      </c>
      <c r="D1156" t="s">
        <v>2561</v>
      </c>
      <c r="F1156" s="1">
        <v>20007</v>
      </c>
      <c r="G1156" t="s">
        <v>2276</v>
      </c>
      <c r="H1156" t="s">
        <v>121</v>
      </c>
      <c r="I1156" t="s">
        <v>11</v>
      </c>
    </row>
    <row r="1157" spans="1:9" x14ac:dyDescent="0.25">
      <c r="A1157" s="95">
        <v>1156</v>
      </c>
      <c r="B1157" t="s">
        <v>2042</v>
      </c>
      <c r="C1157" t="s">
        <v>130</v>
      </c>
      <c r="F1157" s="1">
        <v>26186</v>
      </c>
      <c r="G1157" t="s">
        <v>2272</v>
      </c>
      <c r="H1157" t="s">
        <v>121</v>
      </c>
      <c r="I1157" t="s">
        <v>11</v>
      </c>
    </row>
    <row r="1158" spans="1:9" x14ac:dyDescent="0.25">
      <c r="A1158" s="95">
        <v>1157</v>
      </c>
      <c r="B1158" t="s">
        <v>2044</v>
      </c>
      <c r="C1158" t="s">
        <v>2591</v>
      </c>
      <c r="D1158" t="s">
        <v>2592</v>
      </c>
      <c r="F1158" s="1">
        <v>31021</v>
      </c>
      <c r="G1158" t="s">
        <v>2276</v>
      </c>
      <c r="H1158" t="s">
        <v>121</v>
      </c>
      <c r="I1158" t="s">
        <v>11</v>
      </c>
    </row>
    <row r="1159" spans="1:9" x14ac:dyDescent="0.25">
      <c r="A1159" s="95">
        <v>1158</v>
      </c>
      <c r="B1159" t="s">
        <v>1426</v>
      </c>
      <c r="C1159" t="s">
        <v>333</v>
      </c>
      <c r="F1159" s="1">
        <v>36194</v>
      </c>
      <c r="G1159" t="s">
        <v>2276</v>
      </c>
      <c r="H1159" t="s">
        <v>121</v>
      </c>
      <c r="I1159" t="s">
        <v>11</v>
      </c>
    </row>
    <row r="1160" spans="1:9" x14ac:dyDescent="0.25">
      <c r="A1160" s="95">
        <v>1159</v>
      </c>
      <c r="B1160" t="s">
        <v>2048</v>
      </c>
      <c r="C1160" t="s">
        <v>2593</v>
      </c>
      <c r="F1160" s="1">
        <v>25791</v>
      </c>
      <c r="G1160" t="s">
        <v>2272</v>
      </c>
      <c r="H1160" t="s">
        <v>121</v>
      </c>
      <c r="I1160" t="s">
        <v>11</v>
      </c>
    </row>
    <row r="1161" spans="1:9" x14ac:dyDescent="0.25">
      <c r="A1161" s="95">
        <v>1160</v>
      </c>
      <c r="B1161" t="s">
        <v>2051</v>
      </c>
      <c r="C1161" t="s">
        <v>2594</v>
      </c>
      <c r="F1161" s="1">
        <v>27651</v>
      </c>
      <c r="G1161" t="s">
        <v>2276</v>
      </c>
      <c r="H1161" t="s">
        <v>121</v>
      </c>
      <c r="I1161" t="s">
        <v>11</v>
      </c>
    </row>
    <row r="1162" spans="1:9" x14ac:dyDescent="0.25">
      <c r="A1162" s="95">
        <v>1161</v>
      </c>
      <c r="B1162" t="s">
        <v>2016</v>
      </c>
      <c r="C1162" t="s">
        <v>2595</v>
      </c>
      <c r="F1162" s="1">
        <v>23133</v>
      </c>
      <c r="G1162" t="s">
        <v>2276</v>
      </c>
      <c r="H1162" t="s">
        <v>121</v>
      </c>
      <c r="I1162" t="s">
        <v>11</v>
      </c>
    </row>
    <row r="1163" spans="1:9" x14ac:dyDescent="0.25">
      <c r="A1163" s="95">
        <v>1162</v>
      </c>
      <c r="B1163" t="s">
        <v>601</v>
      </c>
      <c r="C1163" t="s">
        <v>2596</v>
      </c>
      <c r="F1163" s="1">
        <v>20505</v>
      </c>
      <c r="G1163" t="s">
        <v>2272</v>
      </c>
      <c r="H1163" t="s">
        <v>121</v>
      </c>
      <c r="I1163" t="s">
        <v>11</v>
      </c>
    </row>
    <row r="1164" spans="1:9" x14ac:dyDescent="0.25">
      <c r="A1164" s="95">
        <v>1163</v>
      </c>
      <c r="B1164" t="s">
        <v>1299</v>
      </c>
      <c r="C1164" t="s">
        <v>2597</v>
      </c>
      <c r="F1164" s="1">
        <v>26111</v>
      </c>
      <c r="G1164" t="s">
        <v>2272</v>
      </c>
      <c r="H1164" t="s">
        <v>121</v>
      </c>
      <c r="I1164" t="s">
        <v>11</v>
      </c>
    </row>
    <row r="1165" spans="1:9" x14ac:dyDescent="0.25">
      <c r="A1165" s="95">
        <v>1164</v>
      </c>
      <c r="B1165" t="s">
        <v>89</v>
      </c>
      <c r="C1165" t="s">
        <v>2598</v>
      </c>
      <c r="F1165" s="1">
        <v>29956</v>
      </c>
      <c r="G1165" t="s">
        <v>2272</v>
      </c>
      <c r="H1165" t="s">
        <v>121</v>
      </c>
      <c r="I1165" t="s">
        <v>11</v>
      </c>
    </row>
    <row r="1166" spans="1:9" x14ac:dyDescent="0.25">
      <c r="A1166" s="95">
        <v>1165</v>
      </c>
      <c r="B1166" t="s">
        <v>2599</v>
      </c>
      <c r="C1166" t="s">
        <v>1766</v>
      </c>
      <c r="F1166" s="1">
        <v>34014</v>
      </c>
      <c r="G1166" t="s">
        <v>2272</v>
      </c>
      <c r="H1166" t="s">
        <v>121</v>
      </c>
      <c r="I1166" t="s">
        <v>11</v>
      </c>
    </row>
    <row r="1167" spans="1:9" x14ac:dyDescent="0.25">
      <c r="A1167" s="95">
        <v>1166</v>
      </c>
      <c r="B1167" t="s">
        <v>1735</v>
      </c>
      <c r="C1167" t="s">
        <v>470</v>
      </c>
      <c r="F1167" s="1">
        <v>28066</v>
      </c>
      <c r="G1167" t="s">
        <v>2272</v>
      </c>
      <c r="H1167" t="s">
        <v>121</v>
      </c>
      <c r="I1167" t="s">
        <v>11</v>
      </c>
    </row>
    <row r="1168" spans="1:9" x14ac:dyDescent="0.25">
      <c r="A1168" s="95">
        <v>1167</v>
      </c>
      <c r="B1168" t="s">
        <v>2078</v>
      </c>
      <c r="C1168" t="s">
        <v>2600</v>
      </c>
      <c r="F1168" s="1">
        <v>33548</v>
      </c>
      <c r="G1168" t="s">
        <v>2272</v>
      </c>
      <c r="H1168" t="s">
        <v>121</v>
      </c>
      <c r="I1168" t="s">
        <v>11</v>
      </c>
    </row>
    <row r="1169" spans="1:9" x14ac:dyDescent="0.25">
      <c r="A1169" s="95">
        <v>1168</v>
      </c>
      <c r="B1169" t="s">
        <v>2073</v>
      </c>
      <c r="C1169" t="s">
        <v>96</v>
      </c>
      <c r="F1169" s="1">
        <v>30751</v>
      </c>
      <c r="G1169" t="s">
        <v>2276</v>
      </c>
      <c r="H1169" t="s">
        <v>121</v>
      </c>
      <c r="I1169" t="s">
        <v>11</v>
      </c>
    </row>
    <row r="1170" spans="1:9" x14ac:dyDescent="0.25">
      <c r="A1170" s="95">
        <v>1169</v>
      </c>
      <c r="B1170" t="s">
        <v>538</v>
      </c>
      <c r="C1170" t="s">
        <v>2601</v>
      </c>
      <c r="F1170" s="1">
        <v>33802</v>
      </c>
      <c r="G1170" t="s">
        <v>2276</v>
      </c>
      <c r="H1170" t="s">
        <v>121</v>
      </c>
      <c r="I1170" t="s">
        <v>11</v>
      </c>
    </row>
    <row r="1171" spans="1:9" x14ac:dyDescent="0.25">
      <c r="A1171" s="95">
        <v>1170</v>
      </c>
      <c r="B1171" t="s">
        <v>2314</v>
      </c>
      <c r="C1171" t="s">
        <v>2602</v>
      </c>
      <c r="F1171" s="1">
        <v>34224</v>
      </c>
      <c r="G1171" t="s">
        <v>2272</v>
      </c>
      <c r="H1171" t="s">
        <v>121</v>
      </c>
      <c r="I1171" t="s">
        <v>11</v>
      </c>
    </row>
    <row r="1172" spans="1:9" x14ac:dyDescent="0.25">
      <c r="A1172" s="95">
        <v>1171</v>
      </c>
      <c r="B1172" t="s">
        <v>2081</v>
      </c>
      <c r="C1172" t="s">
        <v>2603</v>
      </c>
      <c r="D1172" t="s">
        <v>2482</v>
      </c>
      <c r="F1172" s="1">
        <v>36387</v>
      </c>
      <c r="G1172" t="s">
        <v>2276</v>
      </c>
      <c r="H1172" t="s">
        <v>121</v>
      </c>
      <c r="I1172" t="s">
        <v>11</v>
      </c>
    </row>
    <row r="1173" spans="1:9" x14ac:dyDescent="0.25">
      <c r="A1173" s="95">
        <v>1172</v>
      </c>
      <c r="B1173" t="s">
        <v>85</v>
      </c>
      <c r="C1173" t="s">
        <v>2604</v>
      </c>
      <c r="F1173" s="1">
        <v>25814</v>
      </c>
      <c r="G1173" t="s">
        <v>2272</v>
      </c>
      <c r="H1173" t="s">
        <v>121</v>
      </c>
      <c r="I1173" t="s">
        <v>11</v>
      </c>
    </row>
    <row r="1174" spans="1:9" x14ac:dyDescent="0.25">
      <c r="A1174" s="95">
        <v>1173</v>
      </c>
      <c r="B1174" t="s">
        <v>2605</v>
      </c>
      <c r="C1174" t="s">
        <v>2606</v>
      </c>
      <c r="F1174" s="1">
        <v>37856</v>
      </c>
      <c r="G1174" t="s">
        <v>2276</v>
      </c>
      <c r="H1174" t="s">
        <v>121</v>
      </c>
      <c r="I1174" t="s">
        <v>11</v>
      </c>
    </row>
    <row r="1175" spans="1:9" x14ac:dyDescent="0.25">
      <c r="A1175" s="95">
        <v>1174</v>
      </c>
      <c r="B1175" t="s">
        <v>1932</v>
      </c>
      <c r="C1175" t="s">
        <v>241</v>
      </c>
      <c r="F1175" s="1">
        <v>28534</v>
      </c>
      <c r="G1175" t="s">
        <v>2276</v>
      </c>
      <c r="H1175" t="s">
        <v>121</v>
      </c>
      <c r="I1175" t="s">
        <v>11</v>
      </c>
    </row>
    <row r="1176" spans="1:9" x14ac:dyDescent="0.25">
      <c r="A1176" s="95">
        <v>1175</v>
      </c>
      <c r="B1176" t="s">
        <v>1050</v>
      </c>
      <c r="C1176" t="s">
        <v>2607</v>
      </c>
      <c r="D1176" t="s">
        <v>2559</v>
      </c>
      <c r="F1176" s="1">
        <v>19610</v>
      </c>
      <c r="G1176" t="s">
        <v>2276</v>
      </c>
      <c r="H1176" t="s">
        <v>121</v>
      </c>
      <c r="I1176" t="s">
        <v>11</v>
      </c>
    </row>
    <row r="1177" spans="1:9" x14ac:dyDescent="0.25">
      <c r="A1177" s="95">
        <v>1176</v>
      </c>
      <c r="B1177" t="s">
        <v>796</v>
      </c>
      <c r="C1177" t="s">
        <v>2608</v>
      </c>
      <c r="F1177" s="1">
        <v>28802</v>
      </c>
      <c r="G1177" t="s">
        <v>2272</v>
      </c>
      <c r="H1177" t="s">
        <v>121</v>
      </c>
      <c r="I1177" t="s">
        <v>11</v>
      </c>
    </row>
    <row r="1178" spans="1:9" x14ac:dyDescent="0.25">
      <c r="A1178" s="95">
        <v>1177</v>
      </c>
      <c r="B1178" t="s">
        <v>2088</v>
      </c>
      <c r="C1178" t="s">
        <v>2609</v>
      </c>
      <c r="D1178" t="s">
        <v>2592</v>
      </c>
      <c r="F1178" s="1">
        <v>30297</v>
      </c>
      <c r="G1178" t="s">
        <v>2276</v>
      </c>
      <c r="H1178" t="s">
        <v>121</v>
      </c>
      <c r="I1178" t="s">
        <v>11</v>
      </c>
    </row>
    <row r="1179" spans="1:9" x14ac:dyDescent="0.25">
      <c r="A1179" s="95">
        <v>1178</v>
      </c>
      <c r="B1179" t="s">
        <v>450</v>
      </c>
      <c r="C1179" t="s">
        <v>1923</v>
      </c>
      <c r="D1179" t="s">
        <v>2610</v>
      </c>
      <c r="F1179" s="1">
        <v>26314</v>
      </c>
      <c r="G1179" t="s">
        <v>2273</v>
      </c>
      <c r="H1179" t="s">
        <v>121</v>
      </c>
      <c r="I1179" t="s">
        <v>11</v>
      </c>
    </row>
    <row r="1180" spans="1:9" x14ac:dyDescent="0.25">
      <c r="A1180" s="95">
        <v>1179</v>
      </c>
      <c r="B1180" t="s">
        <v>737</v>
      </c>
      <c r="C1180" t="s">
        <v>2611</v>
      </c>
      <c r="F1180" s="1">
        <v>30912</v>
      </c>
      <c r="G1180" t="s">
        <v>2272</v>
      </c>
      <c r="H1180" t="s">
        <v>121</v>
      </c>
      <c r="I1180" t="s">
        <v>11</v>
      </c>
    </row>
    <row r="1181" spans="1:9" x14ac:dyDescent="0.25">
      <c r="A1181" s="95">
        <v>1180</v>
      </c>
      <c r="B1181" t="s">
        <v>2092</v>
      </c>
      <c r="C1181" t="s">
        <v>2612</v>
      </c>
      <c r="F1181" s="1">
        <v>33141</v>
      </c>
      <c r="G1181" t="s">
        <v>2276</v>
      </c>
      <c r="H1181" t="s">
        <v>121</v>
      </c>
      <c r="I1181" t="s">
        <v>11</v>
      </c>
    </row>
    <row r="1182" spans="1:9" x14ac:dyDescent="0.25">
      <c r="A1182" s="95">
        <v>1181</v>
      </c>
      <c r="B1182" t="s">
        <v>2026</v>
      </c>
      <c r="C1182" t="s">
        <v>20</v>
      </c>
      <c r="D1182" t="s">
        <v>2559</v>
      </c>
      <c r="F1182" s="1">
        <v>29181</v>
      </c>
      <c r="G1182" t="s">
        <v>2276</v>
      </c>
      <c r="H1182" t="s">
        <v>121</v>
      </c>
      <c r="I1182" t="s">
        <v>11</v>
      </c>
    </row>
    <row r="1183" spans="1:9" x14ac:dyDescent="0.25">
      <c r="A1183" s="95">
        <v>1182</v>
      </c>
      <c r="B1183" t="s">
        <v>1292</v>
      </c>
      <c r="C1183" t="s">
        <v>2613</v>
      </c>
      <c r="D1183" t="s">
        <v>1409</v>
      </c>
      <c r="F1183" s="1">
        <v>28392</v>
      </c>
      <c r="G1183" t="s">
        <v>2273</v>
      </c>
      <c r="H1183" t="s">
        <v>121</v>
      </c>
      <c r="I1183" t="s">
        <v>11</v>
      </c>
    </row>
    <row r="1184" spans="1:9" x14ac:dyDescent="0.25">
      <c r="A1184" s="95">
        <v>1183</v>
      </c>
      <c r="B1184" t="s">
        <v>1417</v>
      </c>
      <c r="C1184" t="s">
        <v>2614</v>
      </c>
      <c r="F1184" s="1">
        <v>27147</v>
      </c>
      <c r="G1184" t="s">
        <v>2272</v>
      </c>
      <c r="H1184" t="s">
        <v>121</v>
      </c>
      <c r="I1184" t="s">
        <v>11</v>
      </c>
    </row>
    <row r="1185" spans="1:9" x14ac:dyDescent="0.25">
      <c r="A1185" s="95">
        <v>1184</v>
      </c>
      <c r="B1185" t="s">
        <v>737</v>
      </c>
      <c r="C1185" t="s">
        <v>2615</v>
      </c>
      <c r="F1185" s="1">
        <v>36528</v>
      </c>
      <c r="G1185" t="s">
        <v>2272</v>
      </c>
      <c r="H1185" t="s">
        <v>121</v>
      </c>
      <c r="I1185" t="s">
        <v>11</v>
      </c>
    </row>
    <row r="1186" spans="1:9" x14ac:dyDescent="0.25">
      <c r="A1186" s="95">
        <v>1185</v>
      </c>
      <c r="B1186" t="s">
        <v>2616</v>
      </c>
      <c r="C1186" t="s">
        <v>2617</v>
      </c>
      <c r="F1186" s="1">
        <v>28726</v>
      </c>
      <c r="G1186" t="s">
        <v>2272</v>
      </c>
      <c r="H1186" t="s">
        <v>121</v>
      </c>
      <c r="I1186" t="s">
        <v>11</v>
      </c>
    </row>
    <row r="1187" spans="1:9" x14ac:dyDescent="0.25">
      <c r="A1187" s="95">
        <v>1186</v>
      </c>
      <c r="B1187" t="s">
        <v>2102</v>
      </c>
      <c r="C1187" t="s">
        <v>2350</v>
      </c>
      <c r="F1187" s="1">
        <v>26676</v>
      </c>
      <c r="G1187" t="s">
        <v>2272</v>
      </c>
      <c r="H1187" t="s">
        <v>121</v>
      </c>
      <c r="I1187" t="s">
        <v>11</v>
      </c>
    </row>
    <row r="1188" spans="1:9" x14ac:dyDescent="0.25">
      <c r="A1188" s="95">
        <v>1187</v>
      </c>
      <c r="B1188" t="s">
        <v>2104</v>
      </c>
      <c r="C1188" t="s">
        <v>2350</v>
      </c>
      <c r="F1188" s="1">
        <v>26117</v>
      </c>
      <c r="G1188" t="s">
        <v>2272</v>
      </c>
      <c r="H1188" t="s">
        <v>121</v>
      </c>
      <c r="I1188" t="s">
        <v>11</v>
      </c>
    </row>
    <row r="1189" spans="1:9" x14ac:dyDescent="0.25">
      <c r="A1189" s="95">
        <v>1188</v>
      </c>
      <c r="B1189" t="s">
        <v>1050</v>
      </c>
      <c r="C1189" t="s">
        <v>2618</v>
      </c>
      <c r="D1189" t="s">
        <v>1403</v>
      </c>
      <c r="F1189" s="1">
        <v>26974</v>
      </c>
      <c r="G1189" t="s">
        <v>2272</v>
      </c>
      <c r="H1189" t="s">
        <v>121</v>
      </c>
      <c r="I1189" t="s">
        <v>11</v>
      </c>
    </row>
    <row r="1190" spans="1:9" x14ac:dyDescent="0.25">
      <c r="A1190" s="95">
        <v>1189</v>
      </c>
      <c r="B1190" t="s">
        <v>742</v>
      </c>
      <c r="C1190" t="s">
        <v>1427</v>
      </c>
      <c r="F1190" s="1">
        <v>21314</v>
      </c>
      <c r="G1190" t="s">
        <v>2276</v>
      </c>
      <c r="H1190" t="s">
        <v>121</v>
      </c>
      <c r="I1190" t="s">
        <v>11</v>
      </c>
    </row>
    <row r="1191" spans="1:9" x14ac:dyDescent="0.25">
      <c r="A1191" s="95">
        <v>1190</v>
      </c>
      <c r="B1191" t="s">
        <v>1554</v>
      </c>
      <c r="C1191" t="s">
        <v>2619</v>
      </c>
      <c r="D1191" t="s">
        <v>1497</v>
      </c>
      <c r="F1191" s="1">
        <v>18772</v>
      </c>
      <c r="G1191" t="s">
        <v>2272</v>
      </c>
      <c r="H1191" t="s">
        <v>121</v>
      </c>
      <c r="I1191" t="s">
        <v>11</v>
      </c>
    </row>
    <row r="1192" spans="1:9" x14ac:dyDescent="0.25">
      <c r="A1192" s="95">
        <v>1191</v>
      </c>
      <c r="B1192" t="s">
        <v>2620</v>
      </c>
      <c r="C1192" t="s">
        <v>2621</v>
      </c>
      <c r="F1192" s="1">
        <v>27020</v>
      </c>
      <c r="G1192" t="s">
        <v>2272</v>
      </c>
      <c r="H1192" t="s">
        <v>121</v>
      </c>
      <c r="I1192" t="s">
        <v>11</v>
      </c>
    </row>
    <row r="1193" spans="1:9" x14ac:dyDescent="0.25">
      <c r="A1193" s="95">
        <v>1192</v>
      </c>
      <c r="B1193" t="s">
        <v>2622</v>
      </c>
      <c r="C1193" t="s">
        <v>2623</v>
      </c>
      <c r="F1193" s="1">
        <v>32762</v>
      </c>
      <c r="G1193" t="s">
        <v>2276</v>
      </c>
      <c r="H1193" t="s">
        <v>121</v>
      </c>
      <c r="I1193" t="s">
        <v>11</v>
      </c>
    </row>
    <row r="1194" spans="1:9" x14ac:dyDescent="0.25">
      <c r="A1194" s="95">
        <v>1193</v>
      </c>
      <c r="B1194" t="s">
        <v>1783</v>
      </c>
      <c r="C1194" t="s">
        <v>2624</v>
      </c>
      <c r="F1194" s="1">
        <v>32589</v>
      </c>
      <c r="G1194" t="s">
        <v>2272</v>
      </c>
      <c r="H1194" t="s">
        <v>121</v>
      </c>
      <c r="I1194" t="s">
        <v>11</v>
      </c>
    </row>
    <row r="1195" spans="1:9" x14ac:dyDescent="0.25">
      <c r="A1195" s="95">
        <v>1194</v>
      </c>
      <c r="B1195" t="s">
        <v>1917</v>
      </c>
      <c r="C1195" t="s">
        <v>1994</v>
      </c>
      <c r="D1195" t="s">
        <v>2625</v>
      </c>
      <c r="F1195" s="1">
        <v>25710</v>
      </c>
      <c r="G1195" t="s">
        <v>2276</v>
      </c>
      <c r="H1195" t="s">
        <v>121</v>
      </c>
      <c r="I1195" t="s">
        <v>11</v>
      </c>
    </row>
    <row r="1196" spans="1:9" x14ac:dyDescent="0.25">
      <c r="A1196" s="95">
        <v>1195</v>
      </c>
      <c r="B1196" t="s">
        <v>1292</v>
      </c>
      <c r="C1196" t="s">
        <v>2457</v>
      </c>
      <c r="D1196" t="s">
        <v>1409</v>
      </c>
      <c r="F1196" s="1">
        <v>15804</v>
      </c>
      <c r="G1196" t="s">
        <v>2273</v>
      </c>
      <c r="H1196" t="s">
        <v>121</v>
      </c>
      <c r="I1196" t="s">
        <v>11</v>
      </c>
    </row>
    <row r="1197" spans="1:9" x14ac:dyDescent="0.25">
      <c r="A1197" s="95">
        <v>1196</v>
      </c>
      <c r="B1197" t="s">
        <v>53</v>
      </c>
      <c r="C1197" t="s">
        <v>2626</v>
      </c>
      <c r="F1197" s="1">
        <v>24204</v>
      </c>
      <c r="G1197" t="s">
        <v>2272</v>
      </c>
      <c r="H1197" t="s">
        <v>121</v>
      </c>
      <c r="I1197" t="s">
        <v>11</v>
      </c>
    </row>
    <row r="1198" spans="1:9" x14ac:dyDescent="0.25">
      <c r="A1198" s="95">
        <v>1197</v>
      </c>
      <c r="B1198" t="s">
        <v>58</v>
      </c>
      <c r="C1198" t="s">
        <v>2627</v>
      </c>
      <c r="D1198" t="s">
        <v>2628</v>
      </c>
      <c r="F1198" s="1">
        <v>29375</v>
      </c>
      <c r="G1198" t="s">
        <v>2272</v>
      </c>
      <c r="H1198" t="s">
        <v>121</v>
      </c>
      <c r="I1198" t="s">
        <v>11</v>
      </c>
    </row>
    <row r="1199" spans="1:9" x14ac:dyDescent="0.25">
      <c r="A1199" s="95">
        <v>1198</v>
      </c>
      <c r="B1199" t="s">
        <v>2124</v>
      </c>
      <c r="C1199" t="s">
        <v>2629</v>
      </c>
      <c r="F1199" s="1">
        <v>20746</v>
      </c>
      <c r="G1199" t="s">
        <v>2272</v>
      </c>
      <c r="H1199" t="s">
        <v>121</v>
      </c>
      <c r="I1199" t="s">
        <v>11</v>
      </c>
    </row>
    <row r="1200" spans="1:9" x14ac:dyDescent="0.25">
      <c r="A1200" s="95">
        <v>1199</v>
      </c>
      <c r="B1200" t="s">
        <v>742</v>
      </c>
      <c r="C1200" t="s">
        <v>2630</v>
      </c>
      <c r="D1200" t="s">
        <v>2559</v>
      </c>
      <c r="F1200" s="1">
        <v>20330</v>
      </c>
      <c r="G1200" t="s">
        <v>2276</v>
      </c>
      <c r="H1200" t="s">
        <v>121</v>
      </c>
      <c r="I1200" t="s">
        <v>11</v>
      </c>
    </row>
    <row r="1201" spans="1:9" x14ac:dyDescent="0.25">
      <c r="A1201" s="95">
        <v>1200</v>
      </c>
      <c r="B1201" t="s">
        <v>2128</v>
      </c>
      <c r="C1201" t="s">
        <v>2631</v>
      </c>
      <c r="D1201" t="s">
        <v>2020</v>
      </c>
      <c r="F1201" s="1">
        <v>27936</v>
      </c>
      <c r="G1201" t="s">
        <v>2272</v>
      </c>
      <c r="H1201" t="s">
        <v>121</v>
      </c>
      <c r="I1201" t="s">
        <v>11</v>
      </c>
    </row>
    <row r="1202" spans="1:9" x14ac:dyDescent="0.25">
      <c r="A1202" s="95">
        <v>1201</v>
      </c>
      <c r="B1202" t="s">
        <v>2130</v>
      </c>
      <c r="C1202" t="s">
        <v>2632</v>
      </c>
      <c r="D1202" t="s">
        <v>816</v>
      </c>
      <c r="F1202" s="1">
        <v>26588</v>
      </c>
      <c r="G1202" t="s">
        <v>2273</v>
      </c>
      <c r="H1202" t="s">
        <v>121</v>
      </c>
      <c r="I1202" t="s">
        <v>11</v>
      </c>
    </row>
    <row r="1203" spans="1:9" x14ac:dyDescent="0.25">
      <c r="A1203" s="95">
        <v>1202</v>
      </c>
      <c r="B1203" t="s">
        <v>1288</v>
      </c>
      <c r="C1203" t="s">
        <v>1612</v>
      </c>
      <c r="F1203" s="1">
        <v>29165</v>
      </c>
      <c r="G1203" t="s">
        <v>2276</v>
      </c>
      <c r="H1203" t="s">
        <v>121</v>
      </c>
      <c r="I1203" t="s">
        <v>11</v>
      </c>
    </row>
    <row r="1204" spans="1:9" x14ac:dyDescent="0.25">
      <c r="A1204" s="95">
        <v>1203</v>
      </c>
      <c r="B1204" t="s">
        <v>495</v>
      </c>
      <c r="C1204" t="s">
        <v>978</v>
      </c>
      <c r="F1204" s="1">
        <v>31417</v>
      </c>
      <c r="G1204" t="s">
        <v>2272</v>
      </c>
      <c r="H1204" t="s">
        <v>121</v>
      </c>
      <c r="I1204" t="s">
        <v>11</v>
      </c>
    </row>
    <row r="1205" spans="1:9" x14ac:dyDescent="0.25">
      <c r="A1205" s="95">
        <v>1204</v>
      </c>
      <c r="B1205" t="s">
        <v>1047</v>
      </c>
      <c r="C1205" t="s">
        <v>1861</v>
      </c>
      <c r="F1205" s="1">
        <v>35156</v>
      </c>
      <c r="G1205" t="s">
        <v>2272</v>
      </c>
      <c r="H1205" t="s">
        <v>121</v>
      </c>
      <c r="I1205" t="s">
        <v>11</v>
      </c>
    </row>
    <row r="1206" spans="1:9" x14ac:dyDescent="0.25">
      <c r="A1206" s="95">
        <v>1205</v>
      </c>
      <c r="B1206" t="s">
        <v>361</v>
      </c>
      <c r="C1206" t="s">
        <v>2633</v>
      </c>
      <c r="F1206" s="1">
        <v>15405</v>
      </c>
      <c r="G1206" t="s">
        <v>2276</v>
      </c>
      <c r="H1206" t="s">
        <v>121</v>
      </c>
      <c r="I1206" t="s">
        <v>11</v>
      </c>
    </row>
    <row r="1207" spans="1:9" x14ac:dyDescent="0.25">
      <c r="A1207" s="95">
        <v>1206</v>
      </c>
      <c r="B1207" t="s">
        <v>1554</v>
      </c>
      <c r="C1207" t="s">
        <v>2634</v>
      </c>
      <c r="F1207" s="1">
        <v>31181</v>
      </c>
      <c r="G1207" t="s">
        <v>2272</v>
      </c>
      <c r="H1207" t="s">
        <v>121</v>
      </c>
      <c r="I1207" t="s">
        <v>11</v>
      </c>
    </row>
    <row r="1208" spans="1:9" x14ac:dyDescent="0.25">
      <c r="A1208" s="95">
        <v>1207</v>
      </c>
      <c r="B1208" t="s">
        <v>2143</v>
      </c>
      <c r="C1208" t="s">
        <v>2635</v>
      </c>
      <c r="D1208" t="s">
        <v>2516</v>
      </c>
      <c r="F1208" s="1">
        <v>19481</v>
      </c>
      <c r="G1208" t="s">
        <v>2272</v>
      </c>
      <c r="H1208" t="s">
        <v>121</v>
      </c>
      <c r="I1208" t="s">
        <v>11</v>
      </c>
    </row>
    <row r="1209" spans="1:9" x14ac:dyDescent="0.25">
      <c r="A1209" s="95">
        <v>1208</v>
      </c>
      <c r="B1209" t="s">
        <v>2145</v>
      </c>
      <c r="C1209" t="s">
        <v>2636</v>
      </c>
      <c r="D1209" t="s">
        <v>109</v>
      </c>
      <c r="F1209" s="1">
        <v>19950</v>
      </c>
      <c r="G1209" t="s">
        <v>2276</v>
      </c>
      <c r="H1209" t="s">
        <v>121</v>
      </c>
      <c r="I1209" t="s">
        <v>11</v>
      </c>
    </row>
    <row r="1210" spans="1:9" x14ac:dyDescent="0.25">
      <c r="A1210" s="95">
        <v>1209</v>
      </c>
      <c r="B1210" t="s">
        <v>2018</v>
      </c>
      <c r="C1210" t="s">
        <v>2637</v>
      </c>
      <c r="F1210" s="1">
        <v>24690</v>
      </c>
      <c r="G1210" t="s">
        <v>2272</v>
      </c>
      <c r="H1210" t="s">
        <v>121</v>
      </c>
      <c r="I1210" t="s">
        <v>11</v>
      </c>
    </row>
    <row r="1211" spans="1:9" x14ac:dyDescent="0.25">
      <c r="A1211" s="95">
        <v>1210</v>
      </c>
      <c r="B1211" t="s">
        <v>2149</v>
      </c>
      <c r="C1211" t="s">
        <v>1994</v>
      </c>
      <c r="F1211" s="1">
        <v>27719</v>
      </c>
      <c r="G1211" t="s">
        <v>2276</v>
      </c>
      <c r="H1211" t="s">
        <v>121</v>
      </c>
      <c r="I1211" t="s">
        <v>11</v>
      </c>
    </row>
    <row r="1212" spans="1:9" x14ac:dyDescent="0.25">
      <c r="A1212" s="95">
        <v>1211</v>
      </c>
      <c r="B1212" t="s">
        <v>2092</v>
      </c>
      <c r="C1212" t="s">
        <v>2638</v>
      </c>
      <c r="F1212" s="1">
        <v>30233</v>
      </c>
      <c r="G1212" t="s">
        <v>2272</v>
      </c>
      <c r="H1212" t="s">
        <v>121</v>
      </c>
      <c r="I1212" t="s">
        <v>11</v>
      </c>
    </row>
    <row r="1213" spans="1:9" x14ac:dyDescent="0.25">
      <c r="A1213" s="95">
        <v>1212</v>
      </c>
      <c r="B1213" t="s">
        <v>2153</v>
      </c>
      <c r="C1213" t="s">
        <v>36</v>
      </c>
      <c r="F1213" s="1">
        <v>29024</v>
      </c>
      <c r="G1213" t="s">
        <v>2272</v>
      </c>
      <c r="H1213" t="s">
        <v>121</v>
      </c>
      <c r="I1213" t="s">
        <v>11</v>
      </c>
    </row>
    <row r="1214" spans="1:9" x14ac:dyDescent="0.25">
      <c r="A1214" s="95">
        <v>1213</v>
      </c>
      <c r="B1214" t="s">
        <v>2639</v>
      </c>
      <c r="C1214" t="s">
        <v>2640</v>
      </c>
      <c r="D1214" t="s">
        <v>2512</v>
      </c>
      <c r="F1214" s="1">
        <v>35025</v>
      </c>
      <c r="G1214" t="s">
        <v>2272</v>
      </c>
      <c r="H1214" t="s">
        <v>121</v>
      </c>
      <c r="I1214" t="s">
        <v>11</v>
      </c>
    </row>
    <row r="1215" spans="1:9" x14ac:dyDescent="0.25">
      <c r="A1215" s="95">
        <v>1214</v>
      </c>
      <c r="B1215" t="s">
        <v>2641</v>
      </c>
      <c r="C1215" t="s">
        <v>2642</v>
      </c>
      <c r="F1215" s="1">
        <v>35456</v>
      </c>
      <c r="G1215" t="s">
        <v>2272</v>
      </c>
      <c r="H1215" t="s">
        <v>121</v>
      </c>
      <c r="I1215" t="s">
        <v>11</v>
      </c>
    </row>
    <row r="1216" spans="1:9" x14ac:dyDescent="0.25">
      <c r="A1216" s="95">
        <v>1215</v>
      </c>
      <c r="B1216" t="s">
        <v>109</v>
      </c>
      <c r="C1216" t="s">
        <v>1828</v>
      </c>
      <c r="D1216" t="s">
        <v>2508</v>
      </c>
      <c r="F1216" s="1">
        <v>34786</v>
      </c>
      <c r="G1216" t="s">
        <v>2272</v>
      </c>
      <c r="H1216" t="s">
        <v>121</v>
      </c>
      <c r="I1216" t="s">
        <v>11</v>
      </c>
    </row>
    <row r="1217" spans="1:9" x14ac:dyDescent="0.25">
      <c r="A1217" s="95">
        <v>1216</v>
      </c>
      <c r="B1217" t="s">
        <v>2643</v>
      </c>
      <c r="C1217" t="s">
        <v>75</v>
      </c>
      <c r="F1217" s="1">
        <v>28977</v>
      </c>
      <c r="G1217" t="s">
        <v>2276</v>
      </c>
      <c r="H1217" t="s">
        <v>121</v>
      </c>
      <c r="I1217" t="s">
        <v>11</v>
      </c>
    </row>
    <row r="1218" spans="1:9" x14ac:dyDescent="0.25">
      <c r="A1218" s="95">
        <v>1217</v>
      </c>
      <c r="B1218" t="s">
        <v>221</v>
      </c>
      <c r="C1218" t="s">
        <v>2644</v>
      </c>
      <c r="D1218" t="s">
        <v>2496</v>
      </c>
      <c r="F1218" s="1">
        <v>21675</v>
      </c>
      <c r="G1218" t="s">
        <v>2272</v>
      </c>
      <c r="H1218" t="s">
        <v>121</v>
      </c>
      <c r="I1218" t="s">
        <v>11</v>
      </c>
    </row>
    <row r="1219" spans="1:9" x14ac:dyDescent="0.25">
      <c r="A1219" s="95">
        <v>1218</v>
      </c>
      <c r="B1219" t="s">
        <v>2026</v>
      </c>
      <c r="C1219" t="s">
        <v>2645</v>
      </c>
      <c r="F1219" s="1">
        <v>27603</v>
      </c>
      <c r="G1219" t="s">
        <v>2276</v>
      </c>
      <c r="H1219" t="s">
        <v>121</v>
      </c>
      <c r="I1219" t="s">
        <v>11</v>
      </c>
    </row>
    <row r="1220" spans="1:9" x14ac:dyDescent="0.25">
      <c r="A1220" s="95">
        <v>1219</v>
      </c>
      <c r="B1220" t="s">
        <v>2646</v>
      </c>
      <c r="C1220" t="s">
        <v>592</v>
      </c>
      <c r="F1220" s="1">
        <v>34167</v>
      </c>
      <c r="G1220" t="s">
        <v>2276</v>
      </c>
      <c r="H1220" t="s">
        <v>121</v>
      </c>
      <c r="I1220" t="s">
        <v>11</v>
      </c>
    </row>
    <row r="1221" spans="1:9" x14ac:dyDescent="0.25">
      <c r="A1221" s="95">
        <v>1220</v>
      </c>
      <c r="B1221" t="s">
        <v>1326</v>
      </c>
      <c r="C1221" t="s">
        <v>2647</v>
      </c>
      <c r="D1221" t="s">
        <v>2559</v>
      </c>
      <c r="F1221" s="1">
        <v>29488</v>
      </c>
      <c r="G1221" t="s">
        <v>2276</v>
      </c>
      <c r="H1221" t="s">
        <v>121</v>
      </c>
      <c r="I1221" t="s">
        <v>11</v>
      </c>
    </row>
    <row r="1222" spans="1:9" x14ac:dyDescent="0.25">
      <c r="A1222" s="95">
        <v>1221</v>
      </c>
      <c r="B1222" t="s">
        <v>1848</v>
      </c>
      <c r="C1222" t="s">
        <v>2648</v>
      </c>
      <c r="F1222" s="1">
        <v>26868</v>
      </c>
      <c r="G1222" t="s">
        <v>2272</v>
      </c>
      <c r="H1222" t="s">
        <v>121</v>
      </c>
      <c r="I1222" t="s">
        <v>11</v>
      </c>
    </row>
    <row r="1223" spans="1:9" x14ac:dyDescent="0.25">
      <c r="A1223" s="95">
        <v>1222</v>
      </c>
      <c r="B1223" t="s">
        <v>2177</v>
      </c>
      <c r="C1223" t="s">
        <v>1440</v>
      </c>
      <c r="E1223" t="s">
        <v>67</v>
      </c>
      <c r="F1223" s="1">
        <v>28167</v>
      </c>
      <c r="G1223" t="s">
        <v>2272</v>
      </c>
      <c r="H1223" t="s">
        <v>121</v>
      </c>
      <c r="I1223" t="s">
        <v>11</v>
      </c>
    </row>
    <row r="1224" spans="1:9" x14ac:dyDescent="0.25">
      <c r="A1224" s="95">
        <v>1223</v>
      </c>
      <c r="B1224" t="s">
        <v>1908</v>
      </c>
      <c r="C1224" t="s">
        <v>2389</v>
      </c>
      <c r="D1224" t="s">
        <v>742</v>
      </c>
      <c r="F1224" s="1">
        <v>26727</v>
      </c>
      <c r="G1224" t="s">
        <v>2277</v>
      </c>
      <c r="H1224" t="s">
        <v>121</v>
      </c>
      <c r="I1224" t="s">
        <v>11</v>
      </c>
    </row>
    <row r="1225" spans="1:9" x14ac:dyDescent="0.25">
      <c r="A1225" s="95">
        <v>1224</v>
      </c>
      <c r="B1225" t="s">
        <v>1288</v>
      </c>
      <c r="C1225" t="s">
        <v>2649</v>
      </c>
      <c r="F1225" s="1">
        <v>31550</v>
      </c>
      <c r="G1225" t="s">
        <v>2276</v>
      </c>
      <c r="H1225" t="s">
        <v>121</v>
      </c>
      <c r="I1225" t="s">
        <v>11</v>
      </c>
    </row>
    <row r="1226" spans="1:9" x14ac:dyDescent="0.25">
      <c r="A1226" s="95">
        <v>1225</v>
      </c>
      <c r="B1226" t="s">
        <v>1971</v>
      </c>
      <c r="C1226" t="s">
        <v>2650</v>
      </c>
      <c r="F1226" s="1">
        <v>28115</v>
      </c>
      <c r="G1226" t="s">
        <v>2276</v>
      </c>
      <c r="H1226" t="s">
        <v>121</v>
      </c>
      <c r="I1226" t="s">
        <v>11</v>
      </c>
    </row>
    <row r="1227" spans="1:9" x14ac:dyDescent="0.25">
      <c r="A1227" s="95">
        <v>1226</v>
      </c>
      <c r="B1227" t="s">
        <v>2651</v>
      </c>
      <c r="C1227" t="s">
        <v>722</v>
      </c>
      <c r="F1227" s="1">
        <v>29640</v>
      </c>
      <c r="G1227" t="s">
        <v>2276</v>
      </c>
      <c r="H1227" t="s">
        <v>121</v>
      </c>
      <c r="I1227" t="s">
        <v>11</v>
      </c>
    </row>
    <row r="1228" spans="1:9" x14ac:dyDescent="0.25">
      <c r="A1228" s="95">
        <v>1227</v>
      </c>
      <c r="B1228" t="s">
        <v>1960</v>
      </c>
      <c r="C1228" t="s">
        <v>2652</v>
      </c>
      <c r="D1228" t="s">
        <v>2508</v>
      </c>
      <c r="F1228" s="1">
        <v>23166</v>
      </c>
      <c r="G1228" t="s">
        <v>2276</v>
      </c>
      <c r="H1228" t="s">
        <v>121</v>
      </c>
      <c r="I1228" t="s">
        <v>11</v>
      </c>
    </row>
    <row r="1229" spans="1:9" x14ac:dyDescent="0.25">
      <c r="A1229" s="95">
        <v>1228</v>
      </c>
      <c r="B1229" t="s">
        <v>796</v>
      </c>
      <c r="C1229" t="s">
        <v>101</v>
      </c>
      <c r="D1229" t="s">
        <v>1050</v>
      </c>
      <c r="F1229" s="1">
        <v>26844</v>
      </c>
      <c r="G1229" t="s">
        <v>2272</v>
      </c>
      <c r="H1229" t="s">
        <v>121</v>
      </c>
      <c r="I1229" t="s">
        <v>11</v>
      </c>
    </row>
    <row r="1230" spans="1:9" x14ac:dyDescent="0.25">
      <c r="A1230" s="95">
        <v>1229</v>
      </c>
      <c r="B1230" t="s">
        <v>1311</v>
      </c>
      <c r="C1230" t="s">
        <v>2653</v>
      </c>
      <c r="D1230" t="s">
        <v>2521</v>
      </c>
      <c r="F1230" s="1">
        <v>29138</v>
      </c>
      <c r="G1230" t="s">
        <v>2272</v>
      </c>
      <c r="H1230" t="s">
        <v>121</v>
      </c>
      <c r="I1230" t="s">
        <v>11</v>
      </c>
    </row>
    <row r="1231" spans="1:9" x14ac:dyDescent="0.25">
      <c r="A1231" s="95">
        <v>1230</v>
      </c>
      <c r="B1231" t="s">
        <v>129</v>
      </c>
      <c r="C1231" t="s">
        <v>2654</v>
      </c>
      <c r="F1231" s="1">
        <v>25520</v>
      </c>
      <c r="G1231" t="s">
        <v>2276</v>
      </c>
      <c r="H1231" t="s">
        <v>121</v>
      </c>
      <c r="I1231" t="s">
        <v>11</v>
      </c>
    </row>
    <row r="1232" spans="1:9" x14ac:dyDescent="0.25">
      <c r="A1232" s="95">
        <v>1231</v>
      </c>
      <c r="B1232" t="s">
        <v>38</v>
      </c>
      <c r="C1232" t="s">
        <v>470</v>
      </c>
      <c r="F1232" s="1">
        <v>30519</v>
      </c>
      <c r="G1232" t="s">
        <v>2276</v>
      </c>
      <c r="H1232" t="s">
        <v>121</v>
      </c>
      <c r="I1232" t="s">
        <v>11</v>
      </c>
    </row>
    <row r="1233" spans="1:9" x14ac:dyDescent="0.25">
      <c r="A1233" s="95">
        <v>1232</v>
      </c>
      <c r="B1233" t="s">
        <v>1288</v>
      </c>
      <c r="C1233" t="s">
        <v>1361</v>
      </c>
      <c r="F1233" s="1">
        <v>27383</v>
      </c>
      <c r="G1233" t="s">
        <v>2276</v>
      </c>
      <c r="H1233" t="s">
        <v>121</v>
      </c>
      <c r="I1233" t="s">
        <v>11</v>
      </c>
    </row>
    <row r="1234" spans="1:9" x14ac:dyDescent="0.25">
      <c r="A1234" s="95">
        <v>1233</v>
      </c>
      <c r="B1234" t="s">
        <v>2017</v>
      </c>
      <c r="C1234" t="s">
        <v>2655</v>
      </c>
      <c r="F1234" s="1">
        <v>19947</v>
      </c>
      <c r="G1234" t="s">
        <v>2276</v>
      </c>
      <c r="H1234" t="s">
        <v>121</v>
      </c>
      <c r="I1234" t="s">
        <v>11</v>
      </c>
    </row>
    <row r="1235" spans="1:9" x14ac:dyDescent="0.25">
      <c r="A1235" s="95">
        <v>1234</v>
      </c>
      <c r="B1235" t="s">
        <v>38</v>
      </c>
      <c r="C1235" t="s">
        <v>2656</v>
      </c>
      <c r="F1235" s="1">
        <v>38548</v>
      </c>
      <c r="G1235" t="s">
        <v>2276</v>
      </c>
      <c r="H1235" t="s">
        <v>121</v>
      </c>
      <c r="I1235" t="s">
        <v>11</v>
      </c>
    </row>
    <row r="1236" spans="1:9" x14ac:dyDescent="0.25">
      <c r="A1236" s="95">
        <v>1235</v>
      </c>
      <c r="B1236" t="s">
        <v>2197</v>
      </c>
      <c r="C1236" t="s">
        <v>2657</v>
      </c>
      <c r="F1236" s="1">
        <v>32712</v>
      </c>
      <c r="G1236" t="s">
        <v>2276</v>
      </c>
      <c r="H1236" t="s">
        <v>121</v>
      </c>
      <c r="I1236" t="s">
        <v>11</v>
      </c>
    </row>
    <row r="1237" spans="1:9" x14ac:dyDescent="0.25">
      <c r="A1237" s="95">
        <v>1236</v>
      </c>
      <c r="B1237" t="s">
        <v>2658</v>
      </c>
      <c r="C1237" t="s">
        <v>540</v>
      </c>
      <c r="D1237" t="s">
        <v>2346</v>
      </c>
      <c r="F1237" s="1">
        <v>36697</v>
      </c>
      <c r="G1237" t="s">
        <v>2276</v>
      </c>
      <c r="H1237" t="s">
        <v>121</v>
      </c>
      <c r="I1237" t="s">
        <v>11</v>
      </c>
    </row>
    <row r="1238" spans="1:9" x14ac:dyDescent="0.25">
      <c r="A1238" s="95">
        <v>1237</v>
      </c>
      <c r="B1238" t="s">
        <v>538</v>
      </c>
      <c r="C1238" t="s">
        <v>2659</v>
      </c>
      <c r="F1238" s="1">
        <v>23994</v>
      </c>
      <c r="G1238" t="s">
        <v>2276</v>
      </c>
      <c r="H1238" t="s">
        <v>121</v>
      </c>
      <c r="I1238" t="s">
        <v>11</v>
      </c>
    </row>
    <row r="1239" spans="1:9" x14ac:dyDescent="0.25">
      <c r="A1239" s="95">
        <v>1238</v>
      </c>
      <c r="B1239" t="s">
        <v>361</v>
      </c>
      <c r="C1239" t="s">
        <v>2660</v>
      </c>
      <c r="F1239" s="1">
        <v>25907</v>
      </c>
      <c r="G1239" t="s">
        <v>2276</v>
      </c>
      <c r="H1239" t="s">
        <v>121</v>
      </c>
      <c r="I1239" t="s">
        <v>11</v>
      </c>
    </row>
    <row r="1240" spans="1:9" x14ac:dyDescent="0.25">
      <c r="A1240" s="95">
        <v>1239</v>
      </c>
      <c r="B1240" t="s">
        <v>33</v>
      </c>
      <c r="C1240" t="s">
        <v>2661</v>
      </c>
      <c r="D1240" t="s">
        <v>2559</v>
      </c>
      <c r="F1240" s="1">
        <v>21697</v>
      </c>
      <c r="G1240" t="s">
        <v>2276</v>
      </c>
      <c r="H1240" t="s">
        <v>121</v>
      </c>
      <c r="I1240" t="s">
        <v>11</v>
      </c>
    </row>
    <row r="1241" spans="1:9" x14ac:dyDescent="0.25">
      <c r="A1241" s="95">
        <v>1240</v>
      </c>
      <c r="B1241" t="s">
        <v>2165</v>
      </c>
      <c r="C1241" t="s">
        <v>2662</v>
      </c>
      <c r="D1241" t="s">
        <v>2512</v>
      </c>
      <c r="F1241" s="1">
        <v>23049</v>
      </c>
      <c r="G1241" t="s">
        <v>2276</v>
      </c>
      <c r="H1241" t="s">
        <v>121</v>
      </c>
      <c r="I1241" t="s">
        <v>11</v>
      </c>
    </row>
    <row r="1242" spans="1:9" x14ac:dyDescent="0.25">
      <c r="A1242" s="95">
        <v>1241</v>
      </c>
      <c r="B1242" t="s">
        <v>358</v>
      </c>
      <c r="C1242" t="s">
        <v>2663</v>
      </c>
      <c r="F1242" s="1">
        <v>31690</v>
      </c>
      <c r="G1242" t="s">
        <v>2276</v>
      </c>
      <c r="H1242" t="s">
        <v>121</v>
      </c>
      <c r="I1242" t="s">
        <v>11</v>
      </c>
    </row>
    <row r="1243" spans="1:9" x14ac:dyDescent="0.25">
      <c r="A1243" s="95">
        <v>1242</v>
      </c>
      <c r="B1243" t="s">
        <v>1426</v>
      </c>
      <c r="C1243" t="s">
        <v>1678</v>
      </c>
      <c r="D1243" t="s">
        <v>2569</v>
      </c>
      <c r="F1243" s="1">
        <v>23221</v>
      </c>
      <c r="G1243" t="s">
        <v>2276</v>
      </c>
      <c r="H1243" t="s">
        <v>121</v>
      </c>
      <c r="I1243" t="s">
        <v>11</v>
      </c>
    </row>
    <row r="1244" spans="1:9" x14ac:dyDescent="0.25">
      <c r="A1244" s="95">
        <v>1243</v>
      </c>
      <c r="B1244" t="s">
        <v>2213</v>
      </c>
      <c r="C1244" t="s">
        <v>424</v>
      </c>
      <c r="F1244" s="1">
        <v>34149</v>
      </c>
      <c r="G1244" t="s">
        <v>2276</v>
      </c>
      <c r="H1244" t="s">
        <v>121</v>
      </c>
      <c r="I1244" t="s">
        <v>11</v>
      </c>
    </row>
    <row r="1245" spans="1:9" x14ac:dyDescent="0.25">
      <c r="A1245" s="95">
        <v>1244</v>
      </c>
      <c r="B1245" t="s">
        <v>2215</v>
      </c>
      <c r="C1245" t="s">
        <v>2664</v>
      </c>
      <c r="D1245" t="s">
        <v>2665</v>
      </c>
      <c r="F1245" s="1">
        <v>28912</v>
      </c>
      <c r="G1245" t="s">
        <v>2276</v>
      </c>
      <c r="H1245" t="s">
        <v>121</v>
      </c>
      <c r="I1245" t="s">
        <v>11</v>
      </c>
    </row>
    <row r="1246" spans="1:9" x14ac:dyDescent="0.25">
      <c r="A1246" s="95">
        <v>1245</v>
      </c>
      <c r="B1246" t="s">
        <v>1898</v>
      </c>
      <c r="C1246" t="s">
        <v>2666</v>
      </c>
      <c r="F1246" s="1">
        <v>31962</v>
      </c>
      <c r="G1246" t="s">
        <v>2276</v>
      </c>
      <c r="H1246" t="s">
        <v>121</v>
      </c>
      <c r="I1246" t="s">
        <v>11</v>
      </c>
    </row>
    <row r="1247" spans="1:9" x14ac:dyDescent="0.25">
      <c r="A1247" s="95">
        <v>1246</v>
      </c>
      <c r="B1247" t="s">
        <v>1426</v>
      </c>
      <c r="C1247" t="s">
        <v>2667</v>
      </c>
      <c r="F1247" s="1">
        <v>32067</v>
      </c>
      <c r="G1247" t="s">
        <v>2276</v>
      </c>
      <c r="H1247" t="s">
        <v>121</v>
      </c>
      <c r="I1247" t="s">
        <v>11</v>
      </c>
    </row>
    <row r="1248" spans="1:9" x14ac:dyDescent="0.25">
      <c r="A1248" s="95">
        <v>1247</v>
      </c>
      <c r="B1248" t="s">
        <v>2219</v>
      </c>
      <c r="C1248" t="s">
        <v>2668</v>
      </c>
      <c r="F1248" s="1">
        <v>33437</v>
      </c>
      <c r="G1248" t="s">
        <v>2276</v>
      </c>
      <c r="H1248" t="s">
        <v>121</v>
      </c>
      <c r="I1248" t="s">
        <v>11</v>
      </c>
    </row>
    <row r="1249" spans="1:9" x14ac:dyDescent="0.25">
      <c r="A1249" s="95">
        <v>1248</v>
      </c>
      <c r="B1249" t="s">
        <v>2669</v>
      </c>
      <c r="C1249" t="s">
        <v>2670</v>
      </c>
      <c r="F1249" s="1">
        <v>38049</v>
      </c>
      <c r="G1249" t="s">
        <v>2276</v>
      </c>
      <c r="H1249" t="s">
        <v>121</v>
      </c>
      <c r="I1249" t="s">
        <v>11</v>
      </c>
    </row>
    <row r="1250" spans="1:9" x14ac:dyDescent="0.25">
      <c r="A1250" s="95">
        <v>1249</v>
      </c>
      <c r="B1250" t="s">
        <v>52</v>
      </c>
      <c r="C1250" t="s">
        <v>2671</v>
      </c>
      <c r="F1250" s="1">
        <v>30244</v>
      </c>
      <c r="G1250" t="s">
        <v>2276</v>
      </c>
      <c r="H1250" t="s">
        <v>121</v>
      </c>
      <c r="I1250" t="s">
        <v>11</v>
      </c>
    </row>
    <row r="1251" spans="1:9" x14ac:dyDescent="0.25">
      <c r="A1251" s="95">
        <v>1250</v>
      </c>
      <c r="B1251" t="s">
        <v>2672</v>
      </c>
      <c r="C1251" t="s">
        <v>2673</v>
      </c>
      <c r="D1251" t="s">
        <v>2674</v>
      </c>
      <c r="F1251" s="1">
        <v>25300</v>
      </c>
      <c r="G1251" t="s">
        <v>2276</v>
      </c>
      <c r="H1251" t="s">
        <v>121</v>
      </c>
      <c r="I1251" t="s">
        <v>11</v>
      </c>
    </row>
    <row r="1252" spans="1:9" x14ac:dyDescent="0.25">
      <c r="A1252" s="95">
        <v>1251</v>
      </c>
      <c r="B1252" t="s">
        <v>1898</v>
      </c>
      <c r="C1252" t="s">
        <v>2675</v>
      </c>
      <c r="D1252" t="s">
        <v>2424</v>
      </c>
      <c r="F1252" s="1">
        <v>19618</v>
      </c>
      <c r="G1252" t="s">
        <v>2276</v>
      </c>
      <c r="H1252" t="s">
        <v>121</v>
      </c>
      <c r="I1252" t="s">
        <v>11</v>
      </c>
    </row>
    <row r="1253" spans="1:9" x14ac:dyDescent="0.25">
      <c r="A1253" s="95">
        <v>1252</v>
      </c>
      <c r="B1253" t="s">
        <v>2230</v>
      </c>
      <c r="C1253" t="s">
        <v>2601</v>
      </c>
      <c r="D1253" t="s">
        <v>2676</v>
      </c>
      <c r="F1253" s="1">
        <v>29259</v>
      </c>
      <c r="G1253" t="s">
        <v>2276</v>
      </c>
      <c r="H1253" t="s">
        <v>121</v>
      </c>
      <c r="I1253" t="s">
        <v>11</v>
      </c>
    </row>
    <row r="1254" spans="1:9" x14ac:dyDescent="0.25">
      <c r="A1254" s="95">
        <v>1253</v>
      </c>
      <c r="B1254" t="s">
        <v>2677</v>
      </c>
      <c r="C1254" t="s">
        <v>342</v>
      </c>
      <c r="D1254" t="s">
        <v>2678</v>
      </c>
      <c r="F1254" s="1">
        <v>35471</v>
      </c>
      <c r="G1254" t="s">
        <v>2276</v>
      </c>
      <c r="H1254" t="s">
        <v>121</v>
      </c>
      <c r="I1254" t="s">
        <v>11</v>
      </c>
    </row>
    <row r="1255" spans="1:9" x14ac:dyDescent="0.25">
      <c r="A1255" s="95">
        <v>1254</v>
      </c>
      <c r="B1255" t="s">
        <v>2175</v>
      </c>
      <c r="C1255" t="s">
        <v>2679</v>
      </c>
      <c r="F1255" s="1">
        <v>26403</v>
      </c>
      <c r="G1255" t="s">
        <v>2276</v>
      </c>
      <c r="H1255" t="s">
        <v>121</v>
      </c>
      <c r="I1255" t="s">
        <v>11</v>
      </c>
    </row>
    <row r="1256" spans="1:9" x14ac:dyDescent="0.25">
      <c r="A1256" s="95">
        <v>1255</v>
      </c>
      <c r="B1256" t="s">
        <v>538</v>
      </c>
      <c r="C1256" t="s">
        <v>2387</v>
      </c>
      <c r="F1256" s="1">
        <v>26606</v>
      </c>
      <c r="G1256" t="s">
        <v>2276</v>
      </c>
      <c r="H1256" t="s">
        <v>121</v>
      </c>
      <c r="I1256" t="s">
        <v>11</v>
      </c>
    </row>
    <row r="1257" spans="1:9" x14ac:dyDescent="0.25">
      <c r="A1257" s="95">
        <v>1256</v>
      </c>
      <c r="B1257" t="s">
        <v>554</v>
      </c>
      <c r="C1257" t="s">
        <v>2680</v>
      </c>
      <c r="F1257" s="1">
        <v>34036</v>
      </c>
      <c r="G1257" t="s">
        <v>2276</v>
      </c>
      <c r="H1257" t="s">
        <v>121</v>
      </c>
      <c r="I1257" t="s">
        <v>11</v>
      </c>
    </row>
    <row r="1258" spans="1:9" x14ac:dyDescent="0.25">
      <c r="A1258" s="95">
        <v>1257</v>
      </c>
      <c r="B1258" t="s">
        <v>2230</v>
      </c>
      <c r="C1258" t="s">
        <v>2681</v>
      </c>
      <c r="D1258" t="s">
        <v>2559</v>
      </c>
      <c r="F1258" s="1">
        <v>18596</v>
      </c>
      <c r="G1258" t="s">
        <v>2276</v>
      </c>
      <c r="H1258" t="s">
        <v>121</v>
      </c>
      <c r="I1258" t="s">
        <v>11</v>
      </c>
    </row>
    <row r="1259" spans="1:9" x14ac:dyDescent="0.25">
      <c r="A1259" s="95">
        <v>1258</v>
      </c>
      <c r="B1259" t="s">
        <v>2240</v>
      </c>
      <c r="C1259" t="s">
        <v>47</v>
      </c>
      <c r="F1259" s="1">
        <v>31636</v>
      </c>
      <c r="G1259" t="s">
        <v>2276</v>
      </c>
      <c r="H1259" t="s">
        <v>121</v>
      </c>
      <c r="I1259" t="s">
        <v>11</v>
      </c>
    </row>
    <row r="1260" spans="1:9" x14ac:dyDescent="0.25">
      <c r="A1260" s="95">
        <v>1259</v>
      </c>
      <c r="B1260" t="s">
        <v>1421</v>
      </c>
      <c r="C1260" t="s">
        <v>2682</v>
      </c>
      <c r="F1260" s="1">
        <v>29009</v>
      </c>
      <c r="G1260" t="s">
        <v>2276</v>
      </c>
      <c r="H1260" t="s">
        <v>121</v>
      </c>
      <c r="I1260" t="s">
        <v>11</v>
      </c>
    </row>
    <row r="1261" spans="1:9" x14ac:dyDescent="0.25">
      <c r="A1261" s="95">
        <v>1260</v>
      </c>
      <c r="B1261" t="s">
        <v>1426</v>
      </c>
      <c r="C1261" t="s">
        <v>561</v>
      </c>
      <c r="F1261" s="1">
        <v>33563</v>
      </c>
      <c r="G1261" t="s">
        <v>2276</v>
      </c>
      <c r="H1261" t="s">
        <v>121</v>
      </c>
      <c r="I1261" t="s">
        <v>11</v>
      </c>
    </row>
    <row r="1262" spans="1:9" x14ac:dyDescent="0.25">
      <c r="A1262" s="95">
        <v>1261</v>
      </c>
      <c r="B1262" t="s">
        <v>1621</v>
      </c>
      <c r="C1262" t="s">
        <v>2683</v>
      </c>
      <c r="D1262" t="s">
        <v>2514</v>
      </c>
      <c r="F1262" s="1">
        <v>23627</v>
      </c>
      <c r="G1262" t="s">
        <v>2276</v>
      </c>
      <c r="H1262" t="s">
        <v>121</v>
      </c>
      <c r="I1262" t="s">
        <v>11</v>
      </c>
    </row>
    <row r="1263" spans="1:9" x14ac:dyDescent="0.25">
      <c r="A1263" s="95">
        <v>1262</v>
      </c>
      <c r="B1263" t="s">
        <v>358</v>
      </c>
      <c r="C1263" t="s">
        <v>1400</v>
      </c>
      <c r="D1263" t="s">
        <v>2020</v>
      </c>
      <c r="F1263" s="1">
        <v>27924</v>
      </c>
      <c r="G1263" t="s">
        <v>2276</v>
      </c>
      <c r="H1263" t="s">
        <v>121</v>
      </c>
      <c r="I1263" t="s">
        <v>11</v>
      </c>
    </row>
    <row r="1264" spans="1:9" x14ac:dyDescent="0.25">
      <c r="A1264" s="95">
        <v>1263</v>
      </c>
      <c r="B1264" t="s">
        <v>577</v>
      </c>
      <c r="C1264" t="s">
        <v>31</v>
      </c>
      <c r="F1264" s="1">
        <v>22678</v>
      </c>
      <c r="G1264" t="s">
        <v>2276</v>
      </c>
      <c r="H1264" t="s">
        <v>121</v>
      </c>
      <c r="I1264" t="s">
        <v>11</v>
      </c>
    </row>
    <row r="1265" spans="1:9" x14ac:dyDescent="0.25">
      <c r="A1265" s="95">
        <v>1264</v>
      </c>
      <c r="B1265" t="s">
        <v>1328</v>
      </c>
      <c r="C1265" t="s">
        <v>2684</v>
      </c>
      <c r="F1265" s="1">
        <v>21392</v>
      </c>
      <c r="G1265" t="s">
        <v>2276</v>
      </c>
      <c r="H1265" t="s">
        <v>121</v>
      </c>
      <c r="I1265" t="s">
        <v>11</v>
      </c>
    </row>
    <row r="1266" spans="1:9" x14ac:dyDescent="0.25">
      <c r="A1266" s="95">
        <v>1265</v>
      </c>
      <c r="B1266" t="s">
        <v>1380</v>
      </c>
      <c r="C1266" t="s">
        <v>91</v>
      </c>
      <c r="F1266" s="1">
        <v>26185</v>
      </c>
      <c r="G1266" t="s">
        <v>2276</v>
      </c>
      <c r="H1266" t="s">
        <v>121</v>
      </c>
      <c r="I1266" t="s">
        <v>11</v>
      </c>
    </row>
    <row r="1267" spans="1:9" x14ac:dyDescent="0.25">
      <c r="A1267" s="95">
        <v>1266</v>
      </c>
      <c r="B1267" t="s">
        <v>2685</v>
      </c>
      <c r="C1267" t="s">
        <v>2413</v>
      </c>
      <c r="F1267" s="1">
        <v>31238</v>
      </c>
      <c r="G1267" t="s">
        <v>2276</v>
      </c>
      <c r="H1267" t="s">
        <v>121</v>
      </c>
      <c r="I1267" t="s">
        <v>11</v>
      </c>
    </row>
    <row r="1268" spans="1:9" x14ac:dyDescent="0.25">
      <c r="A1268" s="95">
        <v>1267</v>
      </c>
      <c r="B1268" t="s">
        <v>742</v>
      </c>
      <c r="C1268" t="s">
        <v>2033</v>
      </c>
      <c r="D1268" t="s">
        <v>2674</v>
      </c>
      <c r="F1268" s="1">
        <v>28184</v>
      </c>
      <c r="G1268" t="s">
        <v>2276</v>
      </c>
      <c r="H1268" t="s">
        <v>121</v>
      </c>
      <c r="I1268" t="s">
        <v>11</v>
      </c>
    </row>
    <row r="1269" spans="1:9" x14ac:dyDescent="0.25">
      <c r="A1269" s="95">
        <v>1268</v>
      </c>
      <c r="B1269" t="s">
        <v>1294</v>
      </c>
      <c r="C1269" t="s">
        <v>1526</v>
      </c>
      <c r="D1269" t="s">
        <v>1352</v>
      </c>
      <c r="F1269" s="1">
        <v>32959</v>
      </c>
      <c r="G1269" t="s">
        <v>2273</v>
      </c>
      <c r="H1269" t="s">
        <v>121</v>
      </c>
      <c r="I1269" t="s">
        <v>11</v>
      </c>
    </row>
    <row r="1270" spans="1:9" x14ac:dyDescent="0.25">
      <c r="A1270" s="95">
        <v>1269</v>
      </c>
      <c r="B1270" t="s">
        <v>2259</v>
      </c>
      <c r="C1270" t="s">
        <v>2260</v>
      </c>
      <c r="D1270" t="s">
        <v>331</v>
      </c>
      <c r="F1270" s="1">
        <v>35513</v>
      </c>
      <c r="G1270" t="s">
        <v>2273</v>
      </c>
      <c r="H1270" t="s">
        <v>121</v>
      </c>
      <c r="I1270" t="s">
        <v>11</v>
      </c>
    </row>
    <row r="1271" spans="1:9" x14ac:dyDescent="0.25">
      <c r="A1271" s="95">
        <v>1270</v>
      </c>
      <c r="B1271" t="s">
        <v>2256</v>
      </c>
      <c r="C1271" t="s">
        <v>2257</v>
      </c>
      <c r="D1271" t="s">
        <v>2258</v>
      </c>
      <c r="F1271" s="1">
        <v>29297</v>
      </c>
      <c r="G1271" t="s">
        <v>2273</v>
      </c>
      <c r="H1271" t="s">
        <v>121</v>
      </c>
      <c r="I1271" t="s">
        <v>11</v>
      </c>
    </row>
    <row r="1272" spans="1:9" x14ac:dyDescent="0.25">
      <c r="A1272" s="95">
        <v>1271</v>
      </c>
      <c r="B1272" t="s">
        <v>1788</v>
      </c>
      <c r="C1272" t="s">
        <v>2253</v>
      </c>
      <c r="D1272" t="s">
        <v>2686</v>
      </c>
      <c r="F1272" s="1">
        <v>26535</v>
      </c>
      <c r="G1272" t="s">
        <v>2274</v>
      </c>
      <c r="H1272" t="s">
        <v>121</v>
      </c>
      <c r="I1272" t="s">
        <v>11</v>
      </c>
    </row>
    <row r="1273" spans="1:9" x14ac:dyDescent="0.25">
      <c r="A1273" s="95">
        <v>1272</v>
      </c>
      <c r="B1273" t="s">
        <v>1373</v>
      </c>
      <c r="C1273" t="s">
        <v>126</v>
      </c>
      <c r="D1273" t="s">
        <v>1269</v>
      </c>
      <c r="F1273" s="1">
        <v>29031</v>
      </c>
      <c r="G1273" t="s">
        <v>2273</v>
      </c>
      <c r="H1273" t="s">
        <v>121</v>
      </c>
      <c r="I1273" t="s">
        <v>11</v>
      </c>
    </row>
    <row r="1274" spans="1:9" x14ac:dyDescent="0.25">
      <c r="A1274" s="95">
        <v>1273</v>
      </c>
      <c r="B1274" t="s">
        <v>1288</v>
      </c>
      <c r="C1274" t="s">
        <v>2253</v>
      </c>
      <c r="F1274" s="1">
        <v>27817</v>
      </c>
      <c r="G1274" t="s">
        <v>2274</v>
      </c>
      <c r="H1274" t="s">
        <v>121</v>
      </c>
      <c r="I1274" t="s">
        <v>11</v>
      </c>
    </row>
    <row r="1275" spans="1:9" x14ac:dyDescent="0.25">
      <c r="A1275" s="95">
        <v>1274</v>
      </c>
      <c r="B1275" t="s">
        <v>997</v>
      </c>
      <c r="C1275" t="s">
        <v>2687</v>
      </c>
      <c r="D1275" t="s">
        <v>2688</v>
      </c>
      <c r="F1275" s="1">
        <v>33164</v>
      </c>
      <c r="G1275" t="s">
        <v>2273</v>
      </c>
      <c r="H1275" t="s">
        <v>121</v>
      </c>
      <c r="I1275" t="s">
        <v>11</v>
      </c>
    </row>
    <row r="1276" spans="1:9" x14ac:dyDescent="0.25">
      <c r="A1276" s="95">
        <v>1275</v>
      </c>
      <c r="B1276" t="s">
        <v>104</v>
      </c>
      <c r="C1276" t="s">
        <v>2689</v>
      </c>
      <c r="F1276" s="1">
        <v>30145</v>
      </c>
      <c r="G1276" t="s">
        <v>2278</v>
      </c>
      <c r="H1276" t="s">
        <v>121</v>
      </c>
      <c r="I1276" t="s">
        <v>11</v>
      </c>
    </row>
    <row r="1277" spans="1:9" x14ac:dyDescent="0.25">
      <c r="A1277" s="95">
        <v>1276</v>
      </c>
      <c r="B1277" t="s">
        <v>1279</v>
      </c>
      <c r="C1277" t="s">
        <v>2690</v>
      </c>
      <c r="D1277" t="s">
        <v>2691</v>
      </c>
      <c r="F1277" s="1">
        <v>23465</v>
      </c>
      <c r="G1277" t="s">
        <v>2273</v>
      </c>
      <c r="H1277" t="s">
        <v>121</v>
      </c>
      <c r="I1277" t="s">
        <v>11</v>
      </c>
    </row>
    <row r="1278" spans="1:9" x14ac:dyDescent="0.25">
      <c r="A1278" s="95">
        <v>1277</v>
      </c>
      <c r="B1278" t="s">
        <v>1497</v>
      </c>
      <c r="C1278" t="s">
        <v>570</v>
      </c>
      <c r="F1278" s="1">
        <v>19289</v>
      </c>
      <c r="G1278" t="s">
        <v>2278</v>
      </c>
      <c r="H1278" t="s">
        <v>121</v>
      </c>
      <c r="I1278" t="s">
        <v>11</v>
      </c>
    </row>
    <row r="1279" spans="1:9" x14ac:dyDescent="0.25">
      <c r="A1279" s="95">
        <v>1278</v>
      </c>
      <c r="B1279" t="s">
        <v>1269</v>
      </c>
      <c r="C1279" t="s">
        <v>2734</v>
      </c>
      <c r="D1279" t="s">
        <v>286</v>
      </c>
      <c r="F1279" s="1">
        <v>40788</v>
      </c>
      <c r="G1279" t="s">
        <v>2273</v>
      </c>
      <c r="H1279" t="s">
        <v>121</v>
      </c>
      <c r="I1279" t="s">
        <v>11</v>
      </c>
    </row>
    <row r="1280" spans="1:9" x14ac:dyDescent="0.25">
      <c r="A1280" s="95">
        <v>1279</v>
      </c>
      <c r="B1280" t="s">
        <v>1269</v>
      </c>
      <c r="C1280" t="s">
        <v>2735</v>
      </c>
      <c r="D1280" t="s">
        <v>286</v>
      </c>
      <c r="F1280" s="1">
        <v>41505</v>
      </c>
      <c r="G1280" t="s">
        <v>2273</v>
      </c>
      <c r="H1280" t="s">
        <v>121</v>
      </c>
      <c r="I1280" t="s">
        <v>11</v>
      </c>
    </row>
    <row r="1281" spans="1:9" x14ac:dyDescent="0.25">
      <c r="A1281" s="95">
        <v>1280</v>
      </c>
      <c r="B1281" t="s">
        <v>1269</v>
      </c>
      <c r="C1281" t="s">
        <v>2736</v>
      </c>
      <c r="D1281" t="s">
        <v>286</v>
      </c>
      <c r="F1281" s="1">
        <v>43276</v>
      </c>
      <c r="G1281" t="s">
        <v>2273</v>
      </c>
      <c r="H1281" t="s">
        <v>121</v>
      </c>
      <c r="I1281" t="s">
        <v>11</v>
      </c>
    </row>
    <row r="1282" spans="1:9" x14ac:dyDescent="0.25">
      <c r="A1282" s="95">
        <v>1281</v>
      </c>
      <c r="B1282" t="s">
        <v>1269</v>
      </c>
      <c r="C1282" t="s">
        <v>2737</v>
      </c>
      <c r="D1282" t="s">
        <v>286</v>
      </c>
      <c r="F1282" s="1">
        <v>44343</v>
      </c>
      <c r="G1282" t="s">
        <v>2273</v>
      </c>
      <c r="H1282" t="s">
        <v>121</v>
      </c>
      <c r="I1282" t="s">
        <v>11</v>
      </c>
    </row>
    <row r="1283" spans="1:9" x14ac:dyDescent="0.25">
      <c r="A1283" s="95">
        <v>1282</v>
      </c>
      <c r="B1283" t="s">
        <v>911</v>
      </c>
      <c r="C1283" t="s">
        <v>2738</v>
      </c>
      <c r="D1283" t="s">
        <v>30</v>
      </c>
      <c r="F1283" s="1">
        <v>33805</v>
      </c>
      <c r="G1283" t="s">
        <v>2273</v>
      </c>
      <c r="H1283" t="s">
        <v>121</v>
      </c>
      <c r="I1283" t="s">
        <v>11</v>
      </c>
    </row>
    <row r="1284" spans="1:9" x14ac:dyDescent="0.25">
      <c r="A1284" s="95">
        <v>1283</v>
      </c>
      <c r="B1284" t="s">
        <v>911</v>
      </c>
      <c r="C1284" t="s">
        <v>2739</v>
      </c>
      <c r="D1284" t="s">
        <v>30</v>
      </c>
      <c r="F1284" s="1">
        <v>35338</v>
      </c>
      <c r="G1284" t="s">
        <v>2273</v>
      </c>
      <c r="H1284" t="s">
        <v>121</v>
      </c>
      <c r="I1284" t="s">
        <v>11</v>
      </c>
    </row>
    <row r="1285" spans="1:9" x14ac:dyDescent="0.25">
      <c r="A1285" s="95">
        <v>1284</v>
      </c>
      <c r="B1285" t="s">
        <v>1270</v>
      </c>
      <c r="C1285" t="s">
        <v>993</v>
      </c>
      <c r="D1285" t="s">
        <v>2296</v>
      </c>
      <c r="F1285" s="1">
        <v>37744</v>
      </c>
      <c r="G1285" t="s">
        <v>2273</v>
      </c>
      <c r="H1285" t="s">
        <v>121</v>
      </c>
      <c r="I1285" t="s">
        <v>11</v>
      </c>
    </row>
    <row r="1286" spans="1:9" x14ac:dyDescent="0.25">
      <c r="A1286" s="95">
        <v>1285</v>
      </c>
      <c r="B1286" t="s">
        <v>1270</v>
      </c>
      <c r="C1286" t="s">
        <v>2740</v>
      </c>
      <c r="D1286" t="s">
        <v>2296</v>
      </c>
      <c r="F1286" s="1">
        <v>38829</v>
      </c>
      <c r="G1286" t="s">
        <v>2273</v>
      </c>
      <c r="H1286" t="s">
        <v>121</v>
      </c>
      <c r="I1286" t="s">
        <v>11</v>
      </c>
    </row>
    <row r="1287" spans="1:9" x14ac:dyDescent="0.25">
      <c r="A1287" s="95">
        <v>1286</v>
      </c>
      <c r="B1287" t="s">
        <v>782</v>
      </c>
      <c r="C1287" t="s">
        <v>1285</v>
      </c>
      <c r="D1287" t="s">
        <v>196</v>
      </c>
      <c r="F1287" s="1">
        <v>38609</v>
      </c>
      <c r="G1287" t="s">
        <v>2273</v>
      </c>
      <c r="H1287" t="s">
        <v>121</v>
      </c>
      <c r="I1287" t="s">
        <v>11</v>
      </c>
    </row>
    <row r="1288" spans="1:9" x14ac:dyDescent="0.25">
      <c r="A1288" s="95">
        <v>1287</v>
      </c>
      <c r="B1288" t="s">
        <v>782</v>
      </c>
      <c r="C1288" t="s">
        <v>2741</v>
      </c>
      <c r="D1288" t="s">
        <v>196</v>
      </c>
      <c r="F1288" s="1">
        <v>39369</v>
      </c>
      <c r="G1288" t="s">
        <v>2273</v>
      </c>
      <c r="H1288" t="s">
        <v>121</v>
      </c>
      <c r="I1288" t="s">
        <v>11</v>
      </c>
    </row>
    <row r="1289" spans="1:9" x14ac:dyDescent="0.25">
      <c r="A1289" s="95">
        <v>1288</v>
      </c>
      <c r="B1289" t="s">
        <v>782</v>
      </c>
      <c r="C1289" t="s">
        <v>2742</v>
      </c>
      <c r="D1289" t="s">
        <v>196</v>
      </c>
      <c r="F1289" s="1">
        <v>41057</v>
      </c>
      <c r="G1289" t="s">
        <v>2273</v>
      </c>
      <c r="H1289" t="s">
        <v>121</v>
      </c>
      <c r="I1289" t="s">
        <v>11</v>
      </c>
    </row>
    <row r="1290" spans="1:9" x14ac:dyDescent="0.25">
      <c r="A1290" s="95">
        <v>1289</v>
      </c>
      <c r="B1290" t="s">
        <v>782</v>
      </c>
      <c r="C1290" t="s">
        <v>2743</v>
      </c>
      <c r="D1290" t="s">
        <v>196</v>
      </c>
      <c r="F1290" s="1">
        <v>41828</v>
      </c>
      <c r="G1290" t="s">
        <v>2273</v>
      </c>
      <c r="H1290" t="s">
        <v>121</v>
      </c>
      <c r="I1290" t="s">
        <v>11</v>
      </c>
    </row>
    <row r="1291" spans="1:9" x14ac:dyDescent="0.25">
      <c r="A1291" s="95">
        <v>1290</v>
      </c>
      <c r="B1291" t="s">
        <v>1292</v>
      </c>
      <c r="C1291" t="s">
        <v>2744</v>
      </c>
      <c r="D1291" t="s">
        <v>2301</v>
      </c>
      <c r="F1291" s="1">
        <v>34647</v>
      </c>
      <c r="G1291" t="s">
        <v>2274</v>
      </c>
      <c r="H1291" t="s">
        <v>121</v>
      </c>
      <c r="I1291" t="s">
        <v>11</v>
      </c>
    </row>
    <row r="1292" spans="1:9" x14ac:dyDescent="0.25">
      <c r="A1292" s="95">
        <v>1291</v>
      </c>
      <c r="B1292" t="s">
        <v>1292</v>
      </c>
      <c r="C1292" t="s">
        <v>2745</v>
      </c>
      <c r="D1292" t="s">
        <v>2301</v>
      </c>
      <c r="F1292" s="1">
        <v>35487</v>
      </c>
      <c r="G1292" t="s">
        <v>2274</v>
      </c>
      <c r="H1292" t="s">
        <v>121</v>
      </c>
      <c r="I1292" t="s">
        <v>11</v>
      </c>
    </row>
    <row r="1293" spans="1:9" x14ac:dyDescent="0.25">
      <c r="A1293" s="95">
        <v>1292</v>
      </c>
      <c r="B1293" t="s">
        <v>1275</v>
      </c>
      <c r="C1293" t="s">
        <v>2746</v>
      </c>
      <c r="D1293" t="s">
        <v>2303</v>
      </c>
      <c r="F1293" s="1">
        <v>42272</v>
      </c>
      <c r="G1293" t="s">
        <v>2273</v>
      </c>
      <c r="H1293" t="s">
        <v>121</v>
      </c>
      <c r="I1293" t="s">
        <v>11</v>
      </c>
    </row>
    <row r="1294" spans="1:9" x14ac:dyDescent="0.25">
      <c r="A1294" s="95">
        <v>1293</v>
      </c>
      <c r="B1294" t="s">
        <v>1275</v>
      </c>
      <c r="C1294" t="s">
        <v>2747</v>
      </c>
      <c r="D1294" t="s">
        <v>2303</v>
      </c>
      <c r="F1294" s="1">
        <v>43275</v>
      </c>
      <c r="G1294" t="s">
        <v>2273</v>
      </c>
      <c r="H1294" t="s">
        <v>121</v>
      </c>
      <c r="I1294" t="s">
        <v>11</v>
      </c>
    </row>
    <row r="1295" spans="1:9" x14ac:dyDescent="0.25">
      <c r="A1295" s="95">
        <v>1294</v>
      </c>
      <c r="B1295" t="s">
        <v>1299</v>
      </c>
      <c r="C1295" t="s">
        <v>161</v>
      </c>
      <c r="D1295" t="s">
        <v>1301</v>
      </c>
      <c r="F1295" s="1">
        <v>35551</v>
      </c>
      <c r="G1295" t="s">
        <v>2274</v>
      </c>
      <c r="H1295" t="s">
        <v>121</v>
      </c>
      <c r="I1295" t="s">
        <v>11</v>
      </c>
    </row>
    <row r="1296" spans="1:9" x14ac:dyDescent="0.25">
      <c r="A1296" s="95">
        <v>1295</v>
      </c>
      <c r="B1296" t="s">
        <v>1299</v>
      </c>
      <c r="C1296" t="s">
        <v>75</v>
      </c>
      <c r="D1296" t="s">
        <v>1301</v>
      </c>
      <c r="E1296" t="s">
        <v>67</v>
      </c>
      <c r="F1296" s="1">
        <v>36293</v>
      </c>
      <c r="G1296" t="s">
        <v>2274</v>
      </c>
      <c r="H1296" t="s">
        <v>121</v>
      </c>
      <c r="I1296" t="s">
        <v>11</v>
      </c>
    </row>
    <row r="1297" spans="1:9" x14ac:dyDescent="0.25">
      <c r="A1297" s="95">
        <v>1296</v>
      </c>
      <c r="B1297" t="s">
        <v>1275</v>
      </c>
      <c r="C1297" t="s">
        <v>2748</v>
      </c>
      <c r="D1297" t="s">
        <v>1291</v>
      </c>
      <c r="F1297" s="1">
        <v>36278</v>
      </c>
      <c r="G1297" t="s">
        <v>2273</v>
      </c>
      <c r="H1297" t="s">
        <v>121</v>
      </c>
      <c r="I1297" t="s">
        <v>11</v>
      </c>
    </row>
    <row r="1298" spans="1:9" x14ac:dyDescent="0.25">
      <c r="A1298" s="95">
        <v>1297</v>
      </c>
      <c r="B1298" t="s">
        <v>1269</v>
      </c>
      <c r="C1298" t="s">
        <v>2749</v>
      </c>
      <c r="D1298" t="s">
        <v>1269</v>
      </c>
      <c r="F1298" s="1">
        <v>38395</v>
      </c>
      <c r="G1298" t="s">
        <v>2273</v>
      </c>
      <c r="H1298" t="s">
        <v>121</v>
      </c>
      <c r="I1298" t="s">
        <v>11</v>
      </c>
    </row>
    <row r="1299" spans="1:9" x14ac:dyDescent="0.25">
      <c r="A1299" s="95">
        <v>1298</v>
      </c>
      <c r="B1299" t="s">
        <v>1292</v>
      </c>
      <c r="C1299" t="s">
        <v>2744</v>
      </c>
      <c r="D1299" t="s">
        <v>2301</v>
      </c>
      <c r="F1299" s="1">
        <v>34647</v>
      </c>
      <c r="G1299" t="s">
        <v>2274</v>
      </c>
      <c r="H1299" t="s">
        <v>121</v>
      </c>
      <c r="I1299" t="s">
        <v>11</v>
      </c>
    </row>
    <row r="1300" spans="1:9" x14ac:dyDescent="0.25">
      <c r="A1300" s="95">
        <v>1299</v>
      </c>
      <c r="B1300" t="s">
        <v>1292</v>
      </c>
      <c r="C1300" t="s">
        <v>2745</v>
      </c>
      <c r="D1300" t="s">
        <v>2301</v>
      </c>
      <c r="F1300" s="1">
        <v>35487</v>
      </c>
      <c r="G1300" t="s">
        <v>2274</v>
      </c>
      <c r="H1300" t="s">
        <v>121</v>
      </c>
      <c r="I1300" t="s">
        <v>11</v>
      </c>
    </row>
    <row r="1301" spans="1:9" x14ac:dyDescent="0.25">
      <c r="A1301" s="95">
        <v>1300</v>
      </c>
      <c r="B1301" t="s">
        <v>2750</v>
      </c>
      <c r="C1301" t="s">
        <v>2751</v>
      </c>
      <c r="D1301" t="s">
        <v>1269</v>
      </c>
      <c r="F1301" s="1">
        <v>40338</v>
      </c>
      <c r="G1301" t="s">
        <v>2273</v>
      </c>
      <c r="H1301" t="s">
        <v>121</v>
      </c>
      <c r="I1301" t="s">
        <v>11</v>
      </c>
    </row>
    <row r="1302" spans="1:9" x14ac:dyDescent="0.25">
      <c r="A1302" s="95">
        <v>1301</v>
      </c>
      <c r="B1302" t="s">
        <v>90</v>
      </c>
      <c r="C1302" t="s">
        <v>2752</v>
      </c>
      <c r="D1302" t="s">
        <v>1269</v>
      </c>
      <c r="F1302" s="1">
        <v>41982</v>
      </c>
      <c r="G1302" t="s">
        <v>2273</v>
      </c>
      <c r="H1302" t="s">
        <v>121</v>
      </c>
      <c r="I1302" t="s">
        <v>11</v>
      </c>
    </row>
    <row r="1303" spans="1:9" x14ac:dyDescent="0.25">
      <c r="A1303" s="95">
        <v>1302</v>
      </c>
      <c r="B1303" t="s">
        <v>90</v>
      </c>
      <c r="C1303" t="s">
        <v>2753</v>
      </c>
      <c r="D1303" t="s">
        <v>1269</v>
      </c>
      <c r="F1303" s="1">
        <v>44005</v>
      </c>
      <c r="G1303" t="s">
        <v>2273</v>
      </c>
      <c r="H1303" t="s">
        <v>121</v>
      </c>
      <c r="I1303" t="s">
        <v>11</v>
      </c>
    </row>
    <row r="1304" spans="1:9" x14ac:dyDescent="0.25">
      <c r="A1304" s="95">
        <v>1303</v>
      </c>
      <c r="B1304" t="s">
        <v>90</v>
      </c>
      <c r="C1304" t="s">
        <v>2754</v>
      </c>
      <c r="D1304" t="s">
        <v>1307</v>
      </c>
      <c r="F1304" s="1">
        <v>32328</v>
      </c>
      <c r="G1304" t="s">
        <v>2273</v>
      </c>
      <c r="H1304" t="s">
        <v>121</v>
      </c>
      <c r="I1304" t="s">
        <v>11</v>
      </c>
    </row>
    <row r="1305" spans="1:9" x14ac:dyDescent="0.25">
      <c r="A1305" s="95">
        <v>1304</v>
      </c>
      <c r="B1305" t="s">
        <v>90</v>
      </c>
      <c r="C1305" t="s">
        <v>2755</v>
      </c>
      <c r="D1305" t="s">
        <v>1307</v>
      </c>
      <c r="F1305" s="1">
        <v>32683</v>
      </c>
      <c r="G1305" t="s">
        <v>2273</v>
      </c>
      <c r="H1305" t="s">
        <v>121</v>
      </c>
      <c r="I1305" t="s">
        <v>11</v>
      </c>
    </row>
    <row r="1306" spans="1:9" x14ac:dyDescent="0.25">
      <c r="A1306" s="95">
        <v>1305</v>
      </c>
      <c r="B1306" t="s">
        <v>90</v>
      </c>
      <c r="C1306" t="s">
        <v>1306</v>
      </c>
      <c r="D1306" t="s">
        <v>1307</v>
      </c>
      <c r="F1306" s="1">
        <v>33430</v>
      </c>
      <c r="G1306" t="s">
        <v>2273</v>
      </c>
      <c r="H1306" t="s">
        <v>121</v>
      </c>
      <c r="I1306" t="s">
        <v>11</v>
      </c>
    </row>
    <row r="1307" spans="1:9" x14ac:dyDescent="0.25">
      <c r="A1307" s="95">
        <v>1306</v>
      </c>
      <c r="B1307" t="s">
        <v>90</v>
      </c>
      <c r="C1307" t="s">
        <v>2321</v>
      </c>
      <c r="D1307" t="s">
        <v>1307</v>
      </c>
      <c r="F1307" s="1">
        <v>35316</v>
      </c>
      <c r="G1307" t="s">
        <v>2273</v>
      </c>
      <c r="H1307" t="s">
        <v>121</v>
      </c>
      <c r="I1307" t="s">
        <v>11</v>
      </c>
    </row>
    <row r="1308" spans="1:9" x14ac:dyDescent="0.25">
      <c r="A1308" s="95">
        <v>1307</v>
      </c>
      <c r="B1308" t="s">
        <v>90</v>
      </c>
      <c r="C1308" t="s">
        <v>2756</v>
      </c>
      <c r="D1308" t="s">
        <v>1307</v>
      </c>
      <c r="F1308" s="1">
        <v>36112</v>
      </c>
      <c r="G1308" t="s">
        <v>2273</v>
      </c>
      <c r="H1308" t="s">
        <v>121</v>
      </c>
      <c r="I1308" t="s">
        <v>11</v>
      </c>
    </row>
    <row r="1309" spans="1:9" x14ac:dyDescent="0.25">
      <c r="A1309" s="95">
        <v>1308</v>
      </c>
      <c r="B1309" t="s">
        <v>782</v>
      </c>
      <c r="C1309" t="s">
        <v>2757</v>
      </c>
      <c r="D1309" t="s">
        <v>1311</v>
      </c>
      <c r="F1309" s="1">
        <v>34241</v>
      </c>
      <c r="G1309" t="s">
        <v>2273</v>
      </c>
      <c r="H1309" t="s">
        <v>121</v>
      </c>
      <c r="I1309" t="s">
        <v>11</v>
      </c>
    </row>
    <row r="1310" spans="1:9" x14ac:dyDescent="0.25">
      <c r="A1310" s="95">
        <v>1309</v>
      </c>
      <c r="B1310" t="s">
        <v>1292</v>
      </c>
      <c r="C1310" t="s">
        <v>2758</v>
      </c>
      <c r="D1310" t="s">
        <v>2309</v>
      </c>
      <c r="F1310" s="1">
        <v>41798</v>
      </c>
      <c r="G1310" t="s">
        <v>2274</v>
      </c>
      <c r="H1310" t="s">
        <v>121</v>
      </c>
      <c r="I1310" t="s">
        <v>11</v>
      </c>
    </row>
    <row r="1311" spans="1:9" x14ac:dyDescent="0.25">
      <c r="A1311" s="95">
        <v>1310</v>
      </c>
      <c r="B1311" t="s">
        <v>38</v>
      </c>
      <c r="C1311" t="s">
        <v>2759</v>
      </c>
      <c r="D1311" t="s">
        <v>997</v>
      </c>
      <c r="F1311" s="1">
        <v>37490</v>
      </c>
      <c r="G1311" t="s">
        <v>2273</v>
      </c>
      <c r="H1311" t="s">
        <v>121</v>
      </c>
      <c r="I1311" t="s">
        <v>11</v>
      </c>
    </row>
    <row r="1312" spans="1:9" x14ac:dyDescent="0.25">
      <c r="A1312" s="95">
        <v>1311</v>
      </c>
      <c r="B1312" t="s">
        <v>38</v>
      </c>
      <c r="C1312" t="s">
        <v>2760</v>
      </c>
      <c r="D1312" t="s">
        <v>997</v>
      </c>
      <c r="F1312" s="1">
        <v>38466</v>
      </c>
      <c r="G1312" t="s">
        <v>2273</v>
      </c>
      <c r="H1312" t="s">
        <v>121</v>
      </c>
      <c r="I1312" t="s">
        <v>11</v>
      </c>
    </row>
    <row r="1313" spans="1:9" x14ac:dyDescent="0.25">
      <c r="A1313" s="95">
        <v>1312</v>
      </c>
      <c r="B1313" t="s">
        <v>38</v>
      </c>
      <c r="C1313" t="s">
        <v>2760</v>
      </c>
      <c r="D1313" t="s">
        <v>997</v>
      </c>
      <c r="F1313" s="1">
        <v>40909</v>
      </c>
      <c r="G1313" t="s">
        <v>2273</v>
      </c>
      <c r="H1313" t="s">
        <v>121</v>
      </c>
      <c r="I1313" t="s">
        <v>11</v>
      </c>
    </row>
    <row r="1314" spans="1:9" x14ac:dyDescent="0.25">
      <c r="A1314" s="95">
        <v>1313</v>
      </c>
      <c r="B1314" t="s">
        <v>839</v>
      </c>
      <c r="C1314" t="s">
        <v>2761</v>
      </c>
      <c r="D1314" t="s">
        <v>1269</v>
      </c>
      <c r="F1314" s="1">
        <v>39804</v>
      </c>
      <c r="G1314" t="s">
        <v>2273</v>
      </c>
      <c r="H1314" t="s">
        <v>121</v>
      </c>
      <c r="I1314" t="s">
        <v>11</v>
      </c>
    </row>
    <row r="1315" spans="1:9" x14ac:dyDescent="0.25">
      <c r="A1315" s="95">
        <v>1314</v>
      </c>
      <c r="B1315" t="s">
        <v>839</v>
      </c>
      <c r="C1315" t="s">
        <v>2762</v>
      </c>
      <c r="D1315" t="s">
        <v>1269</v>
      </c>
      <c r="F1315" s="1">
        <v>41367</v>
      </c>
      <c r="G1315" t="s">
        <v>2273</v>
      </c>
      <c r="H1315" t="s">
        <v>121</v>
      </c>
      <c r="I1315" t="s">
        <v>11</v>
      </c>
    </row>
    <row r="1316" spans="1:9" x14ac:dyDescent="0.25">
      <c r="A1316" s="95">
        <v>1315</v>
      </c>
      <c r="B1316" t="s">
        <v>839</v>
      </c>
      <c r="C1316" t="s">
        <v>2763</v>
      </c>
      <c r="D1316" t="s">
        <v>1269</v>
      </c>
      <c r="F1316" s="1">
        <v>43150</v>
      </c>
      <c r="G1316" t="s">
        <v>2273</v>
      </c>
      <c r="H1316" t="s">
        <v>121</v>
      </c>
      <c r="I1316" t="s">
        <v>11</v>
      </c>
    </row>
    <row r="1317" spans="1:9" x14ac:dyDescent="0.25">
      <c r="A1317" s="95">
        <v>1316</v>
      </c>
      <c r="B1317" t="s">
        <v>839</v>
      </c>
      <c r="C1317" t="s">
        <v>2764</v>
      </c>
      <c r="D1317" t="s">
        <v>1269</v>
      </c>
      <c r="F1317" s="1">
        <v>45584</v>
      </c>
      <c r="G1317" t="s">
        <v>2273</v>
      </c>
      <c r="H1317" t="s">
        <v>121</v>
      </c>
      <c r="I1317" t="s">
        <v>11</v>
      </c>
    </row>
    <row r="1318" spans="1:9" x14ac:dyDescent="0.25">
      <c r="A1318" s="95">
        <v>1317</v>
      </c>
      <c r="B1318" t="s">
        <v>997</v>
      </c>
      <c r="C1318" t="s">
        <v>2765</v>
      </c>
      <c r="D1318" t="s">
        <v>1269</v>
      </c>
      <c r="F1318" s="1">
        <v>31309</v>
      </c>
      <c r="G1318" t="s">
        <v>2273</v>
      </c>
      <c r="H1318" t="s">
        <v>121</v>
      </c>
      <c r="I1318" t="s">
        <v>11</v>
      </c>
    </row>
    <row r="1319" spans="1:9" x14ac:dyDescent="0.25">
      <c r="A1319" s="95">
        <v>1318</v>
      </c>
      <c r="B1319" t="s">
        <v>997</v>
      </c>
      <c r="C1319" t="s">
        <v>2766</v>
      </c>
      <c r="D1319" t="s">
        <v>1269</v>
      </c>
      <c r="F1319" s="1">
        <v>35124</v>
      </c>
      <c r="G1319" t="s">
        <v>2273</v>
      </c>
      <c r="H1319" t="s">
        <v>121</v>
      </c>
      <c r="I1319" t="s">
        <v>11</v>
      </c>
    </row>
    <row r="1320" spans="1:9" x14ac:dyDescent="0.25">
      <c r="A1320" s="95">
        <v>1319</v>
      </c>
      <c r="B1320" t="s">
        <v>1326</v>
      </c>
      <c r="C1320" t="s">
        <v>973</v>
      </c>
      <c r="E1320" t="s">
        <v>67</v>
      </c>
      <c r="F1320" s="1">
        <v>36850</v>
      </c>
      <c r="G1320" t="s">
        <v>2273</v>
      </c>
      <c r="H1320" t="s">
        <v>121</v>
      </c>
      <c r="I1320" t="s">
        <v>11</v>
      </c>
    </row>
    <row r="1321" spans="1:9" x14ac:dyDescent="0.25">
      <c r="A1321" s="95">
        <v>1320</v>
      </c>
      <c r="B1321" t="s">
        <v>1326</v>
      </c>
      <c r="C1321" t="s">
        <v>2767</v>
      </c>
      <c r="D1321" t="s">
        <v>1294</v>
      </c>
      <c r="F1321" s="1">
        <v>37790</v>
      </c>
      <c r="G1321" t="s">
        <v>2273</v>
      </c>
      <c r="H1321" t="s">
        <v>121</v>
      </c>
      <c r="I1321" t="s">
        <v>11</v>
      </c>
    </row>
    <row r="1322" spans="1:9" x14ac:dyDescent="0.25">
      <c r="A1322" s="95">
        <v>1321</v>
      </c>
      <c r="B1322" t="s">
        <v>1273</v>
      </c>
      <c r="C1322" t="s">
        <v>2768</v>
      </c>
      <c r="D1322" t="s">
        <v>1275</v>
      </c>
      <c r="F1322" s="1">
        <v>36696</v>
      </c>
      <c r="G1322" t="s">
        <v>2273</v>
      </c>
      <c r="H1322" t="s">
        <v>121</v>
      </c>
      <c r="I1322" t="s">
        <v>11</v>
      </c>
    </row>
    <row r="1323" spans="1:9" x14ac:dyDescent="0.25">
      <c r="A1323" s="95">
        <v>1322</v>
      </c>
      <c r="B1323" t="s">
        <v>1326</v>
      </c>
      <c r="C1323" t="s">
        <v>2769</v>
      </c>
      <c r="D1323" t="s">
        <v>1273</v>
      </c>
      <c r="F1323" s="1">
        <v>45795</v>
      </c>
      <c r="G1323" t="s">
        <v>2273</v>
      </c>
      <c r="H1323" t="s">
        <v>121</v>
      </c>
      <c r="I1323" t="s">
        <v>11</v>
      </c>
    </row>
    <row r="1324" spans="1:9" x14ac:dyDescent="0.25">
      <c r="A1324" s="95">
        <v>1323</v>
      </c>
      <c r="B1324" t="s">
        <v>1292</v>
      </c>
      <c r="C1324" t="s">
        <v>2770</v>
      </c>
      <c r="D1324" t="s">
        <v>2316</v>
      </c>
      <c r="F1324" s="1">
        <v>36726</v>
      </c>
      <c r="G1324" t="s">
        <v>2274</v>
      </c>
      <c r="H1324" t="s">
        <v>121</v>
      </c>
      <c r="I1324" t="s">
        <v>11</v>
      </c>
    </row>
    <row r="1325" spans="1:9" x14ac:dyDescent="0.25">
      <c r="A1325" s="95">
        <v>1324</v>
      </c>
      <c r="B1325" t="s">
        <v>1292</v>
      </c>
      <c r="C1325" t="s">
        <v>2771</v>
      </c>
      <c r="D1325" t="s">
        <v>2316</v>
      </c>
      <c r="F1325" s="1">
        <v>37255</v>
      </c>
      <c r="G1325" t="s">
        <v>2274</v>
      </c>
      <c r="H1325" t="s">
        <v>121</v>
      </c>
      <c r="I1325" t="s">
        <v>11</v>
      </c>
    </row>
    <row r="1326" spans="1:9" x14ac:dyDescent="0.25">
      <c r="A1326" s="95">
        <v>1325</v>
      </c>
      <c r="B1326" t="s">
        <v>78</v>
      </c>
      <c r="C1326" t="s">
        <v>2772</v>
      </c>
      <c r="D1326" t="s">
        <v>2319</v>
      </c>
      <c r="F1326" s="1">
        <v>37605</v>
      </c>
      <c r="G1326" t="s">
        <v>2274</v>
      </c>
      <c r="H1326" t="s">
        <v>121</v>
      </c>
      <c r="I1326" t="s">
        <v>11</v>
      </c>
    </row>
    <row r="1327" spans="1:9" x14ac:dyDescent="0.25">
      <c r="A1327" s="95">
        <v>1326</v>
      </c>
      <c r="B1327" t="s">
        <v>78</v>
      </c>
      <c r="C1327" t="s">
        <v>2773</v>
      </c>
      <c r="D1327" t="s">
        <v>2319</v>
      </c>
      <c r="F1327" s="1">
        <v>38380</v>
      </c>
      <c r="G1327" t="s">
        <v>2274</v>
      </c>
      <c r="H1327" t="s">
        <v>121</v>
      </c>
      <c r="I1327" t="s">
        <v>11</v>
      </c>
    </row>
    <row r="1328" spans="1:9" x14ac:dyDescent="0.25">
      <c r="A1328" s="95">
        <v>1327</v>
      </c>
      <c r="B1328" t="s">
        <v>196</v>
      </c>
      <c r="C1328" t="s">
        <v>2687</v>
      </c>
      <c r="D1328" t="s">
        <v>41</v>
      </c>
      <c r="F1328" s="1">
        <v>35882</v>
      </c>
      <c r="G1328" t="s">
        <v>2273</v>
      </c>
      <c r="H1328" t="s">
        <v>121</v>
      </c>
      <c r="I1328" t="s">
        <v>11</v>
      </c>
    </row>
    <row r="1329" spans="1:9" x14ac:dyDescent="0.25">
      <c r="A1329" s="95">
        <v>1328</v>
      </c>
      <c r="B1329" t="s">
        <v>196</v>
      </c>
      <c r="C1329" t="s">
        <v>561</v>
      </c>
      <c r="D1329" t="s">
        <v>41</v>
      </c>
      <c r="F1329" s="1">
        <v>36556</v>
      </c>
      <c r="G1329" t="s">
        <v>2273</v>
      </c>
      <c r="H1329" t="s">
        <v>121</v>
      </c>
      <c r="I1329" t="s">
        <v>11</v>
      </c>
    </row>
    <row r="1330" spans="1:9" x14ac:dyDescent="0.25">
      <c r="A1330" s="95">
        <v>1329</v>
      </c>
      <c r="B1330" t="s">
        <v>196</v>
      </c>
      <c r="C1330" t="s">
        <v>2774</v>
      </c>
      <c r="D1330" t="s">
        <v>41</v>
      </c>
      <c r="F1330" s="1">
        <v>38314</v>
      </c>
      <c r="G1330" t="s">
        <v>2273</v>
      </c>
      <c r="H1330" t="s">
        <v>121</v>
      </c>
      <c r="I1330" t="s">
        <v>11</v>
      </c>
    </row>
    <row r="1331" spans="1:9" x14ac:dyDescent="0.25">
      <c r="A1331" s="95">
        <v>1330</v>
      </c>
      <c r="B1331" t="s">
        <v>196</v>
      </c>
      <c r="C1331" t="s">
        <v>2775</v>
      </c>
      <c r="D1331" t="s">
        <v>41</v>
      </c>
      <c r="F1331" s="1">
        <v>38974</v>
      </c>
      <c r="G1331" t="s">
        <v>2273</v>
      </c>
      <c r="H1331" t="s">
        <v>121</v>
      </c>
      <c r="I1331" t="s">
        <v>11</v>
      </c>
    </row>
    <row r="1332" spans="1:9" x14ac:dyDescent="0.25">
      <c r="A1332" s="95">
        <v>1331</v>
      </c>
      <c r="B1332" t="s">
        <v>38</v>
      </c>
      <c r="C1332" t="s">
        <v>2776</v>
      </c>
      <c r="D1332" t="s">
        <v>997</v>
      </c>
      <c r="F1332" s="1">
        <v>40909</v>
      </c>
      <c r="G1332" t="s">
        <v>2273</v>
      </c>
      <c r="H1332" t="s">
        <v>121</v>
      </c>
      <c r="I1332" t="s">
        <v>11</v>
      </c>
    </row>
    <row r="1333" spans="1:9" x14ac:dyDescent="0.25">
      <c r="A1333" s="95">
        <v>1332</v>
      </c>
      <c r="B1333" t="s">
        <v>742</v>
      </c>
      <c r="C1333" t="s">
        <v>2777</v>
      </c>
      <c r="D1333" t="s">
        <v>816</v>
      </c>
      <c r="F1333" s="1">
        <v>36162</v>
      </c>
      <c r="G1333" t="s">
        <v>2273</v>
      </c>
      <c r="H1333" t="s">
        <v>121</v>
      </c>
      <c r="I1333" t="s">
        <v>11</v>
      </c>
    </row>
    <row r="1334" spans="1:9" x14ac:dyDescent="0.25">
      <c r="A1334" s="95">
        <v>1333</v>
      </c>
      <c r="B1334" t="s">
        <v>816</v>
      </c>
      <c r="C1334" t="s">
        <v>2778</v>
      </c>
      <c r="D1334" t="s">
        <v>174</v>
      </c>
      <c r="F1334" s="1">
        <v>36753</v>
      </c>
      <c r="G1334" t="s">
        <v>2273</v>
      </c>
      <c r="H1334" t="s">
        <v>121</v>
      </c>
      <c r="I1334" t="s">
        <v>11</v>
      </c>
    </row>
    <row r="1335" spans="1:9" x14ac:dyDescent="0.25">
      <c r="A1335" s="95">
        <v>1334</v>
      </c>
      <c r="B1335" t="s">
        <v>621</v>
      </c>
      <c r="C1335" t="s">
        <v>2779</v>
      </c>
      <c r="D1335" t="s">
        <v>538</v>
      </c>
      <c r="F1335" s="1">
        <v>33400</v>
      </c>
      <c r="G1335" t="s">
        <v>2274</v>
      </c>
      <c r="H1335" t="s">
        <v>121</v>
      </c>
      <c r="I1335" t="s">
        <v>11</v>
      </c>
    </row>
    <row r="1336" spans="1:9" x14ac:dyDescent="0.25">
      <c r="A1336" s="95">
        <v>1335</v>
      </c>
      <c r="B1336" t="s">
        <v>621</v>
      </c>
      <c r="C1336" t="s">
        <v>2780</v>
      </c>
      <c r="D1336" t="s">
        <v>538</v>
      </c>
      <c r="E1336" t="s">
        <v>67</v>
      </c>
      <c r="F1336" s="1">
        <v>35051</v>
      </c>
      <c r="G1336" t="s">
        <v>2274</v>
      </c>
      <c r="H1336" t="s">
        <v>121</v>
      </c>
      <c r="I1336" t="s">
        <v>11</v>
      </c>
    </row>
    <row r="1337" spans="1:9" x14ac:dyDescent="0.25">
      <c r="A1337" s="95">
        <v>1336</v>
      </c>
      <c r="B1337" t="s">
        <v>621</v>
      </c>
      <c r="C1337" t="s">
        <v>2781</v>
      </c>
      <c r="D1337" t="s">
        <v>538</v>
      </c>
      <c r="F1337" s="1">
        <v>37577</v>
      </c>
      <c r="G1337" t="s">
        <v>2274</v>
      </c>
      <c r="H1337" t="s">
        <v>121</v>
      </c>
      <c r="I1337" t="s">
        <v>11</v>
      </c>
    </row>
    <row r="1338" spans="1:9" x14ac:dyDescent="0.25">
      <c r="A1338" s="95">
        <v>1337</v>
      </c>
      <c r="B1338" t="s">
        <v>621</v>
      </c>
      <c r="C1338" t="s">
        <v>2782</v>
      </c>
      <c r="D1338" t="s">
        <v>538</v>
      </c>
      <c r="F1338" s="1">
        <v>38326</v>
      </c>
      <c r="G1338" t="s">
        <v>2274</v>
      </c>
      <c r="H1338" t="s">
        <v>121</v>
      </c>
      <c r="I1338" t="s">
        <v>11</v>
      </c>
    </row>
    <row r="1339" spans="1:9" x14ac:dyDescent="0.25">
      <c r="A1339" s="95">
        <v>1338</v>
      </c>
      <c r="B1339" t="s">
        <v>997</v>
      </c>
      <c r="C1339" t="s">
        <v>2783</v>
      </c>
      <c r="F1339" s="1">
        <v>43097</v>
      </c>
      <c r="G1339" t="s">
        <v>2273</v>
      </c>
      <c r="H1339" t="s">
        <v>121</v>
      </c>
      <c r="I1339" t="s">
        <v>11</v>
      </c>
    </row>
    <row r="1340" spans="1:9" x14ac:dyDescent="0.25">
      <c r="A1340" s="95">
        <v>1339</v>
      </c>
      <c r="B1340" t="s">
        <v>38</v>
      </c>
      <c r="C1340" t="s">
        <v>2784</v>
      </c>
      <c r="D1340" t="s">
        <v>2785</v>
      </c>
      <c r="F1340" s="1">
        <v>39037</v>
      </c>
      <c r="G1340" t="s">
        <v>2274</v>
      </c>
      <c r="H1340" t="s">
        <v>121</v>
      </c>
      <c r="I1340" t="s">
        <v>11</v>
      </c>
    </row>
    <row r="1341" spans="1:9" x14ac:dyDescent="0.25">
      <c r="A1341" s="95">
        <v>1340</v>
      </c>
      <c r="B1341" t="s">
        <v>1347</v>
      </c>
      <c r="C1341" t="s">
        <v>2786</v>
      </c>
      <c r="D1341" t="s">
        <v>38</v>
      </c>
      <c r="F1341" s="1">
        <v>38322</v>
      </c>
      <c r="G1341" t="s">
        <v>2273</v>
      </c>
      <c r="H1341" t="s">
        <v>121</v>
      </c>
      <c r="I1341" t="s">
        <v>11</v>
      </c>
    </row>
    <row r="1342" spans="1:9" x14ac:dyDescent="0.25">
      <c r="A1342" s="95">
        <v>1341</v>
      </c>
      <c r="B1342" t="s">
        <v>1347</v>
      </c>
      <c r="C1342" t="s">
        <v>2787</v>
      </c>
      <c r="D1342" t="s">
        <v>38</v>
      </c>
      <c r="F1342" s="1">
        <v>39360</v>
      </c>
      <c r="G1342" t="s">
        <v>2273</v>
      </c>
      <c r="H1342" t="s">
        <v>121</v>
      </c>
      <c r="I1342" t="s">
        <v>11</v>
      </c>
    </row>
    <row r="1343" spans="1:9" x14ac:dyDescent="0.25">
      <c r="A1343" s="95">
        <v>1342</v>
      </c>
      <c r="B1343" t="s">
        <v>2325</v>
      </c>
      <c r="C1343" t="s">
        <v>2788</v>
      </c>
      <c r="D1343" t="s">
        <v>27</v>
      </c>
      <c r="F1343" s="1">
        <v>36602</v>
      </c>
      <c r="G1343" t="s">
        <v>2274</v>
      </c>
      <c r="H1343" t="s">
        <v>121</v>
      </c>
      <c r="I1343" t="s">
        <v>11</v>
      </c>
    </row>
    <row r="1344" spans="1:9" x14ac:dyDescent="0.25">
      <c r="A1344" s="95">
        <v>1343</v>
      </c>
      <c r="B1344" t="s">
        <v>1350</v>
      </c>
      <c r="C1344" t="s">
        <v>2789</v>
      </c>
      <c r="D1344" t="s">
        <v>2325</v>
      </c>
      <c r="F1344" s="1">
        <v>38679</v>
      </c>
      <c r="G1344" t="s">
        <v>2274</v>
      </c>
      <c r="H1344" t="s">
        <v>121</v>
      </c>
      <c r="I1344" t="s">
        <v>11</v>
      </c>
    </row>
    <row r="1345" spans="1:9" x14ac:dyDescent="0.25">
      <c r="A1345" s="95">
        <v>1344</v>
      </c>
      <c r="B1345" t="s">
        <v>621</v>
      </c>
      <c r="C1345" t="s">
        <v>2790</v>
      </c>
      <c r="D1345" t="s">
        <v>2329</v>
      </c>
      <c r="F1345" s="1">
        <v>38167</v>
      </c>
      <c r="G1345" t="s">
        <v>2274</v>
      </c>
      <c r="H1345" t="s">
        <v>121</v>
      </c>
      <c r="I1345" t="s">
        <v>11</v>
      </c>
    </row>
    <row r="1346" spans="1:9" x14ac:dyDescent="0.25">
      <c r="A1346" s="95">
        <v>1345</v>
      </c>
      <c r="B1346" t="s">
        <v>1352</v>
      </c>
      <c r="C1346" t="s">
        <v>2791</v>
      </c>
      <c r="D1346" t="s">
        <v>2332</v>
      </c>
      <c r="F1346" s="1">
        <v>34674</v>
      </c>
      <c r="G1346" t="s">
        <v>2274</v>
      </c>
      <c r="H1346" t="s">
        <v>121</v>
      </c>
      <c r="I1346" t="s">
        <v>11</v>
      </c>
    </row>
    <row r="1347" spans="1:9" x14ac:dyDescent="0.25">
      <c r="A1347" s="95">
        <v>1346</v>
      </c>
      <c r="B1347" t="s">
        <v>1292</v>
      </c>
      <c r="C1347" t="s">
        <v>2792</v>
      </c>
      <c r="D1347" t="s">
        <v>419</v>
      </c>
      <c r="F1347" s="1">
        <v>36733</v>
      </c>
      <c r="G1347" t="s">
        <v>2274</v>
      </c>
      <c r="H1347" t="s">
        <v>121</v>
      </c>
      <c r="I1347" t="s">
        <v>11</v>
      </c>
    </row>
    <row r="1348" spans="1:9" x14ac:dyDescent="0.25">
      <c r="A1348" s="95">
        <v>1347</v>
      </c>
      <c r="B1348" t="s">
        <v>1292</v>
      </c>
      <c r="C1348" t="s">
        <v>2793</v>
      </c>
      <c r="D1348" t="s">
        <v>419</v>
      </c>
      <c r="F1348" s="1">
        <v>37345</v>
      </c>
      <c r="G1348" t="s">
        <v>2274</v>
      </c>
      <c r="H1348" t="s">
        <v>121</v>
      </c>
      <c r="I1348" t="s">
        <v>11</v>
      </c>
    </row>
    <row r="1349" spans="1:9" x14ac:dyDescent="0.25">
      <c r="A1349" s="95">
        <v>1348</v>
      </c>
      <c r="B1349" t="s">
        <v>1292</v>
      </c>
      <c r="C1349" t="s">
        <v>2794</v>
      </c>
      <c r="D1349" t="s">
        <v>419</v>
      </c>
      <c r="F1349" s="1">
        <v>39182</v>
      </c>
      <c r="G1349" t="s">
        <v>2274</v>
      </c>
      <c r="H1349" t="s">
        <v>121</v>
      </c>
      <c r="I1349" t="s">
        <v>11</v>
      </c>
    </row>
    <row r="1350" spans="1:9" x14ac:dyDescent="0.25">
      <c r="A1350" s="95">
        <v>1349</v>
      </c>
      <c r="B1350" t="s">
        <v>1360</v>
      </c>
      <c r="C1350" t="s">
        <v>993</v>
      </c>
      <c r="D1350" t="s">
        <v>2333</v>
      </c>
      <c r="F1350" s="1">
        <v>38359</v>
      </c>
      <c r="G1350" t="s">
        <v>2274</v>
      </c>
      <c r="H1350" t="s">
        <v>121</v>
      </c>
      <c r="I1350" t="s">
        <v>11</v>
      </c>
    </row>
    <row r="1351" spans="1:9" x14ac:dyDescent="0.25">
      <c r="A1351" s="95">
        <v>1350</v>
      </c>
      <c r="B1351" t="s">
        <v>1326</v>
      </c>
      <c r="C1351" t="s">
        <v>2795</v>
      </c>
      <c r="D1351" t="s">
        <v>27</v>
      </c>
      <c r="F1351" s="1">
        <v>39266</v>
      </c>
      <c r="G1351" t="s">
        <v>2274</v>
      </c>
      <c r="H1351" t="s">
        <v>121</v>
      </c>
      <c r="I1351" t="s">
        <v>11</v>
      </c>
    </row>
    <row r="1352" spans="1:9" x14ac:dyDescent="0.25">
      <c r="A1352" s="95">
        <v>1351</v>
      </c>
      <c r="B1352" t="s">
        <v>1371</v>
      </c>
      <c r="C1352" t="s">
        <v>2796</v>
      </c>
      <c r="D1352" t="s">
        <v>27</v>
      </c>
      <c r="F1352" s="1">
        <v>36096</v>
      </c>
      <c r="G1352" t="s">
        <v>2274</v>
      </c>
      <c r="H1352" t="s">
        <v>121</v>
      </c>
      <c r="I1352" t="s">
        <v>11</v>
      </c>
    </row>
    <row r="1353" spans="1:9" x14ac:dyDescent="0.25">
      <c r="A1353" s="95">
        <v>1352</v>
      </c>
      <c r="B1353" t="s">
        <v>1374</v>
      </c>
      <c r="C1353" t="s">
        <v>2797</v>
      </c>
      <c r="D1353" t="s">
        <v>1376</v>
      </c>
      <c r="F1353" s="1">
        <v>34915</v>
      </c>
      <c r="G1353" t="s">
        <v>2274</v>
      </c>
      <c r="H1353" t="s">
        <v>121</v>
      </c>
      <c r="I1353" t="s">
        <v>11</v>
      </c>
    </row>
    <row r="1354" spans="1:9" x14ac:dyDescent="0.25">
      <c r="A1354" s="95">
        <v>1353</v>
      </c>
      <c r="B1354" t="s">
        <v>1374</v>
      </c>
      <c r="C1354" t="s">
        <v>2798</v>
      </c>
      <c r="D1354" t="s">
        <v>1376</v>
      </c>
      <c r="F1354" s="1">
        <v>34204</v>
      </c>
      <c r="G1354" t="s">
        <v>2274</v>
      </c>
      <c r="H1354" t="s">
        <v>121</v>
      </c>
      <c r="I1354" t="s">
        <v>11</v>
      </c>
    </row>
    <row r="1355" spans="1:9" x14ac:dyDescent="0.25">
      <c r="A1355" s="95">
        <v>1354</v>
      </c>
      <c r="B1355" t="s">
        <v>1374</v>
      </c>
      <c r="C1355" t="s">
        <v>2799</v>
      </c>
      <c r="D1355" t="s">
        <v>1376</v>
      </c>
      <c r="F1355" s="1">
        <v>36395</v>
      </c>
      <c r="G1355" t="s">
        <v>2274</v>
      </c>
      <c r="H1355" t="s">
        <v>121</v>
      </c>
      <c r="I1355" t="s">
        <v>11</v>
      </c>
    </row>
    <row r="1356" spans="1:9" x14ac:dyDescent="0.25">
      <c r="A1356" s="95">
        <v>1355</v>
      </c>
      <c r="B1356" t="s">
        <v>1380</v>
      </c>
      <c r="C1356" t="s">
        <v>2800</v>
      </c>
      <c r="D1356" t="s">
        <v>1381</v>
      </c>
      <c r="F1356" s="1">
        <v>35053</v>
      </c>
      <c r="G1356" t="s">
        <v>2274</v>
      </c>
      <c r="H1356" t="s">
        <v>121</v>
      </c>
      <c r="I1356" t="s">
        <v>11</v>
      </c>
    </row>
    <row r="1357" spans="1:9" x14ac:dyDescent="0.25">
      <c r="A1357" s="95">
        <v>1356</v>
      </c>
      <c r="B1357" t="s">
        <v>1380</v>
      </c>
      <c r="C1357" t="s">
        <v>2801</v>
      </c>
      <c r="D1357" t="s">
        <v>1381</v>
      </c>
      <c r="F1357" s="1">
        <v>37178</v>
      </c>
      <c r="G1357" t="s">
        <v>2274</v>
      </c>
      <c r="H1357" t="s">
        <v>121</v>
      </c>
      <c r="I1357" t="s">
        <v>11</v>
      </c>
    </row>
    <row r="1358" spans="1:9" x14ac:dyDescent="0.25">
      <c r="A1358" s="95">
        <v>1357</v>
      </c>
      <c r="B1358" t="s">
        <v>1380</v>
      </c>
      <c r="C1358" t="s">
        <v>2802</v>
      </c>
      <c r="D1358" t="s">
        <v>1381</v>
      </c>
      <c r="F1358" s="1">
        <v>38069</v>
      </c>
      <c r="G1358" t="s">
        <v>2274</v>
      </c>
      <c r="H1358" t="s">
        <v>121</v>
      </c>
      <c r="I1358" t="s">
        <v>11</v>
      </c>
    </row>
    <row r="1359" spans="1:9" x14ac:dyDescent="0.25">
      <c r="A1359" s="95">
        <v>1358</v>
      </c>
      <c r="B1359" t="s">
        <v>1294</v>
      </c>
      <c r="C1359" t="s">
        <v>1055</v>
      </c>
      <c r="D1359" t="s">
        <v>621</v>
      </c>
      <c r="F1359" s="1">
        <v>33710</v>
      </c>
      <c r="G1359" t="s">
        <v>2274</v>
      </c>
      <c r="H1359" t="s">
        <v>121</v>
      </c>
      <c r="I1359" t="s">
        <v>11</v>
      </c>
    </row>
    <row r="1360" spans="1:9" x14ac:dyDescent="0.25">
      <c r="A1360" s="95">
        <v>1359</v>
      </c>
      <c r="B1360" t="s">
        <v>1294</v>
      </c>
      <c r="C1360" t="s">
        <v>2527</v>
      </c>
      <c r="D1360" t="s">
        <v>621</v>
      </c>
      <c r="F1360" s="1">
        <v>34879</v>
      </c>
      <c r="G1360" t="s">
        <v>2274</v>
      </c>
      <c r="H1360" t="s">
        <v>121</v>
      </c>
      <c r="I1360" t="s">
        <v>11</v>
      </c>
    </row>
    <row r="1361" spans="1:9" x14ac:dyDescent="0.25">
      <c r="A1361" s="95">
        <v>1360</v>
      </c>
      <c r="B1361" t="s">
        <v>1294</v>
      </c>
      <c r="C1361" t="s">
        <v>2343</v>
      </c>
      <c r="D1361" t="s">
        <v>621</v>
      </c>
      <c r="E1361" t="s">
        <v>67</v>
      </c>
      <c r="F1361" s="1">
        <v>35561</v>
      </c>
      <c r="G1361" t="s">
        <v>2274</v>
      </c>
      <c r="H1361" t="s">
        <v>121</v>
      </c>
      <c r="I1361" t="s">
        <v>11</v>
      </c>
    </row>
    <row r="1362" spans="1:9" x14ac:dyDescent="0.25">
      <c r="A1362" s="95">
        <v>1361</v>
      </c>
      <c r="B1362" t="s">
        <v>1294</v>
      </c>
      <c r="C1362" t="s">
        <v>374</v>
      </c>
      <c r="D1362" t="s">
        <v>2266</v>
      </c>
      <c r="F1362" s="1">
        <v>35159</v>
      </c>
      <c r="G1362" t="s">
        <v>2274</v>
      </c>
      <c r="H1362" t="s">
        <v>121</v>
      </c>
      <c r="I1362" t="s">
        <v>11</v>
      </c>
    </row>
    <row r="1363" spans="1:9" x14ac:dyDescent="0.25">
      <c r="A1363" s="95">
        <v>1362</v>
      </c>
      <c r="B1363" t="s">
        <v>2803</v>
      </c>
      <c r="C1363" t="s">
        <v>2804</v>
      </c>
      <c r="D1363" t="s">
        <v>1360</v>
      </c>
      <c r="F1363" s="1">
        <v>33549</v>
      </c>
      <c r="G1363" t="s">
        <v>2274</v>
      </c>
      <c r="H1363" t="s">
        <v>121</v>
      </c>
      <c r="I1363" t="s">
        <v>11</v>
      </c>
    </row>
    <row r="1364" spans="1:9" x14ac:dyDescent="0.25">
      <c r="A1364" s="95">
        <v>1363</v>
      </c>
      <c r="B1364" t="s">
        <v>1292</v>
      </c>
      <c r="C1364" t="s">
        <v>2745</v>
      </c>
      <c r="D1364" t="s">
        <v>2301</v>
      </c>
      <c r="F1364" s="1">
        <v>35487</v>
      </c>
      <c r="G1364" t="s">
        <v>2274</v>
      </c>
      <c r="H1364" t="s">
        <v>121</v>
      </c>
      <c r="I1364" t="s">
        <v>11</v>
      </c>
    </row>
    <row r="1365" spans="1:9" x14ac:dyDescent="0.25">
      <c r="A1365" s="95">
        <v>1364</v>
      </c>
      <c r="B1365" t="s">
        <v>1292</v>
      </c>
      <c r="C1365" t="s">
        <v>2805</v>
      </c>
      <c r="D1365" t="s">
        <v>1773</v>
      </c>
      <c r="F1365" s="1">
        <v>35154</v>
      </c>
      <c r="G1365" t="s">
        <v>2274</v>
      </c>
      <c r="H1365" t="s">
        <v>121</v>
      </c>
      <c r="I1365" t="s">
        <v>11</v>
      </c>
    </row>
    <row r="1366" spans="1:9" x14ac:dyDescent="0.25">
      <c r="A1366" s="95">
        <v>1365</v>
      </c>
      <c r="B1366" t="s">
        <v>1299</v>
      </c>
      <c r="C1366" t="s">
        <v>161</v>
      </c>
      <c r="D1366" t="s">
        <v>1301</v>
      </c>
      <c r="F1366" s="1">
        <v>35551</v>
      </c>
      <c r="G1366" t="s">
        <v>2274</v>
      </c>
      <c r="H1366" t="s">
        <v>121</v>
      </c>
      <c r="I1366" t="s">
        <v>11</v>
      </c>
    </row>
    <row r="1367" spans="1:9" x14ac:dyDescent="0.25">
      <c r="A1367" s="95">
        <v>1366</v>
      </c>
      <c r="B1367" t="s">
        <v>1299</v>
      </c>
      <c r="C1367" t="s">
        <v>75</v>
      </c>
      <c r="D1367" t="s">
        <v>1301</v>
      </c>
      <c r="E1367" t="s">
        <v>67</v>
      </c>
      <c r="F1367" s="1">
        <v>36293</v>
      </c>
      <c r="G1367" t="s">
        <v>2274</v>
      </c>
      <c r="H1367" t="s">
        <v>121</v>
      </c>
      <c r="I1367" t="s">
        <v>11</v>
      </c>
    </row>
    <row r="1368" spans="1:9" x14ac:dyDescent="0.25">
      <c r="A1368" s="95">
        <v>1367</v>
      </c>
      <c r="B1368" t="s">
        <v>1278</v>
      </c>
      <c r="C1368" t="s">
        <v>2452</v>
      </c>
      <c r="D1368" t="s">
        <v>1395</v>
      </c>
      <c r="F1368" s="1">
        <v>46226</v>
      </c>
      <c r="G1368" t="s">
        <v>2273</v>
      </c>
      <c r="H1368" t="s">
        <v>121</v>
      </c>
      <c r="I1368" t="s">
        <v>11</v>
      </c>
    </row>
    <row r="1369" spans="1:9" x14ac:dyDescent="0.25">
      <c r="A1369" s="95">
        <v>1368</v>
      </c>
      <c r="B1369" t="s">
        <v>1278</v>
      </c>
      <c r="C1369" t="s">
        <v>2806</v>
      </c>
      <c r="D1369" t="s">
        <v>1395</v>
      </c>
      <c r="F1369" s="1">
        <v>46013</v>
      </c>
      <c r="G1369" t="s">
        <v>2273</v>
      </c>
      <c r="H1369" t="s">
        <v>121</v>
      </c>
      <c r="I1369" t="s">
        <v>11</v>
      </c>
    </row>
    <row r="1370" spans="1:9" x14ac:dyDescent="0.25">
      <c r="A1370" s="95">
        <v>1369</v>
      </c>
      <c r="B1370" t="s">
        <v>1278</v>
      </c>
      <c r="C1370" t="s">
        <v>2452</v>
      </c>
      <c r="D1370" t="s">
        <v>1395</v>
      </c>
      <c r="F1370" s="1">
        <v>46226</v>
      </c>
      <c r="G1370" t="s">
        <v>2273</v>
      </c>
      <c r="H1370" t="s">
        <v>121</v>
      </c>
      <c r="I1370" t="s">
        <v>11</v>
      </c>
    </row>
    <row r="1371" spans="1:9" x14ac:dyDescent="0.25">
      <c r="A1371" s="95">
        <v>1370</v>
      </c>
      <c r="B1371" t="s">
        <v>1278</v>
      </c>
      <c r="C1371" t="s">
        <v>2806</v>
      </c>
      <c r="D1371" t="s">
        <v>1395</v>
      </c>
      <c r="F1371" s="1">
        <v>46013</v>
      </c>
      <c r="G1371" t="s">
        <v>2273</v>
      </c>
      <c r="H1371" t="s">
        <v>121</v>
      </c>
      <c r="I1371" t="s">
        <v>11</v>
      </c>
    </row>
    <row r="1372" spans="1:9" x14ac:dyDescent="0.25">
      <c r="A1372" s="95">
        <v>1371</v>
      </c>
      <c r="B1372" t="s">
        <v>1269</v>
      </c>
      <c r="C1372" t="s">
        <v>163</v>
      </c>
      <c r="D1372" t="s">
        <v>108</v>
      </c>
      <c r="F1372" s="1">
        <v>36964</v>
      </c>
      <c r="G1372" t="s">
        <v>2273</v>
      </c>
      <c r="H1372" t="s">
        <v>121</v>
      </c>
      <c r="I1372" t="s">
        <v>11</v>
      </c>
    </row>
    <row r="1373" spans="1:9" x14ac:dyDescent="0.25">
      <c r="A1373" s="95">
        <v>1372</v>
      </c>
      <c r="B1373" t="s">
        <v>1269</v>
      </c>
      <c r="C1373" t="s">
        <v>2807</v>
      </c>
      <c r="D1373" t="s">
        <v>108</v>
      </c>
      <c r="F1373" s="1">
        <v>39460</v>
      </c>
      <c r="G1373" t="s">
        <v>2273</v>
      </c>
      <c r="H1373" t="s">
        <v>121</v>
      </c>
      <c r="I1373" t="s">
        <v>11</v>
      </c>
    </row>
    <row r="1374" spans="1:9" x14ac:dyDescent="0.25">
      <c r="A1374" s="95">
        <v>1373</v>
      </c>
      <c r="B1374" t="s">
        <v>1269</v>
      </c>
      <c r="C1374" t="s">
        <v>2808</v>
      </c>
      <c r="D1374" t="s">
        <v>108</v>
      </c>
      <c r="F1374" s="1">
        <v>39546</v>
      </c>
      <c r="G1374" t="s">
        <v>2273</v>
      </c>
      <c r="H1374" t="s">
        <v>121</v>
      </c>
      <c r="I1374" t="s">
        <v>11</v>
      </c>
    </row>
    <row r="1375" spans="1:9" x14ac:dyDescent="0.25">
      <c r="A1375" s="95">
        <v>1374</v>
      </c>
      <c r="B1375" t="s">
        <v>782</v>
      </c>
      <c r="C1375" t="s">
        <v>2809</v>
      </c>
      <c r="D1375" t="s">
        <v>2347</v>
      </c>
      <c r="F1375" s="1">
        <v>37344</v>
      </c>
      <c r="G1375" t="s">
        <v>2273</v>
      </c>
      <c r="H1375" t="s">
        <v>121</v>
      </c>
      <c r="I1375" t="s">
        <v>11</v>
      </c>
    </row>
    <row r="1376" spans="1:9" x14ac:dyDescent="0.25">
      <c r="A1376" s="95">
        <v>1375</v>
      </c>
      <c r="B1376" t="s">
        <v>782</v>
      </c>
      <c r="C1376" t="s">
        <v>2810</v>
      </c>
      <c r="D1376" t="s">
        <v>2347</v>
      </c>
      <c r="F1376" s="1">
        <v>38483</v>
      </c>
      <c r="G1376" t="s">
        <v>2273</v>
      </c>
      <c r="H1376" t="s">
        <v>121</v>
      </c>
      <c r="I1376" t="s">
        <v>11</v>
      </c>
    </row>
    <row r="1377" spans="1:9" x14ac:dyDescent="0.25">
      <c r="A1377" s="95">
        <v>1376</v>
      </c>
      <c r="B1377" t="s">
        <v>782</v>
      </c>
      <c r="C1377" t="s">
        <v>2811</v>
      </c>
      <c r="D1377" t="s">
        <v>2347</v>
      </c>
      <c r="F1377" s="1">
        <v>39329</v>
      </c>
      <c r="G1377" t="s">
        <v>2273</v>
      </c>
      <c r="H1377" t="s">
        <v>121</v>
      </c>
      <c r="I1377" t="s">
        <v>11</v>
      </c>
    </row>
    <row r="1378" spans="1:9" x14ac:dyDescent="0.25">
      <c r="A1378" s="95">
        <v>1377</v>
      </c>
      <c r="B1378" t="s">
        <v>782</v>
      </c>
      <c r="C1378" t="s">
        <v>2812</v>
      </c>
      <c r="D1378" t="s">
        <v>2347</v>
      </c>
      <c r="F1378" s="1">
        <v>43046</v>
      </c>
      <c r="G1378" t="s">
        <v>2273</v>
      </c>
      <c r="H1378" t="s">
        <v>121</v>
      </c>
      <c r="I1378" t="s">
        <v>11</v>
      </c>
    </row>
    <row r="1379" spans="1:9" x14ac:dyDescent="0.25">
      <c r="A1379" s="95">
        <v>1378</v>
      </c>
      <c r="B1379" t="s">
        <v>2813</v>
      </c>
      <c r="C1379" t="s">
        <v>2814</v>
      </c>
      <c r="D1379" t="s">
        <v>2347</v>
      </c>
      <c r="F1379" s="1">
        <v>43941</v>
      </c>
      <c r="G1379" t="s">
        <v>2273</v>
      </c>
      <c r="H1379" t="s">
        <v>121</v>
      </c>
      <c r="I1379" t="s">
        <v>11</v>
      </c>
    </row>
    <row r="1380" spans="1:9" x14ac:dyDescent="0.25">
      <c r="A1380" s="95">
        <v>1379</v>
      </c>
      <c r="B1380" t="s">
        <v>1278</v>
      </c>
      <c r="C1380" t="s">
        <v>2815</v>
      </c>
      <c r="D1380" t="s">
        <v>1405</v>
      </c>
      <c r="F1380" s="1">
        <v>29201</v>
      </c>
      <c r="G1380" t="s">
        <v>2273</v>
      </c>
      <c r="H1380" t="s">
        <v>121</v>
      </c>
      <c r="I1380" t="s">
        <v>11</v>
      </c>
    </row>
    <row r="1381" spans="1:9" x14ac:dyDescent="0.25">
      <c r="A1381" s="95">
        <v>1380</v>
      </c>
      <c r="B1381" t="s">
        <v>1269</v>
      </c>
      <c r="C1381" t="s">
        <v>2816</v>
      </c>
      <c r="D1381" t="s">
        <v>837</v>
      </c>
      <c r="F1381" s="1">
        <v>41164</v>
      </c>
      <c r="G1381" t="s">
        <v>2273</v>
      </c>
      <c r="H1381" t="s">
        <v>121</v>
      </c>
      <c r="I1381" t="s">
        <v>11</v>
      </c>
    </row>
    <row r="1382" spans="1:9" x14ac:dyDescent="0.25">
      <c r="A1382" s="95">
        <v>1381</v>
      </c>
      <c r="B1382" t="s">
        <v>997</v>
      </c>
      <c r="C1382" t="s">
        <v>1407</v>
      </c>
      <c r="D1382" t="s">
        <v>2353</v>
      </c>
      <c r="F1382" s="1">
        <v>43472</v>
      </c>
      <c r="G1382" t="s">
        <v>2273</v>
      </c>
      <c r="H1382" t="s">
        <v>121</v>
      </c>
      <c r="I1382" t="s">
        <v>11</v>
      </c>
    </row>
    <row r="1383" spans="1:9" x14ac:dyDescent="0.25">
      <c r="A1383" s="95">
        <v>1382</v>
      </c>
      <c r="B1383" t="s">
        <v>997</v>
      </c>
      <c r="C1383" t="s">
        <v>2817</v>
      </c>
      <c r="D1383" t="s">
        <v>2353</v>
      </c>
      <c r="F1383" s="1">
        <v>40990</v>
      </c>
      <c r="G1383" t="s">
        <v>2273</v>
      </c>
      <c r="H1383" t="s">
        <v>121</v>
      </c>
      <c r="I1383" t="s">
        <v>11</v>
      </c>
    </row>
    <row r="1384" spans="1:9" x14ac:dyDescent="0.25">
      <c r="A1384" s="95">
        <v>1383</v>
      </c>
      <c r="B1384" t="s">
        <v>997</v>
      </c>
      <c r="C1384" t="s">
        <v>2818</v>
      </c>
      <c r="D1384" t="s">
        <v>2353</v>
      </c>
      <c r="F1384" s="1">
        <v>42460</v>
      </c>
      <c r="G1384" t="s">
        <v>2273</v>
      </c>
      <c r="H1384" t="s">
        <v>121</v>
      </c>
      <c r="I1384" t="s">
        <v>11</v>
      </c>
    </row>
    <row r="1385" spans="1:9" x14ac:dyDescent="0.25">
      <c r="A1385" s="95">
        <v>1384</v>
      </c>
      <c r="B1385" t="s">
        <v>1352</v>
      </c>
      <c r="C1385" t="s">
        <v>2819</v>
      </c>
      <c r="D1385" t="s">
        <v>27</v>
      </c>
      <c r="F1385" s="1">
        <v>29698</v>
      </c>
      <c r="G1385" t="s">
        <v>2274</v>
      </c>
      <c r="H1385" t="s">
        <v>121</v>
      </c>
      <c r="I1385" t="s">
        <v>11</v>
      </c>
    </row>
    <row r="1386" spans="1:9" x14ac:dyDescent="0.25">
      <c r="A1386" s="95">
        <v>1385</v>
      </c>
      <c r="B1386" t="s">
        <v>1352</v>
      </c>
      <c r="C1386" t="s">
        <v>405</v>
      </c>
      <c r="D1386" t="s">
        <v>27</v>
      </c>
      <c r="F1386" s="1">
        <v>35936</v>
      </c>
      <c r="G1386" t="s">
        <v>2274</v>
      </c>
      <c r="H1386" t="s">
        <v>121</v>
      </c>
      <c r="I1386" t="s">
        <v>11</v>
      </c>
    </row>
    <row r="1387" spans="1:9" x14ac:dyDescent="0.25">
      <c r="A1387" s="95">
        <v>1386</v>
      </c>
      <c r="B1387" t="s">
        <v>1352</v>
      </c>
      <c r="C1387" t="s">
        <v>2820</v>
      </c>
      <c r="D1387" t="s">
        <v>27</v>
      </c>
      <c r="F1387" s="1">
        <v>36626</v>
      </c>
      <c r="G1387" t="s">
        <v>2274</v>
      </c>
      <c r="H1387" t="s">
        <v>121</v>
      </c>
      <c r="I1387" t="s">
        <v>11</v>
      </c>
    </row>
    <row r="1388" spans="1:9" x14ac:dyDescent="0.25">
      <c r="A1388" s="95">
        <v>1387</v>
      </c>
      <c r="B1388" t="s">
        <v>1276</v>
      </c>
      <c r="C1388" t="s">
        <v>2821</v>
      </c>
      <c r="D1388" t="s">
        <v>997</v>
      </c>
      <c r="F1388" s="1">
        <v>36557</v>
      </c>
      <c r="G1388" t="s">
        <v>2273</v>
      </c>
      <c r="H1388" t="s">
        <v>121</v>
      </c>
      <c r="I1388" t="s">
        <v>11</v>
      </c>
    </row>
    <row r="1389" spans="1:9" x14ac:dyDescent="0.25">
      <c r="A1389" s="95">
        <v>1388</v>
      </c>
      <c r="B1389" t="s">
        <v>1322</v>
      </c>
      <c r="C1389" t="s">
        <v>2822</v>
      </c>
      <c r="D1389" t="s">
        <v>53</v>
      </c>
      <c r="F1389" s="1">
        <v>31838</v>
      </c>
      <c r="G1389" t="s">
        <v>2273</v>
      </c>
      <c r="H1389" t="s">
        <v>121</v>
      </c>
      <c r="I1389" t="s">
        <v>11</v>
      </c>
    </row>
    <row r="1390" spans="1:9" x14ac:dyDescent="0.25">
      <c r="A1390" s="95">
        <v>1389</v>
      </c>
      <c r="B1390" t="s">
        <v>1350</v>
      </c>
      <c r="C1390" t="s">
        <v>2823</v>
      </c>
      <c r="D1390" t="s">
        <v>2008</v>
      </c>
      <c r="F1390" s="1">
        <v>36800</v>
      </c>
      <c r="G1390" t="s">
        <v>2274</v>
      </c>
      <c r="H1390" t="s">
        <v>121</v>
      </c>
      <c r="I1390" t="s">
        <v>11</v>
      </c>
    </row>
    <row r="1391" spans="1:9" x14ac:dyDescent="0.25">
      <c r="A1391" s="95">
        <v>1390</v>
      </c>
      <c r="B1391" t="s">
        <v>1350</v>
      </c>
      <c r="C1391" t="s">
        <v>2824</v>
      </c>
      <c r="D1391" t="s">
        <v>2008</v>
      </c>
      <c r="F1391" s="1">
        <v>37572</v>
      </c>
      <c r="G1391" t="s">
        <v>2274</v>
      </c>
      <c r="H1391" t="s">
        <v>121</v>
      </c>
      <c r="I1391" t="s">
        <v>11</v>
      </c>
    </row>
    <row r="1392" spans="1:9" x14ac:dyDescent="0.25">
      <c r="A1392" s="95">
        <v>1391</v>
      </c>
      <c r="B1392" t="s">
        <v>1350</v>
      </c>
      <c r="C1392" t="s">
        <v>2825</v>
      </c>
      <c r="D1392" t="s">
        <v>2008</v>
      </c>
      <c r="F1392" s="1">
        <v>38709</v>
      </c>
      <c r="G1392" t="s">
        <v>2274</v>
      </c>
      <c r="H1392" t="s">
        <v>121</v>
      </c>
      <c r="I1392" t="s">
        <v>11</v>
      </c>
    </row>
    <row r="1393" spans="1:9" x14ac:dyDescent="0.25">
      <c r="A1393" s="95">
        <v>1392</v>
      </c>
      <c r="B1393" t="s">
        <v>997</v>
      </c>
      <c r="C1393" t="s">
        <v>2826</v>
      </c>
      <c r="D1393" t="s">
        <v>450</v>
      </c>
      <c r="F1393" s="1">
        <v>35616</v>
      </c>
      <c r="G1393" t="s">
        <v>2273</v>
      </c>
      <c r="H1393" t="s">
        <v>121</v>
      </c>
      <c r="I1393" t="s">
        <v>11</v>
      </c>
    </row>
    <row r="1394" spans="1:9" x14ac:dyDescent="0.25">
      <c r="A1394" s="95">
        <v>1393</v>
      </c>
      <c r="B1394" t="s">
        <v>1433</v>
      </c>
      <c r="C1394" t="s">
        <v>2827</v>
      </c>
      <c r="D1394" t="s">
        <v>1435</v>
      </c>
      <c r="F1394" s="1">
        <v>39181</v>
      </c>
      <c r="G1394" t="s">
        <v>2273</v>
      </c>
      <c r="H1394" t="s">
        <v>121</v>
      </c>
      <c r="I1394" t="s">
        <v>11</v>
      </c>
    </row>
    <row r="1395" spans="1:9" x14ac:dyDescent="0.25">
      <c r="A1395" s="95">
        <v>1394</v>
      </c>
      <c r="B1395" t="s">
        <v>1436</v>
      </c>
      <c r="C1395" t="s">
        <v>1654</v>
      </c>
      <c r="D1395" t="s">
        <v>997</v>
      </c>
      <c r="F1395" s="1">
        <v>33434</v>
      </c>
      <c r="G1395" t="s">
        <v>2273</v>
      </c>
      <c r="H1395" t="s">
        <v>121</v>
      </c>
      <c r="I1395" t="s">
        <v>11</v>
      </c>
    </row>
    <row r="1396" spans="1:9" x14ac:dyDescent="0.25">
      <c r="A1396" s="95">
        <v>1395</v>
      </c>
      <c r="B1396" t="s">
        <v>1436</v>
      </c>
      <c r="C1396" t="s">
        <v>2828</v>
      </c>
      <c r="D1396" t="s">
        <v>997</v>
      </c>
      <c r="F1396" s="1">
        <v>37902</v>
      </c>
      <c r="G1396" t="s">
        <v>2273</v>
      </c>
      <c r="H1396" t="s">
        <v>121</v>
      </c>
      <c r="I1396" t="s">
        <v>11</v>
      </c>
    </row>
    <row r="1397" spans="1:9" x14ac:dyDescent="0.25">
      <c r="A1397" s="95">
        <v>1396</v>
      </c>
      <c r="B1397" t="s">
        <v>742</v>
      </c>
      <c r="C1397" t="s">
        <v>2777</v>
      </c>
      <c r="D1397" t="s">
        <v>816</v>
      </c>
      <c r="F1397" s="1">
        <v>36162</v>
      </c>
      <c r="G1397" t="s">
        <v>2273</v>
      </c>
      <c r="H1397" t="s">
        <v>121</v>
      </c>
      <c r="I1397" t="s">
        <v>11</v>
      </c>
    </row>
    <row r="1398" spans="1:9" x14ac:dyDescent="0.25">
      <c r="A1398" s="95">
        <v>1397</v>
      </c>
      <c r="B1398" t="s">
        <v>816</v>
      </c>
      <c r="C1398" t="s">
        <v>2778</v>
      </c>
      <c r="D1398" t="s">
        <v>174</v>
      </c>
      <c r="F1398" s="1">
        <v>36753</v>
      </c>
      <c r="G1398" t="s">
        <v>2273</v>
      </c>
      <c r="H1398" t="s">
        <v>121</v>
      </c>
      <c r="I1398" t="s">
        <v>11</v>
      </c>
    </row>
    <row r="1399" spans="1:9" x14ac:dyDescent="0.25">
      <c r="A1399" s="95">
        <v>1398</v>
      </c>
      <c r="B1399" t="s">
        <v>1289</v>
      </c>
      <c r="C1399" t="s">
        <v>2829</v>
      </c>
      <c r="D1399" t="s">
        <v>2353</v>
      </c>
      <c r="F1399" s="1">
        <v>39085</v>
      </c>
      <c r="G1399" t="s">
        <v>2273</v>
      </c>
      <c r="H1399" t="s">
        <v>121</v>
      </c>
      <c r="I1399" t="s">
        <v>11</v>
      </c>
    </row>
    <row r="1400" spans="1:9" x14ac:dyDescent="0.25">
      <c r="A1400" s="95">
        <v>1399</v>
      </c>
      <c r="B1400" t="s">
        <v>1442</v>
      </c>
      <c r="C1400" t="s">
        <v>2830</v>
      </c>
      <c r="D1400" t="s">
        <v>1439</v>
      </c>
      <c r="F1400" s="1">
        <v>38074</v>
      </c>
      <c r="G1400" t="s">
        <v>2273</v>
      </c>
      <c r="H1400" t="s">
        <v>121</v>
      </c>
      <c r="I1400" t="s">
        <v>11</v>
      </c>
    </row>
    <row r="1401" spans="1:9" x14ac:dyDescent="0.25">
      <c r="A1401" s="95">
        <v>1400</v>
      </c>
      <c r="B1401" t="s">
        <v>1447</v>
      </c>
      <c r="C1401" t="s">
        <v>2479</v>
      </c>
      <c r="D1401" t="s">
        <v>1439</v>
      </c>
      <c r="F1401" s="1">
        <v>37476</v>
      </c>
      <c r="G1401" t="s">
        <v>2273</v>
      </c>
      <c r="H1401" t="s">
        <v>121</v>
      </c>
      <c r="I1401" t="s">
        <v>11</v>
      </c>
    </row>
    <row r="1402" spans="1:9" x14ac:dyDescent="0.25">
      <c r="A1402" s="95">
        <v>1401</v>
      </c>
      <c r="B1402" t="s">
        <v>1447</v>
      </c>
      <c r="C1402" t="s">
        <v>2831</v>
      </c>
      <c r="D1402" t="s">
        <v>1439</v>
      </c>
      <c r="F1402" s="1">
        <v>38185</v>
      </c>
      <c r="G1402" t="s">
        <v>2273</v>
      </c>
      <c r="H1402" t="s">
        <v>121</v>
      </c>
      <c r="I1402" t="s">
        <v>11</v>
      </c>
    </row>
    <row r="1403" spans="1:9" x14ac:dyDescent="0.25">
      <c r="A1403" s="95">
        <v>1402</v>
      </c>
      <c r="B1403" t="s">
        <v>1447</v>
      </c>
      <c r="C1403" t="s">
        <v>2832</v>
      </c>
      <c r="D1403" t="s">
        <v>1439</v>
      </c>
      <c r="F1403" s="1">
        <v>39387</v>
      </c>
      <c r="G1403" t="s">
        <v>2273</v>
      </c>
      <c r="H1403" t="s">
        <v>121</v>
      </c>
      <c r="I1403" t="s">
        <v>11</v>
      </c>
    </row>
    <row r="1404" spans="1:9" x14ac:dyDescent="0.25">
      <c r="A1404" s="95">
        <v>1403</v>
      </c>
      <c r="B1404" t="s">
        <v>1001</v>
      </c>
      <c r="C1404" t="s">
        <v>2833</v>
      </c>
      <c r="D1404" t="s">
        <v>1360</v>
      </c>
      <c r="F1404" s="1">
        <v>32628</v>
      </c>
      <c r="G1404" t="s">
        <v>2273</v>
      </c>
      <c r="H1404" t="s">
        <v>121</v>
      </c>
      <c r="I1404" t="s">
        <v>11</v>
      </c>
    </row>
    <row r="1405" spans="1:9" x14ac:dyDescent="0.25">
      <c r="A1405" s="95">
        <v>1404</v>
      </c>
      <c r="B1405" t="s">
        <v>1001</v>
      </c>
      <c r="C1405" t="s">
        <v>2834</v>
      </c>
      <c r="D1405" t="s">
        <v>1360</v>
      </c>
      <c r="F1405" s="1">
        <v>33422</v>
      </c>
      <c r="G1405" t="s">
        <v>2273</v>
      </c>
      <c r="H1405" t="s">
        <v>121</v>
      </c>
      <c r="I1405" t="s">
        <v>11</v>
      </c>
    </row>
    <row r="1406" spans="1:9" x14ac:dyDescent="0.25">
      <c r="A1406" s="95">
        <v>1405</v>
      </c>
      <c r="B1406" t="s">
        <v>131</v>
      </c>
      <c r="C1406" t="s">
        <v>2835</v>
      </c>
      <c r="D1406" t="s">
        <v>1001</v>
      </c>
      <c r="F1406" s="1">
        <v>38746</v>
      </c>
      <c r="G1406" t="s">
        <v>2273</v>
      </c>
      <c r="H1406" t="s">
        <v>121</v>
      </c>
      <c r="I1406" t="s">
        <v>11</v>
      </c>
    </row>
    <row r="1407" spans="1:9" x14ac:dyDescent="0.25">
      <c r="A1407" s="95">
        <v>1406</v>
      </c>
      <c r="B1407" t="s">
        <v>1269</v>
      </c>
      <c r="C1407" t="s">
        <v>2836</v>
      </c>
      <c r="D1407" t="s">
        <v>1311</v>
      </c>
      <c r="F1407" s="1">
        <v>39903</v>
      </c>
      <c r="G1407" t="s">
        <v>2273</v>
      </c>
      <c r="H1407" t="s">
        <v>121</v>
      </c>
      <c r="I1407" t="s">
        <v>11</v>
      </c>
    </row>
    <row r="1408" spans="1:9" x14ac:dyDescent="0.25">
      <c r="A1408" s="95">
        <v>1407</v>
      </c>
      <c r="B1408" t="s">
        <v>1269</v>
      </c>
      <c r="C1408" t="s">
        <v>2837</v>
      </c>
      <c r="D1408" t="s">
        <v>1311</v>
      </c>
      <c r="F1408" s="1">
        <v>40460</v>
      </c>
      <c r="G1408" t="s">
        <v>2273</v>
      </c>
      <c r="H1408" t="s">
        <v>121</v>
      </c>
      <c r="I1408" t="s">
        <v>11</v>
      </c>
    </row>
    <row r="1409" spans="1:9" x14ac:dyDescent="0.25">
      <c r="A1409" s="95">
        <v>1408</v>
      </c>
      <c r="B1409" t="s">
        <v>1269</v>
      </c>
      <c r="C1409" t="s">
        <v>2838</v>
      </c>
      <c r="D1409" t="s">
        <v>1311</v>
      </c>
      <c r="F1409" s="1">
        <v>41018</v>
      </c>
      <c r="G1409" t="s">
        <v>2273</v>
      </c>
      <c r="H1409" t="s">
        <v>121</v>
      </c>
      <c r="I1409" t="s">
        <v>11</v>
      </c>
    </row>
    <row r="1410" spans="1:9" x14ac:dyDescent="0.25">
      <c r="A1410" s="95">
        <v>1409</v>
      </c>
      <c r="B1410" t="s">
        <v>1269</v>
      </c>
      <c r="C1410" t="s">
        <v>2839</v>
      </c>
      <c r="D1410" t="s">
        <v>1311</v>
      </c>
      <c r="F1410" s="1">
        <v>43943</v>
      </c>
      <c r="G1410" t="s">
        <v>2273</v>
      </c>
      <c r="H1410" t="s">
        <v>121</v>
      </c>
      <c r="I1410" t="s">
        <v>11</v>
      </c>
    </row>
    <row r="1411" spans="1:9" x14ac:dyDescent="0.25">
      <c r="A1411" s="95">
        <v>1410</v>
      </c>
      <c r="B1411" t="s">
        <v>1269</v>
      </c>
      <c r="C1411" t="s">
        <v>2840</v>
      </c>
      <c r="D1411" t="s">
        <v>1311</v>
      </c>
      <c r="F1411" s="1">
        <v>45356</v>
      </c>
      <c r="G1411" t="s">
        <v>2273</v>
      </c>
      <c r="H1411" t="s">
        <v>121</v>
      </c>
      <c r="I1411" t="s">
        <v>11</v>
      </c>
    </row>
    <row r="1412" spans="1:9" x14ac:dyDescent="0.25">
      <c r="A1412" s="95">
        <v>1411</v>
      </c>
      <c r="B1412" t="s">
        <v>997</v>
      </c>
      <c r="C1412" t="s">
        <v>2841</v>
      </c>
      <c r="D1412" t="s">
        <v>2353</v>
      </c>
      <c r="F1412" s="1">
        <v>42310</v>
      </c>
      <c r="G1412" t="s">
        <v>2273</v>
      </c>
      <c r="H1412" t="s">
        <v>121</v>
      </c>
      <c r="I1412" t="s">
        <v>11</v>
      </c>
    </row>
    <row r="1413" spans="1:9" x14ac:dyDescent="0.25">
      <c r="A1413" s="95">
        <v>1412</v>
      </c>
      <c r="B1413" t="s">
        <v>997</v>
      </c>
      <c r="C1413" t="s">
        <v>2842</v>
      </c>
      <c r="D1413" t="s">
        <v>2353</v>
      </c>
      <c r="F1413" s="1">
        <v>42767</v>
      </c>
      <c r="G1413" t="s">
        <v>2273</v>
      </c>
      <c r="H1413" t="s">
        <v>121</v>
      </c>
      <c r="I1413" t="s">
        <v>11</v>
      </c>
    </row>
    <row r="1414" spans="1:9" x14ac:dyDescent="0.25">
      <c r="A1414" s="95">
        <v>1413</v>
      </c>
      <c r="B1414" t="s">
        <v>259</v>
      </c>
      <c r="C1414" t="s">
        <v>2843</v>
      </c>
      <c r="D1414" t="s">
        <v>713</v>
      </c>
      <c r="F1414" s="1">
        <v>36458</v>
      </c>
      <c r="G1414" t="s">
        <v>2273</v>
      </c>
      <c r="H1414" t="s">
        <v>121</v>
      </c>
      <c r="I1414" t="s">
        <v>11</v>
      </c>
    </row>
    <row r="1415" spans="1:9" x14ac:dyDescent="0.25">
      <c r="A1415" s="95">
        <v>1414</v>
      </c>
      <c r="B1415" t="s">
        <v>997</v>
      </c>
      <c r="C1415" t="s">
        <v>2844</v>
      </c>
      <c r="D1415" t="s">
        <v>1408</v>
      </c>
      <c r="F1415" s="1">
        <v>35258</v>
      </c>
      <c r="G1415" t="s">
        <v>2273</v>
      </c>
      <c r="H1415" t="s">
        <v>121</v>
      </c>
      <c r="I1415" t="s">
        <v>11</v>
      </c>
    </row>
    <row r="1416" spans="1:9" x14ac:dyDescent="0.25">
      <c r="A1416" s="95">
        <v>1415</v>
      </c>
      <c r="B1416" t="s">
        <v>997</v>
      </c>
      <c r="C1416" t="s">
        <v>144</v>
      </c>
      <c r="D1416" t="s">
        <v>1408</v>
      </c>
      <c r="F1416" s="1">
        <v>31107</v>
      </c>
      <c r="G1416" t="s">
        <v>2273</v>
      </c>
      <c r="H1416" t="s">
        <v>121</v>
      </c>
      <c r="I1416" t="s">
        <v>11</v>
      </c>
    </row>
    <row r="1417" spans="1:9" x14ac:dyDescent="0.25">
      <c r="A1417" s="95">
        <v>1416</v>
      </c>
      <c r="B1417" t="s">
        <v>1464</v>
      </c>
      <c r="C1417" t="s">
        <v>2845</v>
      </c>
      <c r="D1417" t="s">
        <v>1460</v>
      </c>
      <c r="F1417" s="1">
        <v>38681</v>
      </c>
      <c r="G1417" t="s">
        <v>2273</v>
      </c>
      <c r="H1417" t="s">
        <v>121</v>
      </c>
      <c r="I1417" t="s">
        <v>11</v>
      </c>
    </row>
    <row r="1418" spans="1:9" x14ac:dyDescent="0.25">
      <c r="A1418" s="95">
        <v>1417</v>
      </c>
      <c r="B1418" t="s">
        <v>1466</v>
      </c>
      <c r="C1418" t="s">
        <v>2846</v>
      </c>
      <c r="D1418" t="s">
        <v>232</v>
      </c>
      <c r="F1418" s="1">
        <v>39049</v>
      </c>
      <c r="G1418" t="s">
        <v>2273</v>
      </c>
      <c r="H1418" t="s">
        <v>121</v>
      </c>
      <c r="I1418" t="s">
        <v>11</v>
      </c>
    </row>
    <row r="1419" spans="1:9" x14ac:dyDescent="0.25">
      <c r="A1419" s="95">
        <v>1418</v>
      </c>
      <c r="B1419" t="s">
        <v>997</v>
      </c>
      <c r="C1419" t="s">
        <v>2847</v>
      </c>
      <c r="D1419" t="s">
        <v>2373</v>
      </c>
      <c r="F1419" s="1">
        <v>38980</v>
      </c>
      <c r="G1419" t="s">
        <v>2273</v>
      </c>
      <c r="H1419" t="s">
        <v>121</v>
      </c>
      <c r="I1419" t="s">
        <v>11</v>
      </c>
    </row>
    <row r="1420" spans="1:9" x14ac:dyDescent="0.25">
      <c r="A1420" s="95">
        <v>1419</v>
      </c>
      <c r="B1420" t="s">
        <v>1292</v>
      </c>
      <c r="C1420" t="s">
        <v>2848</v>
      </c>
      <c r="D1420" t="s">
        <v>1470</v>
      </c>
      <c r="F1420" s="1">
        <v>46107</v>
      </c>
      <c r="G1420" t="s">
        <v>2273</v>
      </c>
      <c r="H1420" t="s">
        <v>121</v>
      </c>
      <c r="I1420" t="s">
        <v>11</v>
      </c>
    </row>
    <row r="1421" spans="1:9" x14ac:dyDescent="0.25">
      <c r="A1421" s="95">
        <v>1420</v>
      </c>
      <c r="B1421" t="s">
        <v>1292</v>
      </c>
      <c r="C1421" t="s">
        <v>2849</v>
      </c>
      <c r="D1421" t="s">
        <v>1470</v>
      </c>
      <c r="F1421" s="1">
        <v>46189</v>
      </c>
      <c r="G1421" t="s">
        <v>2273</v>
      </c>
      <c r="H1421" t="s">
        <v>121</v>
      </c>
      <c r="I1421" t="s">
        <v>11</v>
      </c>
    </row>
    <row r="1422" spans="1:9" x14ac:dyDescent="0.25">
      <c r="A1422" s="95">
        <v>1421</v>
      </c>
      <c r="B1422" t="s">
        <v>1001</v>
      </c>
      <c r="C1422" t="s">
        <v>2850</v>
      </c>
      <c r="D1422" t="s">
        <v>1452</v>
      </c>
      <c r="F1422" s="1">
        <v>34683</v>
      </c>
      <c r="G1422" t="s">
        <v>2273</v>
      </c>
      <c r="H1422" t="s">
        <v>121</v>
      </c>
      <c r="I1422" t="s">
        <v>11</v>
      </c>
    </row>
    <row r="1423" spans="1:9" x14ac:dyDescent="0.25">
      <c r="A1423" s="95">
        <v>1422</v>
      </c>
      <c r="B1423" t="s">
        <v>1001</v>
      </c>
      <c r="C1423" t="s">
        <v>2851</v>
      </c>
      <c r="D1423" t="s">
        <v>1452</v>
      </c>
      <c r="F1423" s="1">
        <v>37175</v>
      </c>
      <c r="G1423" t="s">
        <v>2273</v>
      </c>
      <c r="H1423" t="s">
        <v>121</v>
      </c>
      <c r="I1423" t="s">
        <v>11</v>
      </c>
    </row>
    <row r="1424" spans="1:9" x14ac:dyDescent="0.25">
      <c r="A1424" s="95">
        <v>1423</v>
      </c>
      <c r="B1424" t="s">
        <v>1001</v>
      </c>
      <c r="C1424" t="s">
        <v>2852</v>
      </c>
      <c r="D1424" t="s">
        <v>1452</v>
      </c>
      <c r="F1424" s="1">
        <v>39494</v>
      </c>
      <c r="G1424" t="s">
        <v>2273</v>
      </c>
      <c r="H1424" t="s">
        <v>121</v>
      </c>
      <c r="I1424" t="s">
        <v>11</v>
      </c>
    </row>
    <row r="1425" spans="1:9" x14ac:dyDescent="0.25">
      <c r="A1425" s="95">
        <v>1424</v>
      </c>
      <c r="B1425" t="s">
        <v>331</v>
      </c>
      <c r="C1425" t="s">
        <v>2824</v>
      </c>
      <c r="D1425" t="s">
        <v>1477</v>
      </c>
      <c r="F1425" s="1">
        <v>36656</v>
      </c>
      <c r="G1425" t="s">
        <v>2273</v>
      </c>
      <c r="H1425" t="s">
        <v>121</v>
      </c>
      <c r="I1425" t="s">
        <v>11</v>
      </c>
    </row>
    <row r="1426" spans="1:9" x14ac:dyDescent="0.25">
      <c r="A1426" s="95">
        <v>1425</v>
      </c>
      <c r="B1426" t="s">
        <v>331</v>
      </c>
      <c r="C1426" t="s">
        <v>170</v>
      </c>
      <c r="D1426" t="s">
        <v>1477</v>
      </c>
      <c r="F1426" s="1">
        <v>36656</v>
      </c>
      <c r="G1426" t="s">
        <v>2273</v>
      </c>
      <c r="H1426" t="s">
        <v>121</v>
      </c>
      <c r="I1426" t="s">
        <v>11</v>
      </c>
    </row>
    <row r="1427" spans="1:9" x14ac:dyDescent="0.25">
      <c r="A1427" s="95">
        <v>1426</v>
      </c>
      <c r="B1427" t="s">
        <v>1480</v>
      </c>
      <c r="C1427" t="s">
        <v>2853</v>
      </c>
      <c r="D1427" t="s">
        <v>1276</v>
      </c>
      <c r="F1427" s="1">
        <v>38130</v>
      </c>
      <c r="G1427" t="s">
        <v>2273</v>
      </c>
      <c r="H1427" t="s">
        <v>121</v>
      </c>
      <c r="I1427" t="s">
        <v>11</v>
      </c>
    </row>
    <row r="1428" spans="1:9" x14ac:dyDescent="0.25">
      <c r="A1428" s="95">
        <v>1427</v>
      </c>
      <c r="B1428" t="s">
        <v>1480</v>
      </c>
      <c r="C1428" t="s">
        <v>2854</v>
      </c>
      <c r="D1428" t="s">
        <v>1276</v>
      </c>
      <c r="F1428" s="1">
        <v>30272</v>
      </c>
      <c r="G1428" t="s">
        <v>2273</v>
      </c>
      <c r="H1428" t="s">
        <v>121</v>
      </c>
      <c r="I1428" t="s">
        <v>11</v>
      </c>
    </row>
    <row r="1429" spans="1:9" x14ac:dyDescent="0.25">
      <c r="A1429" s="95">
        <v>1428</v>
      </c>
      <c r="B1429" t="s">
        <v>1249</v>
      </c>
      <c r="C1429" t="s">
        <v>2855</v>
      </c>
      <c r="D1429" t="s">
        <v>450</v>
      </c>
      <c r="F1429" s="1">
        <v>35257</v>
      </c>
      <c r="G1429" t="s">
        <v>2273</v>
      </c>
      <c r="H1429" t="s">
        <v>121</v>
      </c>
      <c r="I1429" t="s">
        <v>11</v>
      </c>
    </row>
    <row r="1430" spans="1:9" x14ac:dyDescent="0.25">
      <c r="A1430" s="95">
        <v>1429</v>
      </c>
      <c r="B1430" t="s">
        <v>1249</v>
      </c>
      <c r="C1430" t="s">
        <v>2856</v>
      </c>
      <c r="D1430" t="s">
        <v>450</v>
      </c>
      <c r="F1430" s="1">
        <v>36065</v>
      </c>
      <c r="G1430" t="s">
        <v>2273</v>
      </c>
      <c r="H1430" t="s">
        <v>121</v>
      </c>
      <c r="I1430" t="s">
        <v>11</v>
      </c>
    </row>
    <row r="1431" spans="1:9" x14ac:dyDescent="0.25">
      <c r="A1431" s="95">
        <v>1430</v>
      </c>
      <c r="B1431" t="s">
        <v>611</v>
      </c>
      <c r="C1431" t="s">
        <v>2857</v>
      </c>
      <c r="D1431" t="s">
        <v>2379</v>
      </c>
      <c r="F1431" s="1">
        <v>38766</v>
      </c>
      <c r="G1431" t="s">
        <v>2273</v>
      </c>
      <c r="H1431" t="s">
        <v>121</v>
      </c>
      <c r="I1431" t="s">
        <v>11</v>
      </c>
    </row>
    <row r="1432" spans="1:9" x14ac:dyDescent="0.25">
      <c r="A1432" s="95">
        <v>1431</v>
      </c>
      <c r="B1432" t="s">
        <v>611</v>
      </c>
      <c r="C1432" t="s">
        <v>2858</v>
      </c>
      <c r="D1432" t="s">
        <v>2379</v>
      </c>
      <c r="F1432" s="1">
        <v>40062</v>
      </c>
      <c r="G1432" t="s">
        <v>2273</v>
      </c>
      <c r="H1432" t="s">
        <v>121</v>
      </c>
      <c r="I1432" t="s">
        <v>11</v>
      </c>
    </row>
    <row r="1433" spans="1:9" x14ac:dyDescent="0.25">
      <c r="A1433" s="95">
        <v>1432</v>
      </c>
      <c r="B1433" t="s">
        <v>1493</v>
      </c>
      <c r="C1433" t="s">
        <v>2859</v>
      </c>
      <c r="D1433" t="s">
        <v>2381</v>
      </c>
      <c r="F1433" s="1">
        <v>36795</v>
      </c>
      <c r="G1433" t="s">
        <v>2273</v>
      </c>
      <c r="H1433" t="s">
        <v>121</v>
      </c>
      <c r="I1433" t="s">
        <v>11</v>
      </c>
    </row>
    <row r="1434" spans="1:9" x14ac:dyDescent="0.25">
      <c r="A1434" s="95">
        <v>1433</v>
      </c>
      <c r="B1434" t="s">
        <v>1493</v>
      </c>
      <c r="C1434" t="s">
        <v>2860</v>
      </c>
      <c r="D1434" t="s">
        <v>2381</v>
      </c>
      <c r="F1434" s="1">
        <v>37724</v>
      </c>
      <c r="G1434" t="s">
        <v>2273</v>
      </c>
      <c r="H1434" t="s">
        <v>121</v>
      </c>
      <c r="I1434" t="s">
        <v>11</v>
      </c>
    </row>
    <row r="1435" spans="1:9" x14ac:dyDescent="0.25">
      <c r="A1435" s="95">
        <v>1434</v>
      </c>
      <c r="B1435" t="s">
        <v>1294</v>
      </c>
      <c r="C1435" t="s">
        <v>1495</v>
      </c>
      <c r="D1435" t="s">
        <v>1269</v>
      </c>
      <c r="E1435" t="s">
        <v>22</v>
      </c>
      <c r="F1435" s="1">
        <v>42983</v>
      </c>
      <c r="G1435" t="s">
        <v>2273</v>
      </c>
      <c r="H1435" t="s">
        <v>121</v>
      </c>
      <c r="I1435" t="s">
        <v>11</v>
      </c>
    </row>
    <row r="1436" spans="1:9" x14ac:dyDescent="0.25">
      <c r="A1436" s="95">
        <v>1435</v>
      </c>
      <c r="B1436" t="s">
        <v>1497</v>
      </c>
      <c r="C1436" t="s">
        <v>2861</v>
      </c>
      <c r="D1436" t="s">
        <v>97</v>
      </c>
      <c r="F1436" s="1">
        <v>35673</v>
      </c>
      <c r="G1436" t="s">
        <v>2273</v>
      </c>
      <c r="H1436" t="s">
        <v>121</v>
      </c>
      <c r="I1436" t="s">
        <v>11</v>
      </c>
    </row>
    <row r="1437" spans="1:9" x14ac:dyDescent="0.25">
      <c r="A1437" s="95">
        <v>1436</v>
      </c>
      <c r="B1437" t="s">
        <v>1464</v>
      </c>
      <c r="C1437" t="s">
        <v>2862</v>
      </c>
      <c r="D1437" t="s">
        <v>1904</v>
      </c>
      <c r="F1437" s="1">
        <v>36815</v>
      </c>
      <c r="G1437" t="s">
        <v>2273</v>
      </c>
      <c r="H1437" t="s">
        <v>121</v>
      </c>
      <c r="I1437" t="s">
        <v>11</v>
      </c>
    </row>
    <row r="1438" spans="1:9" x14ac:dyDescent="0.25">
      <c r="A1438" s="95">
        <v>1437</v>
      </c>
      <c r="B1438" t="s">
        <v>1464</v>
      </c>
      <c r="C1438" t="s">
        <v>2863</v>
      </c>
      <c r="D1438" t="s">
        <v>1904</v>
      </c>
      <c r="F1438" s="1">
        <v>38878</v>
      </c>
      <c r="G1438" t="s">
        <v>2273</v>
      </c>
      <c r="H1438" t="s">
        <v>121</v>
      </c>
      <c r="I1438" t="s">
        <v>11</v>
      </c>
    </row>
    <row r="1439" spans="1:9" x14ac:dyDescent="0.25">
      <c r="A1439" s="95">
        <v>1438</v>
      </c>
      <c r="B1439" t="s">
        <v>1464</v>
      </c>
      <c r="C1439" t="s">
        <v>2864</v>
      </c>
      <c r="F1439" s="1">
        <v>44273</v>
      </c>
      <c r="G1439" t="s">
        <v>2273</v>
      </c>
      <c r="H1439" t="s">
        <v>121</v>
      </c>
      <c r="I1439" t="s">
        <v>11</v>
      </c>
    </row>
    <row r="1440" spans="1:9" x14ac:dyDescent="0.25">
      <c r="A1440" s="95">
        <v>1439</v>
      </c>
      <c r="B1440" t="s">
        <v>1503</v>
      </c>
      <c r="C1440" t="s">
        <v>2865</v>
      </c>
      <c r="D1440" t="s">
        <v>1422</v>
      </c>
      <c r="F1440" s="1">
        <v>40553</v>
      </c>
      <c r="G1440" t="s">
        <v>2273</v>
      </c>
      <c r="H1440" t="s">
        <v>121</v>
      </c>
      <c r="I1440" t="s">
        <v>11</v>
      </c>
    </row>
    <row r="1441" spans="1:9" x14ac:dyDescent="0.25">
      <c r="A1441" s="95">
        <v>1440</v>
      </c>
      <c r="B1441" t="s">
        <v>1503</v>
      </c>
      <c r="C1441" t="s">
        <v>2866</v>
      </c>
      <c r="D1441" t="s">
        <v>1422</v>
      </c>
      <c r="F1441" s="1">
        <v>41211</v>
      </c>
      <c r="G1441" t="s">
        <v>2273</v>
      </c>
      <c r="H1441" t="s">
        <v>121</v>
      </c>
      <c r="I1441" t="s">
        <v>11</v>
      </c>
    </row>
    <row r="1442" spans="1:9" x14ac:dyDescent="0.25">
      <c r="A1442" s="95">
        <v>1441</v>
      </c>
      <c r="B1442" t="s">
        <v>1503</v>
      </c>
      <c r="C1442" t="s">
        <v>2867</v>
      </c>
      <c r="D1442" t="s">
        <v>1422</v>
      </c>
      <c r="F1442" s="1">
        <v>43211</v>
      </c>
      <c r="G1442" t="s">
        <v>2273</v>
      </c>
      <c r="H1442" t="s">
        <v>121</v>
      </c>
      <c r="I1442" t="s">
        <v>11</v>
      </c>
    </row>
    <row r="1443" spans="1:9" x14ac:dyDescent="0.25">
      <c r="A1443" s="95">
        <v>1442</v>
      </c>
      <c r="B1443" t="s">
        <v>1503</v>
      </c>
      <c r="C1443" t="s">
        <v>2868</v>
      </c>
      <c r="D1443" t="s">
        <v>1422</v>
      </c>
      <c r="F1443" s="1">
        <v>44038</v>
      </c>
      <c r="G1443" t="s">
        <v>2273</v>
      </c>
      <c r="H1443" t="s">
        <v>121</v>
      </c>
      <c r="I1443" t="s">
        <v>11</v>
      </c>
    </row>
    <row r="1444" spans="1:9" x14ac:dyDescent="0.25">
      <c r="A1444" s="95">
        <v>1443</v>
      </c>
      <c r="B1444" t="s">
        <v>77</v>
      </c>
      <c r="C1444" t="s">
        <v>2869</v>
      </c>
      <c r="D1444" t="s">
        <v>2230</v>
      </c>
      <c r="F1444" s="1">
        <v>41571</v>
      </c>
      <c r="G1444" t="s">
        <v>2273</v>
      </c>
      <c r="H1444" t="s">
        <v>121</v>
      </c>
      <c r="I1444" t="s">
        <v>11</v>
      </c>
    </row>
    <row r="1445" spans="1:9" x14ac:dyDescent="0.25">
      <c r="A1445" s="95">
        <v>1444</v>
      </c>
      <c r="B1445" t="s">
        <v>1511</v>
      </c>
      <c r="C1445" t="s">
        <v>2870</v>
      </c>
      <c r="D1445" t="s">
        <v>2232</v>
      </c>
      <c r="F1445" s="1">
        <v>39670</v>
      </c>
      <c r="G1445" t="s">
        <v>2273</v>
      </c>
      <c r="H1445" t="s">
        <v>121</v>
      </c>
      <c r="I1445" t="s">
        <v>11</v>
      </c>
    </row>
    <row r="1446" spans="1:9" x14ac:dyDescent="0.25">
      <c r="A1446" s="95">
        <v>1445</v>
      </c>
      <c r="B1446" t="s">
        <v>1503</v>
      </c>
      <c r="C1446" t="s">
        <v>2871</v>
      </c>
      <c r="D1446" t="s">
        <v>816</v>
      </c>
      <c r="F1446" s="1">
        <v>36724</v>
      </c>
      <c r="G1446" t="s">
        <v>2273</v>
      </c>
      <c r="H1446" t="s">
        <v>121</v>
      </c>
      <c r="I1446" t="s">
        <v>11</v>
      </c>
    </row>
    <row r="1447" spans="1:9" x14ac:dyDescent="0.25">
      <c r="A1447" s="95">
        <v>1446</v>
      </c>
      <c r="B1447" t="s">
        <v>1503</v>
      </c>
      <c r="C1447" t="s">
        <v>2872</v>
      </c>
      <c r="D1447" t="s">
        <v>816</v>
      </c>
      <c r="F1447" s="1">
        <v>37310</v>
      </c>
      <c r="G1447" t="s">
        <v>2273</v>
      </c>
      <c r="H1447" t="s">
        <v>121</v>
      </c>
      <c r="I1447" t="s">
        <v>11</v>
      </c>
    </row>
    <row r="1448" spans="1:9" x14ac:dyDescent="0.25">
      <c r="A1448" s="95">
        <v>1447</v>
      </c>
      <c r="B1448" t="s">
        <v>1507</v>
      </c>
      <c r="C1448" t="s">
        <v>2873</v>
      </c>
      <c r="D1448" t="s">
        <v>2392</v>
      </c>
      <c r="F1448" s="1">
        <v>44814</v>
      </c>
      <c r="G1448" t="s">
        <v>2273</v>
      </c>
      <c r="H1448" t="s">
        <v>121</v>
      </c>
      <c r="I1448" t="s">
        <v>11</v>
      </c>
    </row>
    <row r="1449" spans="1:9" x14ac:dyDescent="0.25">
      <c r="A1449" s="95">
        <v>1448</v>
      </c>
      <c r="B1449" t="s">
        <v>2874</v>
      </c>
      <c r="C1449" t="s">
        <v>2875</v>
      </c>
      <c r="D1449" t="s">
        <v>2876</v>
      </c>
      <c r="F1449" s="1">
        <v>40417</v>
      </c>
      <c r="G1449" t="s">
        <v>2273</v>
      </c>
      <c r="H1449" t="s">
        <v>121</v>
      </c>
      <c r="I1449" t="s">
        <v>11</v>
      </c>
    </row>
    <row r="1450" spans="1:9" x14ac:dyDescent="0.25">
      <c r="A1450" s="95">
        <v>1449</v>
      </c>
      <c r="B1450" t="s">
        <v>2874</v>
      </c>
      <c r="C1450" t="s">
        <v>392</v>
      </c>
      <c r="D1450" t="s">
        <v>2392</v>
      </c>
      <c r="E1450" t="s">
        <v>67</v>
      </c>
      <c r="F1450" s="1">
        <v>41112</v>
      </c>
      <c r="G1450" t="s">
        <v>2273</v>
      </c>
      <c r="H1450" t="s">
        <v>121</v>
      </c>
      <c r="I1450" t="s">
        <v>11</v>
      </c>
    </row>
    <row r="1451" spans="1:9" x14ac:dyDescent="0.25">
      <c r="A1451" s="95">
        <v>1450</v>
      </c>
      <c r="B1451" t="s">
        <v>1503</v>
      </c>
      <c r="C1451" t="s">
        <v>2877</v>
      </c>
      <c r="D1451" t="s">
        <v>2447</v>
      </c>
      <c r="F1451" s="1">
        <v>39257</v>
      </c>
      <c r="G1451" t="s">
        <v>2273</v>
      </c>
      <c r="H1451" t="s">
        <v>121</v>
      </c>
      <c r="I1451" t="s">
        <v>11</v>
      </c>
    </row>
    <row r="1452" spans="1:9" x14ac:dyDescent="0.25">
      <c r="A1452" s="95">
        <v>1451</v>
      </c>
      <c r="B1452" t="s">
        <v>2097</v>
      </c>
      <c r="C1452" t="s">
        <v>2878</v>
      </c>
      <c r="D1452" t="s">
        <v>2393</v>
      </c>
      <c r="F1452" s="1">
        <v>38389</v>
      </c>
      <c r="G1452" t="s">
        <v>2273</v>
      </c>
      <c r="H1452" t="s">
        <v>121</v>
      </c>
      <c r="I1452" t="s">
        <v>11</v>
      </c>
    </row>
    <row r="1453" spans="1:9" x14ac:dyDescent="0.25">
      <c r="A1453" s="95">
        <v>1452</v>
      </c>
      <c r="B1453" t="s">
        <v>2097</v>
      </c>
      <c r="C1453" t="s">
        <v>2879</v>
      </c>
      <c r="D1453" t="s">
        <v>2393</v>
      </c>
      <c r="F1453" s="1">
        <v>38071</v>
      </c>
      <c r="G1453" t="s">
        <v>2273</v>
      </c>
      <c r="H1453" t="s">
        <v>121</v>
      </c>
      <c r="I1453" t="s">
        <v>11</v>
      </c>
    </row>
    <row r="1454" spans="1:9" x14ac:dyDescent="0.25">
      <c r="A1454" s="95">
        <v>1453</v>
      </c>
      <c r="B1454" t="s">
        <v>2097</v>
      </c>
      <c r="C1454" t="s">
        <v>2880</v>
      </c>
      <c r="D1454" t="s">
        <v>2393</v>
      </c>
      <c r="F1454" s="1">
        <v>39497</v>
      </c>
      <c r="G1454" t="s">
        <v>2273</v>
      </c>
      <c r="H1454" t="s">
        <v>121</v>
      </c>
      <c r="I1454" t="s">
        <v>11</v>
      </c>
    </row>
    <row r="1455" spans="1:9" x14ac:dyDescent="0.25">
      <c r="A1455" s="95">
        <v>1454</v>
      </c>
      <c r="B1455" t="s">
        <v>1288</v>
      </c>
      <c r="C1455" t="s">
        <v>2454</v>
      </c>
      <c r="D1455" t="s">
        <v>997</v>
      </c>
      <c r="F1455" s="1">
        <v>39201</v>
      </c>
      <c r="G1455" t="s">
        <v>2273</v>
      </c>
      <c r="H1455" t="s">
        <v>121</v>
      </c>
      <c r="I1455" t="s">
        <v>11</v>
      </c>
    </row>
    <row r="1456" spans="1:9" x14ac:dyDescent="0.25">
      <c r="A1456" s="95">
        <v>1455</v>
      </c>
      <c r="B1456" t="s">
        <v>331</v>
      </c>
      <c r="C1456" t="s">
        <v>2881</v>
      </c>
      <c r="D1456" t="s">
        <v>1542</v>
      </c>
      <c r="F1456" s="1">
        <v>42107</v>
      </c>
      <c r="G1456" t="s">
        <v>2273</v>
      </c>
      <c r="H1456" t="s">
        <v>121</v>
      </c>
      <c r="I1456" t="s">
        <v>11</v>
      </c>
    </row>
    <row r="1457" spans="1:9" x14ac:dyDescent="0.25">
      <c r="A1457" s="95">
        <v>1456</v>
      </c>
      <c r="B1457" t="s">
        <v>331</v>
      </c>
      <c r="C1457" t="s">
        <v>2882</v>
      </c>
      <c r="D1457" t="s">
        <v>1542</v>
      </c>
      <c r="F1457" s="1">
        <v>42688</v>
      </c>
      <c r="G1457" t="s">
        <v>2273</v>
      </c>
      <c r="H1457" t="s">
        <v>121</v>
      </c>
      <c r="I1457" t="s">
        <v>11</v>
      </c>
    </row>
    <row r="1458" spans="1:9" x14ac:dyDescent="0.25">
      <c r="A1458" s="95">
        <v>1457</v>
      </c>
      <c r="B1458" t="s">
        <v>331</v>
      </c>
      <c r="C1458" t="s">
        <v>2883</v>
      </c>
      <c r="D1458" t="s">
        <v>1542</v>
      </c>
      <c r="F1458" s="1">
        <v>43935</v>
      </c>
      <c r="G1458" t="s">
        <v>2273</v>
      </c>
      <c r="H1458" t="s">
        <v>121</v>
      </c>
      <c r="I1458" t="s">
        <v>11</v>
      </c>
    </row>
    <row r="1459" spans="1:9" x14ac:dyDescent="0.25">
      <c r="A1459" s="95">
        <v>1458</v>
      </c>
      <c r="B1459" t="s">
        <v>1533</v>
      </c>
      <c r="C1459" t="s">
        <v>2884</v>
      </c>
      <c r="D1459" t="s">
        <v>2885</v>
      </c>
      <c r="F1459" s="1">
        <v>42253</v>
      </c>
      <c r="G1459" t="s">
        <v>2273</v>
      </c>
      <c r="H1459" t="s">
        <v>121</v>
      </c>
      <c r="I1459" t="s">
        <v>11</v>
      </c>
    </row>
    <row r="1460" spans="1:9" x14ac:dyDescent="0.25">
      <c r="A1460" s="95">
        <v>1459</v>
      </c>
      <c r="B1460" t="s">
        <v>1522</v>
      </c>
      <c r="C1460" t="s">
        <v>2886</v>
      </c>
      <c r="D1460" t="s">
        <v>90</v>
      </c>
      <c r="F1460" s="1">
        <v>39206</v>
      </c>
      <c r="G1460" t="s">
        <v>2273</v>
      </c>
      <c r="H1460" t="s">
        <v>121</v>
      </c>
      <c r="I1460" t="s">
        <v>11</v>
      </c>
    </row>
    <row r="1461" spans="1:9" x14ac:dyDescent="0.25">
      <c r="A1461" s="95">
        <v>1460</v>
      </c>
      <c r="B1461" t="s">
        <v>1522</v>
      </c>
      <c r="C1461" t="s">
        <v>2887</v>
      </c>
      <c r="D1461" t="s">
        <v>90</v>
      </c>
      <c r="F1461" s="1">
        <v>37794</v>
      </c>
      <c r="G1461" t="s">
        <v>2273</v>
      </c>
      <c r="H1461" t="s">
        <v>121</v>
      </c>
      <c r="I1461" t="s">
        <v>11</v>
      </c>
    </row>
    <row r="1462" spans="1:9" x14ac:dyDescent="0.25">
      <c r="A1462" s="95">
        <v>1461</v>
      </c>
      <c r="B1462" t="s">
        <v>1522</v>
      </c>
      <c r="C1462" t="s">
        <v>2888</v>
      </c>
      <c r="D1462" t="s">
        <v>90</v>
      </c>
      <c r="F1462" s="1">
        <v>38540</v>
      </c>
      <c r="G1462" t="s">
        <v>2273</v>
      </c>
      <c r="H1462" t="s">
        <v>121</v>
      </c>
      <c r="I1462" t="s">
        <v>11</v>
      </c>
    </row>
    <row r="1463" spans="1:9" x14ac:dyDescent="0.25">
      <c r="A1463" s="95">
        <v>1462</v>
      </c>
      <c r="B1463" t="s">
        <v>1522</v>
      </c>
      <c r="C1463" t="s">
        <v>2889</v>
      </c>
      <c r="D1463" t="s">
        <v>90</v>
      </c>
      <c r="F1463" s="1">
        <v>40537</v>
      </c>
      <c r="G1463" t="s">
        <v>2273</v>
      </c>
      <c r="H1463" t="s">
        <v>121</v>
      </c>
      <c r="I1463" t="s">
        <v>11</v>
      </c>
    </row>
    <row r="1464" spans="1:9" x14ac:dyDescent="0.25">
      <c r="A1464" s="95">
        <v>1463</v>
      </c>
      <c r="B1464" t="s">
        <v>2890</v>
      </c>
      <c r="C1464" t="s">
        <v>2891</v>
      </c>
      <c r="D1464" t="s">
        <v>41</v>
      </c>
      <c r="F1464" s="1">
        <v>37551</v>
      </c>
      <c r="G1464" t="s">
        <v>2273</v>
      </c>
      <c r="H1464" t="s">
        <v>121</v>
      </c>
      <c r="I1464" t="s">
        <v>11</v>
      </c>
    </row>
    <row r="1465" spans="1:9" x14ac:dyDescent="0.25">
      <c r="A1465" s="95">
        <v>1464</v>
      </c>
      <c r="B1465" t="s">
        <v>263</v>
      </c>
      <c r="C1465" t="s">
        <v>2892</v>
      </c>
      <c r="D1465" t="s">
        <v>41</v>
      </c>
      <c r="F1465" s="1">
        <v>38750</v>
      </c>
      <c r="G1465" t="s">
        <v>2273</v>
      </c>
      <c r="H1465" t="s">
        <v>121</v>
      </c>
      <c r="I1465" t="s">
        <v>11</v>
      </c>
    </row>
    <row r="1466" spans="1:9" x14ac:dyDescent="0.25">
      <c r="A1466" s="95">
        <v>1465</v>
      </c>
      <c r="B1466" t="s">
        <v>2893</v>
      </c>
      <c r="C1466" t="s">
        <v>2894</v>
      </c>
      <c r="D1466" t="s">
        <v>1278</v>
      </c>
      <c r="F1466" s="1">
        <v>39680</v>
      </c>
      <c r="G1466" t="s">
        <v>2273</v>
      </c>
      <c r="H1466" t="s">
        <v>121</v>
      </c>
      <c r="I1466" t="s">
        <v>11</v>
      </c>
    </row>
    <row r="1467" spans="1:9" x14ac:dyDescent="0.25">
      <c r="A1467" s="95">
        <v>1466</v>
      </c>
      <c r="B1467" t="s">
        <v>2893</v>
      </c>
      <c r="C1467" t="s">
        <v>2895</v>
      </c>
      <c r="D1467" t="s">
        <v>1278</v>
      </c>
      <c r="F1467" s="1">
        <v>40107</v>
      </c>
      <c r="G1467" t="s">
        <v>2273</v>
      </c>
      <c r="H1467" t="s">
        <v>121</v>
      </c>
      <c r="I1467" t="s">
        <v>11</v>
      </c>
    </row>
    <row r="1468" spans="1:9" x14ac:dyDescent="0.25">
      <c r="A1468" s="95">
        <v>1467</v>
      </c>
      <c r="B1468" t="s">
        <v>2893</v>
      </c>
      <c r="C1468" t="s">
        <v>2896</v>
      </c>
      <c r="D1468" t="s">
        <v>1278</v>
      </c>
      <c r="F1468" s="1">
        <v>40828</v>
      </c>
      <c r="G1468" t="s">
        <v>2273</v>
      </c>
      <c r="H1468" t="s">
        <v>121</v>
      </c>
      <c r="I1468" t="s">
        <v>11</v>
      </c>
    </row>
    <row r="1469" spans="1:9" x14ac:dyDescent="0.25">
      <c r="A1469" s="95">
        <v>1468</v>
      </c>
      <c r="B1469" t="s">
        <v>1484</v>
      </c>
      <c r="C1469" t="s">
        <v>2897</v>
      </c>
      <c r="D1469" t="s">
        <v>41</v>
      </c>
      <c r="F1469" s="1">
        <v>39370</v>
      </c>
      <c r="G1469" t="s">
        <v>2273</v>
      </c>
      <c r="H1469" t="s">
        <v>121</v>
      </c>
      <c r="I1469" t="s">
        <v>11</v>
      </c>
    </row>
    <row r="1470" spans="1:9" x14ac:dyDescent="0.25">
      <c r="A1470" s="95">
        <v>1469</v>
      </c>
      <c r="B1470" t="s">
        <v>1548</v>
      </c>
      <c r="C1470" t="s">
        <v>2898</v>
      </c>
      <c r="D1470" t="s">
        <v>1373</v>
      </c>
      <c r="F1470" s="1">
        <v>34844</v>
      </c>
      <c r="G1470" t="s">
        <v>2273</v>
      </c>
      <c r="H1470" t="s">
        <v>121</v>
      </c>
      <c r="I1470" t="s">
        <v>11</v>
      </c>
    </row>
    <row r="1471" spans="1:9" x14ac:dyDescent="0.25">
      <c r="A1471" s="95">
        <v>1470</v>
      </c>
      <c r="B1471" t="s">
        <v>1548</v>
      </c>
      <c r="C1471" t="s">
        <v>2899</v>
      </c>
      <c r="D1471" t="s">
        <v>1373</v>
      </c>
      <c r="F1471" s="1">
        <v>36667</v>
      </c>
      <c r="G1471" t="s">
        <v>2273</v>
      </c>
      <c r="H1471" t="s">
        <v>121</v>
      </c>
      <c r="I1471" t="s">
        <v>11</v>
      </c>
    </row>
    <row r="1472" spans="1:9" x14ac:dyDescent="0.25">
      <c r="A1472" s="95">
        <v>1471</v>
      </c>
      <c r="B1472" t="s">
        <v>1311</v>
      </c>
      <c r="C1472" t="s">
        <v>2900</v>
      </c>
      <c r="D1472" t="s">
        <v>2409</v>
      </c>
      <c r="F1472" s="1">
        <v>38788</v>
      </c>
      <c r="G1472" t="s">
        <v>2273</v>
      </c>
      <c r="H1472" t="s">
        <v>121</v>
      </c>
      <c r="I1472" t="s">
        <v>11</v>
      </c>
    </row>
    <row r="1473" spans="1:9" x14ac:dyDescent="0.25">
      <c r="A1473" s="95">
        <v>1472</v>
      </c>
      <c r="B1473" t="s">
        <v>1311</v>
      </c>
      <c r="C1473" t="s">
        <v>2901</v>
      </c>
      <c r="D1473" t="s">
        <v>2409</v>
      </c>
      <c r="F1473" s="1">
        <v>38274</v>
      </c>
      <c r="G1473" t="s">
        <v>2273</v>
      </c>
      <c r="H1473" t="s">
        <v>121</v>
      </c>
      <c r="I1473" t="s">
        <v>11</v>
      </c>
    </row>
    <row r="1474" spans="1:9" x14ac:dyDescent="0.25">
      <c r="A1474" s="95">
        <v>1473</v>
      </c>
      <c r="B1474" t="s">
        <v>1406</v>
      </c>
      <c r="C1474" t="s">
        <v>2902</v>
      </c>
      <c r="D1474" t="s">
        <v>1922</v>
      </c>
      <c r="F1474" s="1">
        <v>37772</v>
      </c>
      <c r="G1474" t="s">
        <v>2273</v>
      </c>
      <c r="H1474" t="s">
        <v>121</v>
      </c>
      <c r="I1474" t="s">
        <v>11</v>
      </c>
    </row>
    <row r="1475" spans="1:9" x14ac:dyDescent="0.25">
      <c r="A1475" s="95">
        <v>1474</v>
      </c>
      <c r="B1475" t="s">
        <v>1406</v>
      </c>
      <c r="C1475" t="s">
        <v>2903</v>
      </c>
      <c r="D1475" t="s">
        <v>1922</v>
      </c>
      <c r="F1475" s="1">
        <v>38896</v>
      </c>
      <c r="G1475" t="s">
        <v>2273</v>
      </c>
      <c r="H1475" t="s">
        <v>121</v>
      </c>
      <c r="I1475" t="s">
        <v>11</v>
      </c>
    </row>
    <row r="1476" spans="1:9" x14ac:dyDescent="0.25">
      <c r="A1476" s="95">
        <v>1475</v>
      </c>
      <c r="B1476" t="s">
        <v>1558</v>
      </c>
      <c r="C1476" t="s">
        <v>2904</v>
      </c>
      <c r="D1476" t="s">
        <v>1269</v>
      </c>
      <c r="F1476" s="1">
        <v>37416</v>
      </c>
      <c r="G1476" t="s">
        <v>2273</v>
      </c>
      <c r="H1476" t="s">
        <v>121</v>
      </c>
      <c r="I1476" t="s">
        <v>11</v>
      </c>
    </row>
    <row r="1477" spans="1:9" x14ac:dyDescent="0.25">
      <c r="A1477" s="95">
        <v>1476</v>
      </c>
      <c r="B1477" t="s">
        <v>85</v>
      </c>
      <c r="C1477" t="s">
        <v>2905</v>
      </c>
      <c r="D1477" t="s">
        <v>1542</v>
      </c>
      <c r="F1477" s="1">
        <v>35159</v>
      </c>
      <c r="G1477" t="s">
        <v>2273</v>
      </c>
      <c r="H1477" t="s">
        <v>121</v>
      </c>
      <c r="I1477" t="s">
        <v>11</v>
      </c>
    </row>
    <row r="1478" spans="1:9" x14ac:dyDescent="0.25">
      <c r="A1478" s="95">
        <v>1477</v>
      </c>
      <c r="B1478" t="s">
        <v>85</v>
      </c>
      <c r="C1478" t="s">
        <v>2906</v>
      </c>
      <c r="D1478" t="s">
        <v>1542</v>
      </c>
      <c r="F1478" s="1">
        <v>35904</v>
      </c>
      <c r="G1478" t="s">
        <v>2273</v>
      </c>
      <c r="H1478" t="s">
        <v>121</v>
      </c>
      <c r="I1478" t="s">
        <v>11</v>
      </c>
    </row>
    <row r="1479" spans="1:9" x14ac:dyDescent="0.25">
      <c r="A1479" s="95">
        <v>1478</v>
      </c>
      <c r="B1479" t="s">
        <v>85</v>
      </c>
      <c r="C1479" t="s">
        <v>1565</v>
      </c>
      <c r="D1479" t="s">
        <v>1542</v>
      </c>
      <c r="F1479" s="1">
        <v>38794</v>
      </c>
      <c r="G1479" t="s">
        <v>2273</v>
      </c>
      <c r="H1479" t="s">
        <v>121</v>
      </c>
      <c r="I1479" t="s">
        <v>11</v>
      </c>
    </row>
    <row r="1480" spans="1:9" x14ac:dyDescent="0.25">
      <c r="A1480" s="95">
        <v>1479</v>
      </c>
      <c r="B1480" t="s">
        <v>1415</v>
      </c>
      <c r="C1480" t="s">
        <v>36</v>
      </c>
      <c r="D1480" t="s">
        <v>38</v>
      </c>
      <c r="F1480" s="1">
        <v>32921</v>
      </c>
      <c r="G1480" t="s">
        <v>2273</v>
      </c>
      <c r="H1480" t="s">
        <v>121</v>
      </c>
      <c r="I1480" t="s">
        <v>11</v>
      </c>
    </row>
    <row r="1481" spans="1:9" x14ac:dyDescent="0.25">
      <c r="A1481" s="95">
        <v>1480</v>
      </c>
      <c r="B1481" t="s">
        <v>2907</v>
      </c>
      <c r="C1481" t="s">
        <v>501</v>
      </c>
      <c r="D1481" t="s">
        <v>1415</v>
      </c>
      <c r="F1481" s="1">
        <v>33730</v>
      </c>
      <c r="G1481" t="s">
        <v>2273</v>
      </c>
      <c r="H1481" t="s">
        <v>121</v>
      </c>
      <c r="I1481" t="s">
        <v>11</v>
      </c>
    </row>
    <row r="1482" spans="1:9" x14ac:dyDescent="0.25">
      <c r="A1482" s="95">
        <v>1481</v>
      </c>
      <c r="B1482" t="s">
        <v>1415</v>
      </c>
      <c r="C1482" t="s">
        <v>2241</v>
      </c>
      <c r="D1482" t="s">
        <v>38</v>
      </c>
      <c r="F1482" s="1">
        <v>35639</v>
      </c>
      <c r="G1482" t="s">
        <v>2273</v>
      </c>
      <c r="H1482" t="s">
        <v>121</v>
      </c>
      <c r="I1482" t="s">
        <v>11</v>
      </c>
    </row>
    <row r="1483" spans="1:9" x14ac:dyDescent="0.25">
      <c r="A1483" s="95">
        <v>1482</v>
      </c>
      <c r="B1483" t="s">
        <v>331</v>
      </c>
      <c r="C1483" t="s">
        <v>2844</v>
      </c>
      <c r="D1483" t="s">
        <v>1415</v>
      </c>
      <c r="F1483" s="1">
        <v>36260</v>
      </c>
      <c r="G1483" t="s">
        <v>2273</v>
      </c>
      <c r="H1483" t="s">
        <v>121</v>
      </c>
      <c r="I1483" t="s">
        <v>11</v>
      </c>
    </row>
    <row r="1484" spans="1:9" x14ac:dyDescent="0.25">
      <c r="A1484" s="95">
        <v>1483</v>
      </c>
      <c r="B1484" t="s">
        <v>1415</v>
      </c>
      <c r="C1484" t="s">
        <v>1821</v>
      </c>
      <c r="D1484" t="s">
        <v>38</v>
      </c>
      <c r="F1484" s="1">
        <v>37111</v>
      </c>
      <c r="G1484" t="s">
        <v>2273</v>
      </c>
      <c r="H1484" t="s">
        <v>121</v>
      </c>
      <c r="I1484" t="s">
        <v>11</v>
      </c>
    </row>
    <row r="1485" spans="1:9" x14ac:dyDescent="0.25">
      <c r="A1485" s="95">
        <v>1484</v>
      </c>
      <c r="B1485" t="s">
        <v>1542</v>
      </c>
      <c r="C1485" t="s">
        <v>2908</v>
      </c>
      <c r="D1485" t="s">
        <v>1275</v>
      </c>
      <c r="F1485" s="1">
        <v>30497</v>
      </c>
      <c r="G1485" t="s">
        <v>2273</v>
      </c>
      <c r="H1485" t="s">
        <v>121</v>
      </c>
      <c r="I1485" t="s">
        <v>11</v>
      </c>
    </row>
    <row r="1486" spans="1:9" x14ac:dyDescent="0.25">
      <c r="A1486" s="95">
        <v>1485</v>
      </c>
      <c r="B1486" t="s">
        <v>1542</v>
      </c>
      <c r="C1486" t="s">
        <v>2909</v>
      </c>
      <c r="D1486" t="s">
        <v>2910</v>
      </c>
      <c r="F1486" s="1">
        <v>39782</v>
      </c>
      <c r="G1486" t="s">
        <v>2273</v>
      </c>
      <c r="H1486" t="s">
        <v>121</v>
      </c>
      <c r="I1486" t="s">
        <v>11</v>
      </c>
    </row>
    <row r="1487" spans="1:9" x14ac:dyDescent="0.25">
      <c r="A1487" s="95">
        <v>1486</v>
      </c>
      <c r="B1487" t="s">
        <v>232</v>
      </c>
      <c r="C1487" t="s">
        <v>2911</v>
      </c>
      <c r="D1487" t="s">
        <v>997</v>
      </c>
      <c r="F1487" s="1">
        <v>36560</v>
      </c>
      <c r="G1487" t="s">
        <v>2273</v>
      </c>
      <c r="H1487" t="s">
        <v>121</v>
      </c>
      <c r="I1487" t="s">
        <v>11</v>
      </c>
    </row>
    <row r="1488" spans="1:9" x14ac:dyDescent="0.25">
      <c r="A1488" s="95">
        <v>1487</v>
      </c>
      <c r="B1488" t="s">
        <v>232</v>
      </c>
      <c r="C1488" t="s">
        <v>1541</v>
      </c>
      <c r="D1488" t="s">
        <v>997</v>
      </c>
      <c r="F1488" s="1">
        <v>38276</v>
      </c>
      <c r="G1488" t="s">
        <v>2273</v>
      </c>
      <c r="H1488" t="s">
        <v>121</v>
      </c>
      <c r="I1488" t="s">
        <v>11</v>
      </c>
    </row>
    <row r="1489" spans="1:9" x14ac:dyDescent="0.25">
      <c r="A1489" s="95">
        <v>1488</v>
      </c>
      <c r="B1489" t="s">
        <v>232</v>
      </c>
      <c r="C1489" t="s">
        <v>2912</v>
      </c>
      <c r="D1489" t="s">
        <v>997</v>
      </c>
      <c r="F1489" s="1">
        <v>41271</v>
      </c>
      <c r="G1489" t="s">
        <v>2273</v>
      </c>
      <c r="H1489" t="s">
        <v>121</v>
      </c>
      <c r="I1489" t="s">
        <v>11</v>
      </c>
    </row>
    <row r="1490" spans="1:9" x14ac:dyDescent="0.25">
      <c r="A1490" s="95">
        <v>1489</v>
      </c>
      <c r="B1490" t="s">
        <v>331</v>
      </c>
      <c r="C1490" t="s">
        <v>2563</v>
      </c>
      <c r="D1490" t="s">
        <v>2913</v>
      </c>
      <c r="F1490" s="1">
        <v>38552</v>
      </c>
      <c r="G1490" t="s">
        <v>2273</v>
      </c>
      <c r="H1490" t="s">
        <v>121</v>
      </c>
      <c r="I1490" t="s">
        <v>11</v>
      </c>
    </row>
    <row r="1491" spans="1:9" x14ac:dyDescent="0.25">
      <c r="A1491" s="95">
        <v>1490</v>
      </c>
      <c r="B1491" t="s">
        <v>331</v>
      </c>
      <c r="C1491" t="s">
        <v>2914</v>
      </c>
      <c r="D1491" t="s">
        <v>2913</v>
      </c>
      <c r="F1491" s="1">
        <v>36734</v>
      </c>
      <c r="G1491" t="s">
        <v>2273</v>
      </c>
      <c r="H1491" t="s">
        <v>121</v>
      </c>
      <c r="I1491" t="s">
        <v>11</v>
      </c>
    </row>
    <row r="1492" spans="1:9" x14ac:dyDescent="0.25">
      <c r="A1492" s="95">
        <v>1491</v>
      </c>
      <c r="B1492" t="s">
        <v>2416</v>
      </c>
      <c r="C1492" t="s">
        <v>1462</v>
      </c>
      <c r="D1492" t="s">
        <v>41</v>
      </c>
      <c r="E1492" t="s">
        <v>22</v>
      </c>
      <c r="F1492" s="1">
        <v>38182</v>
      </c>
      <c r="G1492" t="s">
        <v>2273</v>
      </c>
      <c r="H1492" t="s">
        <v>121</v>
      </c>
      <c r="I1492" t="s">
        <v>11</v>
      </c>
    </row>
    <row r="1493" spans="1:9" x14ac:dyDescent="0.25">
      <c r="A1493" s="95">
        <v>1492</v>
      </c>
      <c r="B1493" t="s">
        <v>1279</v>
      </c>
      <c r="C1493" t="s">
        <v>2915</v>
      </c>
      <c r="D1493" t="s">
        <v>997</v>
      </c>
      <c r="F1493" s="1">
        <v>40370</v>
      </c>
      <c r="G1493" t="s">
        <v>2273</v>
      </c>
      <c r="H1493" t="s">
        <v>121</v>
      </c>
      <c r="I1493" t="s">
        <v>11</v>
      </c>
    </row>
    <row r="1494" spans="1:9" x14ac:dyDescent="0.25">
      <c r="A1494" s="95">
        <v>1493</v>
      </c>
      <c r="B1494" t="s">
        <v>1279</v>
      </c>
      <c r="C1494" t="s">
        <v>2916</v>
      </c>
      <c r="D1494" t="s">
        <v>997</v>
      </c>
      <c r="F1494" s="1">
        <v>43872</v>
      </c>
      <c r="G1494" t="s">
        <v>2273</v>
      </c>
      <c r="H1494" t="s">
        <v>121</v>
      </c>
      <c r="I1494" t="s">
        <v>11</v>
      </c>
    </row>
    <row r="1495" spans="1:9" x14ac:dyDescent="0.25">
      <c r="A1495" s="95">
        <v>1494</v>
      </c>
      <c r="B1495" t="s">
        <v>1279</v>
      </c>
      <c r="C1495" t="s">
        <v>2418</v>
      </c>
      <c r="D1495" t="s">
        <v>997</v>
      </c>
      <c r="F1495" s="1">
        <v>37002</v>
      </c>
      <c r="G1495" t="s">
        <v>2273</v>
      </c>
      <c r="H1495" t="s">
        <v>121</v>
      </c>
      <c r="I1495" t="s">
        <v>11</v>
      </c>
    </row>
    <row r="1496" spans="1:9" x14ac:dyDescent="0.25">
      <c r="A1496" s="95">
        <v>1495</v>
      </c>
      <c r="B1496" t="s">
        <v>1460</v>
      </c>
      <c r="C1496" t="s">
        <v>2917</v>
      </c>
      <c r="F1496" s="1">
        <v>38355</v>
      </c>
      <c r="G1496" t="s">
        <v>2273</v>
      </c>
      <c r="H1496" t="s">
        <v>121</v>
      </c>
      <c r="I1496" t="s">
        <v>11</v>
      </c>
    </row>
    <row r="1497" spans="1:9" x14ac:dyDescent="0.25">
      <c r="A1497" s="95">
        <v>1496</v>
      </c>
      <c r="B1497" t="s">
        <v>1585</v>
      </c>
      <c r="C1497" t="s">
        <v>2918</v>
      </c>
      <c r="D1497" t="s">
        <v>941</v>
      </c>
      <c r="F1497" s="1">
        <v>33421</v>
      </c>
      <c r="G1497" t="s">
        <v>2273</v>
      </c>
      <c r="H1497" t="s">
        <v>121</v>
      </c>
      <c r="I1497" t="s">
        <v>11</v>
      </c>
    </row>
    <row r="1498" spans="1:9" x14ac:dyDescent="0.25">
      <c r="A1498" s="95">
        <v>1497</v>
      </c>
      <c r="B1498" t="s">
        <v>1460</v>
      </c>
      <c r="C1498" t="s">
        <v>2917</v>
      </c>
      <c r="F1498" s="1">
        <v>38355</v>
      </c>
      <c r="G1498" t="s">
        <v>2273</v>
      </c>
      <c r="H1498" t="s">
        <v>121</v>
      </c>
      <c r="I1498" t="s">
        <v>11</v>
      </c>
    </row>
    <row r="1499" spans="1:9" x14ac:dyDescent="0.25">
      <c r="A1499" s="95">
        <v>1498</v>
      </c>
      <c r="B1499" t="s">
        <v>120</v>
      </c>
      <c r="C1499" t="s">
        <v>2394</v>
      </c>
      <c r="D1499" t="s">
        <v>1395</v>
      </c>
      <c r="F1499" s="1">
        <v>35279</v>
      </c>
      <c r="G1499" t="s">
        <v>2273</v>
      </c>
      <c r="H1499" t="s">
        <v>121</v>
      </c>
      <c r="I1499" t="s">
        <v>11</v>
      </c>
    </row>
    <row r="1500" spans="1:9" x14ac:dyDescent="0.25">
      <c r="A1500" s="95">
        <v>1499</v>
      </c>
      <c r="B1500" t="s">
        <v>120</v>
      </c>
      <c r="C1500" t="s">
        <v>783</v>
      </c>
      <c r="D1500" t="s">
        <v>1395</v>
      </c>
      <c r="F1500" s="1">
        <v>36942</v>
      </c>
      <c r="G1500" t="s">
        <v>2273</v>
      </c>
      <c r="H1500" t="s">
        <v>121</v>
      </c>
      <c r="I1500" t="s">
        <v>11</v>
      </c>
    </row>
    <row r="1501" spans="1:9" x14ac:dyDescent="0.25">
      <c r="A1501" s="95">
        <v>1500</v>
      </c>
      <c r="B1501" t="s">
        <v>120</v>
      </c>
      <c r="C1501" t="s">
        <v>2919</v>
      </c>
      <c r="D1501" t="s">
        <v>1395</v>
      </c>
      <c r="F1501" s="1">
        <v>37902</v>
      </c>
      <c r="G1501" t="s">
        <v>2273</v>
      </c>
      <c r="H1501" t="s">
        <v>121</v>
      </c>
      <c r="I1501" t="s">
        <v>11</v>
      </c>
    </row>
    <row r="1502" spans="1:9" x14ac:dyDescent="0.25">
      <c r="A1502" s="95">
        <v>1501</v>
      </c>
      <c r="B1502" t="s">
        <v>41</v>
      </c>
      <c r="C1502" t="s">
        <v>2920</v>
      </c>
      <c r="D1502" t="s">
        <v>1269</v>
      </c>
      <c r="F1502" s="1">
        <v>35343</v>
      </c>
      <c r="G1502" t="s">
        <v>2273</v>
      </c>
      <c r="H1502" t="s">
        <v>121</v>
      </c>
      <c r="I1502" t="s">
        <v>11</v>
      </c>
    </row>
    <row r="1503" spans="1:9" x14ac:dyDescent="0.25">
      <c r="A1503" s="95">
        <v>1502</v>
      </c>
      <c r="B1503" t="s">
        <v>1269</v>
      </c>
      <c r="C1503" t="s">
        <v>2921</v>
      </c>
      <c r="D1503" t="s">
        <v>1608</v>
      </c>
      <c r="F1503" s="1">
        <v>36441</v>
      </c>
      <c r="G1503" t="s">
        <v>2273</v>
      </c>
      <c r="H1503" t="s">
        <v>121</v>
      </c>
      <c r="I1503" t="s">
        <v>11</v>
      </c>
    </row>
    <row r="1504" spans="1:9" x14ac:dyDescent="0.25">
      <c r="A1504" s="95">
        <v>1503</v>
      </c>
      <c r="B1504" t="s">
        <v>1269</v>
      </c>
      <c r="C1504" t="s">
        <v>333</v>
      </c>
      <c r="D1504" t="s">
        <v>1608</v>
      </c>
      <c r="F1504" s="1">
        <v>38975</v>
      </c>
      <c r="G1504" t="s">
        <v>2273</v>
      </c>
      <c r="H1504" t="s">
        <v>121</v>
      </c>
      <c r="I1504" t="s">
        <v>11</v>
      </c>
    </row>
    <row r="1505" spans="1:9" x14ac:dyDescent="0.25">
      <c r="A1505" s="95">
        <v>1504</v>
      </c>
      <c r="B1505" t="s">
        <v>1269</v>
      </c>
      <c r="C1505" t="s">
        <v>2210</v>
      </c>
      <c r="D1505" t="s">
        <v>1608</v>
      </c>
      <c r="F1505" s="1">
        <v>38975</v>
      </c>
      <c r="G1505" t="s">
        <v>2273</v>
      </c>
      <c r="H1505" t="s">
        <v>121</v>
      </c>
      <c r="I1505" t="s">
        <v>11</v>
      </c>
    </row>
    <row r="1506" spans="1:9" x14ac:dyDescent="0.25">
      <c r="A1506" s="95">
        <v>1505</v>
      </c>
      <c r="B1506" t="s">
        <v>964</v>
      </c>
      <c r="C1506" t="s">
        <v>2922</v>
      </c>
      <c r="D1506" t="s">
        <v>120</v>
      </c>
      <c r="F1506" s="1">
        <v>36075</v>
      </c>
      <c r="G1506" t="s">
        <v>2273</v>
      </c>
      <c r="H1506" t="s">
        <v>121</v>
      </c>
      <c r="I1506" t="s">
        <v>11</v>
      </c>
    </row>
    <row r="1507" spans="1:9" x14ac:dyDescent="0.25">
      <c r="A1507" s="95">
        <v>1506</v>
      </c>
      <c r="B1507" t="s">
        <v>1579</v>
      </c>
      <c r="C1507" t="s">
        <v>405</v>
      </c>
      <c r="F1507" s="1">
        <v>37660</v>
      </c>
      <c r="G1507" t="s">
        <v>2273</v>
      </c>
      <c r="H1507" t="s">
        <v>121</v>
      </c>
      <c r="I1507" t="s">
        <v>11</v>
      </c>
    </row>
    <row r="1508" spans="1:9" x14ac:dyDescent="0.25">
      <c r="A1508" s="95">
        <v>1507</v>
      </c>
      <c r="B1508" t="s">
        <v>2923</v>
      </c>
      <c r="C1508" t="s">
        <v>2924</v>
      </c>
      <c r="F1508" s="1">
        <v>40457</v>
      </c>
      <c r="G1508" t="s">
        <v>2273</v>
      </c>
      <c r="H1508" t="s">
        <v>121</v>
      </c>
      <c r="I1508" t="s">
        <v>11</v>
      </c>
    </row>
    <row r="1509" spans="1:9" x14ac:dyDescent="0.25">
      <c r="A1509" s="95">
        <v>1508</v>
      </c>
      <c r="B1509" t="s">
        <v>2923</v>
      </c>
      <c r="C1509" t="s">
        <v>392</v>
      </c>
      <c r="F1509" s="1">
        <v>40701</v>
      </c>
      <c r="G1509" t="s">
        <v>2273</v>
      </c>
      <c r="H1509" t="s">
        <v>121</v>
      </c>
      <c r="I1509" t="s">
        <v>11</v>
      </c>
    </row>
    <row r="1510" spans="1:9" x14ac:dyDescent="0.25">
      <c r="A1510" s="95">
        <v>1509</v>
      </c>
      <c r="B1510" t="s">
        <v>1399</v>
      </c>
      <c r="C1510" t="s">
        <v>2925</v>
      </c>
      <c r="D1510" t="s">
        <v>2926</v>
      </c>
      <c r="F1510" s="1">
        <v>39037</v>
      </c>
      <c r="G1510" t="s">
        <v>2273</v>
      </c>
      <c r="H1510" t="s">
        <v>121</v>
      </c>
      <c r="I1510" t="s">
        <v>11</v>
      </c>
    </row>
    <row r="1511" spans="1:9" x14ac:dyDescent="0.25">
      <c r="A1511" s="95">
        <v>1510</v>
      </c>
      <c r="B1511" t="s">
        <v>1399</v>
      </c>
      <c r="C1511" t="s">
        <v>2927</v>
      </c>
      <c r="D1511" t="s">
        <v>2926</v>
      </c>
      <c r="F1511" s="1">
        <v>39633</v>
      </c>
      <c r="G1511" t="s">
        <v>2273</v>
      </c>
      <c r="H1511" t="s">
        <v>121</v>
      </c>
      <c r="I1511" t="s">
        <v>11</v>
      </c>
    </row>
    <row r="1512" spans="1:9" x14ac:dyDescent="0.25">
      <c r="A1512" s="95">
        <v>1511</v>
      </c>
      <c r="B1512" t="s">
        <v>1399</v>
      </c>
      <c r="C1512" t="s">
        <v>2928</v>
      </c>
      <c r="D1512" t="s">
        <v>2926</v>
      </c>
      <c r="F1512" s="1">
        <v>41625</v>
      </c>
      <c r="G1512" t="s">
        <v>2273</v>
      </c>
      <c r="H1512" t="s">
        <v>121</v>
      </c>
      <c r="I1512" t="s">
        <v>11</v>
      </c>
    </row>
    <row r="1513" spans="1:9" x14ac:dyDescent="0.25">
      <c r="A1513" s="95">
        <v>1512</v>
      </c>
      <c r="B1513" t="s">
        <v>1613</v>
      </c>
      <c r="C1513" t="s">
        <v>2929</v>
      </c>
      <c r="D1513" t="s">
        <v>1279</v>
      </c>
      <c r="F1513" s="1">
        <v>44882</v>
      </c>
      <c r="G1513" t="s">
        <v>2273</v>
      </c>
      <c r="H1513" t="s">
        <v>121</v>
      </c>
      <c r="I1513" t="s">
        <v>11</v>
      </c>
    </row>
    <row r="1514" spans="1:9" x14ac:dyDescent="0.25">
      <c r="A1514" s="95">
        <v>1513</v>
      </c>
      <c r="B1514" t="s">
        <v>1615</v>
      </c>
      <c r="C1514" t="s">
        <v>226</v>
      </c>
      <c r="D1514" t="s">
        <v>1373</v>
      </c>
      <c r="F1514" s="1">
        <v>38414</v>
      </c>
      <c r="G1514" t="s">
        <v>2273</v>
      </c>
      <c r="H1514" t="s">
        <v>121</v>
      </c>
      <c r="I1514" t="s">
        <v>11</v>
      </c>
    </row>
    <row r="1515" spans="1:9" x14ac:dyDescent="0.25">
      <c r="A1515" s="95">
        <v>1514</v>
      </c>
      <c r="B1515" t="s">
        <v>1615</v>
      </c>
      <c r="C1515" t="s">
        <v>163</v>
      </c>
      <c r="D1515" t="s">
        <v>1373</v>
      </c>
      <c r="F1515" s="1">
        <v>39164</v>
      </c>
      <c r="G1515" t="s">
        <v>2273</v>
      </c>
      <c r="H1515" t="s">
        <v>121</v>
      </c>
      <c r="I1515" t="s">
        <v>11</v>
      </c>
    </row>
    <row r="1516" spans="1:9" x14ac:dyDescent="0.25">
      <c r="A1516" s="95">
        <v>1515</v>
      </c>
      <c r="B1516" t="s">
        <v>605</v>
      </c>
      <c r="C1516" t="s">
        <v>2930</v>
      </c>
      <c r="D1516" t="s">
        <v>816</v>
      </c>
      <c r="F1516" s="1">
        <v>37681</v>
      </c>
      <c r="G1516" t="s">
        <v>2273</v>
      </c>
      <c r="H1516" t="s">
        <v>121</v>
      </c>
      <c r="I1516" t="s">
        <v>11</v>
      </c>
    </row>
    <row r="1517" spans="1:9" x14ac:dyDescent="0.25">
      <c r="A1517" s="95">
        <v>1516</v>
      </c>
      <c r="B1517" t="s">
        <v>1621</v>
      </c>
      <c r="C1517" t="s">
        <v>2931</v>
      </c>
      <c r="F1517" s="1">
        <v>36440</v>
      </c>
      <c r="G1517" t="s">
        <v>2273</v>
      </c>
      <c r="H1517" t="s">
        <v>121</v>
      </c>
      <c r="I1517" t="s">
        <v>11</v>
      </c>
    </row>
    <row r="1518" spans="1:9" x14ac:dyDescent="0.25">
      <c r="A1518" s="95">
        <v>1517</v>
      </c>
      <c r="B1518" t="s">
        <v>1621</v>
      </c>
      <c r="C1518" t="s">
        <v>2932</v>
      </c>
      <c r="F1518" s="1">
        <v>44371</v>
      </c>
      <c r="G1518" t="s">
        <v>2273</v>
      </c>
      <c r="H1518" t="s">
        <v>121</v>
      </c>
      <c r="I1518" t="s">
        <v>11</v>
      </c>
    </row>
    <row r="1519" spans="1:9" x14ac:dyDescent="0.25">
      <c r="A1519" s="95">
        <v>1518</v>
      </c>
      <c r="B1519" t="s">
        <v>1621</v>
      </c>
      <c r="C1519" t="s">
        <v>2933</v>
      </c>
      <c r="F1519" s="1">
        <v>38163</v>
      </c>
      <c r="G1519" t="s">
        <v>2273</v>
      </c>
      <c r="H1519" t="s">
        <v>121</v>
      </c>
      <c r="I1519" t="s">
        <v>11</v>
      </c>
    </row>
    <row r="1520" spans="1:9" x14ac:dyDescent="0.25">
      <c r="A1520" s="95">
        <v>1519</v>
      </c>
      <c r="B1520" t="s">
        <v>1626</v>
      </c>
      <c r="C1520" t="s">
        <v>2934</v>
      </c>
      <c r="D1520" t="s">
        <v>1480</v>
      </c>
      <c r="F1520" s="1">
        <v>36119</v>
      </c>
      <c r="G1520" t="s">
        <v>2273</v>
      </c>
      <c r="H1520" t="s">
        <v>121</v>
      </c>
      <c r="I1520" t="s">
        <v>11</v>
      </c>
    </row>
    <row r="1521" spans="1:9" x14ac:dyDescent="0.25">
      <c r="A1521" s="95">
        <v>1520</v>
      </c>
      <c r="B1521" t="s">
        <v>1581</v>
      </c>
      <c r="C1521" t="s">
        <v>2935</v>
      </c>
      <c r="F1521" s="1">
        <v>44787</v>
      </c>
      <c r="G1521" t="s">
        <v>2273</v>
      </c>
      <c r="H1521" t="s">
        <v>121</v>
      </c>
      <c r="I1521" t="s">
        <v>11</v>
      </c>
    </row>
    <row r="1522" spans="1:9" x14ac:dyDescent="0.25">
      <c r="A1522" s="95">
        <v>1521</v>
      </c>
      <c r="B1522" t="s">
        <v>1581</v>
      </c>
      <c r="C1522" t="s">
        <v>1295</v>
      </c>
      <c r="D1522" t="s">
        <v>1279</v>
      </c>
      <c r="F1522" s="1">
        <v>31417</v>
      </c>
      <c r="G1522" t="s">
        <v>2273</v>
      </c>
      <c r="H1522" t="s">
        <v>121</v>
      </c>
      <c r="I1522" t="s">
        <v>11</v>
      </c>
    </row>
    <row r="1523" spans="1:9" x14ac:dyDescent="0.25">
      <c r="A1523" s="95">
        <v>1522</v>
      </c>
      <c r="B1523" t="s">
        <v>1581</v>
      </c>
      <c r="C1523" t="s">
        <v>2936</v>
      </c>
      <c r="D1523" t="s">
        <v>1279</v>
      </c>
      <c r="F1523" s="1">
        <v>33541</v>
      </c>
      <c r="G1523" t="s">
        <v>2273</v>
      </c>
      <c r="H1523" t="s">
        <v>121</v>
      </c>
      <c r="I1523" t="s">
        <v>11</v>
      </c>
    </row>
    <row r="1524" spans="1:9" x14ac:dyDescent="0.25">
      <c r="A1524" s="95">
        <v>1523</v>
      </c>
      <c r="B1524" t="s">
        <v>1581</v>
      </c>
      <c r="C1524" t="s">
        <v>2937</v>
      </c>
      <c r="D1524" t="s">
        <v>1279</v>
      </c>
      <c r="F1524" s="1">
        <v>36084</v>
      </c>
      <c r="G1524" t="s">
        <v>2273</v>
      </c>
      <c r="H1524" t="s">
        <v>121</v>
      </c>
      <c r="I1524" t="s">
        <v>11</v>
      </c>
    </row>
    <row r="1525" spans="1:9" x14ac:dyDescent="0.25">
      <c r="A1525" s="95">
        <v>1524</v>
      </c>
      <c r="B1525" t="s">
        <v>1326</v>
      </c>
      <c r="C1525" t="s">
        <v>2938</v>
      </c>
      <c r="D1525" t="s">
        <v>1548</v>
      </c>
      <c r="F1525" s="1">
        <v>38783</v>
      </c>
      <c r="G1525" t="s">
        <v>2273</v>
      </c>
      <c r="H1525" t="s">
        <v>121</v>
      </c>
      <c r="I1525" t="s">
        <v>11</v>
      </c>
    </row>
    <row r="1526" spans="1:9" x14ac:dyDescent="0.25">
      <c r="A1526" s="95">
        <v>1525</v>
      </c>
      <c r="B1526" t="s">
        <v>1294</v>
      </c>
      <c r="C1526" t="s">
        <v>2939</v>
      </c>
      <c r="D1526" t="s">
        <v>2940</v>
      </c>
      <c r="F1526" s="1">
        <v>37865</v>
      </c>
      <c r="G1526" t="s">
        <v>2273</v>
      </c>
      <c r="H1526" t="s">
        <v>121</v>
      </c>
      <c r="I1526" t="s">
        <v>11</v>
      </c>
    </row>
    <row r="1527" spans="1:9" x14ac:dyDescent="0.25">
      <c r="A1527" s="95">
        <v>1526</v>
      </c>
      <c r="B1527" t="s">
        <v>1294</v>
      </c>
      <c r="C1527" t="s">
        <v>756</v>
      </c>
      <c r="D1527" t="s">
        <v>2940</v>
      </c>
      <c r="E1527" t="s">
        <v>67</v>
      </c>
      <c r="F1527" s="1">
        <v>38320</v>
      </c>
      <c r="G1527" t="s">
        <v>2273</v>
      </c>
      <c r="H1527" t="s">
        <v>121</v>
      </c>
      <c r="I1527" t="s">
        <v>11</v>
      </c>
    </row>
    <row r="1528" spans="1:9" x14ac:dyDescent="0.25">
      <c r="A1528" s="95">
        <v>1527</v>
      </c>
      <c r="B1528" t="s">
        <v>1294</v>
      </c>
      <c r="C1528" t="s">
        <v>2941</v>
      </c>
      <c r="D1528" t="s">
        <v>2940</v>
      </c>
      <c r="F1528" s="1">
        <v>39946</v>
      </c>
      <c r="G1528" t="s">
        <v>2273</v>
      </c>
      <c r="H1528" t="s">
        <v>121</v>
      </c>
      <c r="I1528" t="s">
        <v>11</v>
      </c>
    </row>
    <row r="1529" spans="1:9" x14ac:dyDescent="0.25">
      <c r="A1529" s="95">
        <v>1528</v>
      </c>
      <c r="B1529" t="s">
        <v>1294</v>
      </c>
      <c r="C1529" t="s">
        <v>2942</v>
      </c>
      <c r="D1529" t="s">
        <v>2940</v>
      </c>
      <c r="F1529" s="1">
        <v>43171</v>
      </c>
      <c r="G1529" t="s">
        <v>2273</v>
      </c>
      <c r="H1529" t="s">
        <v>121</v>
      </c>
      <c r="I1529" t="s">
        <v>11</v>
      </c>
    </row>
    <row r="1530" spans="1:9" x14ac:dyDescent="0.25">
      <c r="A1530" s="95">
        <v>1529</v>
      </c>
      <c r="B1530" t="s">
        <v>1503</v>
      </c>
      <c r="C1530" t="s">
        <v>2943</v>
      </c>
      <c r="D1530" t="s">
        <v>1516</v>
      </c>
      <c r="F1530" s="1">
        <v>25621</v>
      </c>
      <c r="G1530" t="s">
        <v>2273</v>
      </c>
      <c r="H1530" t="s">
        <v>121</v>
      </c>
      <c r="I1530" t="s">
        <v>11</v>
      </c>
    </row>
    <row r="1531" spans="1:9" x14ac:dyDescent="0.25">
      <c r="A1531" s="95">
        <v>1530</v>
      </c>
      <c r="B1531" t="s">
        <v>1292</v>
      </c>
      <c r="C1531" t="s">
        <v>2944</v>
      </c>
      <c r="D1531" t="s">
        <v>1470</v>
      </c>
      <c r="F1531" s="1">
        <v>46107</v>
      </c>
      <c r="G1531" t="s">
        <v>2273</v>
      </c>
      <c r="H1531" t="s">
        <v>121</v>
      </c>
      <c r="I1531" t="s">
        <v>11</v>
      </c>
    </row>
    <row r="1532" spans="1:9" x14ac:dyDescent="0.25">
      <c r="A1532" s="95">
        <v>1531</v>
      </c>
      <c r="B1532" t="s">
        <v>1292</v>
      </c>
      <c r="C1532" t="s">
        <v>2849</v>
      </c>
      <c r="D1532" t="s">
        <v>1292</v>
      </c>
      <c r="F1532" s="1">
        <v>46189</v>
      </c>
      <c r="G1532" t="s">
        <v>2273</v>
      </c>
      <c r="H1532" t="s">
        <v>121</v>
      </c>
      <c r="I1532" t="s">
        <v>11</v>
      </c>
    </row>
    <row r="1533" spans="1:9" x14ac:dyDescent="0.25">
      <c r="A1533" s="95">
        <v>1532</v>
      </c>
      <c r="B1533" t="s">
        <v>1292</v>
      </c>
      <c r="C1533" t="s">
        <v>2945</v>
      </c>
      <c r="D1533" t="s">
        <v>1470</v>
      </c>
      <c r="F1533" s="1">
        <v>46120</v>
      </c>
      <c r="G1533" t="s">
        <v>2273</v>
      </c>
      <c r="H1533" t="s">
        <v>121</v>
      </c>
      <c r="I1533" t="s">
        <v>11</v>
      </c>
    </row>
    <row r="1534" spans="1:9" x14ac:dyDescent="0.25">
      <c r="A1534" s="95">
        <v>1533</v>
      </c>
      <c r="B1534" t="s">
        <v>1269</v>
      </c>
      <c r="C1534" t="s">
        <v>2921</v>
      </c>
      <c r="D1534" t="s">
        <v>1608</v>
      </c>
      <c r="F1534" s="1">
        <v>36441</v>
      </c>
      <c r="G1534" t="s">
        <v>2273</v>
      </c>
      <c r="H1534" t="s">
        <v>121</v>
      </c>
      <c r="I1534" t="s">
        <v>11</v>
      </c>
    </row>
    <row r="1535" spans="1:9" x14ac:dyDescent="0.25">
      <c r="A1535" s="95">
        <v>1534</v>
      </c>
      <c r="B1535" t="s">
        <v>1269</v>
      </c>
      <c r="C1535" t="s">
        <v>333</v>
      </c>
      <c r="D1535" t="s">
        <v>1608</v>
      </c>
      <c r="F1535" s="1">
        <v>38975</v>
      </c>
      <c r="G1535" t="s">
        <v>2273</v>
      </c>
      <c r="H1535" t="s">
        <v>121</v>
      </c>
      <c r="I1535" t="s">
        <v>11</v>
      </c>
    </row>
    <row r="1536" spans="1:9" x14ac:dyDescent="0.25">
      <c r="A1536" s="95">
        <v>1535</v>
      </c>
      <c r="B1536" t="s">
        <v>1269</v>
      </c>
      <c r="C1536" t="s">
        <v>2210</v>
      </c>
      <c r="D1536" t="s">
        <v>1608</v>
      </c>
      <c r="F1536" s="1">
        <v>38975</v>
      </c>
      <c r="G1536" t="s">
        <v>2273</v>
      </c>
      <c r="H1536" t="s">
        <v>121</v>
      </c>
      <c r="I1536" t="s">
        <v>11</v>
      </c>
    </row>
    <row r="1537" spans="1:9" x14ac:dyDescent="0.25">
      <c r="A1537" s="95">
        <v>1536</v>
      </c>
      <c r="B1537" t="s">
        <v>1276</v>
      </c>
      <c r="C1537" t="s">
        <v>2946</v>
      </c>
      <c r="D1537" t="s">
        <v>1406</v>
      </c>
      <c r="F1537" s="1">
        <v>42607</v>
      </c>
      <c r="G1537" t="s">
        <v>2273</v>
      </c>
      <c r="H1537" t="s">
        <v>121</v>
      </c>
      <c r="I1537" t="s">
        <v>11</v>
      </c>
    </row>
    <row r="1538" spans="1:9" x14ac:dyDescent="0.25">
      <c r="A1538" s="95">
        <v>1537</v>
      </c>
      <c r="B1538" t="s">
        <v>1294</v>
      </c>
      <c r="C1538" t="s">
        <v>2947</v>
      </c>
      <c r="D1538" t="s">
        <v>2437</v>
      </c>
      <c r="F1538" s="1">
        <v>40962</v>
      </c>
      <c r="G1538" t="s">
        <v>2273</v>
      </c>
      <c r="H1538" t="s">
        <v>121</v>
      </c>
      <c r="I1538" t="s">
        <v>11</v>
      </c>
    </row>
    <row r="1539" spans="1:9" x14ac:dyDescent="0.25">
      <c r="A1539" s="95">
        <v>1538</v>
      </c>
      <c r="B1539" t="s">
        <v>1294</v>
      </c>
      <c r="C1539" t="s">
        <v>2948</v>
      </c>
      <c r="D1539" t="s">
        <v>2437</v>
      </c>
      <c r="F1539" s="1">
        <v>41890</v>
      </c>
      <c r="G1539" t="s">
        <v>2273</v>
      </c>
      <c r="H1539" t="s">
        <v>121</v>
      </c>
      <c r="I1539" t="s">
        <v>11</v>
      </c>
    </row>
    <row r="1540" spans="1:9" x14ac:dyDescent="0.25">
      <c r="A1540" s="95">
        <v>1539</v>
      </c>
      <c r="B1540" t="s">
        <v>1294</v>
      </c>
      <c r="C1540" t="s">
        <v>2949</v>
      </c>
      <c r="D1540" t="s">
        <v>2437</v>
      </c>
      <c r="F1540" s="1">
        <v>43713</v>
      </c>
      <c r="G1540" t="s">
        <v>2273</v>
      </c>
      <c r="H1540" t="s">
        <v>121</v>
      </c>
      <c r="I1540" t="s">
        <v>11</v>
      </c>
    </row>
    <row r="1541" spans="1:9" x14ac:dyDescent="0.25">
      <c r="A1541" s="95">
        <v>1540</v>
      </c>
      <c r="B1541" t="s">
        <v>125</v>
      </c>
      <c r="C1541" t="s">
        <v>2950</v>
      </c>
      <c r="D1541" t="s">
        <v>78</v>
      </c>
      <c r="F1541" s="1">
        <v>45060</v>
      </c>
      <c r="G1541" t="s">
        <v>2273</v>
      </c>
      <c r="H1541" t="s">
        <v>121</v>
      </c>
      <c r="I1541" t="s">
        <v>11</v>
      </c>
    </row>
    <row r="1542" spans="1:9" x14ac:dyDescent="0.25">
      <c r="A1542" s="95">
        <v>1541</v>
      </c>
      <c r="B1542" t="s">
        <v>125</v>
      </c>
      <c r="C1542" t="s">
        <v>2951</v>
      </c>
      <c r="D1542" t="s">
        <v>78</v>
      </c>
      <c r="F1542" s="1">
        <v>46065</v>
      </c>
      <c r="G1542" t="s">
        <v>2273</v>
      </c>
      <c r="H1542" t="s">
        <v>121</v>
      </c>
      <c r="I1542" t="s">
        <v>11</v>
      </c>
    </row>
    <row r="1543" spans="1:9" x14ac:dyDescent="0.25">
      <c r="A1543" s="95">
        <v>1542</v>
      </c>
      <c r="B1543" t="s">
        <v>78</v>
      </c>
      <c r="C1543" t="s">
        <v>2952</v>
      </c>
      <c r="D1543" t="s">
        <v>2953</v>
      </c>
      <c r="F1543" s="1">
        <v>37367</v>
      </c>
      <c r="G1543" t="s">
        <v>2273</v>
      </c>
      <c r="H1543" t="s">
        <v>121</v>
      </c>
      <c r="I1543" t="s">
        <v>11</v>
      </c>
    </row>
    <row r="1544" spans="1:9" x14ac:dyDescent="0.25">
      <c r="A1544" s="95">
        <v>1543</v>
      </c>
      <c r="B1544" t="s">
        <v>1643</v>
      </c>
      <c r="C1544" t="s">
        <v>1255</v>
      </c>
      <c r="D1544" t="s">
        <v>2440</v>
      </c>
      <c r="E1544" t="s">
        <v>22</v>
      </c>
      <c r="F1544" s="1">
        <v>37153</v>
      </c>
      <c r="G1544" t="s">
        <v>2273</v>
      </c>
      <c r="H1544" t="s">
        <v>121</v>
      </c>
      <c r="I1544" t="s">
        <v>11</v>
      </c>
    </row>
    <row r="1545" spans="1:9" x14ac:dyDescent="0.25">
      <c r="A1545" s="95">
        <v>1544</v>
      </c>
      <c r="B1545" t="s">
        <v>1643</v>
      </c>
      <c r="C1545" t="s">
        <v>2954</v>
      </c>
      <c r="D1545" t="s">
        <v>2440</v>
      </c>
      <c r="F1545" s="1">
        <v>38247</v>
      </c>
      <c r="G1545" t="s">
        <v>2273</v>
      </c>
      <c r="H1545" t="s">
        <v>121</v>
      </c>
      <c r="I1545" t="s">
        <v>11</v>
      </c>
    </row>
    <row r="1546" spans="1:9" x14ac:dyDescent="0.25">
      <c r="A1546" s="95">
        <v>1545</v>
      </c>
      <c r="B1546" t="s">
        <v>30</v>
      </c>
      <c r="C1546" t="s">
        <v>2955</v>
      </c>
      <c r="D1546" t="s">
        <v>1943</v>
      </c>
      <c r="F1546" s="1">
        <v>38550</v>
      </c>
      <c r="G1546" t="s">
        <v>2273</v>
      </c>
      <c r="H1546" t="s">
        <v>121</v>
      </c>
      <c r="I1546" t="s">
        <v>11</v>
      </c>
    </row>
    <row r="1547" spans="1:9" x14ac:dyDescent="0.25">
      <c r="A1547" s="95">
        <v>1546</v>
      </c>
      <c r="B1547" t="s">
        <v>30</v>
      </c>
      <c r="C1547" t="s">
        <v>2956</v>
      </c>
      <c r="D1547" t="s">
        <v>1943</v>
      </c>
      <c r="F1547" s="1">
        <v>39144</v>
      </c>
      <c r="G1547" t="s">
        <v>2273</v>
      </c>
      <c r="H1547" t="s">
        <v>121</v>
      </c>
      <c r="I1547" t="s">
        <v>11</v>
      </c>
    </row>
    <row r="1548" spans="1:9" x14ac:dyDescent="0.25">
      <c r="A1548" s="95">
        <v>1547</v>
      </c>
      <c r="B1548" t="s">
        <v>30</v>
      </c>
      <c r="C1548" t="s">
        <v>2957</v>
      </c>
      <c r="D1548" t="s">
        <v>1943</v>
      </c>
      <c r="F1548" s="1">
        <v>41088</v>
      </c>
      <c r="G1548" t="s">
        <v>2273</v>
      </c>
      <c r="H1548" t="s">
        <v>121</v>
      </c>
      <c r="I1548" t="s">
        <v>11</v>
      </c>
    </row>
    <row r="1549" spans="1:9" x14ac:dyDescent="0.25">
      <c r="A1549" s="95">
        <v>1548</v>
      </c>
      <c r="B1549" t="s">
        <v>30</v>
      </c>
      <c r="C1549" t="s">
        <v>2958</v>
      </c>
      <c r="D1549" t="s">
        <v>1943</v>
      </c>
      <c r="F1549" s="1">
        <v>41723</v>
      </c>
      <c r="G1549" t="s">
        <v>2273</v>
      </c>
      <c r="H1549" t="s">
        <v>121</v>
      </c>
      <c r="I1549" t="s">
        <v>11</v>
      </c>
    </row>
    <row r="1550" spans="1:9" x14ac:dyDescent="0.25">
      <c r="A1550" s="95">
        <v>1549</v>
      </c>
      <c r="B1550" t="s">
        <v>30</v>
      </c>
      <c r="C1550" t="s">
        <v>2959</v>
      </c>
      <c r="D1550" t="s">
        <v>1943</v>
      </c>
      <c r="F1550" s="1">
        <v>42371</v>
      </c>
      <c r="G1550" t="s">
        <v>2273</v>
      </c>
      <c r="H1550" t="s">
        <v>121</v>
      </c>
      <c r="I1550" t="s">
        <v>11</v>
      </c>
    </row>
    <row r="1551" spans="1:9" x14ac:dyDescent="0.25">
      <c r="A1551" s="95">
        <v>1550</v>
      </c>
      <c r="B1551" t="s">
        <v>30</v>
      </c>
      <c r="C1551" t="s">
        <v>561</v>
      </c>
      <c r="D1551" t="s">
        <v>1943</v>
      </c>
      <c r="F1551" s="1">
        <v>43624</v>
      </c>
      <c r="G1551" t="s">
        <v>2273</v>
      </c>
      <c r="H1551" t="s">
        <v>121</v>
      </c>
      <c r="I1551" t="s">
        <v>11</v>
      </c>
    </row>
    <row r="1552" spans="1:9" x14ac:dyDescent="0.25">
      <c r="A1552" s="95">
        <v>1551</v>
      </c>
      <c r="B1552" t="s">
        <v>38</v>
      </c>
      <c r="C1552" t="s">
        <v>2960</v>
      </c>
      <c r="D1552" t="s">
        <v>962</v>
      </c>
      <c r="F1552" s="1">
        <v>40729</v>
      </c>
      <c r="G1552" t="s">
        <v>2273</v>
      </c>
      <c r="H1552" t="s">
        <v>121</v>
      </c>
      <c r="I1552" t="s">
        <v>11</v>
      </c>
    </row>
    <row r="1553" spans="1:9" x14ac:dyDescent="0.25">
      <c r="A1553" s="95">
        <v>1552</v>
      </c>
      <c r="B1553" t="s">
        <v>38</v>
      </c>
      <c r="C1553" t="s">
        <v>2961</v>
      </c>
      <c r="D1553" t="s">
        <v>962</v>
      </c>
      <c r="F1553" s="1">
        <v>41365</v>
      </c>
      <c r="G1553" t="s">
        <v>2273</v>
      </c>
      <c r="H1553" t="s">
        <v>121</v>
      </c>
      <c r="I1553" t="s">
        <v>11</v>
      </c>
    </row>
    <row r="1554" spans="1:9" x14ac:dyDescent="0.25">
      <c r="A1554" s="95">
        <v>1553</v>
      </c>
      <c r="B1554" t="s">
        <v>38</v>
      </c>
      <c r="C1554" t="s">
        <v>2962</v>
      </c>
      <c r="D1554" t="s">
        <v>962</v>
      </c>
      <c r="F1554" s="1">
        <v>42270</v>
      </c>
      <c r="G1554" t="s">
        <v>2273</v>
      </c>
      <c r="H1554" t="s">
        <v>121</v>
      </c>
      <c r="I1554" t="s">
        <v>11</v>
      </c>
    </row>
    <row r="1555" spans="1:9" x14ac:dyDescent="0.25">
      <c r="A1555" s="95">
        <v>1554</v>
      </c>
      <c r="B1555" t="s">
        <v>38</v>
      </c>
      <c r="C1555" t="s">
        <v>2963</v>
      </c>
      <c r="D1555" t="s">
        <v>962</v>
      </c>
      <c r="F1555" s="1">
        <v>43417</v>
      </c>
      <c r="G1555" t="s">
        <v>2273</v>
      </c>
      <c r="H1555" t="s">
        <v>121</v>
      </c>
      <c r="I1555" t="s">
        <v>11</v>
      </c>
    </row>
    <row r="1556" spans="1:9" x14ac:dyDescent="0.25">
      <c r="A1556" s="95">
        <v>1555</v>
      </c>
      <c r="B1556" t="s">
        <v>1269</v>
      </c>
      <c r="C1556" t="s">
        <v>2964</v>
      </c>
      <c r="D1556" t="s">
        <v>2965</v>
      </c>
      <c r="F1556" s="1">
        <v>25451</v>
      </c>
      <c r="G1556" t="s">
        <v>2273</v>
      </c>
      <c r="H1556" t="s">
        <v>121</v>
      </c>
      <c r="I1556" t="s">
        <v>11</v>
      </c>
    </row>
    <row r="1557" spans="1:9" x14ac:dyDescent="0.25">
      <c r="A1557" s="95">
        <v>1556</v>
      </c>
      <c r="B1557" t="s">
        <v>1269</v>
      </c>
      <c r="C1557" t="s">
        <v>818</v>
      </c>
      <c r="F1557" s="1">
        <v>38813</v>
      </c>
      <c r="G1557" t="s">
        <v>2273</v>
      </c>
      <c r="H1557" t="s">
        <v>121</v>
      </c>
      <c r="I1557" t="s">
        <v>11</v>
      </c>
    </row>
    <row r="1558" spans="1:9" x14ac:dyDescent="0.25">
      <c r="A1558" s="95">
        <v>1557</v>
      </c>
      <c r="B1558" t="s">
        <v>1269</v>
      </c>
      <c r="C1558" t="s">
        <v>2966</v>
      </c>
      <c r="F1558" s="1">
        <v>39942</v>
      </c>
      <c r="G1558" t="s">
        <v>2273</v>
      </c>
      <c r="H1558" t="s">
        <v>121</v>
      </c>
      <c r="I1558" t="s">
        <v>11</v>
      </c>
    </row>
    <row r="1559" spans="1:9" x14ac:dyDescent="0.25">
      <c r="A1559" s="95">
        <v>1558</v>
      </c>
      <c r="B1559" t="s">
        <v>1269</v>
      </c>
      <c r="C1559" t="s">
        <v>75</v>
      </c>
      <c r="F1559" s="1">
        <v>41113</v>
      </c>
      <c r="G1559" t="s">
        <v>2273</v>
      </c>
      <c r="H1559" t="s">
        <v>121</v>
      </c>
      <c r="I1559" t="s">
        <v>11</v>
      </c>
    </row>
    <row r="1560" spans="1:9" x14ac:dyDescent="0.25">
      <c r="A1560" s="95">
        <v>1559</v>
      </c>
      <c r="B1560" t="s">
        <v>1269</v>
      </c>
      <c r="C1560" t="s">
        <v>1400</v>
      </c>
      <c r="D1560" t="s">
        <v>2965</v>
      </c>
      <c r="F1560" s="1">
        <v>41845</v>
      </c>
      <c r="G1560" t="s">
        <v>2273</v>
      </c>
      <c r="H1560" t="s">
        <v>121</v>
      </c>
      <c r="I1560" t="s">
        <v>11</v>
      </c>
    </row>
    <row r="1561" spans="1:9" x14ac:dyDescent="0.25">
      <c r="A1561" s="95">
        <v>1560</v>
      </c>
      <c r="B1561" t="s">
        <v>1269</v>
      </c>
      <c r="C1561" t="s">
        <v>2900</v>
      </c>
      <c r="D1561" t="s">
        <v>2965</v>
      </c>
      <c r="F1561" s="1">
        <v>43025</v>
      </c>
      <c r="G1561" t="s">
        <v>2273</v>
      </c>
      <c r="H1561" t="s">
        <v>121</v>
      </c>
      <c r="I1561" t="s">
        <v>11</v>
      </c>
    </row>
    <row r="1562" spans="1:9" x14ac:dyDescent="0.25">
      <c r="A1562" s="95">
        <v>1561</v>
      </c>
      <c r="B1562" t="s">
        <v>1269</v>
      </c>
      <c r="C1562" t="s">
        <v>2964</v>
      </c>
      <c r="F1562" s="1">
        <v>38101</v>
      </c>
      <c r="G1562" t="s">
        <v>2273</v>
      </c>
      <c r="H1562" t="s">
        <v>121</v>
      </c>
      <c r="I1562" t="s">
        <v>11</v>
      </c>
    </row>
    <row r="1563" spans="1:9" x14ac:dyDescent="0.25">
      <c r="A1563" s="95">
        <v>1562</v>
      </c>
      <c r="B1563" t="s">
        <v>1269</v>
      </c>
      <c r="C1563" t="s">
        <v>818</v>
      </c>
      <c r="D1563" t="s">
        <v>2965</v>
      </c>
      <c r="F1563" s="1">
        <v>38813</v>
      </c>
      <c r="G1563" t="s">
        <v>2273</v>
      </c>
      <c r="H1563" t="s">
        <v>121</v>
      </c>
      <c r="I1563" t="s">
        <v>11</v>
      </c>
    </row>
    <row r="1564" spans="1:9" x14ac:dyDescent="0.25">
      <c r="A1564" s="95">
        <v>1563</v>
      </c>
      <c r="B1564" t="s">
        <v>1269</v>
      </c>
      <c r="C1564" t="s">
        <v>2966</v>
      </c>
      <c r="D1564" t="s">
        <v>2965</v>
      </c>
      <c r="F1564" s="1">
        <v>39942</v>
      </c>
      <c r="G1564" t="s">
        <v>2273</v>
      </c>
      <c r="H1564" t="s">
        <v>121</v>
      </c>
      <c r="I1564" t="s">
        <v>11</v>
      </c>
    </row>
    <row r="1565" spans="1:9" x14ac:dyDescent="0.25">
      <c r="A1565" s="95">
        <v>1564</v>
      </c>
      <c r="B1565" t="s">
        <v>1269</v>
      </c>
      <c r="C1565" t="s">
        <v>75</v>
      </c>
      <c r="F1565" s="1">
        <v>41113</v>
      </c>
      <c r="G1565" t="s">
        <v>2273</v>
      </c>
      <c r="H1565" t="s">
        <v>121</v>
      </c>
      <c r="I1565" t="s">
        <v>11</v>
      </c>
    </row>
    <row r="1566" spans="1:9" x14ac:dyDescent="0.25">
      <c r="A1566" s="95">
        <v>1565</v>
      </c>
      <c r="B1566" t="s">
        <v>1269</v>
      </c>
      <c r="C1566" t="s">
        <v>1400</v>
      </c>
      <c r="D1566" t="s">
        <v>2965</v>
      </c>
      <c r="F1566" s="1">
        <v>41845</v>
      </c>
      <c r="G1566" t="s">
        <v>2273</v>
      </c>
      <c r="H1566" t="s">
        <v>121</v>
      </c>
      <c r="I1566" t="s">
        <v>11</v>
      </c>
    </row>
    <row r="1567" spans="1:9" x14ac:dyDescent="0.25">
      <c r="A1567" s="95">
        <v>1566</v>
      </c>
      <c r="B1567" t="s">
        <v>1269</v>
      </c>
      <c r="C1567" t="s">
        <v>2967</v>
      </c>
      <c r="D1567" t="s">
        <v>2965</v>
      </c>
      <c r="F1567" s="1">
        <v>43025</v>
      </c>
      <c r="G1567" t="s">
        <v>2273</v>
      </c>
      <c r="H1567" t="s">
        <v>121</v>
      </c>
      <c r="I1567" t="s">
        <v>11</v>
      </c>
    </row>
    <row r="1568" spans="1:9" x14ac:dyDescent="0.25">
      <c r="A1568" s="95">
        <v>1567</v>
      </c>
      <c r="B1568" t="s">
        <v>1646</v>
      </c>
      <c r="C1568" t="s">
        <v>2968</v>
      </c>
      <c r="D1568" t="s">
        <v>2443</v>
      </c>
      <c r="F1568" s="1">
        <v>38056</v>
      </c>
      <c r="G1568" t="s">
        <v>2273</v>
      </c>
      <c r="H1568" t="s">
        <v>121</v>
      </c>
      <c r="I1568" t="s">
        <v>11</v>
      </c>
    </row>
    <row r="1569" spans="1:9" x14ac:dyDescent="0.25">
      <c r="A1569" s="95">
        <v>1568</v>
      </c>
      <c r="B1569" t="s">
        <v>1592</v>
      </c>
      <c r="C1569" t="s">
        <v>2969</v>
      </c>
      <c r="D1569" t="s">
        <v>1594</v>
      </c>
      <c r="F1569" s="1">
        <v>41296</v>
      </c>
      <c r="G1569" t="s">
        <v>2273</v>
      </c>
      <c r="H1569" t="s">
        <v>121</v>
      </c>
      <c r="I1569" t="s">
        <v>11</v>
      </c>
    </row>
    <row r="1570" spans="1:9" x14ac:dyDescent="0.25">
      <c r="A1570" s="95">
        <v>1569</v>
      </c>
      <c r="B1570" t="s">
        <v>1503</v>
      </c>
      <c r="C1570" t="s">
        <v>2877</v>
      </c>
      <c r="D1570" t="s">
        <v>2447</v>
      </c>
      <c r="F1570" s="1">
        <v>39257</v>
      </c>
      <c r="G1570" t="s">
        <v>2273</v>
      </c>
      <c r="H1570" t="s">
        <v>121</v>
      </c>
      <c r="I1570" t="s">
        <v>11</v>
      </c>
    </row>
    <row r="1571" spans="1:9" x14ac:dyDescent="0.25">
      <c r="A1571" s="95">
        <v>1570</v>
      </c>
      <c r="B1571" t="s">
        <v>1433</v>
      </c>
      <c r="C1571" t="s">
        <v>2827</v>
      </c>
      <c r="D1571" t="s">
        <v>1435</v>
      </c>
      <c r="F1571" s="1">
        <v>39181</v>
      </c>
      <c r="G1571" t="s">
        <v>2273</v>
      </c>
      <c r="H1571" t="s">
        <v>121</v>
      </c>
      <c r="I1571" t="s">
        <v>11</v>
      </c>
    </row>
    <row r="1572" spans="1:9" x14ac:dyDescent="0.25">
      <c r="A1572" s="95">
        <v>1571</v>
      </c>
      <c r="B1572" t="s">
        <v>1452</v>
      </c>
      <c r="C1572" t="s">
        <v>388</v>
      </c>
      <c r="D1572" t="s">
        <v>1373</v>
      </c>
      <c r="F1572" s="1">
        <v>33834</v>
      </c>
      <c r="G1572" t="s">
        <v>2273</v>
      </c>
      <c r="H1572" t="s">
        <v>121</v>
      </c>
      <c r="I1572" t="s">
        <v>11</v>
      </c>
    </row>
    <row r="1573" spans="1:9" x14ac:dyDescent="0.25">
      <c r="A1573" s="95">
        <v>1572</v>
      </c>
      <c r="B1573" t="s">
        <v>1452</v>
      </c>
      <c r="C1573" t="s">
        <v>297</v>
      </c>
      <c r="D1573" t="s">
        <v>1373</v>
      </c>
      <c r="F1573" s="1">
        <v>35601</v>
      </c>
      <c r="G1573" t="s">
        <v>2273</v>
      </c>
      <c r="H1573" t="s">
        <v>121</v>
      </c>
      <c r="I1573" t="s">
        <v>11</v>
      </c>
    </row>
    <row r="1574" spans="1:9" x14ac:dyDescent="0.25">
      <c r="A1574" s="95">
        <v>1573</v>
      </c>
      <c r="B1574" t="s">
        <v>1452</v>
      </c>
      <c r="C1574" t="s">
        <v>2970</v>
      </c>
      <c r="D1574" t="s">
        <v>1373</v>
      </c>
      <c r="F1574" s="1">
        <v>38213</v>
      </c>
      <c r="G1574" t="s">
        <v>2273</v>
      </c>
      <c r="H1574" t="s">
        <v>121</v>
      </c>
      <c r="I1574" t="s">
        <v>11</v>
      </c>
    </row>
    <row r="1575" spans="1:9" x14ac:dyDescent="0.25">
      <c r="A1575" s="95">
        <v>1574</v>
      </c>
      <c r="B1575" t="s">
        <v>1452</v>
      </c>
      <c r="C1575" t="s">
        <v>2971</v>
      </c>
      <c r="D1575" t="s">
        <v>1373</v>
      </c>
      <c r="F1575" s="1">
        <v>42635</v>
      </c>
      <c r="G1575" t="s">
        <v>2273</v>
      </c>
      <c r="H1575" t="s">
        <v>121</v>
      </c>
      <c r="I1575" t="s">
        <v>11</v>
      </c>
    </row>
    <row r="1576" spans="1:9" x14ac:dyDescent="0.25">
      <c r="A1576" s="95">
        <v>1575</v>
      </c>
      <c r="B1576" t="s">
        <v>1421</v>
      </c>
      <c r="C1576" t="s">
        <v>2972</v>
      </c>
      <c r="D1576" t="s">
        <v>259</v>
      </c>
      <c r="F1576" s="1">
        <v>36920</v>
      </c>
      <c r="G1576" t="s">
        <v>2273</v>
      </c>
      <c r="H1576" t="s">
        <v>121</v>
      </c>
      <c r="I1576" t="s">
        <v>11</v>
      </c>
    </row>
    <row r="1577" spans="1:9" x14ac:dyDescent="0.25">
      <c r="A1577" s="95">
        <v>1576</v>
      </c>
      <c r="B1577" t="s">
        <v>1421</v>
      </c>
      <c r="C1577" t="s">
        <v>1826</v>
      </c>
      <c r="D1577" t="s">
        <v>259</v>
      </c>
      <c r="F1577" s="1">
        <v>38201</v>
      </c>
      <c r="G1577" t="s">
        <v>2273</v>
      </c>
      <c r="H1577" t="s">
        <v>121</v>
      </c>
      <c r="I1577" t="s">
        <v>11</v>
      </c>
    </row>
    <row r="1578" spans="1:9" x14ac:dyDescent="0.25">
      <c r="A1578" s="95">
        <v>1577</v>
      </c>
      <c r="B1578" t="s">
        <v>1658</v>
      </c>
      <c r="C1578" t="s">
        <v>2973</v>
      </c>
      <c r="D1578" t="s">
        <v>1548</v>
      </c>
      <c r="F1578" s="1">
        <v>34057</v>
      </c>
      <c r="G1578" t="s">
        <v>2273</v>
      </c>
      <c r="H1578" t="s">
        <v>121</v>
      </c>
      <c r="I1578" t="s">
        <v>11</v>
      </c>
    </row>
    <row r="1579" spans="1:9" x14ac:dyDescent="0.25">
      <c r="A1579" s="95">
        <v>1578</v>
      </c>
      <c r="B1579" t="s">
        <v>1288</v>
      </c>
      <c r="C1579" t="s">
        <v>2974</v>
      </c>
      <c r="D1579" t="s">
        <v>1279</v>
      </c>
      <c r="F1579" s="1">
        <v>33911</v>
      </c>
      <c r="G1579" t="s">
        <v>2273</v>
      </c>
      <c r="H1579" t="s">
        <v>121</v>
      </c>
      <c r="I1579" t="s">
        <v>11</v>
      </c>
    </row>
    <row r="1580" spans="1:9" x14ac:dyDescent="0.25">
      <c r="A1580" s="95">
        <v>1579</v>
      </c>
      <c r="B1580" t="s">
        <v>1288</v>
      </c>
      <c r="C1580" t="s">
        <v>1774</v>
      </c>
      <c r="D1580" t="s">
        <v>1279</v>
      </c>
      <c r="F1580" s="1">
        <v>36289</v>
      </c>
      <c r="G1580" t="s">
        <v>2273</v>
      </c>
      <c r="H1580" t="s">
        <v>121</v>
      </c>
      <c r="I1580" t="s">
        <v>11</v>
      </c>
    </row>
    <row r="1581" spans="1:9" x14ac:dyDescent="0.25">
      <c r="A1581" s="95">
        <v>1580</v>
      </c>
      <c r="B1581" t="s">
        <v>1288</v>
      </c>
      <c r="C1581" t="s">
        <v>169</v>
      </c>
      <c r="D1581" t="s">
        <v>2975</v>
      </c>
      <c r="F1581" s="1">
        <v>36253</v>
      </c>
      <c r="G1581" t="s">
        <v>2273</v>
      </c>
      <c r="H1581" t="s">
        <v>121</v>
      </c>
      <c r="I1581" t="s">
        <v>11</v>
      </c>
    </row>
    <row r="1582" spans="1:9" x14ac:dyDescent="0.25">
      <c r="A1582" s="95">
        <v>1581</v>
      </c>
      <c r="B1582" t="s">
        <v>1278</v>
      </c>
      <c r="C1582" t="s">
        <v>2976</v>
      </c>
      <c r="D1582" t="s">
        <v>2456</v>
      </c>
      <c r="F1582" s="1">
        <v>38398</v>
      </c>
      <c r="G1582" t="s">
        <v>2273</v>
      </c>
      <c r="H1582" t="s">
        <v>121</v>
      </c>
      <c r="I1582" t="s">
        <v>11</v>
      </c>
    </row>
    <row r="1583" spans="1:9" x14ac:dyDescent="0.25">
      <c r="A1583" s="95">
        <v>1582</v>
      </c>
      <c r="B1583" t="s">
        <v>1278</v>
      </c>
      <c r="C1583" t="s">
        <v>110</v>
      </c>
      <c r="D1583" t="s">
        <v>2456</v>
      </c>
      <c r="F1583" s="1">
        <v>39012</v>
      </c>
      <c r="G1583" t="s">
        <v>2273</v>
      </c>
      <c r="H1583" t="s">
        <v>121</v>
      </c>
      <c r="I1583" t="s">
        <v>11</v>
      </c>
    </row>
    <row r="1584" spans="1:9" x14ac:dyDescent="0.25">
      <c r="A1584" s="95">
        <v>1583</v>
      </c>
      <c r="B1584" t="s">
        <v>1278</v>
      </c>
      <c r="C1584" t="s">
        <v>558</v>
      </c>
      <c r="D1584" t="s">
        <v>2456</v>
      </c>
      <c r="F1584" s="1">
        <v>39679</v>
      </c>
      <c r="G1584" t="s">
        <v>2273</v>
      </c>
      <c r="H1584" t="s">
        <v>121</v>
      </c>
      <c r="I1584" t="s">
        <v>11</v>
      </c>
    </row>
    <row r="1585" spans="1:9" x14ac:dyDescent="0.25">
      <c r="A1585" s="95">
        <v>1584</v>
      </c>
      <c r="B1585" t="s">
        <v>1278</v>
      </c>
      <c r="C1585" t="s">
        <v>2977</v>
      </c>
      <c r="D1585" t="s">
        <v>2456</v>
      </c>
      <c r="F1585" s="1">
        <v>40208</v>
      </c>
      <c r="G1585" t="s">
        <v>2273</v>
      </c>
      <c r="H1585" t="s">
        <v>121</v>
      </c>
      <c r="I1585" t="s">
        <v>11</v>
      </c>
    </row>
    <row r="1586" spans="1:9" x14ac:dyDescent="0.25">
      <c r="A1586" s="95">
        <v>1585</v>
      </c>
      <c r="B1586" t="s">
        <v>1292</v>
      </c>
      <c r="C1586" t="s">
        <v>2613</v>
      </c>
      <c r="D1586" t="s">
        <v>1409</v>
      </c>
      <c r="F1586" s="1">
        <v>28392</v>
      </c>
      <c r="G1586" t="s">
        <v>2273</v>
      </c>
      <c r="H1586" t="s">
        <v>121</v>
      </c>
      <c r="I1586" t="s">
        <v>11</v>
      </c>
    </row>
    <row r="1587" spans="1:9" x14ac:dyDescent="0.25">
      <c r="A1587" s="95">
        <v>1586</v>
      </c>
      <c r="B1587" t="s">
        <v>1269</v>
      </c>
      <c r="C1587" t="s">
        <v>2978</v>
      </c>
      <c r="D1587" t="s">
        <v>1273</v>
      </c>
      <c r="F1587" s="1">
        <v>37927</v>
      </c>
      <c r="G1587" t="s">
        <v>2273</v>
      </c>
      <c r="H1587" t="s">
        <v>121</v>
      </c>
      <c r="I1587" t="s">
        <v>11</v>
      </c>
    </row>
    <row r="1588" spans="1:9" x14ac:dyDescent="0.25">
      <c r="A1588" s="95">
        <v>1587</v>
      </c>
      <c r="B1588" t="s">
        <v>941</v>
      </c>
      <c r="C1588" t="s">
        <v>1054</v>
      </c>
      <c r="D1588" t="s">
        <v>41</v>
      </c>
      <c r="F1588" s="1">
        <v>36990</v>
      </c>
      <c r="G1588" t="s">
        <v>2273</v>
      </c>
      <c r="H1588" t="s">
        <v>121</v>
      </c>
      <c r="I1588" t="s">
        <v>11</v>
      </c>
    </row>
    <row r="1589" spans="1:9" x14ac:dyDescent="0.25">
      <c r="A1589" s="95">
        <v>1588</v>
      </c>
      <c r="B1589" t="s">
        <v>941</v>
      </c>
      <c r="C1589" t="s">
        <v>2979</v>
      </c>
      <c r="D1589" t="s">
        <v>41</v>
      </c>
      <c r="F1589" s="1">
        <v>37704</v>
      </c>
      <c r="G1589" t="s">
        <v>2273</v>
      </c>
      <c r="H1589" t="s">
        <v>121</v>
      </c>
      <c r="I1589" t="s">
        <v>11</v>
      </c>
    </row>
    <row r="1590" spans="1:9" x14ac:dyDescent="0.25">
      <c r="A1590" s="95">
        <v>1589</v>
      </c>
      <c r="B1590" t="s">
        <v>1433</v>
      </c>
      <c r="C1590" t="s">
        <v>170</v>
      </c>
      <c r="D1590" t="s">
        <v>112</v>
      </c>
      <c r="F1590" s="1">
        <v>37035</v>
      </c>
      <c r="G1590" t="s">
        <v>2273</v>
      </c>
      <c r="H1590" t="s">
        <v>121</v>
      </c>
      <c r="I1590" t="s">
        <v>11</v>
      </c>
    </row>
    <row r="1591" spans="1:9" x14ac:dyDescent="0.25">
      <c r="A1591" s="95">
        <v>1590</v>
      </c>
      <c r="B1591" t="s">
        <v>1433</v>
      </c>
      <c r="C1591" t="s">
        <v>405</v>
      </c>
      <c r="D1591" t="s">
        <v>112</v>
      </c>
      <c r="F1591" s="1">
        <v>34097</v>
      </c>
      <c r="G1591" t="s">
        <v>2273</v>
      </c>
      <c r="H1591" t="s">
        <v>121</v>
      </c>
      <c r="I1591" t="s">
        <v>11</v>
      </c>
    </row>
    <row r="1592" spans="1:9" x14ac:dyDescent="0.25">
      <c r="A1592" s="95">
        <v>1591</v>
      </c>
      <c r="B1592" t="s">
        <v>1433</v>
      </c>
      <c r="C1592" t="s">
        <v>138</v>
      </c>
      <c r="D1592" t="s">
        <v>112</v>
      </c>
      <c r="F1592" s="1">
        <v>33570</v>
      </c>
      <c r="G1592" t="s">
        <v>2273</v>
      </c>
      <c r="H1592" t="s">
        <v>121</v>
      </c>
      <c r="I1592" t="s">
        <v>11</v>
      </c>
    </row>
    <row r="1593" spans="1:9" x14ac:dyDescent="0.25">
      <c r="A1593" s="95">
        <v>1592</v>
      </c>
      <c r="B1593" t="s">
        <v>1433</v>
      </c>
      <c r="C1593" t="s">
        <v>2980</v>
      </c>
      <c r="D1593" t="s">
        <v>112</v>
      </c>
      <c r="F1593" s="1">
        <v>33656</v>
      </c>
      <c r="G1593" t="s">
        <v>2273</v>
      </c>
      <c r="H1593" t="s">
        <v>121</v>
      </c>
      <c r="I1593" t="s">
        <v>11</v>
      </c>
    </row>
    <row r="1594" spans="1:9" x14ac:dyDescent="0.25">
      <c r="A1594" s="95">
        <v>1593</v>
      </c>
      <c r="B1594" t="s">
        <v>1433</v>
      </c>
      <c r="C1594" t="s">
        <v>2981</v>
      </c>
      <c r="D1594" t="s">
        <v>2230</v>
      </c>
      <c r="F1594" s="1">
        <v>38125</v>
      </c>
      <c r="G1594" t="s">
        <v>2273</v>
      </c>
      <c r="H1594" t="s">
        <v>121</v>
      </c>
      <c r="I1594" t="s">
        <v>11</v>
      </c>
    </row>
    <row r="1595" spans="1:9" x14ac:dyDescent="0.25">
      <c r="A1595" s="95">
        <v>1594</v>
      </c>
      <c r="B1595" t="s">
        <v>536</v>
      </c>
      <c r="C1595" t="s">
        <v>2982</v>
      </c>
      <c r="D1595" t="s">
        <v>1479</v>
      </c>
      <c r="F1595" s="1">
        <v>38261</v>
      </c>
      <c r="G1595" t="s">
        <v>2273</v>
      </c>
      <c r="H1595" t="s">
        <v>121</v>
      </c>
      <c r="I1595" t="s">
        <v>11</v>
      </c>
    </row>
    <row r="1596" spans="1:9" x14ac:dyDescent="0.25">
      <c r="A1596" s="95">
        <v>1595</v>
      </c>
      <c r="B1596" t="s">
        <v>2466</v>
      </c>
      <c r="C1596" t="s">
        <v>2983</v>
      </c>
      <c r="D1596" t="s">
        <v>1479</v>
      </c>
      <c r="F1596" s="1">
        <v>41237</v>
      </c>
      <c r="G1596" t="s">
        <v>2273</v>
      </c>
      <c r="H1596" t="s">
        <v>121</v>
      </c>
      <c r="I1596" t="s">
        <v>11</v>
      </c>
    </row>
    <row r="1597" spans="1:9" x14ac:dyDescent="0.25">
      <c r="A1597" s="95">
        <v>1596</v>
      </c>
      <c r="B1597" t="s">
        <v>2466</v>
      </c>
      <c r="C1597" t="s">
        <v>2984</v>
      </c>
      <c r="D1597" t="s">
        <v>1479</v>
      </c>
      <c r="F1597" s="1">
        <v>43194</v>
      </c>
      <c r="G1597" t="s">
        <v>2273</v>
      </c>
      <c r="H1597" t="s">
        <v>121</v>
      </c>
      <c r="I1597" t="s">
        <v>11</v>
      </c>
    </row>
    <row r="1598" spans="1:9" x14ac:dyDescent="0.25">
      <c r="A1598" s="95">
        <v>1597</v>
      </c>
      <c r="B1598" t="s">
        <v>1433</v>
      </c>
      <c r="C1598" t="s">
        <v>2981</v>
      </c>
      <c r="D1598" t="s">
        <v>2230</v>
      </c>
      <c r="F1598" s="1">
        <v>38125</v>
      </c>
      <c r="G1598" t="s">
        <v>2273</v>
      </c>
      <c r="H1598" t="s">
        <v>121</v>
      </c>
      <c r="I1598" t="s">
        <v>11</v>
      </c>
    </row>
    <row r="1599" spans="1:9" x14ac:dyDescent="0.25">
      <c r="A1599" s="95">
        <v>1598</v>
      </c>
      <c r="B1599" t="s">
        <v>1326</v>
      </c>
      <c r="C1599" t="s">
        <v>183</v>
      </c>
      <c r="D1599" t="s">
        <v>90</v>
      </c>
      <c r="F1599" s="1">
        <v>28522</v>
      </c>
      <c r="G1599" t="s">
        <v>2273</v>
      </c>
      <c r="H1599" t="s">
        <v>121</v>
      </c>
      <c r="I1599" t="s">
        <v>11</v>
      </c>
    </row>
    <row r="1600" spans="1:9" x14ac:dyDescent="0.25">
      <c r="A1600" s="95">
        <v>1599</v>
      </c>
      <c r="B1600" t="s">
        <v>1326</v>
      </c>
      <c r="C1600" t="s">
        <v>1377</v>
      </c>
      <c r="D1600" t="s">
        <v>90</v>
      </c>
      <c r="F1600" s="1">
        <v>33169</v>
      </c>
      <c r="G1600" t="s">
        <v>2273</v>
      </c>
      <c r="H1600" t="s">
        <v>121</v>
      </c>
      <c r="I1600" t="s">
        <v>11</v>
      </c>
    </row>
    <row r="1601" spans="1:9" x14ac:dyDescent="0.25">
      <c r="A1601" s="95">
        <v>1600</v>
      </c>
      <c r="B1601" t="s">
        <v>1326</v>
      </c>
      <c r="C1601" t="s">
        <v>2985</v>
      </c>
      <c r="D1601" t="s">
        <v>90</v>
      </c>
      <c r="F1601" s="1">
        <v>36635</v>
      </c>
      <c r="G1601" t="s">
        <v>2273</v>
      </c>
      <c r="H1601" t="s">
        <v>121</v>
      </c>
      <c r="I1601" t="s">
        <v>11</v>
      </c>
    </row>
    <row r="1602" spans="1:9" x14ac:dyDescent="0.25">
      <c r="A1602" s="95">
        <v>1601</v>
      </c>
      <c r="B1602" t="s">
        <v>1326</v>
      </c>
      <c r="C1602" t="s">
        <v>1056</v>
      </c>
      <c r="F1602" s="1">
        <v>38854</v>
      </c>
      <c r="G1602" t="s">
        <v>2273</v>
      </c>
      <c r="H1602" t="s">
        <v>121</v>
      </c>
      <c r="I1602" t="s">
        <v>11</v>
      </c>
    </row>
    <row r="1603" spans="1:9" x14ac:dyDescent="0.25">
      <c r="A1603" s="95">
        <v>1602</v>
      </c>
      <c r="B1603" t="s">
        <v>2986</v>
      </c>
      <c r="C1603" t="s">
        <v>2987</v>
      </c>
      <c r="D1603" t="s">
        <v>356</v>
      </c>
      <c r="F1603" s="1">
        <v>32154</v>
      </c>
      <c r="G1603" t="s">
        <v>2273</v>
      </c>
      <c r="H1603" t="s">
        <v>121</v>
      </c>
      <c r="I1603" t="s">
        <v>11</v>
      </c>
    </row>
    <row r="1604" spans="1:9" x14ac:dyDescent="0.25">
      <c r="A1604" s="95">
        <v>1603</v>
      </c>
      <c r="B1604" t="s">
        <v>356</v>
      </c>
      <c r="C1604" t="s">
        <v>123</v>
      </c>
      <c r="D1604" t="s">
        <v>1294</v>
      </c>
      <c r="F1604" s="1">
        <v>32626</v>
      </c>
      <c r="G1604" t="s">
        <v>2273</v>
      </c>
      <c r="H1604" t="s">
        <v>121</v>
      </c>
      <c r="I1604" t="s">
        <v>11</v>
      </c>
    </row>
    <row r="1605" spans="1:9" x14ac:dyDescent="0.25">
      <c r="A1605" s="95">
        <v>1604</v>
      </c>
      <c r="B1605" t="s">
        <v>356</v>
      </c>
      <c r="C1605" t="s">
        <v>2988</v>
      </c>
      <c r="D1605" t="s">
        <v>1294</v>
      </c>
      <c r="F1605" s="1">
        <v>33825</v>
      </c>
      <c r="G1605" t="s">
        <v>2273</v>
      </c>
      <c r="H1605" t="s">
        <v>121</v>
      </c>
      <c r="I1605" t="s">
        <v>11</v>
      </c>
    </row>
    <row r="1606" spans="1:9" x14ac:dyDescent="0.25">
      <c r="A1606" s="95">
        <v>1605</v>
      </c>
      <c r="B1606" t="s">
        <v>356</v>
      </c>
      <c r="C1606" t="s">
        <v>55</v>
      </c>
      <c r="D1606" t="s">
        <v>1294</v>
      </c>
      <c r="F1606" s="1">
        <v>34533</v>
      </c>
      <c r="G1606" t="s">
        <v>2273</v>
      </c>
      <c r="H1606" t="s">
        <v>121</v>
      </c>
      <c r="I1606" t="s">
        <v>11</v>
      </c>
    </row>
    <row r="1607" spans="1:9" x14ac:dyDescent="0.25">
      <c r="A1607" s="95">
        <v>1606</v>
      </c>
      <c r="B1607" t="s">
        <v>1683</v>
      </c>
      <c r="C1607" t="s">
        <v>2989</v>
      </c>
      <c r="D1607" t="s">
        <v>1288</v>
      </c>
      <c r="F1607" s="1">
        <v>36058</v>
      </c>
      <c r="G1607" t="s">
        <v>2273</v>
      </c>
      <c r="H1607" t="s">
        <v>121</v>
      </c>
      <c r="I1607" t="s">
        <v>11</v>
      </c>
    </row>
    <row r="1608" spans="1:9" x14ac:dyDescent="0.25">
      <c r="A1608" s="95">
        <v>1607</v>
      </c>
      <c r="B1608" t="s">
        <v>1683</v>
      </c>
      <c r="C1608" t="s">
        <v>2773</v>
      </c>
      <c r="D1608" t="s">
        <v>1288</v>
      </c>
      <c r="F1608" s="1">
        <v>36502</v>
      </c>
      <c r="G1608" t="s">
        <v>2273</v>
      </c>
      <c r="H1608" t="s">
        <v>121</v>
      </c>
      <c r="I1608" t="s">
        <v>11</v>
      </c>
    </row>
    <row r="1609" spans="1:9" x14ac:dyDescent="0.25">
      <c r="A1609" s="95">
        <v>1608</v>
      </c>
      <c r="B1609" t="s">
        <v>1683</v>
      </c>
      <c r="C1609" t="s">
        <v>2990</v>
      </c>
      <c r="D1609" t="s">
        <v>1288</v>
      </c>
      <c r="F1609" s="1">
        <v>44409</v>
      </c>
      <c r="G1609" t="s">
        <v>2273</v>
      </c>
      <c r="H1609" t="s">
        <v>121</v>
      </c>
      <c r="I1609" t="s">
        <v>11</v>
      </c>
    </row>
    <row r="1610" spans="1:9" x14ac:dyDescent="0.25">
      <c r="A1610" s="95">
        <v>1609</v>
      </c>
      <c r="B1610" t="s">
        <v>1683</v>
      </c>
      <c r="C1610" t="s">
        <v>2991</v>
      </c>
      <c r="D1610" t="s">
        <v>1288</v>
      </c>
      <c r="F1610" s="1">
        <v>37773</v>
      </c>
      <c r="G1610" t="s">
        <v>2273</v>
      </c>
      <c r="H1610" t="s">
        <v>121</v>
      </c>
      <c r="I1610" t="s">
        <v>11</v>
      </c>
    </row>
    <row r="1611" spans="1:9" x14ac:dyDescent="0.25">
      <c r="A1611" s="95">
        <v>1610</v>
      </c>
      <c r="B1611" t="s">
        <v>1621</v>
      </c>
      <c r="C1611" t="s">
        <v>2992</v>
      </c>
      <c r="F1611" s="1">
        <v>36367</v>
      </c>
      <c r="G1611" t="s">
        <v>2273</v>
      </c>
      <c r="H1611" t="s">
        <v>121</v>
      </c>
      <c r="I1611" t="s">
        <v>11</v>
      </c>
    </row>
    <row r="1612" spans="1:9" x14ac:dyDescent="0.25">
      <c r="A1612" s="95">
        <v>1611</v>
      </c>
      <c r="B1612" t="s">
        <v>2470</v>
      </c>
      <c r="C1612" t="s">
        <v>2993</v>
      </c>
      <c r="D1612" t="s">
        <v>125</v>
      </c>
      <c r="F1612" s="1">
        <v>44574</v>
      </c>
      <c r="G1612" t="s">
        <v>2273</v>
      </c>
      <c r="H1612" t="s">
        <v>121</v>
      </c>
      <c r="I1612" t="s">
        <v>11</v>
      </c>
    </row>
    <row r="1613" spans="1:9" x14ac:dyDescent="0.25">
      <c r="A1613" s="95">
        <v>1612</v>
      </c>
      <c r="B1613" t="s">
        <v>2470</v>
      </c>
      <c r="C1613" t="s">
        <v>1979</v>
      </c>
      <c r="D1613" t="s">
        <v>125</v>
      </c>
      <c r="F1613" s="1">
        <v>45456</v>
      </c>
      <c r="G1613" t="s">
        <v>2273</v>
      </c>
      <c r="H1613" t="s">
        <v>121</v>
      </c>
      <c r="I1613" t="s">
        <v>11</v>
      </c>
    </row>
    <row r="1614" spans="1:9" x14ac:dyDescent="0.25">
      <c r="A1614" s="95">
        <v>1613</v>
      </c>
      <c r="B1614" t="s">
        <v>1548</v>
      </c>
      <c r="C1614" t="s">
        <v>1400</v>
      </c>
      <c r="D1614" t="s">
        <v>1288</v>
      </c>
      <c r="F1614" s="1">
        <v>30179</v>
      </c>
      <c r="G1614" t="s">
        <v>2273</v>
      </c>
      <c r="H1614" t="s">
        <v>121</v>
      </c>
      <c r="I1614" t="s">
        <v>11</v>
      </c>
    </row>
    <row r="1615" spans="1:9" x14ac:dyDescent="0.25">
      <c r="A1615" s="95">
        <v>1614</v>
      </c>
      <c r="B1615" t="s">
        <v>1292</v>
      </c>
      <c r="C1615" t="s">
        <v>2613</v>
      </c>
      <c r="D1615" t="s">
        <v>426</v>
      </c>
      <c r="F1615" s="1">
        <v>28377</v>
      </c>
      <c r="G1615" t="s">
        <v>2273</v>
      </c>
      <c r="H1615" t="s">
        <v>121</v>
      </c>
      <c r="I1615" t="s">
        <v>11</v>
      </c>
    </row>
    <row r="1616" spans="1:9" x14ac:dyDescent="0.25">
      <c r="A1616" s="95">
        <v>1615</v>
      </c>
      <c r="B1616" t="s">
        <v>1415</v>
      </c>
      <c r="C1616" t="s">
        <v>1861</v>
      </c>
      <c r="D1616" t="s">
        <v>59</v>
      </c>
      <c r="F1616" s="1">
        <v>34890</v>
      </c>
      <c r="G1616" t="s">
        <v>2273</v>
      </c>
      <c r="H1616" t="s">
        <v>121</v>
      </c>
      <c r="I1616" t="s">
        <v>11</v>
      </c>
    </row>
    <row r="1617" spans="1:9" x14ac:dyDescent="0.25">
      <c r="A1617" s="95">
        <v>1616</v>
      </c>
      <c r="B1617" t="s">
        <v>1417</v>
      </c>
      <c r="C1617" t="s">
        <v>2994</v>
      </c>
      <c r="D1617" t="s">
        <v>911</v>
      </c>
      <c r="F1617" s="1">
        <v>45417</v>
      </c>
      <c r="G1617" t="s">
        <v>2272</v>
      </c>
      <c r="H1617" t="s">
        <v>121</v>
      </c>
      <c r="I1617" t="s">
        <v>11</v>
      </c>
    </row>
    <row r="1618" spans="1:9" x14ac:dyDescent="0.25">
      <c r="A1618" s="95">
        <v>1617</v>
      </c>
      <c r="B1618" t="s">
        <v>1710</v>
      </c>
      <c r="C1618" t="s">
        <v>2995</v>
      </c>
      <c r="F1618" s="1">
        <v>39339</v>
      </c>
      <c r="G1618" t="s">
        <v>2272</v>
      </c>
      <c r="H1618" t="s">
        <v>121</v>
      </c>
      <c r="I1618" t="s">
        <v>11</v>
      </c>
    </row>
    <row r="1619" spans="1:9" x14ac:dyDescent="0.25">
      <c r="A1619" s="95">
        <v>1618</v>
      </c>
      <c r="B1619" t="s">
        <v>1712</v>
      </c>
      <c r="C1619" t="s">
        <v>2996</v>
      </c>
      <c r="D1619" t="s">
        <v>2482</v>
      </c>
      <c r="F1619" s="1">
        <v>41868</v>
      </c>
      <c r="G1619" t="s">
        <v>2272</v>
      </c>
      <c r="H1619" t="s">
        <v>121</v>
      </c>
      <c r="I1619" t="s">
        <v>11</v>
      </c>
    </row>
    <row r="1620" spans="1:9" x14ac:dyDescent="0.25">
      <c r="A1620" s="95">
        <v>1619</v>
      </c>
      <c r="B1620" t="s">
        <v>1712</v>
      </c>
      <c r="C1620" t="s">
        <v>2997</v>
      </c>
      <c r="D1620" t="s">
        <v>2514</v>
      </c>
      <c r="F1620" s="1">
        <v>44882</v>
      </c>
      <c r="G1620" t="s">
        <v>2272</v>
      </c>
      <c r="H1620" t="s">
        <v>121</v>
      </c>
      <c r="I1620" t="s">
        <v>11</v>
      </c>
    </row>
    <row r="1621" spans="1:9" x14ac:dyDescent="0.25">
      <c r="A1621" s="95">
        <v>1620</v>
      </c>
      <c r="B1621" t="s">
        <v>1729</v>
      </c>
      <c r="C1621" t="s">
        <v>2998</v>
      </c>
      <c r="F1621" s="1">
        <v>39467</v>
      </c>
      <c r="G1621" t="s">
        <v>2272</v>
      </c>
      <c r="H1621" t="s">
        <v>121</v>
      </c>
      <c r="I1621" t="s">
        <v>11</v>
      </c>
    </row>
    <row r="1622" spans="1:9" x14ac:dyDescent="0.25">
      <c r="A1622" s="95">
        <v>1621</v>
      </c>
      <c r="B1622" t="s">
        <v>1275</v>
      </c>
      <c r="C1622" t="s">
        <v>2999</v>
      </c>
      <c r="F1622" s="1">
        <v>40656</v>
      </c>
      <c r="G1622" t="s">
        <v>2272</v>
      </c>
      <c r="H1622" t="s">
        <v>121</v>
      </c>
      <c r="I1622" t="s">
        <v>11</v>
      </c>
    </row>
    <row r="1623" spans="1:9" x14ac:dyDescent="0.25">
      <c r="A1623" s="95">
        <v>1622</v>
      </c>
      <c r="B1623" t="s">
        <v>1275</v>
      </c>
      <c r="C1623" t="s">
        <v>3000</v>
      </c>
      <c r="F1623" s="1">
        <v>37008</v>
      </c>
      <c r="G1623" t="s">
        <v>2272</v>
      </c>
      <c r="H1623" t="s">
        <v>121</v>
      </c>
      <c r="I1623" t="s">
        <v>11</v>
      </c>
    </row>
    <row r="1624" spans="1:9" x14ac:dyDescent="0.25">
      <c r="A1624" s="95">
        <v>1623</v>
      </c>
      <c r="B1624" t="s">
        <v>1275</v>
      </c>
      <c r="C1624" t="s">
        <v>3001</v>
      </c>
      <c r="F1624" s="1">
        <v>37413</v>
      </c>
      <c r="G1624" t="s">
        <v>2272</v>
      </c>
      <c r="H1624" t="s">
        <v>121</v>
      </c>
      <c r="I1624" t="s">
        <v>11</v>
      </c>
    </row>
    <row r="1625" spans="1:9" x14ac:dyDescent="0.25">
      <c r="A1625" s="95">
        <v>1624</v>
      </c>
      <c r="B1625" t="s">
        <v>1731</v>
      </c>
      <c r="C1625" t="s">
        <v>3002</v>
      </c>
      <c r="F1625" s="1">
        <v>37309</v>
      </c>
      <c r="G1625" t="s">
        <v>2272</v>
      </c>
      <c r="H1625" t="s">
        <v>121</v>
      </c>
      <c r="I1625" t="s">
        <v>11</v>
      </c>
    </row>
    <row r="1626" spans="1:9" x14ac:dyDescent="0.25">
      <c r="A1626" s="95">
        <v>1625</v>
      </c>
      <c r="B1626" t="s">
        <v>1731</v>
      </c>
      <c r="C1626" t="s">
        <v>3003</v>
      </c>
      <c r="F1626" s="1">
        <v>38377</v>
      </c>
      <c r="G1626" t="s">
        <v>2272</v>
      </c>
      <c r="H1626" t="s">
        <v>121</v>
      </c>
      <c r="I1626" t="s">
        <v>11</v>
      </c>
    </row>
    <row r="1627" spans="1:9" x14ac:dyDescent="0.25">
      <c r="A1627" s="95">
        <v>1626</v>
      </c>
      <c r="B1627" t="s">
        <v>1275</v>
      </c>
      <c r="C1627" t="s">
        <v>3004</v>
      </c>
      <c r="F1627" s="1">
        <v>35823</v>
      </c>
      <c r="G1627" t="s">
        <v>2272</v>
      </c>
      <c r="H1627" t="s">
        <v>121</v>
      </c>
      <c r="I1627" t="s">
        <v>11</v>
      </c>
    </row>
    <row r="1628" spans="1:9" x14ac:dyDescent="0.25">
      <c r="A1628" s="95">
        <v>1627</v>
      </c>
      <c r="B1628" t="s">
        <v>1275</v>
      </c>
      <c r="C1628" t="s">
        <v>2852</v>
      </c>
      <c r="F1628" s="1">
        <v>37795</v>
      </c>
      <c r="G1628" t="s">
        <v>2272</v>
      </c>
      <c r="H1628" t="s">
        <v>121</v>
      </c>
      <c r="I1628" t="s">
        <v>11</v>
      </c>
    </row>
    <row r="1629" spans="1:9" x14ac:dyDescent="0.25">
      <c r="A1629" s="95">
        <v>1628</v>
      </c>
      <c r="B1629" t="s">
        <v>1740</v>
      </c>
      <c r="C1629" t="s">
        <v>3005</v>
      </c>
      <c r="F1629" s="1">
        <v>36618</v>
      </c>
      <c r="G1629" t="s">
        <v>2272</v>
      </c>
      <c r="H1629" t="s">
        <v>121</v>
      </c>
      <c r="I1629" t="s">
        <v>11</v>
      </c>
    </row>
    <row r="1630" spans="1:9" x14ac:dyDescent="0.25">
      <c r="A1630" s="95">
        <v>1629</v>
      </c>
      <c r="B1630" t="s">
        <v>1740</v>
      </c>
      <c r="C1630" t="s">
        <v>3006</v>
      </c>
      <c r="F1630" s="1">
        <v>37763</v>
      </c>
      <c r="G1630" t="s">
        <v>2272</v>
      </c>
      <c r="H1630" t="s">
        <v>121</v>
      </c>
      <c r="I1630" t="s">
        <v>11</v>
      </c>
    </row>
    <row r="1631" spans="1:9" x14ac:dyDescent="0.25">
      <c r="A1631" s="95">
        <v>1630</v>
      </c>
      <c r="B1631" t="s">
        <v>1740</v>
      </c>
      <c r="C1631" t="s">
        <v>568</v>
      </c>
      <c r="F1631" s="1">
        <v>46074</v>
      </c>
      <c r="G1631" t="s">
        <v>2272</v>
      </c>
      <c r="H1631" t="s">
        <v>121</v>
      </c>
      <c r="I1631" t="s">
        <v>11</v>
      </c>
    </row>
    <row r="1632" spans="1:9" x14ac:dyDescent="0.25">
      <c r="A1632" s="95">
        <v>1631</v>
      </c>
      <c r="B1632" t="s">
        <v>356</v>
      </c>
      <c r="C1632" t="s">
        <v>3007</v>
      </c>
      <c r="F1632" s="1">
        <v>33524</v>
      </c>
      <c r="G1632" t="s">
        <v>2272</v>
      </c>
      <c r="H1632" t="s">
        <v>121</v>
      </c>
      <c r="I1632" t="s">
        <v>11</v>
      </c>
    </row>
    <row r="1633" spans="1:9" x14ac:dyDescent="0.25">
      <c r="A1633" s="95">
        <v>1632</v>
      </c>
      <c r="B1633" t="s">
        <v>356</v>
      </c>
      <c r="C1633" t="s">
        <v>140</v>
      </c>
      <c r="F1633" s="1">
        <v>35780</v>
      </c>
      <c r="G1633" t="s">
        <v>2272</v>
      </c>
      <c r="H1633" t="s">
        <v>121</v>
      </c>
      <c r="I1633" t="s">
        <v>11</v>
      </c>
    </row>
    <row r="1634" spans="1:9" x14ac:dyDescent="0.25">
      <c r="A1634" s="95">
        <v>1633</v>
      </c>
      <c r="B1634" t="s">
        <v>1748</v>
      </c>
      <c r="C1634" t="s">
        <v>494</v>
      </c>
      <c r="E1634" t="s">
        <v>67</v>
      </c>
      <c r="F1634" s="1">
        <v>37555</v>
      </c>
      <c r="G1634" t="s">
        <v>2272</v>
      </c>
      <c r="H1634" t="s">
        <v>121</v>
      </c>
      <c r="I1634" t="s">
        <v>11</v>
      </c>
    </row>
    <row r="1635" spans="1:9" x14ac:dyDescent="0.25">
      <c r="A1635" s="95">
        <v>1634</v>
      </c>
      <c r="B1635" t="s">
        <v>1748</v>
      </c>
      <c r="C1635" t="s">
        <v>3008</v>
      </c>
      <c r="F1635" s="1">
        <v>39082</v>
      </c>
      <c r="G1635" t="s">
        <v>2272</v>
      </c>
      <c r="H1635" t="s">
        <v>121</v>
      </c>
      <c r="I1635" t="s">
        <v>11</v>
      </c>
    </row>
    <row r="1636" spans="1:9" x14ac:dyDescent="0.25">
      <c r="A1636" s="95">
        <v>1635</v>
      </c>
      <c r="B1636" t="s">
        <v>85</v>
      </c>
      <c r="C1636" t="s">
        <v>75</v>
      </c>
      <c r="F1636" s="1">
        <v>26783</v>
      </c>
      <c r="G1636" t="s">
        <v>2272</v>
      </c>
      <c r="H1636" t="s">
        <v>121</v>
      </c>
      <c r="I1636" t="s">
        <v>11</v>
      </c>
    </row>
    <row r="1637" spans="1:9" x14ac:dyDescent="0.25">
      <c r="A1637" s="95">
        <v>1636</v>
      </c>
      <c r="B1637" t="s">
        <v>1758</v>
      </c>
      <c r="C1637" t="s">
        <v>3009</v>
      </c>
      <c r="D1637" t="s">
        <v>1760</v>
      </c>
      <c r="F1637" s="1">
        <v>37063</v>
      </c>
      <c r="G1637" t="s">
        <v>2272</v>
      </c>
      <c r="H1637" t="s">
        <v>121</v>
      </c>
      <c r="I1637" t="s">
        <v>11</v>
      </c>
    </row>
    <row r="1638" spans="1:9" x14ac:dyDescent="0.25">
      <c r="A1638" s="95">
        <v>1637</v>
      </c>
      <c r="B1638" t="s">
        <v>1758</v>
      </c>
      <c r="C1638" t="s">
        <v>3010</v>
      </c>
      <c r="D1638" t="s">
        <v>1760</v>
      </c>
      <c r="F1638" s="1">
        <v>39166</v>
      </c>
      <c r="G1638" t="s">
        <v>2272</v>
      </c>
      <c r="H1638" t="s">
        <v>121</v>
      </c>
      <c r="I1638" t="s">
        <v>11</v>
      </c>
    </row>
    <row r="1639" spans="1:9" x14ac:dyDescent="0.25">
      <c r="A1639" s="95">
        <v>1638</v>
      </c>
      <c r="B1639" t="s">
        <v>3011</v>
      </c>
      <c r="C1639" t="s">
        <v>3012</v>
      </c>
      <c r="D1639" t="s">
        <v>941</v>
      </c>
      <c r="F1639" s="1">
        <v>38655</v>
      </c>
      <c r="G1639" t="s">
        <v>2272</v>
      </c>
      <c r="H1639" t="s">
        <v>121</v>
      </c>
      <c r="I1639" t="s">
        <v>11</v>
      </c>
    </row>
    <row r="1640" spans="1:9" x14ac:dyDescent="0.25">
      <c r="A1640" s="95">
        <v>1639</v>
      </c>
      <c r="B1640" t="s">
        <v>390</v>
      </c>
      <c r="C1640" t="s">
        <v>3013</v>
      </c>
      <c r="D1640" t="s">
        <v>941</v>
      </c>
      <c r="F1640" s="1">
        <v>39044</v>
      </c>
      <c r="G1640" t="s">
        <v>2272</v>
      </c>
      <c r="H1640" t="s">
        <v>121</v>
      </c>
      <c r="I1640" t="s">
        <v>11</v>
      </c>
    </row>
    <row r="1641" spans="1:9" x14ac:dyDescent="0.25">
      <c r="A1641" s="95">
        <v>1640</v>
      </c>
      <c r="B1641" t="s">
        <v>3011</v>
      </c>
      <c r="C1641" t="s">
        <v>3014</v>
      </c>
      <c r="F1641" s="1">
        <v>41192</v>
      </c>
      <c r="G1641" t="s">
        <v>2272</v>
      </c>
      <c r="H1641" t="s">
        <v>121</v>
      </c>
      <c r="I1641" t="s">
        <v>11</v>
      </c>
    </row>
    <row r="1642" spans="1:9" x14ac:dyDescent="0.25">
      <c r="A1642" s="95">
        <v>1641</v>
      </c>
      <c r="B1642" t="s">
        <v>3011</v>
      </c>
      <c r="C1642" t="s">
        <v>3015</v>
      </c>
      <c r="F1642" s="1">
        <v>44026</v>
      </c>
      <c r="G1642" t="s">
        <v>2272</v>
      </c>
      <c r="H1642" t="s">
        <v>121</v>
      </c>
      <c r="I1642" t="s">
        <v>11</v>
      </c>
    </row>
    <row r="1643" spans="1:9" x14ac:dyDescent="0.25">
      <c r="A1643" s="95">
        <v>1642</v>
      </c>
      <c r="B1643" t="s">
        <v>3011</v>
      </c>
      <c r="C1643" t="s">
        <v>3016</v>
      </c>
      <c r="F1643" s="1">
        <v>46009</v>
      </c>
      <c r="G1643" t="s">
        <v>2272</v>
      </c>
      <c r="H1643" t="s">
        <v>121</v>
      </c>
      <c r="I1643" t="s">
        <v>11</v>
      </c>
    </row>
    <row r="1644" spans="1:9" x14ac:dyDescent="0.25">
      <c r="A1644" s="95">
        <v>1643</v>
      </c>
      <c r="B1644" t="s">
        <v>941</v>
      </c>
      <c r="C1644" t="s">
        <v>3017</v>
      </c>
      <c r="F1644" s="1">
        <v>41249</v>
      </c>
      <c r="G1644" t="s">
        <v>2272</v>
      </c>
      <c r="H1644" t="s">
        <v>121</v>
      </c>
      <c r="I1644" t="s">
        <v>11</v>
      </c>
    </row>
    <row r="1645" spans="1:9" x14ac:dyDescent="0.25">
      <c r="A1645" s="95">
        <v>1644</v>
      </c>
      <c r="B1645" t="s">
        <v>1769</v>
      </c>
      <c r="C1645" t="s">
        <v>22</v>
      </c>
      <c r="D1645" t="s">
        <v>941</v>
      </c>
      <c r="F1645" s="1">
        <v>42995</v>
      </c>
      <c r="G1645" t="s">
        <v>2272</v>
      </c>
      <c r="H1645" t="s">
        <v>121</v>
      </c>
      <c r="I1645" t="s">
        <v>11</v>
      </c>
    </row>
    <row r="1646" spans="1:9" x14ac:dyDescent="0.25">
      <c r="A1646" s="95">
        <v>1645</v>
      </c>
      <c r="B1646" t="s">
        <v>188</v>
      </c>
      <c r="C1646" t="s">
        <v>2798</v>
      </c>
      <c r="D1646" t="s">
        <v>2487</v>
      </c>
      <c r="F1646" s="1">
        <v>36163</v>
      </c>
      <c r="G1646" t="s">
        <v>2272</v>
      </c>
      <c r="H1646" t="s">
        <v>121</v>
      </c>
      <c r="I1646" t="s">
        <v>11</v>
      </c>
    </row>
    <row r="1647" spans="1:9" x14ac:dyDescent="0.25">
      <c r="A1647" s="95">
        <v>1646</v>
      </c>
      <c r="B1647" t="s">
        <v>188</v>
      </c>
      <c r="C1647" t="s">
        <v>3018</v>
      </c>
      <c r="D1647" t="s">
        <v>2487</v>
      </c>
      <c r="F1647" s="1">
        <v>37132</v>
      </c>
      <c r="G1647" t="s">
        <v>2272</v>
      </c>
      <c r="H1647" t="s">
        <v>121</v>
      </c>
      <c r="I1647" t="s">
        <v>11</v>
      </c>
    </row>
    <row r="1648" spans="1:9" x14ac:dyDescent="0.25">
      <c r="A1648" s="95">
        <v>1647</v>
      </c>
      <c r="B1648" t="s">
        <v>188</v>
      </c>
      <c r="C1648" t="s">
        <v>2966</v>
      </c>
      <c r="D1648" t="s">
        <v>2487</v>
      </c>
      <c r="F1648" s="1">
        <v>38708</v>
      </c>
      <c r="G1648" t="s">
        <v>2272</v>
      </c>
      <c r="H1648" t="s">
        <v>121</v>
      </c>
      <c r="I1648" t="s">
        <v>11</v>
      </c>
    </row>
    <row r="1649" spans="1:9" x14ac:dyDescent="0.25">
      <c r="A1649" s="95">
        <v>1648</v>
      </c>
      <c r="B1649" t="s">
        <v>918</v>
      </c>
      <c r="C1649" t="s">
        <v>3019</v>
      </c>
      <c r="F1649" s="1">
        <v>34386</v>
      </c>
      <c r="G1649" t="s">
        <v>2272</v>
      </c>
      <c r="H1649" t="s">
        <v>121</v>
      </c>
      <c r="I1649" t="s">
        <v>11</v>
      </c>
    </row>
    <row r="1650" spans="1:9" x14ac:dyDescent="0.25">
      <c r="A1650" s="95">
        <v>1649</v>
      </c>
      <c r="B1650" t="s">
        <v>3020</v>
      </c>
      <c r="C1650" t="s">
        <v>3021</v>
      </c>
      <c r="F1650" s="1">
        <v>41872</v>
      </c>
      <c r="G1650" t="s">
        <v>2272</v>
      </c>
      <c r="H1650" t="s">
        <v>121</v>
      </c>
      <c r="I1650" t="s">
        <v>11</v>
      </c>
    </row>
    <row r="1651" spans="1:9" x14ac:dyDescent="0.25">
      <c r="A1651" s="95">
        <v>1650</v>
      </c>
      <c r="B1651" t="s">
        <v>1773</v>
      </c>
      <c r="C1651" t="s">
        <v>3022</v>
      </c>
      <c r="F1651" s="1">
        <v>45936</v>
      </c>
      <c r="G1651" t="s">
        <v>2272</v>
      </c>
      <c r="H1651" t="s">
        <v>121</v>
      </c>
      <c r="I1651" t="s">
        <v>11</v>
      </c>
    </row>
    <row r="1652" spans="1:9" x14ac:dyDescent="0.25">
      <c r="A1652" s="95">
        <v>1651</v>
      </c>
      <c r="B1652" t="s">
        <v>1758</v>
      </c>
      <c r="C1652" t="s">
        <v>3023</v>
      </c>
      <c r="F1652" s="1">
        <v>37208</v>
      </c>
      <c r="G1652" t="s">
        <v>2272</v>
      </c>
      <c r="H1652" t="s">
        <v>121</v>
      </c>
      <c r="I1652" t="s">
        <v>11</v>
      </c>
    </row>
    <row r="1653" spans="1:9" x14ac:dyDescent="0.25">
      <c r="A1653" s="95">
        <v>1652</v>
      </c>
      <c r="B1653" t="s">
        <v>1758</v>
      </c>
      <c r="C1653" t="s">
        <v>3024</v>
      </c>
      <c r="F1653" s="1">
        <v>37963</v>
      </c>
      <c r="G1653" t="s">
        <v>2272</v>
      </c>
      <c r="H1653" t="s">
        <v>121</v>
      </c>
      <c r="I1653" t="s">
        <v>11</v>
      </c>
    </row>
    <row r="1654" spans="1:9" x14ac:dyDescent="0.25">
      <c r="A1654" s="95">
        <v>1653</v>
      </c>
      <c r="B1654" t="s">
        <v>1758</v>
      </c>
      <c r="C1654" t="s">
        <v>3025</v>
      </c>
      <c r="F1654" s="1">
        <v>41607</v>
      </c>
      <c r="G1654" t="s">
        <v>2272</v>
      </c>
      <c r="H1654" t="s">
        <v>121</v>
      </c>
      <c r="I1654" t="s">
        <v>11</v>
      </c>
    </row>
    <row r="1655" spans="1:9" x14ac:dyDescent="0.25">
      <c r="A1655" s="95">
        <v>1654</v>
      </c>
      <c r="B1655" t="s">
        <v>1758</v>
      </c>
      <c r="C1655" t="s">
        <v>3026</v>
      </c>
      <c r="F1655" s="1">
        <v>42385</v>
      </c>
      <c r="G1655" t="s">
        <v>2272</v>
      </c>
      <c r="H1655" t="s">
        <v>121</v>
      </c>
      <c r="I1655" t="s">
        <v>11</v>
      </c>
    </row>
    <row r="1656" spans="1:9" x14ac:dyDescent="0.25">
      <c r="A1656" s="95">
        <v>1655</v>
      </c>
      <c r="B1656" t="s">
        <v>157</v>
      </c>
      <c r="C1656" t="s">
        <v>3027</v>
      </c>
      <c r="F1656" s="1">
        <v>33505</v>
      </c>
      <c r="G1656" t="s">
        <v>2272</v>
      </c>
      <c r="H1656" t="s">
        <v>121</v>
      </c>
      <c r="I1656" t="s">
        <v>11</v>
      </c>
    </row>
    <row r="1657" spans="1:9" x14ac:dyDescent="0.25">
      <c r="A1657" s="95">
        <v>1656</v>
      </c>
      <c r="B1657" t="s">
        <v>157</v>
      </c>
      <c r="C1657" t="s">
        <v>3028</v>
      </c>
      <c r="F1657" s="1">
        <v>33983</v>
      </c>
      <c r="G1657" t="s">
        <v>2272</v>
      </c>
      <c r="H1657" t="s">
        <v>121</v>
      </c>
      <c r="I1657" t="s">
        <v>11</v>
      </c>
    </row>
    <row r="1658" spans="1:9" x14ac:dyDescent="0.25">
      <c r="A1658" s="95">
        <v>1657</v>
      </c>
      <c r="B1658" t="s">
        <v>157</v>
      </c>
      <c r="C1658" t="s">
        <v>3029</v>
      </c>
      <c r="F1658" s="1">
        <v>34882</v>
      </c>
      <c r="G1658" t="s">
        <v>2272</v>
      </c>
      <c r="H1658" t="s">
        <v>121</v>
      </c>
      <c r="I1658" t="s">
        <v>11</v>
      </c>
    </row>
    <row r="1659" spans="1:9" x14ac:dyDescent="0.25">
      <c r="A1659" s="95">
        <v>1658</v>
      </c>
      <c r="B1659" t="s">
        <v>157</v>
      </c>
      <c r="C1659" t="s">
        <v>3030</v>
      </c>
      <c r="F1659" s="1">
        <v>35534</v>
      </c>
      <c r="G1659" t="s">
        <v>2272</v>
      </c>
      <c r="H1659" t="s">
        <v>121</v>
      </c>
      <c r="I1659" t="s">
        <v>11</v>
      </c>
    </row>
    <row r="1660" spans="1:9" x14ac:dyDescent="0.25">
      <c r="A1660" s="95">
        <v>1659</v>
      </c>
      <c r="B1660" t="s">
        <v>157</v>
      </c>
      <c r="C1660" t="s">
        <v>3031</v>
      </c>
      <c r="F1660" s="1">
        <v>38778</v>
      </c>
      <c r="G1660" t="s">
        <v>2272</v>
      </c>
      <c r="H1660" t="s">
        <v>121</v>
      </c>
      <c r="I1660" t="s">
        <v>11</v>
      </c>
    </row>
    <row r="1661" spans="1:9" x14ac:dyDescent="0.25">
      <c r="A1661" s="95">
        <v>1660</v>
      </c>
      <c r="B1661" t="s">
        <v>1775</v>
      </c>
      <c r="C1661" t="s">
        <v>3032</v>
      </c>
      <c r="D1661" t="s">
        <v>2487</v>
      </c>
      <c r="F1661" s="1">
        <v>35244</v>
      </c>
      <c r="G1661" t="s">
        <v>2272</v>
      </c>
      <c r="H1661" t="s">
        <v>121</v>
      </c>
      <c r="I1661" t="s">
        <v>11</v>
      </c>
    </row>
    <row r="1662" spans="1:9" x14ac:dyDescent="0.25">
      <c r="A1662" s="95">
        <v>1661</v>
      </c>
      <c r="B1662" t="s">
        <v>1775</v>
      </c>
      <c r="C1662" t="s">
        <v>3033</v>
      </c>
      <c r="D1662" t="s">
        <v>2487</v>
      </c>
      <c r="F1662" s="1">
        <v>37174</v>
      </c>
      <c r="G1662" t="s">
        <v>2272</v>
      </c>
      <c r="H1662" t="s">
        <v>121</v>
      </c>
      <c r="I1662" t="s">
        <v>11</v>
      </c>
    </row>
    <row r="1663" spans="1:9" x14ac:dyDescent="0.25">
      <c r="A1663" s="95">
        <v>1662</v>
      </c>
      <c r="B1663" t="s">
        <v>1778</v>
      </c>
      <c r="C1663" t="s">
        <v>3034</v>
      </c>
      <c r="D1663" t="s">
        <v>2505</v>
      </c>
      <c r="F1663" s="1">
        <v>38768</v>
      </c>
      <c r="G1663" t="s">
        <v>2272</v>
      </c>
      <c r="H1663" t="s">
        <v>121</v>
      </c>
      <c r="I1663" t="s">
        <v>11</v>
      </c>
    </row>
    <row r="1664" spans="1:9" x14ac:dyDescent="0.25">
      <c r="A1664" s="95">
        <v>1663</v>
      </c>
      <c r="B1664" t="s">
        <v>1729</v>
      </c>
      <c r="C1664" t="s">
        <v>3035</v>
      </c>
      <c r="D1664" t="s">
        <v>3036</v>
      </c>
      <c r="F1664" s="1">
        <v>31965</v>
      </c>
      <c r="G1664" t="s">
        <v>2272</v>
      </c>
      <c r="H1664" t="s">
        <v>121</v>
      </c>
      <c r="I1664" t="s">
        <v>11</v>
      </c>
    </row>
    <row r="1665" spans="1:9" x14ac:dyDescent="0.25">
      <c r="A1665" s="95">
        <v>1664</v>
      </c>
      <c r="B1665" t="s">
        <v>1781</v>
      </c>
      <c r="C1665" t="s">
        <v>3037</v>
      </c>
      <c r="F1665" s="1">
        <v>40879</v>
      </c>
      <c r="G1665" t="s">
        <v>2272</v>
      </c>
      <c r="H1665" t="s">
        <v>121</v>
      </c>
      <c r="I1665" t="s">
        <v>11</v>
      </c>
    </row>
    <row r="1666" spans="1:9" x14ac:dyDescent="0.25">
      <c r="A1666" s="95">
        <v>1665</v>
      </c>
      <c r="B1666" t="s">
        <v>1275</v>
      </c>
      <c r="C1666" t="s">
        <v>970</v>
      </c>
      <c r="D1666" t="s">
        <v>2508</v>
      </c>
      <c r="F1666" s="1">
        <v>40392</v>
      </c>
      <c r="G1666" t="s">
        <v>2272</v>
      </c>
      <c r="H1666" t="s">
        <v>121</v>
      </c>
      <c r="I1666" t="s">
        <v>11</v>
      </c>
    </row>
    <row r="1667" spans="1:9" x14ac:dyDescent="0.25">
      <c r="A1667" s="95">
        <v>1666</v>
      </c>
      <c r="B1667" t="s">
        <v>1275</v>
      </c>
      <c r="C1667" t="s">
        <v>3038</v>
      </c>
      <c r="D1667" t="s">
        <v>2508</v>
      </c>
      <c r="F1667" s="1">
        <v>41017</v>
      </c>
      <c r="G1667" t="s">
        <v>2272</v>
      </c>
      <c r="H1667" t="s">
        <v>121</v>
      </c>
      <c r="I1667" t="s">
        <v>11</v>
      </c>
    </row>
    <row r="1668" spans="1:9" x14ac:dyDescent="0.25">
      <c r="A1668" s="95">
        <v>1667</v>
      </c>
      <c r="B1668" t="s">
        <v>1275</v>
      </c>
      <c r="C1668" t="s">
        <v>3039</v>
      </c>
      <c r="D1668" t="s">
        <v>2508</v>
      </c>
      <c r="F1668" s="1">
        <v>41602</v>
      </c>
      <c r="G1668" t="s">
        <v>2272</v>
      </c>
      <c r="H1668" t="s">
        <v>121</v>
      </c>
      <c r="I1668" t="s">
        <v>11</v>
      </c>
    </row>
    <row r="1669" spans="1:9" x14ac:dyDescent="0.25">
      <c r="A1669" s="95">
        <v>1668</v>
      </c>
      <c r="B1669" t="s">
        <v>1275</v>
      </c>
      <c r="C1669" t="s">
        <v>3040</v>
      </c>
      <c r="D1669" t="s">
        <v>2508</v>
      </c>
      <c r="F1669" s="1">
        <v>42637</v>
      </c>
      <c r="G1669" t="s">
        <v>2272</v>
      </c>
      <c r="H1669" t="s">
        <v>121</v>
      </c>
      <c r="I1669" t="s">
        <v>11</v>
      </c>
    </row>
    <row r="1670" spans="1:9" x14ac:dyDescent="0.25">
      <c r="A1670" s="95">
        <v>1669</v>
      </c>
      <c r="B1670" t="s">
        <v>1275</v>
      </c>
      <c r="C1670" t="s">
        <v>3041</v>
      </c>
      <c r="D1670" t="s">
        <v>2508</v>
      </c>
      <c r="F1670" s="1">
        <v>44128</v>
      </c>
      <c r="G1670" t="s">
        <v>2272</v>
      </c>
      <c r="H1670" t="s">
        <v>121</v>
      </c>
      <c r="I1670" t="s">
        <v>11</v>
      </c>
    </row>
    <row r="1671" spans="1:9" x14ac:dyDescent="0.25">
      <c r="A1671" s="95">
        <v>1670</v>
      </c>
      <c r="B1671" t="s">
        <v>1783</v>
      </c>
      <c r="C1671" t="s">
        <v>3042</v>
      </c>
      <c r="D1671" t="s">
        <v>918</v>
      </c>
      <c r="F1671" s="1">
        <v>35187</v>
      </c>
      <c r="G1671" t="s">
        <v>2272</v>
      </c>
      <c r="H1671" t="s">
        <v>121</v>
      </c>
      <c r="I1671" t="s">
        <v>11</v>
      </c>
    </row>
    <row r="1672" spans="1:9" x14ac:dyDescent="0.25">
      <c r="A1672" s="95">
        <v>1671</v>
      </c>
      <c r="B1672" t="s">
        <v>1773</v>
      </c>
      <c r="C1672" t="s">
        <v>3043</v>
      </c>
      <c r="F1672" s="1">
        <v>39488</v>
      </c>
      <c r="G1672" t="s">
        <v>2272</v>
      </c>
      <c r="H1672" t="s">
        <v>121</v>
      </c>
      <c r="I1672" t="s">
        <v>11</v>
      </c>
    </row>
    <row r="1673" spans="1:9" x14ac:dyDescent="0.25">
      <c r="A1673" s="95">
        <v>1672</v>
      </c>
      <c r="B1673" t="s">
        <v>1773</v>
      </c>
      <c r="C1673" t="s">
        <v>3044</v>
      </c>
      <c r="F1673" s="1">
        <v>39126</v>
      </c>
      <c r="G1673" t="s">
        <v>2272</v>
      </c>
      <c r="H1673" t="s">
        <v>121</v>
      </c>
      <c r="I1673" t="s">
        <v>11</v>
      </c>
    </row>
    <row r="1674" spans="1:9" x14ac:dyDescent="0.25">
      <c r="A1674" s="95">
        <v>1673</v>
      </c>
      <c r="B1674" t="s">
        <v>117</v>
      </c>
      <c r="C1674" t="s">
        <v>3045</v>
      </c>
      <c r="F1674" s="1">
        <v>41047</v>
      </c>
      <c r="G1674" t="s">
        <v>2272</v>
      </c>
      <c r="H1674" t="s">
        <v>121</v>
      </c>
      <c r="I1674" t="s">
        <v>11</v>
      </c>
    </row>
    <row r="1675" spans="1:9" x14ac:dyDescent="0.25">
      <c r="A1675" s="95">
        <v>1674</v>
      </c>
      <c r="B1675" t="s">
        <v>117</v>
      </c>
      <c r="C1675" t="s">
        <v>3046</v>
      </c>
      <c r="F1675" s="1">
        <v>42993</v>
      </c>
      <c r="G1675" t="s">
        <v>2272</v>
      </c>
      <c r="H1675" t="s">
        <v>121</v>
      </c>
      <c r="I1675" t="s">
        <v>11</v>
      </c>
    </row>
    <row r="1676" spans="1:9" x14ac:dyDescent="0.25">
      <c r="A1676" s="95">
        <v>1675</v>
      </c>
      <c r="B1676" t="s">
        <v>1792</v>
      </c>
      <c r="C1676" t="s">
        <v>3047</v>
      </c>
      <c r="F1676" s="1">
        <v>35758</v>
      </c>
      <c r="G1676" t="s">
        <v>2272</v>
      </c>
      <c r="H1676" t="s">
        <v>121</v>
      </c>
      <c r="I1676" t="s">
        <v>11</v>
      </c>
    </row>
    <row r="1677" spans="1:9" x14ac:dyDescent="0.25">
      <c r="A1677" s="95">
        <v>1676</v>
      </c>
      <c r="B1677" t="s">
        <v>1792</v>
      </c>
      <c r="C1677" t="s">
        <v>3048</v>
      </c>
      <c r="F1677" s="1">
        <v>37851</v>
      </c>
      <c r="G1677" t="s">
        <v>2272</v>
      </c>
      <c r="H1677" t="s">
        <v>121</v>
      </c>
      <c r="I1677" t="s">
        <v>11</v>
      </c>
    </row>
    <row r="1678" spans="1:9" x14ac:dyDescent="0.25">
      <c r="A1678" s="95">
        <v>1677</v>
      </c>
      <c r="B1678" t="s">
        <v>1794</v>
      </c>
      <c r="C1678" t="s">
        <v>3049</v>
      </c>
      <c r="F1678" s="1">
        <v>34612</v>
      </c>
      <c r="G1678" t="s">
        <v>2272</v>
      </c>
      <c r="H1678" t="s">
        <v>121</v>
      </c>
      <c r="I1678" t="s">
        <v>11</v>
      </c>
    </row>
    <row r="1679" spans="1:9" x14ac:dyDescent="0.25">
      <c r="A1679" s="95">
        <v>1678</v>
      </c>
      <c r="B1679" t="s">
        <v>1794</v>
      </c>
      <c r="C1679" t="s">
        <v>2838</v>
      </c>
      <c r="F1679" s="1">
        <v>35695</v>
      </c>
      <c r="G1679" t="s">
        <v>2272</v>
      </c>
      <c r="H1679" t="s">
        <v>121</v>
      </c>
      <c r="I1679" t="s">
        <v>11</v>
      </c>
    </row>
    <row r="1680" spans="1:9" x14ac:dyDescent="0.25">
      <c r="A1680" s="95">
        <v>1679</v>
      </c>
      <c r="B1680" t="s">
        <v>1794</v>
      </c>
      <c r="C1680" t="s">
        <v>3050</v>
      </c>
      <c r="F1680" s="1">
        <v>34459</v>
      </c>
      <c r="G1680" t="s">
        <v>2272</v>
      </c>
      <c r="H1680" t="s">
        <v>121</v>
      </c>
      <c r="I1680" t="s">
        <v>11</v>
      </c>
    </row>
    <row r="1681" spans="1:9" x14ac:dyDescent="0.25">
      <c r="A1681" s="95">
        <v>1680</v>
      </c>
      <c r="B1681" t="s">
        <v>1275</v>
      </c>
      <c r="C1681" t="s">
        <v>1510</v>
      </c>
      <c r="D1681" t="s">
        <v>2514</v>
      </c>
      <c r="F1681" s="1">
        <v>35458</v>
      </c>
      <c r="G1681" t="s">
        <v>2272</v>
      </c>
      <c r="H1681" t="s">
        <v>121</v>
      </c>
      <c r="I1681" t="s">
        <v>11</v>
      </c>
    </row>
    <row r="1682" spans="1:9" x14ac:dyDescent="0.25">
      <c r="A1682" s="95">
        <v>1681</v>
      </c>
      <c r="B1682" t="s">
        <v>1275</v>
      </c>
      <c r="C1682" t="s">
        <v>163</v>
      </c>
      <c r="D1682" t="s">
        <v>2514</v>
      </c>
      <c r="F1682" s="1">
        <v>37638</v>
      </c>
      <c r="G1682" t="s">
        <v>2272</v>
      </c>
      <c r="H1682" t="s">
        <v>121</v>
      </c>
      <c r="I1682" t="s">
        <v>11</v>
      </c>
    </row>
    <row r="1683" spans="1:9" x14ac:dyDescent="0.25">
      <c r="A1683" s="95">
        <v>1682</v>
      </c>
      <c r="B1683" t="s">
        <v>1172</v>
      </c>
      <c r="C1683" t="s">
        <v>3051</v>
      </c>
      <c r="F1683" s="1">
        <v>34340</v>
      </c>
      <c r="G1683" t="s">
        <v>2272</v>
      </c>
      <c r="H1683" t="s">
        <v>121</v>
      </c>
      <c r="I1683" t="s">
        <v>11</v>
      </c>
    </row>
    <row r="1684" spans="1:9" x14ac:dyDescent="0.25">
      <c r="A1684" s="95">
        <v>1683</v>
      </c>
      <c r="B1684" t="s">
        <v>1172</v>
      </c>
      <c r="C1684" t="s">
        <v>3052</v>
      </c>
      <c r="F1684" s="1">
        <v>38179</v>
      </c>
      <c r="G1684" t="s">
        <v>2272</v>
      </c>
      <c r="H1684" t="s">
        <v>121</v>
      </c>
      <c r="I1684" t="s">
        <v>11</v>
      </c>
    </row>
    <row r="1685" spans="1:9" x14ac:dyDescent="0.25">
      <c r="A1685" s="95">
        <v>1684</v>
      </c>
      <c r="B1685" t="s">
        <v>38</v>
      </c>
      <c r="C1685" t="s">
        <v>3053</v>
      </c>
      <c r="F1685" s="1">
        <v>40962</v>
      </c>
      <c r="G1685" t="s">
        <v>2272</v>
      </c>
      <c r="H1685" t="s">
        <v>121</v>
      </c>
      <c r="I1685" t="s">
        <v>11</v>
      </c>
    </row>
    <row r="1686" spans="1:9" x14ac:dyDescent="0.25">
      <c r="A1686" s="95">
        <v>1685</v>
      </c>
      <c r="B1686" t="s">
        <v>1867</v>
      </c>
      <c r="C1686" t="s">
        <v>3054</v>
      </c>
      <c r="F1686" s="1">
        <v>22296</v>
      </c>
      <c r="G1686" t="s">
        <v>2272</v>
      </c>
      <c r="H1686" t="s">
        <v>121</v>
      </c>
      <c r="I1686" t="s">
        <v>11</v>
      </c>
    </row>
    <row r="1687" spans="1:9" x14ac:dyDescent="0.25">
      <c r="A1687" s="95">
        <v>1686</v>
      </c>
      <c r="B1687" t="s">
        <v>1808</v>
      </c>
      <c r="C1687" t="s">
        <v>3055</v>
      </c>
      <c r="F1687" s="1">
        <v>36625</v>
      </c>
      <c r="G1687" t="s">
        <v>2272</v>
      </c>
      <c r="H1687" t="s">
        <v>121</v>
      </c>
      <c r="I1687" t="s">
        <v>11</v>
      </c>
    </row>
    <row r="1688" spans="1:9" x14ac:dyDescent="0.25">
      <c r="A1688" s="95">
        <v>1687</v>
      </c>
      <c r="B1688" t="s">
        <v>1769</v>
      </c>
      <c r="C1688" t="s">
        <v>1504</v>
      </c>
      <c r="F1688" s="1">
        <v>28268</v>
      </c>
      <c r="G1688" t="s">
        <v>2272</v>
      </c>
      <c r="H1688" t="s">
        <v>121</v>
      </c>
      <c r="I1688" t="s">
        <v>11</v>
      </c>
    </row>
    <row r="1689" spans="1:9" x14ac:dyDescent="0.25">
      <c r="A1689" s="95">
        <v>1688</v>
      </c>
      <c r="B1689" t="s">
        <v>1816</v>
      </c>
      <c r="C1689" t="s">
        <v>3056</v>
      </c>
      <c r="F1689" s="1">
        <v>37849</v>
      </c>
      <c r="G1689" t="s">
        <v>2272</v>
      </c>
      <c r="H1689" t="s">
        <v>121</v>
      </c>
      <c r="I1689" t="s">
        <v>11</v>
      </c>
    </row>
    <row r="1690" spans="1:9" x14ac:dyDescent="0.25">
      <c r="A1690" s="95">
        <v>1689</v>
      </c>
      <c r="B1690" t="s">
        <v>1816</v>
      </c>
      <c r="C1690" t="s">
        <v>3057</v>
      </c>
      <c r="F1690" s="1">
        <v>38720</v>
      </c>
      <c r="G1690" t="s">
        <v>2272</v>
      </c>
      <c r="H1690" t="s">
        <v>121</v>
      </c>
      <c r="I1690" t="s">
        <v>11</v>
      </c>
    </row>
    <row r="1691" spans="1:9" x14ac:dyDescent="0.25">
      <c r="A1691" s="95">
        <v>1690</v>
      </c>
      <c r="B1691" t="s">
        <v>601</v>
      </c>
      <c r="C1691" t="s">
        <v>3058</v>
      </c>
      <c r="D1691" t="s">
        <v>2521</v>
      </c>
      <c r="F1691" s="1">
        <v>34731</v>
      </c>
      <c r="G1691" t="s">
        <v>2272</v>
      </c>
      <c r="H1691" t="s">
        <v>121</v>
      </c>
      <c r="I1691" t="s">
        <v>11</v>
      </c>
    </row>
    <row r="1692" spans="1:9" x14ac:dyDescent="0.25">
      <c r="A1692" s="95">
        <v>1691</v>
      </c>
      <c r="B1692" t="s">
        <v>1818</v>
      </c>
      <c r="C1692" t="s">
        <v>3059</v>
      </c>
      <c r="D1692" t="s">
        <v>2521</v>
      </c>
      <c r="F1692" s="1">
        <v>37069</v>
      </c>
      <c r="G1692" t="s">
        <v>2272</v>
      </c>
      <c r="H1692" t="s">
        <v>121</v>
      </c>
      <c r="I1692" t="s">
        <v>11</v>
      </c>
    </row>
    <row r="1693" spans="1:9" x14ac:dyDescent="0.25">
      <c r="A1693" s="95">
        <v>1692</v>
      </c>
      <c r="B1693" t="s">
        <v>188</v>
      </c>
      <c r="C1693" t="s">
        <v>424</v>
      </c>
      <c r="F1693" s="1">
        <v>37639</v>
      </c>
      <c r="G1693" t="s">
        <v>2272</v>
      </c>
      <c r="H1693" t="s">
        <v>121</v>
      </c>
      <c r="I1693" t="s">
        <v>11</v>
      </c>
    </row>
    <row r="1694" spans="1:9" x14ac:dyDescent="0.25">
      <c r="A1694" s="95">
        <v>1693</v>
      </c>
      <c r="B1694" t="s">
        <v>38</v>
      </c>
      <c r="C1694" t="s">
        <v>3060</v>
      </c>
      <c r="F1694" s="1">
        <v>39720</v>
      </c>
      <c r="G1694" t="s">
        <v>2272</v>
      </c>
      <c r="H1694" t="s">
        <v>121</v>
      </c>
      <c r="I1694" t="s">
        <v>11</v>
      </c>
    </row>
    <row r="1695" spans="1:9" x14ac:dyDescent="0.25">
      <c r="A1695" s="95">
        <v>1694</v>
      </c>
      <c r="B1695" t="s">
        <v>38</v>
      </c>
      <c r="C1695" t="s">
        <v>3061</v>
      </c>
      <c r="F1695" s="1">
        <v>42475</v>
      </c>
      <c r="G1695" t="s">
        <v>2272</v>
      </c>
      <c r="H1695" t="s">
        <v>121</v>
      </c>
      <c r="I1695" t="s">
        <v>11</v>
      </c>
    </row>
    <row r="1696" spans="1:9" x14ac:dyDescent="0.25">
      <c r="A1696" s="95">
        <v>1695</v>
      </c>
      <c r="B1696" t="s">
        <v>3062</v>
      </c>
      <c r="C1696" t="s">
        <v>2059</v>
      </c>
      <c r="D1696" t="s">
        <v>85</v>
      </c>
      <c r="E1696" t="s">
        <v>3063</v>
      </c>
      <c r="F1696" s="1">
        <v>38455</v>
      </c>
      <c r="G1696" t="s">
        <v>2272</v>
      </c>
      <c r="H1696" t="s">
        <v>121</v>
      </c>
      <c r="I1696" t="s">
        <v>11</v>
      </c>
    </row>
    <row r="1697" spans="1:9" x14ac:dyDescent="0.25">
      <c r="A1697" s="95">
        <v>1696</v>
      </c>
      <c r="B1697" t="s">
        <v>343</v>
      </c>
      <c r="C1697" t="s">
        <v>1601</v>
      </c>
      <c r="F1697" s="1">
        <v>33989</v>
      </c>
      <c r="G1697" t="s">
        <v>2272</v>
      </c>
      <c r="H1697" t="s">
        <v>121</v>
      </c>
      <c r="I1697" t="s">
        <v>11</v>
      </c>
    </row>
    <row r="1698" spans="1:9" x14ac:dyDescent="0.25">
      <c r="A1698" s="95">
        <v>1697</v>
      </c>
      <c r="B1698" t="s">
        <v>343</v>
      </c>
      <c r="C1698" t="s">
        <v>1052</v>
      </c>
      <c r="F1698" s="1">
        <v>35069</v>
      </c>
      <c r="G1698" t="s">
        <v>2272</v>
      </c>
      <c r="H1698" t="s">
        <v>121</v>
      </c>
      <c r="I1698" t="s">
        <v>11</v>
      </c>
    </row>
    <row r="1699" spans="1:9" x14ac:dyDescent="0.25">
      <c r="A1699" s="95">
        <v>1698</v>
      </c>
      <c r="B1699" t="s">
        <v>343</v>
      </c>
      <c r="C1699" t="s">
        <v>1819</v>
      </c>
      <c r="E1699" t="s">
        <v>67</v>
      </c>
      <c r="F1699" s="1">
        <v>34989</v>
      </c>
      <c r="G1699" t="s">
        <v>2272</v>
      </c>
      <c r="H1699" t="s">
        <v>121</v>
      </c>
      <c r="I1699" t="s">
        <v>11</v>
      </c>
    </row>
    <row r="1700" spans="1:9" x14ac:dyDescent="0.25">
      <c r="A1700" s="95">
        <v>1699</v>
      </c>
      <c r="B1700" t="s">
        <v>343</v>
      </c>
      <c r="C1700" t="s">
        <v>1510</v>
      </c>
      <c r="F1700" s="1">
        <v>36653</v>
      </c>
      <c r="G1700" t="s">
        <v>2272</v>
      </c>
      <c r="H1700" t="s">
        <v>121</v>
      </c>
      <c r="I1700" t="s">
        <v>11</v>
      </c>
    </row>
    <row r="1701" spans="1:9" x14ac:dyDescent="0.25">
      <c r="A1701" s="95">
        <v>1700</v>
      </c>
      <c r="B1701" t="s">
        <v>343</v>
      </c>
      <c r="C1701" t="s">
        <v>2663</v>
      </c>
      <c r="F1701" s="1">
        <v>39208</v>
      </c>
      <c r="G1701" t="s">
        <v>2272</v>
      </c>
      <c r="H1701" t="s">
        <v>121</v>
      </c>
      <c r="I1701" t="s">
        <v>11</v>
      </c>
    </row>
    <row r="1702" spans="1:9" x14ac:dyDescent="0.25">
      <c r="A1702" s="95">
        <v>1701</v>
      </c>
      <c r="B1702" t="s">
        <v>1833</v>
      </c>
      <c r="C1702" t="s">
        <v>3064</v>
      </c>
      <c r="F1702" s="1">
        <v>33720</v>
      </c>
      <c r="G1702" t="s">
        <v>2272</v>
      </c>
      <c r="H1702" t="s">
        <v>121</v>
      </c>
      <c r="I1702" t="s">
        <v>11</v>
      </c>
    </row>
    <row r="1703" spans="1:9" x14ac:dyDescent="0.25">
      <c r="A1703" s="95">
        <v>1702</v>
      </c>
      <c r="B1703" t="s">
        <v>1833</v>
      </c>
      <c r="C1703" t="s">
        <v>3065</v>
      </c>
      <c r="F1703" s="1">
        <v>44429</v>
      </c>
      <c r="G1703" t="s">
        <v>2272</v>
      </c>
      <c r="H1703" t="s">
        <v>121</v>
      </c>
      <c r="I1703" t="s">
        <v>11</v>
      </c>
    </row>
    <row r="1704" spans="1:9" x14ac:dyDescent="0.25">
      <c r="A1704" s="95">
        <v>1703</v>
      </c>
      <c r="B1704" t="s">
        <v>1833</v>
      </c>
      <c r="C1704" t="s">
        <v>3066</v>
      </c>
      <c r="F1704" s="1">
        <v>42084</v>
      </c>
      <c r="G1704" t="s">
        <v>2272</v>
      </c>
      <c r="H1704" t="s">
        <v>121</v>
      </c>
      <c r="I1704" t="s">
        <v>11</v>
      </c>
    </row>
    <row r="1705" spans="1:9" x14ac:dyDescent="0.25">
      <c r="A1705" s="95">
        <v>1704</v>
      </c>
      <c r="B1705" t="s">
        <v>1838</v>
      </c>
      <c r="C1705" t="s">
        <v>3067</v>
      </c>
      <c r="D1705" t="s">
        <v>2531</v>
      </c>
      <c r="F1705" s="1">
        <v>39310</v>
      </c>
      <c r="G1705" t="s">
        <v>2272</v>
      </c>
      <c r="H1705" t="s">
        <v>121</v>
      </c>
      <c r="I1705" t="s">
        <v>11</v>
      </c>
    </row>
    <row r="1706" spans="1:9" x14ac:dyDescent="0.25">
      <c r="A1706" s="95">
        <v>1705</v>
      </c>
      <c r="B1706" t="s">
        <v>1554</v>
      </c>
      <c r="C1706" t="s">
        <v>3068</v>
      </c>
      <c r="F1706" s="1">
        <v>41735</v>
      </c>
      <c r="G1706" t="s">
        <v>2272</v>
      </c>
      <c r="H1706" t="s">
        <v>121</v>
      </c>
      <c r="I1706" t="s">
        <v>11</v>
      </c>
    </row>
    <row r="1707" spans="1:9" x14ac:dyDescent="0.25">
      <c r="A1707" s="95">
        <v>1706</v>
      </c>
      <c r="B1707" t="s">
        <v>1845</v>
      </c>
      <c r="C1707" t="s">
        <v>3069</v>
      </c>
      <c r="F1707" s="1">
        <v>35996</v>
      </c>
      <c r="G1707" t="s">
        <v>2272</v>
      </c>
      <c r="H1707" t="s">
        <v>121</v>
      </c>
      <c r="I1707" t="s">
        <v>11</v>
      </c>
    </row>
    <row r="1708" spans="1:9" x14ac:dyDescent="0.25">
      <c r="A1708" s="95">
        <v>1707</v>
      </c>
      <c r="B1708" t="s">
        <v>1849</v>
      </c>
      <c r="C1708" t="s">
        <v>3070</v>
      </c>
      <c r="F1708" s="1">
        <v>34034</v>
      </c>
      <c r="G1708" t="s">
        <v>2272</v>
      </c>
      <c r="H1708" t="s">
        <v>121</v>
      </c>
      <c r="I1708" t="s">
        <v>11</v>
      </c>
    </row>
    <row r="1709" spans="1:9" x14ac:dyDescent="0.25">
      <c r="A1709" s="95">
        <v>1708</v>
      </c>
      <c r="B1709" t="s">
        <v>87</v>
      </c>
      <c r="C1709" t="s">
        <v>922</v>
      </c>
      <c r="F1709" s="1">
        <v>37940</v>
      </c>
      <c r="G1709" t="s">
        <v>2272</v>
      </c>
      <c r="H1709" t="s">
        <v>121</v>
      </c>
      <c r="I1709" t="s">
        <v>11</v>
      </c>
    </row>
    <row r="1710" spans="1:9" x14ac:dyDescent="0.25">
      <c r="A1710" s="95">
        <v>1709</v>
      </c>
      <c r="B1710" t="s">
        <v>87</v>
      </c>
      <c r="C1710" t="s">
        <v>3071</v>
      </c>
      <c r="F1710" s="1">
        <v>38557</v>
      </c>
      <c r="G1710" t="s">
        <v>2272</v>
      </c>
      <c r="H1710" t="s">
        <v>121</v>
      </c>
      <c r="I1710" t="s">
        <v>11</v>
      </c>
    </row>
    <row r="1711" spans="1:9" x14ac:dyDescent="0.25">
      <c r="A1711" s="95">
        <v>1710</v>
      </c>
      <c r="B1711" t="s">
        <v>1848</v>
      </c>
      <c r="C1711" t="s">
        <v>3072</v>
      </c>
      <c r="F1711" s="1">
        <v>40501</v>
      </c>
      <c r="G1711" t="s">
        <v>2272</v>
      </c>
      <c r="H1711" t="s">
        <v>121</v>
      </c>
      <c r="I1711" t="s">
        <v>11</v>
      </c>
    </row>
    <row r="1712" spans="1:9" x14ac:dyDescent="0.25">
      <c r="A1712" s="95">
        <v>1711</v>
      </c>
      <c r="B1712" t="s">
        <v>1848</v>
      </c>
      <c r="C1712" t="s">
        <v>3073</v>
      </c>
      <c r="F1712" s="1">
        <v>42387</v>
      </c>
      <c r="G1712" t="s">
        <v>2272</v>
      </c>
      <c r="H1712" t="s">
        <v>121</v>
      </c>
      <c r="I1712" t="s">
        <v>11</v>
      </c>
    </row>
    <row r="1713" spans="1:9" x14ac:dyDescent="0.25">
      <c r="A1713" s="95">
        <v>1712</v>
      </c>
      <c r="B1713" t="s">
        <v>38</v>
      </c>
      <c r="C1713" t="s">
        <v>3074</v>
      </c>
      <c r="F1713" s="1">
        <v>38623</v>
      </c>
      <c r="G1713" t="s">
        <v>2272</v>
      </c>
      <c r="H1713" t="s">
        <v>121</v>
      </c>
      <c r="I1713" t="s">
        <v>11</v>
      </c>
    </row>
    <row r="1714" spans="1:9" x14ac:dyDescent="0.25">
      <c r="A1714" s="95">
        <v>1713</v>
      </c>
      <c r="B1714" t="s">
        <v>188</v>
      </c>
      <c r="C1714" t="s">
        <v>3075</v>
      </c>
      <c r="F1714" s="1">
        <v>37224</v>
      </c>
      <c r="G1714" t="s">
        <v>2272</v>
      </c>
      <c r="H1714" t="s">
        <v>121</v>
      </c>
      <c r="I1714" t="s">
        <v>11</v>
      </c>
    </row>
    <row r="1715" spans="1:9" x14ac:dyDescent="0.25">
      <c r="A1715" s="95">
        <v>1714</v>
      </c>
      <c r="B1715" t="s">
        <v>188</v>
      </c>
      <c r="C1715" t="s">
        <v>84</v>
      </c>
      <c r="F1715" s="1">
        <v>36659</v>
      </c>
      <c r="G1715" t="s">
        <v>2272</v>
      </c>
      <c r="H1715" t="s">
        <v>121</v>
      </c>
      <c r="I1715" t="s">
        <v>11</v>
      </c>
    </row>
    <row r="1716" spans="1:9" x14ac:dyDescent="0.25">
      <c r="A1716" s="95">
        <v>1715</v>
      </c>
      <c r="B1716" t="s">
        <v>577</v>
      </c>
      <c r="C1716" t="s">
        <v>2306</v>
      </c>
      <c r="D1716" t="s">
        <v>2537</v>
      </c>
      <c r="F1716" s="1">
        <v>39373</v>
      </c>
      <c r="G1716" t="s">
        <v>2273</v>
      </c>
      <c r="H1716" t="s">
        <v>121</v>
      </c>
      <c r="I1716" t="s">
        <v>11</v>
      </c>
    </row>
    <row r="1717" spans="1:9" x14ac:dyDescent="0.25">
      <c r="A1717" s="95">
        <v>1716</v>
      </c>
      <c r="B1717" t="s">
        <v>1856</v>
      </c>
      <c r="C1717" t="s">
        <v>3076</v>
      </c>
      <c r="F1717" s="1">
        <v>39670</v>
      </c>
      <c r="G1717" t="s">
        <v>2272</v>
      </c>
      <c r="H1717" t="s">
        <v>121</v>
      </c>
      <c r="I1717" t="s">
        <v>11</v>
      </c>
    </row>
    <row r="1718" spans="1:9" x14ac:dyDescent="0.25">
      <c r="A1718" s="95">
        <v>1717</v>
      </c>
      <c r="B1718" t="s">
        <v>58</v>
      </c>
      <c r="C1718" t="s">
        <v>3077</v>
      </c>
      <c r="F1718" s="1">
        <v>37829</v>
      </c>
      <c r="G1718" t="s">
        <v>2272</v>
      </c>
      <c r="H1718" t="s">
        <v>121</v>
      </c>
      <c r="I1718" t="s">
        <v>11</v>
      </c>
    </row>
    <row r="1719" spans="1:9" x14ac:dyDescent="0.25">
      <c r="A1719" s="95">
        <v>1718</v>
      </c>
      <c r="B1719" t="s">
        <v>58</v>
      </c>
      <c r="C1719" t="s">
        <v>3078</v>
      </c>
      <c r="F1719" s="1">
        <v>38445</v>
      </c>
      <c r="G1719" t="s">
        <v>2272</v>
      </c>
      <c r="H1719" t="s">
        <v>121</v>
      </c>
      <c r="I1719" t="s">
        <v>11</v>
      </c>
    </row>
    <row r="1720" spans="1:9" x14ac:dyDescent="0.25">
      <c r="A1720" s="95">
        <v>1719</v>
      </c>
      <c r="B1720" t="s">
        <v>58</v>
      </c>
      <c r="C1720" t="s">
        <v>3079</v>
      </c>
      <c r="F1720" s="1">
        <v>39346</v>
      </c>
      <c r="G1720" t="s">
        <v>2272</v>
      </c>
      <c r="H1720" t="s">
        <v>121</v>
      </c>
      <c r="I1720" t="s">
        <v>11</v>
      </c>
    </row>
    <row r="1721" spans="1:9" x14ac:dyDescent="0.25">
      <c r="A1721" s="95">
        <v>1720</v>
      </c>
      <c r="B1721" t="s">
        <v>3080</v>
      </c>
      <c r="C1721" t="s">
        <v>3023</v>
      </c>
      <c r="D1721" t="s">
        <v>64</v>
      </c>
      <c r="F1721" s="1">
        <v>29099</v>
      </c>
      <c r="G1721" t="s">
        <v>2272</v>
      </c>
      <c r="H1721" t="s">
        <v>121</v>
      </c>
      <c r="I1721" t="s">
        <v>11</v>
      </c>
    </row>
    <row r="1722" spans="1:9" x14ac:dyDescent="0.25">
      <c r="A1722" s="95">
        <v>1721</v>
      </c>
      <c r="B1722" t="s">
        <v>1865</v>
      </c>
      <c r="C1722" t="s">
        <v>3081</v>
      </c>
      <c r="F1722" s="1">
        <v>36786</v>
      </c>
      <c r="G1722" t="s">
        <v>2272</v>
      </c>
      <c r="H1722" t="s">
        <v>121</v>
      </c>
      <c r="I1722" t="s">
        <v>11</v>
      </c>
    </row>
    <row r="1723" spans="1:9" x14ac:dyDescent="0.25">
      <c r="A1723" s="95">
        <v>1722</v>
      </c>
      <c r="B1723" t="s">
        <v>1865</v>
      </c>
      <c r="C1723" t="s">
        <v>3082</v>
      </c>
      <c r="F1723" s="1">
        <v>37885</v>
      </c>
      <c r="G1723" t="s">
        <v>2272</v>
      </c>
      <c r="H1723" t="s">
        <v>121</v>
      </c>
      <c r="I1723" t="s">
        <v>11</v>
      </c>
    </row>
    <row r="1724" spans="1:9" x14ac:dyDescent="0.25">
      <c r="A1724" s="95">
        <v>1723</v>
      </c>
      <c r="B1724" t="s">
        <v>1865</v>
      </c>
      <c r="C1724" t="s">
        <v>3083</v>
      </c>
      <c r="F1724" s="1">
        <v>39638</v>
      </c>
      <c r="G1724" t="s">
        <v>2272</v>
      </c>
      <c r="H1724" t="s">
        <v>121</v>
      </c>
      <c r="I1724" t="s">
        <v>11</v>
      </c>
    </row>
    <row r="1725" spans="1:9" x14ac:dyDescent="0.25">
      <c r="A1725" s="95">
        <v>1724</v>
      </c>
      <c r="B1725" t="s">
        <v>1790</v>
      </c>
      <c r="C1725" t="s">
        <v>3084</v>
      </c>
      <c r="F1725" s="1">
        <v>38324</v>
      </c>
      <c r="G1725" t="s">
        <v>2272</v>
      </c>
      <c r="H1725" t="s">
        <v>121</v>
      </c>
      <c r="I1725" t="s">
        <v>11</v>
      </c>
    </row>
    <row r="1726" spans="1:9" x14ac:dyDescent="0.25">
      <c r="A1726" s="95">
        <v>1725</v>
      </c>
      <c r="B1726" t="s">
        <v>1275</v>
      </c>
      <c r="C1726" t="s">
        <v>973</v>
      </c>
      <c r="D1726" t="s">
        <v>1751</v>
      </c>
      <c r="F1726" s="1">
        <v>33100</v>
      </c>
      <c r="G1726" t="s">
        <v>2272</v>
      </c>
      <c r="H1726" t="s">
        <v>121</v>
      </c>
      <c r="I1726" t="s">
        <v>11</v>
      </c>
    </row>
    <row r="1727" spans="1:9" x14ac:dyDescent="0.25">
      <c r="A1727" s="95">
        <v>1726</v>
      </c>
      <c r="B1727" t="s">
        <v>1874</v>
      </c>
      <c r="C1727" t="s">
        <v>3085</v>
      </c>
      <c r="F1727" s="1">
        <v>42970</v>
      </c>
      <c r="G1727" t="s">
        <v>2272</v>
      </c>
      <c r="H1727" t="s">
        <v>121</v>
      </c>
      <c r="I1727" t="s">
        <v>11</v>
      </c>
    </row>
    <row r="1728" spans="1:9" x14ac:dyDescent="0.25">
      <c r="A1728" s="95">
        <v>1727</v>
      </c>
      <c r="B1728" t="s">
        <v>1874</v>
      </c>
      <c r="C1728" t="s">
        <v>1875</v>
      </c>
      <c r="F1728" s="1">
        <v>41471</v>
      </c>
      <c r="G1728" t="s">
        <v>2272</v>
      </c>
      <c r="H1728" t="s">
        <v>121</v>
      </c>
      <c r="I1728" t="s">
        <v>11</v>
      </c>
    </row>
    <row r="1729" spans="1:9" x14ac:dyDescent="0.25">
      <c r="A1729" s="95">
        <v>1728</v>
      </c>
      <c r="B1729" t="s">
        <v>1848</v>
      </c>
      <c r="C1729" t="s">
        <v>226</v>
      </c>
      <c r="F1729" s="1">
        <v>36859</v>
      </c>
      <c r="G1729" t="s">
        <v>2272</v>
      </c>
      <c r="H1729" t="s">
        <v>121</v>
      </c>
      <c r="I1729" t="s">
        <v>11</v>
      </c>
    </row>
    <row r="1730" spans="1:9" x14ac:dyDescent="0.25">
      <c r="A1730" s="95">
        <v>1729</v>
      </c>
      <c r="B1730" t="s">
        <v>1848</v>
      </c>
      <c r="C1730" t="s">
        <v>2663</v>
      </c>
      <c r="F1730" s="1">
        <v>35042</v>
      </c>
      <c r="G1730" t="s">
        <v>2272</v>
      </c>
      <c r="H1730" t="s">
        <v>121</v>
      </c>
      <c r="I1730" t="s">
        <v>11</v>
      </c>
    </row>
    <row r="1731" spans="1:9" x14ac:dyDescent="0.25">
      <c r="A1731" s="95">
        <v>1730</v>
      </c>
      <c r="B1731" t="s">
        <v>1848</v>
      </c>
      <c r="C1731" t="s">
        <v>1979</v>
      </c>
      <c r="F1731" s="1">
        <v>37579</v>
      </c>
      <c r="G1731" t="s">
        <v>2272</v>
      </c>
      <c r="H1731" t="s">
        <v>121</v>
      </c>
      <c r="I1731" t="s">
        <v>11</v>
      </c>
    </row>
    <row r="1732" spans="1:9" x14ac:dyDescent="0.25">
      <c r="A1732" s="95">
        <v>1731</v>
      </c>
      <c r="B1732" t="s">
        <v>1878</v>
      </c>
      <c r="C1732" t="s">
        <v>3086</v>
      </c>
      <c r="F1732" s="1">
        <v>36649</v>
      </c>
      <c r="G1732" t="s">
        <v>2272</v>
      </c>
      <c r="H1732" t="s">
        <v>121</v>
      </c>
      <c r="I1732" t="s">
        <v>11</v>
      </c>
    </row>
    <row r="1733" spans="1:9" x14ac:dyDescent="0.25">
      <c r="A1733" s="95">
        <v>1732</v>
      </c>
      <c r="B1733" t="s">
        <v>1878</v>
      </c>
      <c r="C1733" t="s">
        <v>3087</v>
      </c>
      <c r="F1733" s="1">
        <v>37181</v>
      </c>
      <c r="G1733" t="s">
        <v>2272</v>
      </c>
      <c r="H1733" t="s">
        <v>121</v>
      </c>
      <c r="I1733" t="s">
        <v>11</v>
      </c>
    </row>
    <row r="1734" spans="1:9" x14ac:dyDescent="0.25">
      <c r="A1734" s="95">
        <v>1733</v>
      </c>
      <c r="B1734" t="s">
        <v>1878</v>
      </c>
      <c r="C1734" t="s">
        <v>226</v>
      </c>
      <c r="F1734" s="1">
        <v>38218</v>
      </c>
      <c r="G1734" t="s">
        <v>2272</v>
      </c>
      <c r="H1734" t="s">
        <v>121</v>
      </c>
      <c r="I1734" t="s">
        <v>11</v>
      </c>
    </row>
    <row r="1735" spans="1:9" x14ac:dyDescent="0.25">
      <c r="A1735" s="95">
        <v>1734</v>
      </c>
      <c r="B1735" t="s">
        <v>1878</v>
      </c>
      <c r="C1735" t="s">
        <v>3088</v>
      </c>
      <c r="F1735" s="1">
        <v>40831</v>
      </c>
      <c r="G1735" t="s">
        <v>2272</v>
      </c>
      <c r="H1735" t="s">
        <v>121</v>
      </c>
      <c r="I1735" t="s">
        <v>11</v>
      </c>
    </row>
    <row r="1736" spans="1:9" x14ac:dyDescent="0.25">
      <c r="A1736" s="95">
        <v>1735</v>
      </c>
      <c r="B1736" t="s">
        <v>1878</v>
      </c>
      <c r="C1736" t="s">
        <v>3089</v>
      </c>
      <c r="F1736" s="1">
        <v>42039</v>
      </c>
      <c r="G1736" t="s">
        <v>2272</v>
      </c>
      <c r="H1736" t="s">
        <v>121</v>
      </c>
      <c r="I1736" t="s">
        <v>11</v>
      </c>
    </row>
    <row r="1737" spans="1:9" x14ac:dyDescent="0.25">
      <c r="A1737" s="95">
        <v>1736</v>
      </c>
      <c r="B1737" t="s">
        <v>1882</v>
      </c>
      <c r="C1737" t="s">
        <v>3090</v>
      </c>
      <c r="F1737" s="1">
        <v>36011</v>
      </c>
      <c r="G1737" t="s">
        <v>2272</v>
      </c>
      <c r="H1737" t="s">
        <v>121</v>
      </c>
      <c r="I1737" t="s">
        <v>11</v>
      </c>
    </row>
    <row r="1738" spans="1:9" x14ac:dyDescent="0.25">
      <c r="A1738" s="95">
        <v>1737</v>
      </c>
      <c r="B1738" t="s">
        <v>1882</v>
      </c>
      <c r="C1738" t="s">
        <v>3091</v>
      </c>
      <c r="F1738" s="1">
        <v>37101</v>
      </c>
      <c r="G1738" t="s">
        <v>2272</v>
      </c>
      <c r="H1738" t="s">
        <v>121</v>
      </c>
      <c r="I1738" t="s">
        <v>11</v>
      </c>
    </row>
    <row r="1739" spans="1:9" x14ac:dyDescent="0.25">
      <c r="A1739" s="95">
        <v>1738</v>
      </c>
      <c r="B1739" t="s">
        <v>1882</v>
      </c>
      <c r="C1739" t="s">
        <v>2617</v>
      </c>
      <c r="F1739" s="1">
        <v>38196</v>
      </c>
      <c r="G1739" t="s">
        <v>2272</v>
      </c>
      <c r="H1739" t="s">
        <v>121</v>
      </c>
      <c r="I1739" t="s">
        <v>11</v>
      </c>
    </row>
    <row r="1740" spans="1:9" x14ac:dyDescent="0.25">
      <c r="A1740" s="95">
        <v>1739</v>
      </c>
      <c r="B1740" t="s">
        <v>1882</v>
      </c>
      <c r="C1740" t="s">
        <v>1883</v>
      </c>
      <c r="E1740" t="s">
        <v>22</v>
      </c>
      <c r="F1740" s="1">
        <v>39274</v>
      </c>
      <c r="G1740" t="s">
        <v>2272</v>
      </c>
      <c r="H1740" t="s">
        <v>121</v>
      </c>
      <c r="I1740" t="s">
        <v>11</v>
      </c>
    </row>
    <row r="1741" spans="1:9" x14ac:dyDescent="0.25">
      <c r="A1741" s="95">
        <v>1740</v>
      </c>
      <c r="B1741" t="s">
        <v>621</v>
      </c>
      <c r="C1741" t="s">
        <v>635</v>
      </c>
      <c r="D1741" t="s">
        <v>64</v>
      </c>
      <c r="F1741" s="1">
        <v>22886</v>
      </c>
      <c r="G1741" t="s">
        <v>2272</v>
      </c>
      <c r="H1741" t="s">
        <v>121</v>
      </c>
      <c r="I1741" t="s">
        <v>11</v>
      </c>
    </row>
    <row r="1742" spans="1:9" x14ac:dyDescent="0.25">
      <c r="A1742" s="95">
        <v>1741</v>
      </c>
      <c r="B1742" t="s">
        <v>1554</v>
      </c>
      <c r="C1742" t="s">
        <v>3092</v>
      </c>
      <c r="F1742" s="1">
        <v>41778</v>
      </c>
      <c r="G1742" t="s">
        <v>2272</v>
      </c>
      <c r="H1742" t="s">
        <v>121</v>
      </c>
      <c r="I1742" t="s">
        <v>11</v>
      </c>
    </row>
    <row r="1743" spans="1:9" x14ac:dyDescent="0.25">
      <c r="A1743" s="95">
        <v>1742</v>
      </c>
      <c r="B1743" t="s">
        <v>1554</v>
      </c>
      <c r="C1743" t="s">
        <v>2082</v>
      </c>
      <c r="F1743" s="1">
        <v>37389</v>
      </c>
      <c r="G1743" t="s">
        <v>2272</v>
      </c>
      <c r="H1743" t="s">
        <v>121</v>
      </c>
      <c r="I1743" t="s">
        <v>11</v>
      </c>
    </row>
    <row r="1744" spans="1:9" x14ac:dyDescent="0.25">
      <c r="A1744" s="95">
        <v>1743</v>
      </c>
      <c r="B1744" t="s">
        <v>1554</v>
      </c>
      <c r="C1744" t="s">
        <v>1306</v>
      </c>
      <c r="F1744" s="1">
        <v>39790</v>
      </c>
      <c r="G1744" t="s">
        <v>2272</v>
      </c>
      <c r="H1744" t="s">
        <v>121</v>
      </c>
      <c r="I1744" t="s">
        <v>11</v>
      </c>
    </row>
    <row r="1745" spans="1:9" x14ac:dyDescent="0.25">
      <c r="A1745" s="95">
        <v>1744</v>
      </c>
      <c r="B1745" t="s">
        <v>1885</v>
      </c>
      <c r="C1745" t="s">
        <v>3093</v>
      </c>
      <c r="F1745" s="1">
        <v>38389</v>
      </c>
      <c r="G1745" t="s">
        <v>2272</v>
      </c>
      <c r="H1745" t="s">
        <v>121</v>
      </c>
      <c r="I1745" t="s">
        <v>11</v>
      </c>
    </row>
    <row r="1746" spans="1:9" x14ac:dyDescent="0.25">
      <c r="A1746" s="95">
        <v>1745</v>
      </c>
      <c r="B1746" t="s">
        <v>1827</v>
      </c>
      <c r="C1746" t="s">
        <v>3094</v>
      </c>
      <c r="F1746" s="1">
        <v>40779</v>
      </c>
      <c r="G1746" t="s">
        <v>2272</v>
      </c>
      <c r="H1746" t="s">
        <v>121</v>
      </c>
      <c r="I1746" t="s">
        <v>11</v>
      </c>
    </row>
    <row r="1747" spans="1:9" x14ac:dyDescent="0.25">
      <c r="A1747" s="95">
        <v>1746</v>
      </c>
      <c r="B1747" t="s">
        <v>1827</v>
      </c>
      <c r="C1747" t="s">
        <v>3095</v>
      </c>
      <c r="F1747" s="1">
        <v>42592</v>
      </c>
      <c r="G1747" t="s">
        <v>2272</v>
      </c>
      <c r="H1747" t="s">
        <v>121</v>
      </c>
      <c r="I1747" t="s">
        <v>11</v>
      </c>
    </row>
    <row r="1748" spans="1:9" x14ac:dyDescent="0.25">
      <c r="A1748" s="95">
        <v>1747</v>
      </c>
      <c r="B1748" t="s">
        <v>1827</v>
      </c>
      <c r="C1748" t="s">
        <v>3096</v>
      </c>
      <c r="F1748" s="1">
        <v>43854</v>
      </c>
      <c r="G1748" t="s">
        <v>2272</v>
      </c>
      <c r="H1748" t="s">
        <v>121</v>
      </c>
      <c r="I1748" t="s">
        <v>11</v>
      </c>
    </row>
    <row r="1749" spans="1:9" x14ac:dyDescent="0.25">
      <c r="A1749" s="95">
        <v>1748</v>
      </c>
      <c r="B1749" t="s">
        <v>1893</v>
      </c>
      <c r="C1749" t="s">
        <v>3097</v>
      </c>
      <c r="F1749" s="1">
        <v>31422</v>
      </c>
      <c r="G1749" t="s">
        <v>2272</v>
      </c>
      <c r="H1749" t="s">
        <v>121</v>
      </c>
      <c r="I1749" t="s">
        <v>11</v>
      </c>
    </row>
    <row r="1750" spans="1:9" x14ac:dyDescent="0.25">
      <c r="A1750" s="95">
        <v>1749</v>
      </c>
      <c r="B1750" t="s">
        <v>1893</v>
      </c>
      <c r="C1750" t="s">
        <v>3098</v>
      </c>
      <c r="F1750" s="1">
        <v>30725</v>
      </c>
      <c r="G1750" t="s">
        <v>2272</v>
      </c>
      <c r="H1750" t="s">
        <v>121</v>
      </c>
      <c r="I1750" t="s">
        <v>11</v>
      </c>
    </row>
    <row r="1751" spans="1:9" x14ac:dyDescent="0.25">
      <c r="A1751" s="95">
        <v>1750</v>
      </c>
      <c r="B1751" t="s">
        <v>1893</v>
      </c>
      <c r="C1751" t="s">
        <v>3099</v>
      </c>
      <c r="F1751" s="1">
        <v>30127</v>
      </c>
      <c r="G1751" t="s">
        <v>2272</v>
      </c>
      <c r="H1751" t="s">
        <v>121</v>
      </c>
      <c r="I1751" t="s">
        <v>11</v>
      </c>
    </row>
    <row r="1752" spans="1:9" x14ac:dyDescent="0.25">
      <c r="A1752" s="95">
        <v>1751</v>
      </c>
      <c r="B1752" t="s">
        <v>125</v>
      </c>
      <c r="C1752" t="s">
        <v>3100</v>
      </c>
      <c r="F1752" s="1">
        <v>38138</v>
      </c>
      <c r="G1752" t="s">
        <v>2272</v>
      </c>
      <c r="H1752" t="s">
        <v>121</v>
      </c>
      <c r="I1752" t="s">
        <v>11</v>
      </c>
    </row>
    <row r="1753" spans="1:9" x14ac:dyDescent="0.25">
      <c r="A1753" s="95">
        <v>1752</v>
      </c>
      <c r="B1753" t="s">
        <v>174</v>
      </c>
      <c r="C1753" t="s">
        <v>22</v>
      </c>
      <c r="F1753" s="1">
        <v>36536</v>
      </c>
      <c r="G1753" t="s">
        <v>2272</v>
      </c>
      <c r="H1753" t="s">
        <v>121</v>
      </c>
      <c r="I1753" t="s">
        <v>11</v>
      </c>
    </row>
    <row r="1754" spans="1:9" x14ac:dyDescent="0.25">
      <c r="A1754" s="95">
        <v>1753</v>
      </c>
      <c r="B1754" t="s">
        <v>81</v>
      </c>
      <c r="C1754" t="s">
        <v>3101</v>
      </c>
      <c r="F1754" s="1">
        <v>36542</v>
      </c>
      <c r="G1754" t="s">
        <v>2272</v>
      </c>
      <c r="H1754" t="s">
        <v>121</v>
      </c>
      <c r="I1754" t="s">
        <v>11</v>
      </c>
    </row>
    <row r="1755" spans="1:9" x14ac:dyDescent="0.25">
      <c r="A1755" s="95">
        <v>1754</v>
      </c>
      <c r="B1755" t="s">
        <v>1922</v>
      </c>
      <c r="C1755" t="s">
        <v>3102</v>
      </c>
      <c r="F1755" s="1">
        <v>34981</v>
      </c>
      <c r="G1755" t="s">
        <v>2272</v>
      </c>
      <c r="H1755" t="s">
        <v>121</v>
      </c>
      <c r="I1755" t="s">
        <v>11</v>
      </c>
    </row>
    <row r="1756" spans="1:9" x14ac:dyDescent="0.25">
      <c r="A1756" s="95">
        <v>1755</v>
      </c>
      <c r="B1756" t="s">
        <v>1922</v>
      </c>
      <c r="C1756" t="s">
        <v>3103</v>
      </c>
      <c r="F1756" s="1">
        <v>38143</v>
      </c>
      <c r="G1756" t="s">
        <v>2272</v>
      </c>
      <c r="H1756" t="s">
        <v>121</v>
      </c>
      <c r="I1756" t="s">
        <v>11</v>
      </c>
    </row>
    <row r="1757" spans="1:9" x14ac:dyDescent="0.25">
      <c r="A1757" s="95">
        <v>1756</v>
      </c>
      <c r="B1757" t="s">
        <v>1773</v>
      </c>
      <c r="C1757" t="s">
        <v>3104</v>
      </c>
      <c r="F1757" s="1">
        <v>32952</v>
      </c>
      <c r="G1757" t="s">
        <v>2272</v>
      </c>
      <c r="H1757" t="s">
        <v>121</v>
      </c>
      <c r="I1757" t="s">
        <v>11</v>
      </c>
    </row>
    <row r="1758" spans="1:9" x14ac:dyDescent="0.25">
      <c r="A1758" s="95">
        <v>1757</v>
      </c>
      <c r="B1758" t="s">
        <v>3105</v>
      </c>
      <c r="C1758" t="s">
        <v>170</v>
      </c>
      <c r="D1758" t="s">
        <v>3106</v>
      </c>
      <c r="F1758" s="1">
        <v>39611</v>
      </c>
      <c r="G1758" t="s">
        <v>2272</v>
      </c>
      <c r="H1758" t="s">
        <v>121</v>
      </c>
      <c r="I1758" t="s">
        <v>11</v>
      </c>
    </row>
    <row r="1759" spans="1:9" x14ac:dyDescent="0.25">
      <c r="A1759" s="95">
        <v>1758</v>
      </c>
      <c r="B1759" t="s">
        <v>331</v>
      </c>
      <c r="C1759" t="s">
        <v>3107</v>
      </c>
      <c r="D1759" t="s">
        <v>789</v>
      </c>
      <c r="F1759" s="1">
        <v>33384</v>
      </c>
      <c r="G1759" t="s">
        <v>2273</v>
      </c>
      <c r="H1759" t="s">
        <v>121</v>
      </c>
      <c r="I1759" t="s">
        <v>11</v>
      </c>
    </row>
    <row r="1760" spans="1:9" x14ac:dyDescent="0.25">
      <c r="A1760" s="95">
        <v>1759</v>
      </c>
      <c r="B1760" t="s">
        <v>738</v>
      </c>
      <c r="C1760" t="s">
        <v>2666</v>
      </c>
      <c r="D1760" t="s">
        <v>331</v>
      </c>
      <c r="F1760" s="1">
        <v>30686</v>
      </c>
      <c r="G1760" t="s">
        <v>2273</v>
      </c>
      <c r="H1760" t="s">
        <v>121</v>
      </c>
      <c r="I1760" t="s">
        <v>11</v>
      </c>
    </row>
    <row r="1761" spans="1:9" x14ac:dyDescent="0.25">
      <c r="A1761" s="95">
        <v>1760</v>
      </c>
      <c r="B1761" t="s">
        <v>117</v>
      </c>
      <c r="C1761" t="s">
        <v>3108</v>
      </c>
      <c r="F1761" s="1">
        <v>36943</v>
      </c>
      <c r="G1761" t="s">
        <v>2272</v>
      </c>
      <c r="H1761" t="s">
        <v>121</v>
      </c>
      <c r="I1761" t="s">
        <v>11</v>
      </c>
    </row>
    <row r="1762" spans="1:9" x14ac:dyDescent="0.25">
      <c r="A1762" s="95">
        <v>1761</v>
      </c>
      <c r="B1762" t="s">
        <v>117</v>
      </c>
      <c r="C1762" t="s">
        <v>3108</v>
      </c>
      <c r="F1762" s="1">
        <v>37673</v>
      </c>
      <c r="G1762" t="s">
        <v>2272</v>
      </c>
      <c r="H1762" t="s">
        <v>121</v>
      </c>
      <c r="I1762" t="s">
        <v>11</v>
      </c>
    </row>
    <row r="1763" spans="1:9" x14ac:dyDescent="0.25">
      <c r="A1763" s="95">
        <v>1762</v>
      </c>
      <c r="B1763" t="s">
        <v>117</v>
      </c>
      <c r="C1763" t="s">
        <v>2716</v>
      </c>
      <c r="F1763" s="1">
        <v>37669</v>
      </c>
      <c r="G1763" t="s">
        <v>2272</v>
      </c>
      <c r="H1763" t="s">
        <v>121</v>
      </c>
      <c r="I1763" t="s">
        <v>11</v>
      </c>
    </row>
    <row r="1764" spans="1:9" x14ac:dyDescent="0.25">
      <c r="A1764" s="95">
        <v>1763</v>
      </c>
      <c r="B1764" t="s">
        <v>117</v>
      </c>
      <c r="C1764" t="s">
        <v>3109</v>
      </c>
      <c r="F1764" s="1">
        <v>38179</v>
      </c>
      <c r="G1764" t="s">
        <v>2272</v>
      </c>
      <c r="H1764" t="s">
        <v>121</v>
      </c>
      <c r="I1764" t="s">
        <v>11</v>
      </c>
    </row>
    <row r="1765" spans="1:9" x14ac:dyDescent="0.25">
      <c r="A1765" s="95">
        <v>1764</v>
      </c>
      <c r="B1765" t="s">
        <v>117</v>
      </c>
      <c r="C1765" t="s">
        <v>1404</v>
      </c>
      <c r="F1765" s="1">
        <v>24518</v>
      </c>
      <c r="G1765" t="s">
        <v>2272</v>
      </c>
      <c r="H1765" t="s">
        <v>121</v>
      </c>
      <c r="I1765" t="s">
        <v>11</v>
      </c>
    </row>
    <row r="1766" spans="1:9" x14ac:dyDescent="0.25">
      <c r="A1766" s="95">
        <v>1765</v>
      </c>
      <c r="B1766" t="s">
        <v>1859</v>
      </c>
      <c r="C1766" t="s">
        <v>3110</v>
      </c>
      <c r="F1766" s="1">
        <v>32960</v>
      </c>
      <c r="G1766" t="s">
        <v>2272</v>
      </c>
      <c r="H1766" t="s">
        <v>121</v>
      </c>
      <c r="I1766" t="s">
        <v>11</v>
      </c>
    </row>
    <row r="1767" spans="1:9" x14ac:dyDescent="0.25">
      <c r="A1767" s="95">
        <v>1766</v>
      </c>
      <c r="B1767" t="s">
        <v>1848</v>
      </c>
      <c r="C1767" t="s">
        <v>3111</v>
      </c>
      <c r="F1767" s="1">
        <v>29637</v>
      </c>
      <c r="G1767" t="s">
        <v>2272</v>
      </c>
      <c r="H1767" t="s">
        <v>121</v>
      </c>
      <c r="I1767" t="s">
        <v>11</v>
      </c>
    </row>
    <row r="1768" spans="1:9" x14ac:dyDescent="0.25">
      <c r="A1768" s="95">
        <v>1767</v>
      </c>
      <c r="B1768" t="s">
        <v>1848</v>
      </c>
      <c r="C1768" t="s">
        <v>1545</v>
      </c>
      <c r="F1768" s="1">
        <v>31546</v>
      </c>
      <c r="G1768" t="s">
        <v>2272</v>
      </c>
      <c r="H1768" t="s">
        <v>121</v>
      </c>
      <c r="I1768" t="s">
        <v>11</v>
      </c>
    </row>
    <row r="1769" spans="1:9" x14ac:dyDescent="0.25">
      <c r="A1769" s="95">
        <v>1768</v>
      </c>
      <c r="B1769" t="s">
        <v>1408</v>
      </c>
      <c r="C1769" t="s">
        <v>3112</v>
      </c>
      <c r="F1769" s="1">
        <v>39551</v>
      </c>
      <c r="G1769" t="s">
        <v>2272</v>
      </c>
      <c r="H1769" t="s">
        <v>121</v>
      </c>
      <c r="I1769" t="s">
        <v>11</v>
      </c>
    </row>
    <row r="1770" spans="1:9" x14ac:dyDescent="0.25">
      <c r="A1770" s="95">
        <v>1769</v>
      </c>
      <c r="B1770" t="s">
        <v>1408</v>
      </c>
      <c r="C1770" t="s">
        <v>3113</v>
      </c>
      <c r="F1770" s="1">
        <v>42365</v>
      </c>
      <c r="G1770" t="s">
        <v>2272</v>
      </c>
      <c r="H1770" t="s">
        <v>121</v>
      </c>
      <c r="I1770" t="s">
        <v>11</v>
      </c>
    </row>
    <row r="1771" spans="1:9" x14ac:dyDescent="0.25">
      <c r="A1771" s="95">
        <v>1770</v>
      </c>
      <c r="B1771" t="s">
        <v>1408</v>
      </c>
      <c r="C1771" t="s">
        <v>3114</v>
      </c>
      <c r="F1771" s="1">
        <v>43243</v>
      </c>
      <c r="G1771" t="s">
        <v>2272</v>
      </c>
      <c r="H1771" t="s">
        <v>121</v>
      </c>
      <c r="I1771" t="s">
        <v>11</v>
      </c>
    </row>
    <row r="1772" spans="1:9" x14ac:dyDescent="0.25">
      <c r="A1772" s="95">
        <v>1771</v>
      </c>
      <c r="B1772" t="s">
        <v>97</v>
      </c>
      <c r="C1772" t="s">
        <v>3115</v>
      </c>
      <c r="F1772" s="1">
        <v>36899</v>
      </c>
      <c r="G1772" t="s">
        <v>2272</v>
      </c>
      <c r="H1772" t="s">
        <v>121</v>
      </c>
      <c r="I1772" t="s">
        <v>11</v>
      </c>
    </row>
    <row r="1773" spans="1:9" x14ac:dyDescent="0.25">
      <c r="A1773" s="95">
        <v>1772</v>
      </c>
      <c r="B1773" t="s">
        <v>97</v>
      </c>
      <c r="C1773" t="s">
        <v>3116</v>
      </c>
      <c r="F1773" s="1">
        <v>38267</v>
      </c>
      <c r="G1773" t="s">
        <v>2272</v>
      </c>
      <c r="H1773" t="s">
        <v>121</v>
      </c>
      <c r="I1773" t="s">
        <v>11</v>
      </c>
    </row>
    <row r="1774" spans="1:9" x14ac:dyDescent="0.25">
      <c r="A1774" s="95">
        <v>1773</v>
      </c>
      <c r="B1774" t="s">
        <v>97</v>
      </c>
      <c r="C1774" t="s">
        <v>3117</v>
      </c>
      <c r="F1774" s="1">
        <v>39590</v>
      </c>
      <c r="G1774" t="s">
        <v>2272</v>
      </c>
      <c r="H1774" t="s">
        <v>121</v>
      </c>
      <c r="I1774" t="s">
        <v>11</v>
      </c>
    </row>
    <row r="1775" spans="1:9" x14ac:dyDescent="0.25">
      <c r="A1775" s="95">
        <v>1774</v>
      </c>
      <c r="B1775" t="s">
        <v>97</v>
      </c>
      <c r="C1775" t="s">
        <v>170</v>
      </c>
      <c r="F1775" s="1">
        <v>41219</v>
      </c>
      <c r="G1775" t="s">
        <v>2272</v>
      </c>
      <c r="H1775" t="s">
        <v>121</v>
      </c>
      <c r="I1775" t="s">
        <v>11</v>
      </c>
    </row>
    <row r="1776" spans="1:9" x14ac:dyDescent="0.25">
      <c r="A1776" s="95">
        <v>1775</v>
      </c>
      <c r="B1776" t="s">
        <v>97</v>
      </c>
      <c r="C1776" t="s">
        <v>3118</v>
      </c>
      <c r="F1776" s="1">
        <v>42639</v>
      </c>
      <c r="G1776" t="s">
        <v>2272</v>
      </c>
      <c r="H1776" t="s">
        <v>121</v>
      </c>
      <c r="I1776" t="s">
        <v>11</v>
      </c>
    </row>
    <row r="1777" spans="1:9" x14ac:dyDescent="0.25">
      <c r="A1777" s="95">
        <v>1776</v>
      </c>
      <c r="B1777" t="s">
        <v>1275</v>
      </c>
      <c r="C1777" t="s">
        <v>3119</v>
      </c>
      <c r="F1777" s="1">
        <v>41791</v>
      </c>
      <c r="G1777" t="s">
        <v>2272</v>
      </c>
      <c r="H1777" t="s">
        <v>121</v>
      </c>
      <c r="I1777" t="s">
        <v>11</v>
      </c>
    </row>
    <row r="1778" spans="1:9" x14ac:dyDescent="0.25">
      <c r="A1778" s="95">
        <v>1777</v>
      </c>
      <c r="B1778" t="s">
        <v>1917</v>
      </c>
      <c r="C1778" t="s">
        <v>3120</v>
      </c>
      <c r="D1778" t="s">
        <v>1050</v>
      </c>
      <c r="F1778" s="1">
        <v>36773</v>
      </c>
      <c r="G1778" t="s">
        <v>2276</v>
      </c>
      <c r="H1778" t="s">
        <v>121</v>
      </c>
      <c r="I1778" t="s">
        <v>11</v>
      </c>
    </row>
    <row r="1779" spans="1:9" x14ac:dyDescent="0.25">
      <c r="A1779" s="95">
        <v>1778</v>
      </c>
      <c r="B1779" t="s">
        <v>1917</v>
      </c>
      <c r="C1779" t="s">
        <v>3121</v>
      </c>
      <c r="D1779" t="s">
        <v>1050</v>
      </c>
      <c r="F1779" s="1">
        <v>37163</v>
      </c>
      <c r="G1779" t="s">
        <v>2276</v>
      </c>
      <c r="H1779" t="s">
        <v>121</v>
      </c>
      <c r="I1779" t="s">
        <v>11</v>
      </c>
    </row>
    <row r="1780" spans="1:9" x14ac:dyDescent="0.25">
      <c r="A1780" s="95">
        <v>1779</v>
      </c>
      <c r="B1780" t="s">
        <v>1917</v>
      </c>
      <c r="C1780" t="s">
        <v>3122</v>
      </c>
      <c r="D1780" t="s">
        <v>1050</v>
      </c>
      <c r="F1780" s="1">
        <v>36298</v>
      </c>
      <c r="G1780" t="s">
        <v>2276</v>
      </c>
      <c r="H1780" t="s">
        <v>121</v>
      </c>
      <c r="I1780" t="s">
        <v>11</v>
      </c>
    </row>
    <row r="1781" spans="1:9" x14ac:dyDescent="0.25">
      <c r="A1781" s="95">
        <v>1780</v>
      </c>
      <c r="B1781" t="s">
        <v>1833</v>
      </c>
      <c r="C1781" t="s">
        <v>3123</v>
      </c>
      <c r="F1781" s="1">
        <v>44008</v>
      </c>
      <c r="G1781" t="s">
        <v>2272</v>
      </c>
      <c r="H1781" t="s">
        <v>121</v>
      </c>
      <c r="I1781" t="s">
        <v>11</v>
      </c>
    </row>
    <row r="1782" spans="1:9" x14ac:dyDescent="0.25">
      <c r="A1782" s="95">
        <v>1781</v>
      </c>
      <c r="B1782" t="s">
        <v>1922</v>
      </c>
      <c r="C1782" t="s">
        <v>3124</v>
      </c>
      <c r="F1782" s="1">
        <v>27440</v>
      </c>
      <c r="G1782" t="s">
        <v>2272</v>
      </c>
      <c r="H1782" t="s">
        <v>121</v>
      </c>
      <c r="I1782" t="s">
        <v>11</v>
      </c>
    </row>
    <row r="1783" spans="1:9" x14ac:dyDescent="0.25">
      <c r="A1783" s="95">
        <v>1782</v>
      </c>
      <c r="B1783" t="s">
        <v>1426</v>
      </c>
      <c r="C1783" t="s">
        <v>1580</v>
      </c>
      <c r="D1783" t="s">
        <v>2559</v>
      </c>
      <c r="F1783" s="1">
        <v>37813</v>
      </c>
      <c r="G1783" t="s">
        <v>2276</v>
      </c>
      <c r="H1783" t="s">
        <v>121</v>
      </c>
      <c r="I1783" t="s">
        <v>11</v>
      </c>
    </row>
    <row r="1784" spans="1:9" x14ac:dyDescent="0.25">
      <c r="A1784" s="95">
        <v>1783</v>
      </c>
      <c r="B1784" t="s">
        <v>1275</v>
      </c>
      <c r="C1784" t="s">
        <v>3125</v>
      </c>
      <c r="F1784" s="1">
        <v>45149</v>
      </c>
      <c r="G1784" t="s">
        <v>2272</v>
      </c>
      <c r="H1784" t="s">
        <v>121</v>
      </c>
      <c r="I1784" t="s">
        <v>11</v>
      </c>
    </row>
    <row r="1785" spans="1:9" x14ac:dyDescent="0.25">
      <c r="A1785" s="95">
        <v>1784</v>
      </c>
      <c r="B1785" t="s">
        <v>1275</v>
      </c>
      <c r="C1785" t="s">
        <v>2900</v>
      </c>
      <c r="F1785" s="1">
        <v>39081</v>
      </c>
      <c r="G1785" t="s">
        <v>2272</v>
      </c>
      <c r="H1785" t="s">
        <v>121</v>
      </c>
      <c r="I1785" t="s">
        <v>11</v>
      </c>
    </row>
    <row r="1786" spans="1:9" x14ac:dyDescent="0.25">
      <c r="A1786" s="95">
        <v>1785</v>
      </c>
      <c r="B1786" t="s">
        <v>1426</v>
      </c>
      <c r="C1786" t="s">
        <v>3126</v>
      </c>
      <c r="D1786" t="s">
        <v>1001</v>
      </c>
      <c r="F1786" s="1">
        <v>36123</v>
      </c>
      <c r="G1786" t="s">
        <v>2276</v>
      </c>
      <c r="H1786" t="s">
        <v>121</v>
      </c>
      <c r="I1786" t="s">
        <v>11</v>
      </c>
    </row>
    <row r="1787" spans="1:9" x14ac:dyDescent="0.25">
      <c r="A1787" s="95">
        <v>1786</v>
      </c>
      <c r="B1787" t="s">
        <v>1533</v>
      </c>
      <c r="C1787" t="s">
        <v>3127</v>
      </c>
      <c r="F1787" s="1">
        <v>36651</v>
      </c>
      <c r="G1787" t="s">
        <v>2276</v>
      </c>
      <c r="H1787" t="s">
        <v>121</v>
      </c>
      <c r="I1787" t="s">
        <v>11</v>
      </c>
    </row>
    <row r="1788" spans="1:9" x14ac:dyDescent="0.25">
      <c r="A1788" s="95">
        <v>1787</v>
      </c>
      <c r="B1788" t="s">
        <v>1533</v>
      </c>
      <c r="C1788" t="s">
        <v>3128</v>
      </c>
      <c r="F1788" s="1">
        <v>37162</v>
      </c>
      <c r="G1788" t="s">
        <v>2276</v>
      </c>
      <c r="H1788" t="s">
        <v>121</v>
      </c>
      <c r="I1788" t="s">
        <v>11</v>
      </c>
    </row>
    <row r="1789" spans="1:9" x14ac:dyDescent="0.25">
      <c r="A1789" s="95">
        <v>1788</v>
      </c>
      <c r="B1789" t="s">
        <v>1533</v>
      </c>
      <c r="C1789" t="s">
        <v>3129</v>
      </c>
      <c r="F1789" s="1">
        <v>39679</v>
      </c>
      <c r="G1789" t="s">
        <v>2276</v>
      </c>
      <c r="H1789" t="s">
        <v>121</v>
      </c>
      <c r="I1789" t="s">
        <v>11</v>
      </c>
    </row>
    <row r="1790" spans="1:9" x14ac:dyDescent="0.25">
      <c r="A1790" s="95">
        <v>1789</v>
      </c>
      <c r="B1790" t="s">
        <v>1933</v>
      </c>
      <c r="C1790" t="s">
        <v>3130</v>
      </c>
      <c r="F1790" s="1">
        <v>29754</v>
      </c>
      <c r="G1790" t="s">
        <v>2272</v>
      </c>
      <c r="H1790" t="s">
        <v>121</v>
      </c>
      <c r="I1790" t="s">
        <v>11</v>
      </c>
    </row>
    <row r="1791" spans="1:9" x14ac:dyDescent="0.25">
      <c r="A1791" s="95">
        <v>1790</v>
      </c>
      <c r="B1791" t="s">
        <v>87</v>
      </c>
      <c r="C1791" t="s">
        <v>3131</v>
      </c>
      <c r="F1791" s="1">
        <v>35492</v>
      </c>
      <c r="G1791" t="s">
        <v>2272</v>
      </c>
      <c r="H1791" t="s">
        <v>121</v>
      </c>
      <c r="I1791" t="s">
        <v>11</v>
      </c>
    </row>
    <row r="1792" spans="1:9" x14ac:dyDescent="0.25">
      <c r="A1792" s="95">
        <v>1791</v>
      </c>
      <c r="B1792" t="s">
        <v>87</v>
      </c>
      <c r="C1792" t="s">
        <v>3132</v>
      </c>
      <c r="F1792" s="1">
        <v>35883</v>
      </c>
      <c r="G1792" t="s">
        <v>2272</v>
      </c>
      <c r="H1792" t="s">
        <v>121</v>
      </c>
      <c r="I1792" t="s">
        <v>11</v>
      </c>
    </row>
    <row r="1793" spans="1:9" x14ac:dyDescent="0.25">
      <c r="A1793" s="95">
        <v>1792</v>
      </c>
      <c r="B1793" t="s">
        <v>87</v>
      </c>
      <c r="C1793" t="s">
        <v>3133</v>
      </c>
      <c r="F1793" s="1">
        <v>44560</v>
      </c>
      <c r="G1793" t="s">
        <v>2272</v>
      </c>
      <c r="H1793" t="s">
        <v>121</v>
      </c>
      <c r="I1793" t="s">
        <v>11</v>
      </c>
    </row>
    <row r="1794" spans="1:9" x14ac:dyDescent="0.25">
      <c r="A1794" s="95">
        <v>1793</v>
      </c>
      <c r="B1794" t="s">
        <v>1345</v>
      </c>
      <c r="C1794" t="s">
        <v>3134</v>
      </c>
      <c r="D1794" t="s">
        <v>3135</v>
      </c>
      <c r="F1794" s="1">
        <v>42156</v>
      </c>
      <c r="G1794" t="s">
        <v>2276</v>
      </c>
      <c r="H1794" t="s">
        <v>121</v>
      </c>
      <c r="I1794" t="s">
        <v>11</v>
      </c>
    </row>
    <row r="1795" spans="1:9" x14ac:dyDescent="0.25">
      <c r="A1795" s="95">
        <v>1794</v>
      </c>
      <c r="B1795" t="s">
        <v>1345</v>
      </c>
      <c r="C1795" t="s">
        <v>3136</v>
      </c>
      <c r="D1795" t="s">
        <v>3135</v>
      </c>
      <c r="F1795" s="1">
        <v>42554</v>
      </c>
      <c r="G1795" t="s">
        <v>2276</v>
      </c>
      <c r="H1795" t="s">
        <v>121</v>
      </c>
      <c r="I1795" t="s">
        <v>11</v>
      </c>
    </row>
    <row r="1796" spans="1:9" x14ac:dyDescent="0.25">
      <c r="A1796" s="95">
        <v>1795</v>
      </c>
      <c r="B1796" t="s">
        <v>1940</v>
      </c>
      <c r="C1796" t="s">
        <v>3137</v>
      </c>
      <c r="D1796" t="s">
        <v>2561</v>
      </c>
      <c r="F1796" s="1">
        <v>39354</v>
      </c>
      <c r="G1796" t="s">
        <v>2276</v>
      </c>
      <c r="H1796" t="s">
        <v>121</v>
      </c>
      <c r="I1796" t="s">
        <v>11</v>
      </c>
    </row>
    <row r="1797" spans="1:9" x14ac:dyDescent="0.25">
      <c r="A1797" s="95">
        <v>1796</v>
      </c>
      <c r="B1797" t="s">
        <v>1752</v>
      </c>
      <c r="C1797" t="s">
        <v>3138</v>
      </c>
      <c r="D1797" t="s">
        <v>1848</v>
      </c>
      <c r="F1797" s="1">
        <v>38886</v>
      </c>
      <c r="G1797" t="s">
        <v>2272</v>
      </c>
      <c r="H1797" t="s">
        <v>121</v>
      </c>
      <c r="I1797" t="s">
        <v>11</v>
      </c>
    </row>
    <row r="1798" spans="1:9" x14ac:dyDescent="0.25">
      <c r="A1798" s="95">
        <v>1797</v>
      </c>
      <c r="B1798" t="s">
        <v>1867</v>
      </c>
      <c r="C1798" t="s">
        <v>1049</v>
      </c>
      <c r="F1798" s="1">
        <v>31267</v>
      </c>
      <c r="G1798" t="s">
        <v>2272</v>
      </c>
      <c r="H1798" t="s">
        <v>121</v>
      </c>
      <c r="I1798" t="s">
        <v>11</v>
      </c>
    </row>
    <row r="1799" spans="1:9" x14ac:dyDescent="0.25">
      <c r="A1799" s="95">
        <v>1798</v>
      </c>
      <c r="B1799" t="s">
        <v>941</v>
      </c>
      <c r="C1799" t="s">
        <v>210</v>
      </c>
      <c r="F1799" s="1">
        <v>34080</v>
      </c>
      <c r="G1799" t="s">
        <v>2272</v>
      </c>
      <c r="H1799" t="s">
        <v>121</v>
      </c>
      <c r="I1799" t="s">
        <v>11</v>
      </c>
    </row>
    <row r="1800" spans="1:9" x14ac:dyDescent="0.25">
      <c r="A1800" s="95">
        <v>1799</v>
      </c>
      <c r="B1800" t="s">
        <v>3139</v>
      </c>
      <c r="C1800" t="s">
        <v>360</v>
      </c>
      <c r="D1800" t="s">
        <v>120</v>
      </c>
      <c r="F1800" s="1">
        <v>34950</v>
      </c>
      <c r="G1800" t="s">
        <v>2276</v>
      </c>
      <c r="H1800" t="s">
        <v>121</v>
      </c>
      <c r="I1800" t="s">
        <v>11</v>
      </c>
    </row>
    <row r="1801" spans="1:9" x14ac:dyDescent="0.25">
      <c r="A1801" s="95">
        <v>1800</v>
      </c>
      <c r="B1801" t="s">
        <v>120</v>
      </c>
      <c r="C1801" t="s">
        <v>3140</v>
      </c>
      <c r="F1801" s="1">
        <v>35516</v>
      </c>
      <c r="G1801" t="s">
        <v>2276</v>
      </c>
      <c r="H1801" t="s">
        <v>121</v>
      </c>
      <c r="I1801" t="s">
        <v>11</v>
      </c>
    </row>
    <row r="1802" spans="1:9" x14ac:dyDescent="0.25">
      <c r="A1802" s="95">
        <v>1801</v>
      </c>
      <c r="B1802" t="s">
        <v>120</v>
      </c>
      <c r="C1802" t="s">
        <v>1340</v>
      </c>
      <c r="F1802" s="1">
        <v>36706</v>
      </c>
      <c r="G1802" t="s">
        <v>2276</v>
      </c>
      <c r="H1802" t="s">
        <v>121</v>
      </c>
      <c r="I1802" t="s">
        <v>11</v>
      </c>
    </row>
    <row r="1803" spans="1:9" x14ac:dyDescent="0.25">
      <c r="A1803" s="95">
        <v>1802</v>
      </c>
      <c r="B1803" t="s">
        <v>120</v>
      </c>
      <c r="C1803" t="s">
        <v>3141</v>
      </c>
      <c r="F1803" s="1">
        <v>37492</v>
      </c>
      <c r="G1803" t="s">
        <v>2276</v>
      </c>
      <c r="H1803" t="s">
        <v>121</v>
      </c>
      <c r="I1803" t="s">
        <v>11</v>
      </c>
    </row>
    <row r="1804" spans="1:9" x14ac:dyDescent="0.25">
      <c r="A1804" s="95">
        <v>1803</v>
      </c>
      <c r="B1804" t="s">
        <v>109</v>
      </c>
      <c r="C1804" t="s">
        <v>3142</v>
      </c>
      <c r="F1804" s="1">
        <v>30292</v>
      </c>
      <c r="G1804" t="s">
        <v>2272</v>
      </c>
      <c r="H1804" t="s">
        <v>121</v>
      </c>
      <c r="I1804" t="s">
        <v>11</v>
      </c>
    </row>
    <row r="1805" spans="1:9" x14ac:dyDescent="0.25">
      <c r="A1805" s="95">
        <v>1804</v>
      </c>
      <c r="B1805" t="s">
        <v>89</v>
      </c>
      <c r="C1805" t="s">
        <v>3143</v>
      </c>
      <c r="F1805" s="1">
        <v>37235</v>
      </c>
      <c r="G1805" t="s">
        <v>2272</v>
      </c>
      <c r="H1805" t="s">
        <v>121</v>
      </c>
      <c r="I1805" t="s">
        <v>11</v>
      </c>
    </row>
    <row r="1806" spans="1:9" x14ac:dyDescent="0.25">
      <c r="A1806" s="95">
        <v>1805</v>
      </c>
      <c r="B1806" t="s">
        <v>1971</v>
      </c>
      <c r="C1806" t="s">
        <v>869</v>
      </c>
      <c r="D1806" t="s">
        <v>1959</v>
      </c>
      <c r="F1806" s="1">
        <v>26062</v>
      </c>
      <c r="G1806" t="s">
        <v>2276</v>
      </c>
      <c r="H1806" t="s">
        <v>121</v>
      </c>
      <c r="I1806" t="s">
        <v>11</v>
      </c>
    </row>
    <row r="1807" spans="1:9" x14ac:dyDescent="0.25">
      <c r="A1807" s="95">
        <v>1806</v>
      </c>
      <c r="B1807" t="s">
        <v>1959</v>
      </c>
      <c r="C1807" t="s">
        <v>3144</v>
      </c>
      <c r="F1807" s="1">
        <v>26568</v>
      </c>
      <c r="G1807" t="s">
        <v>2276</v>
      </c>
      <c r="H1807" t="s">
        <v>121</v>
      </c>
      <c r="I1807" t="s">
        <v>11</v>
      </c>
    </row>
    <row r="1808" spans="1:9" x14ac:dyDescent="0.25">
      <c r="A1808" s="95">
        <v>1807</v>
      </c>
      <c r="B1808" t="s">
        <v>125</v>
      </c>
      <c r="C1808" t="s">
        <v>1875</v>
      </c>
      <c r="D1808" t="s">
        <v>1959</v>
      </c>
      <c r="F1808" s="1">
        <v>29409</v>
      </c>
      <c r="G1808" t="s">
        <v>2276</v>
      </c>
      <c r="H1808" t="s">
        <v>121</v>
      </c>
      <c r="I1808" t="s">
        <v>11</v>
      </c>
    </row>
    <row r="1809" spans="1:9" x14ac:dyDescent="0.25">
      <c r="A1809" s="95">
        <v>1808</v>
      </c>
      <c r="B1809" t="s">
        <v>1275</v>
      </c>
      <c r="C1809" t="s">
        <v>3145</v>
      </c>
      <c r="D1809" t="s">
        <v>2516</v>
      </c>
      <c r="F1809" s="1">
        <v>27360</v>
      </c>
      <c r="G1809" t="s">
        <v>2272</v>
      </c>
      <c r="H1809" t="s">
        <v>121</v>
      </c>
      <c r="I1809" t="s">
        <v>11</v>
      </c>
    </row>
    <row r="1810" spans="1:9" x14ac:dyDescent="0.25">
      <c r="A1810" s="95">
        <v>1809</v>
      </c>
      <c r="B1810" t="s">
        <v>1773</v>
      </c>
      <c r="C1810" t="s">
        <v>3146</v>
      </c>
      <c r="D1810" t="s">
        <v>339</v>
      </c>
      <c r="F1810" s="1">
        <v>38523</v>
      </c>
      <c r="G1810" t="s">
        <v>2272</v>
      </c>
      <c r="H1810" t="s">
        <v>121</v>
      </c>
      <c r="I1810" t="s">
        <v>11</v>
      </c>
    </row>
    <row r="1811" spans="1:9" x14ac:dyDescent="0.25">
      <c r="A1811" s="95">
        <v>1810</v>
      </c>
      <c r="B1811" t="s">
        <v>358</v>
      </c>
      <c r="C1811" t="s">
        <v>3147</v>
      </c>
      <c r="F1811" s="1">
        <v>31455</v>
      </c>
      <c r="G1811" t="s">
        <v>2276</v>
      </c>
      <c r="H1811" t="s">
        <v>121</v>
      </c>
      <c r="I1811" t="s">
        <v>11</v>
      </c>
    </row>
    <row r="1812" spans="1:9" x14ac:dyDescent="0.25">
      <c r="A1812" s="95">
        <v>1811</v>
      </c>
      <c r="B1812" t="s">
        <v>1926</v>
      </c>
      <c r="C1812" t="s">
        <v>2038</v>
      </c>
      <c r="E1812" t="s">
        <v>3148</v>
      </c>
      <c r="F1812" s="1">
        <v>38866</v>
      </c>
      <c r="G1812" t="s">
        <v>2272</v>
      </c>
      <c r="H1812" t="s">
        <v>121</v>
      </c>
      <c r="I1812" t="s">
        <v>11</v>
      </c>
    </row>
    <row r="1813" spans="1:9" x14ac:dyDescent="0.25">
      <c r="A1813" s="95">
        <v>1812</v>
      </c>
      <c r="B1813" t="s">
        <v>1797</v>
      </c>
      <c r="C1813" t="s">
        <v>3149</v>
      </c>
      <c r="F1813" s="1">
        <v>37576</v>
      </c>
      <c r="G1813" t="s">
        <v>2272</v>
      </c>
      <c r="H1813" t="s">
        <v>121</v>
      </c>
      <c r="I1813" t="s">
        <v>11</v>
      </c>
    </row>
    <row r="1814" spans="1:9" x14ac:dyDescent="0.25">
      <c r="A1814" s="95">
        <v>1813</v>
      </c>
      <c r="B1814" t="s">
        <v>1971</v>
      </c>
      <c r="C1814" t="s">
        <v>3150</v>
      </c>
      <c r="F1814" s="1">
        <v>36867</v>
      </c>
      <c r="G1814" t="s">
        <v>2276</v>
      </c>
      <c r="H1814" t="s">
        <v>121</v>
      </c>
      <c r="I1814" t="s">
        <v>11</v>
      </c>
    </row>
    <row r="1815" spans="1:9" x14ac:dyDescent="0.25">
      <c r="A1815" s="95">
        <v>1814</v>
      </c>
      <c r="B1815" t="s">
        <v>1971</v>
      </c>
      <c r="C1815" t="s">
        <v>3151</v>
      </c>
      <c r="F1815" s="1">
        <v>37376</v>
      </c>
      <c r="G1815" t="s">
        <v>2276</v>
      </c>
      <c r="H1815" t="s">
        <v>121</v>
      </c>
      <c r="I1815" t="s">
        <v>11</v>
      </c>
    </row>
    <row r="1816" spans="1:9" x14ac:dyDescent="0.25">
      <c r="A1816" s="95">
        <v>1815</v>
      </c>
      <c r="B1816" t="s">
        <v>1971</v>
      </c>
      <c r="C1816" t="s">
        <v>3152</v>
      </c>
      <c r="F1816" s="1">
        <v>40169</v>
      </c>
      <c r="G1816" t="s">
        <v>2276</v>
      </c>
      <c r="H1816" t="s">
        <v>121</v>
      </c>
      <c r="I1816" t="s">
        <v>11</v>
      </c>
    </row>
    <row r="1817" spans="1:9" x14ac:dyDescent="0.25">
      <c r="A1817" s="95">
        <v>1816</v>
      </c>
      <c r="B1817" t="s">
        <v>1973</v>
      </c>
      <c r="C1817" t="s">
        <v>3153</v>
      </c>
      <c r="F1817" s="1">
        <v>35390</v>
      </c>
      <c r="G1817" t="s">
        <v>2272</v>
      </c>
      <c r="H1817" t="s">
        <v>121</v>
      </c>
      <c r="I1817" t="s">
        <v>11</v>
      </c>
    </row>
    <row r="1818" spans="1:9" x14ac:dyDescent="0.25">
      <c r="A1818" s="95">
        <v>1817</v>
      </c>
      <c r="B1818" t="s">
        <v>1973</v>
      </c>
      <c r="C1818" t="s">
        <v>3154</v>
      </c>
      <c r="F1818" s="1">
        <v>36881</v>
      </c>
      <c r="G1818" t="s">
        <v>2272</v>
      </c>
      <c r="H1818" t="s">
        <v>121</v>
      </c>
      <c r="I1818" t="s">
        <v>11</v>
      </c>
    </row>
    <row r="1819" spans="1:9" x14ac:dyDescent="0.25">
      <c r="A1819" s="95">
        <v>1818</v>
      </c>
      <c r="B1819" t="s">
        <v>1973</v>
      </c>
      <c r="C1819" t="s">
        <v>424</v>
      </c>
      <c r="F1819" s="1">
        <v>38373</v>
      </c>
      <c r="G1819" t="s">
        <v>2272</v>
      </c>
      <c r="H1819" t="s">
        <v>121</v>
      </c>
      <c r="I1819" t="s">
        <v>11</v>
      </c>
    </row>
    <row r="1820" spans="1:9" x14ac:dyDescent="0.25">
      <c r="A1820" s="95">
        <v>1819</v>
      </c>
      <c r="B1820" t="s">
        <v>1762</v>
      </c>
      <c r="C1820" t="s">
        <v>3155</v>
      </c>
      <c r="D1820" t="s">
        <v>3156</v>
      </c>
      <c r="F1820" s="1">
        <v>44196</v>
      </c>
      <c r="G1820" t="s">
        <v>2276</v>
      </c>
      <c r="H1820" t="s">
        <v>121</v>
      </c>
      <c r="I1820" t="s">
        <v>11</v>
      </c>
    </row>
    <row r="1821" spans="1:9" x14ac:dyDescent="0.25">
      <c r="A1821" s="95">
        <v>1820</v>
      </c>
      <c r="B1821" t="s">
        <v>1762</v>
      </c>
      <c r="C1821" t="s">
        <v>3157</v>
      </c>
      <c r="F1821" s="1">
        <v>45095</v>
      </c>
      <c r="G1821" t="s">
        <v>2276</v>
      </c>
      <c r="H1821" t="s">
        <v>121</v>
      </c>
      <c r="I1821" t="s">
        <v>11</v>
      </c>
    </row>
    <row r="1822" spans="1:9" x14ac:dyDescent="0.25">
      <c r="A1822" s="95">
        <v>1821</v>
      </c>
      <c r="B1822" t="s">
        <v>1898</v>
      </c>
      <c r="C1822" t="s">
        <v>165</v>
      </c>
      <c r="F1822" s="1">
        <v>36446</v>
      </c>
      <c r="G1822" t="s">
        <v>2272</v>
      </c>
      <c r="H1822" t="s">
        <v>121</v>
      </c>
      <c r="I1822" t="s">
        <v>11</v>
      </c>
    </row>
    <row r="1823" spans="1:9" x14ac:dyDescent="0.25">
      <c r="A1823" s="95">
        <v>1822</v>
      </c>
      <c r="B1823" t="s">
        <v>1898</v>
      </c>
      <c r="C1823" t="s">
        <v>2300</v>
      </c>
      <c r="F1823" s="1">
        <v>37815</v>
      </c>
      <c r="G1823" t="s">
        <v>2272</v>
      </c>
      <c r="H1823" t="s">
        <v>121</v>
      </c>
      <c r="I1823" t="s">
        <v>11</v>
      </c>
    </row>
    <row r="1824" spans="1:9" x14ac:dyDescent="0.25">
      <c r="A1824" s="95">
        <v>1823</v>
      </c>
      <c r="B1824" t="s">
        <v>1898</v>
      </c>
      <c r="C1824" t="s">
        <v>2059</v>
      </c>
      <c r="F1824" s="1">
        <v>37846</v>
      </c>
      <c r="G1824" t="s">
        <v>2272</v>
      </c>
      <c r="H1824" t="s">
        <v>121</v>
      </c>
      <c r="I1824" t="s">
        <v>11</v>
      </c>
    </row>
    <row r="1825" spans="1:9" x14ac:dyDescent="0.25">
      <c r="A1825" s="95">
        <v>1824</v>
      </c>
      <c r="B1825" t="s">
        <v>1986</v>
      </c>
      <c r="C1825" t="s">
        <v>3158</v>
      </c>
      <c r="D1825" t="s">
        <v>1986</v>
      </c>
      <c r="F1825" s="1">
        <v>39148</v>
      </c>
      <c r="G1825" t="s">
        <v>2272</v>
      </c>
      <c r="H1825" t="s">
        <v>121</v>
      </c>
      <c r="I1825" t="s">
        <v>11</v>
      </c>
    </row>
    <row r="1826" spans="1:9" x14ac:dyDescent="0.25">
      <c r="A1826" s="95">
        <v>1825</v>
      </c>
      <c r="B1826" t="s">
        <v>1986</v>
      </c>
      <c r="C1826" t="s">
        <v>3159</v>
      </c>
      <c r="D1826" t="s">
        <v>2482</v>
      </c>
      <c r="F1826" s="1">
        <v>40882</v>
      </c>
      <c r="G1826" t="s">
        <v>2272</v>
      </c>
      <c r="H1826" t="s">
        <v>121</v>
      </c>
      <c r="I1826" t="s">
        <v>11</v>
      </c>
    </row>
    <row r="1827" spans="1:9" x14ac:dyDescent="0.25">
      <c r="A1827" s="95">
        <v>1826</v>
      </c>
      <c r="B1827" t="s">
        <v>538</v>
      </c>
      <c r="C1827" t="s">
        <v>3160</v>
      </c>
      <c r="F1827" s="1">
        <v>36110</v>
      </c>
      <c r="G1827" t="s">
        <v>2272</v>
      </c>
      <c r="H1827" t="s">
        <v>121</v>
      </c>
      <c r="I1827" t="s">
        <v>11</v>
      </c>
    </row>
    <row r="1828" spans="1:9" x14ac:dyDescent="0.25">
      <c r="A1828" s="95">
        <v>1827</v>
      </c>
      <c r="B1828" t="s">
        <v>538</v>
      </c>
      <c r="C1828" t="s">
        <v>3161</v>
      </c>
      <c r="F1828" s="1">
        <v>39457</v>
      </c>
      <c r="G1828" t="s">
        <v>2272</v>
      </c>
      <c r="H1828" t="s">
        <v>121</v>
      </c>
      <c r="I1828" t="s">
        <v>11</v>
      </c>
    </row>
    <row r="1829" spans="1:9" x14ac:dyDescent="0.25">
      <c r="A1829" s="95">
        <v>1828</v>
      </c>
      <c r="B1829" t="s">
        <v>1275</v>
      </c>
      <c r="C1829" t="s">
        <v>405</v>
      </c>
      <c r="F1829" s="1">
        <v>31482</v>
      </c>
      <c r="G1829" t="s">
        <v>2272</v>
      </c>
      <c r="H1829" t="s">
        <v>121</v>
      </c>
      <c r="I1829" t="s">
        <v>11</v>
      </c>
    </row>
    <row r="1830" spans="1:9" x14ac:dyDescent="0.25">
      <c r="A1830" s="95">
        <v>1829</v>
      </c>
      <c r="B1830" t="s">
        <v>1275</v>
      </c>
      <c r="C1830" t="s">
        <v>3162</v>
      </c>
      <c r="F1830" s="1">
        <v>27955</v>
      </c>
      <c r="G1830" t="s">
        <v>2272</v>
      </c>
      <c r="H1830" t="s">
        <v>121</v>
      </c>
      <c r="I1830" t="s">
        <v>11</v>
      </c>
    </row>
    <row r="1831" spans="1:9" x14ac:dyDescent="0.25">
      <c r="A1831" s="95">
        <v>1830</v>
      </c>
      <c r="B1831" t="s">
        <v>1993</v>
      </c>
      <c r="C1831" t="s">
        <v>1593</v>
      </c>
      <c r="D1831" t="s">
        <v>1758</v>
      </c>
      <c r="F1831" s="1">
        <v>37909</v>
      </c>
      <c r="G1831" t="s">
        <v>2272</v>
      </c>
      <c r="H1831" t="s">
        <v>121</v>
      </c>
      <c r="I1831" t="s">
        <v>11</v>
      </c>
    </row>
    <row r="1832" spans="1:9" x14ac:dyDescent="0.25">
      <c r="A1832" s="95">
        <v>1831</v>
      </c>
      <c r="B1832" t="s">
        <v>1995</v>
      </c>
      <c r="C1832" t="s">
        <v>154</v>
      </c>
      <c r="D1832" t="s">
        <v>2482</v>
      </c>
      <c r="F1832" s="1">
        <v>42031</v>
      </c>
      <c r="G1832" t="s">
        <v>2276</v>
      </c>
      <c r="H1832" t="s">
        <v>121</v>
      </c>
      <c r="I1832" t="s">
        <v>11</v>
      </c>
    </row>
    <row r="1833" spans="1:9" x14ac:dyDescent="0.25">
      <c r="A1833" s="95">
        <v>1832</v>
      </c>
      <c r="B1833" t="s">
        <v>2434</v>
      </c>
      <c r="C1833" t="s">
        <v>3163</v>
      </c>
      <c r="D1833" t="s">
        <v>2676</v>
      </c>
      <c r="F1833" s="1">
        <v>44346</v>
      </c>
      <c r="G1833" t="s">
        <v>2276</v>
      </c>
      <c r="H1833" t="s">
        <v>121</v>
      </c>
      <c r="I1833" t="s">
        <v>11</v>
      </c>
    </row>
    <row r="1834" spans="1:9" x14ac:dyDescent="0.25">
      <c r="A1834" s="95">
        <v>1833</v>
      </c>
      <c r="B1834" t="s">
        <v>87</v>
      </c>
      <c r="C1834" t="s">
        <v>3164</v>
      </c>
      <c r="D1834" t="s">
        <v>2625</v>
      </c>
      <c r="F1834" s="1">
        <v>37114</v>
      </c>
      <c r="G1834" t="s">
        <v>2272</v>
      </c>
      <c r="H1834" t="s">
        <v>121</v>
      </c>
      <c r="I1834" t="s">
        <v>11</v>
      </c>
    </row>
    <row r="1835" spans="1:9" x14ac:dyDescent="0.25">
      <c r="A1835" s="95">
        <v>1834</v>
      </c>
      <c r="B1835" t="s">
        <v>87</v>
      </c>
      <c r="C1835" t="s">
        <v>3165</v>
      </c>
      <c r="D1835" t="s">
        <v>2625</v>
      </c>
      <c r="F1835" s="1">
        <v>38296</v>
      </c>
      <c r="G1835" t="s">
        <v>2272</v>
      </c>
      <c r="H1835" t="s">
        <v>121</v>
      </c>
      <c r="I1835" t="s">
        <v>11</v>
      </c>
    </row>
    <row r="1836" spans="1:9" x14ac:dyDescent="0.25">
      <c r="A1836" s="95">
        <v>1835</v>
      </c>
      <c r="B1836" t="s">
        <v>87</v>
      </c>
      <c r="C1836" t="s">
        <v>3166</v>
      </c>
      <c r="D1836" t="s">
        <v>2625</v>
      </c>
      <c r="F1836" s="1">
        <v>27300</v>
      </c>
      <c r="G1836" t="s">
        <v>2272</v>
      </c>
      <c r="H1836" t="s">
        <v>121</v>
      </c>
      <c r="I1836" t="s">
        <v>11</v>
      </c>
    </row>
    <row r="1837" spans="1:9" x14ac:dyDescent="0.25">
      <c r="A1837" s="95">
        <v>1836</v>
      </c>
      <c r="B1837" t="s">
        <v>1426</v>
      </c>
      <c r="C1837" t="s">
        <v>3167</v>
      </c>
      <c r="D1837" t="s">
        <v>2559</v>
      </c>
      <c r="F1837" s="1">
        <v>44863</v>
      </c>
      <c r="G1837" t="s">
        <v>2276</v>
      </c>
      <c r="H1837" t="s">
        <v>121</v>
      </c>
      <c r="I1837" t="s">
        <v>11</v>
      </c>
    </row>
    <row r="1838" spans="1:9" x14ac:dyDescent="0.25">
      <c r="A1838" s="95">
        <v>1837</v>
      </c>
      <c r="B1838" t="s">
        <v>2004</v>
      </c>
      <c r="C1838" t="s">
        <v>3168</v>
      </c>
      <c r="F1838" s="1">
        <v>35260</v>
      </c>
      <c r="G1838" t="s">
        <v>2272</v>
      </c>
      <c r="H1838" t="s">
        <v>121</v>
      </c>
      <c r="I1838" t="s">
        <v>11</v>
      </c>
    </row>
    <row r="1839" spans="1:9" x14ac:dyDescent="0.25">
      <c r="A1839" s="95">
        <v>1838</v>
      </c>
      <c r="B1839" t="s">
        <v>2004</v>
      </c>
      <c r="C1839" t="s">
        <v>3169</v>
      </c>
      <c r="F1839" s="1">
        <v>36071</v>
      </c>
      <c r="G1839" t="s">
        <v>2272</v>
      </c>
      <c r="H1839" t="s">
        <v>121</v>
      </c>
      <c r="I1839" t="s">
        <v>11</v>
      </c>
    </row>
    <row r="1840" spans="1:9" x14ac:dyDescent="0.25">
      <c r="A1840" s="95">
        <v>1839</v>
      </c>
      <c r="B1840" t="s">
        <v>2004</v>
      </c>
      <c r="C1840" t="s">
        <v>1055</v>
      </c>
      <c r="F1840" s="1">
        <v>36474</v>
      </c>
      <c r="G1840" t="s">
        <v>2272</v>
      </c>
      <c r="H1840" t="s">
        <v>121</v>
      </c>
      <c r="I1840" t="s">
        <v>11</v>
      </c>
    </row>
    <row r="1841" spans="1:9" x14ac:dyDescent="0.25">
      <c r="A1841" s="95">
        <v>1840</v>
      </c>
      <c r="B1841" t="s">
        <v>2004</v>
      </c>
      <c r="C1841" t="s">
        <v>2524</v>
      </c>
      <c r="F1841" s="1">
        <v>37037</v>
      </c>
      <c r="G1841" t="s">
        <v>2272</v>
      </c>
      <c r="H1841" t="s">
        <v>121</v>
      </c>
      <c r="I1841" t="s">
        <v>11</v>
      </c>
    </row>
    <row r="1842" spans="1:9" x14ac:dyDescent="0.25">
      <c r="A1842" s="95">
        <v>1841</v>
      </c>
      <c r="B1842" t="s">
        <v>2004</v>
      </c>
      <c r="C1842" t="s">
        <v>3170</v>
      </c>
      <c r="F1842" s="1">
        <v>39065</v>
      </c>
      <c r="G1842" t="s">
        <v>2272</v>
      </c>
      <c r="H1842" t="s">
        <v>121</v>
      </c>
      <c r="I1842" t="s">
        <v>11</v>
      </c>
    </row>
    <row r="1843" spans="1:9" x14ac:dyDescent="0.25">
      <c r="A1843" s="95">
        <v>1842</v>
      </c>
      <c r="B1843" t="s">
        <v>2004</v>
      </c>
      <c r="C1843" t="s">
        <v>3171</v>
      </c>
      <c r="F1843" s="1">
        <v>37875</v>
      </c>
      <c r="G1843" t="s">
        <v>2272</v>
      </c>
      <c r="H1843" t="s">
        <v>121</v>
      </c>
      <c r="I1843" t="s">
        <v>11</v>
      </c>
    </row>
    <row r="1844" spans="1:9" x14ac:dyDescent="0.25">
      <c r="A1844" s="95">
        <v>1843</v>
      </c>
      <c r="B1844" t="s">
        <v>3172</v>
      </c>
      <c r="C1844" t="s">
        <v>1057</v>
      </c>
      <c r="D1844" t="s">
        <v>2514</v>
      </c>
      <c r="F1844" s="1">
        <v>31984</v>
      </c>
      <c r="G1844" t="s">
        <v>2272</v>
      </c>
      <c r="H1844" t="s">
        <v>121</v>
      </c>
      <c r="I1844" t="s">
        <v>11</v>
      </c>
    </row>
    <row r="1845" spans="1:9" x14ac:dyDescent="0.25">
      <c r="A1845" s="95">
        <v>1844</v>
      </c>
      <c r="B1845" t="s">
        <v>1806</v>
      </c>
      <c r="C1845" t="s">
        <v>3173</v>
      </c>
      <c r="F1845" s="1">
        <v>37237</v>
      </c>
      <c r="G1845" t="s">
        <v>2272</v>
      </c>
      <c r="H1845" t="s">
        <v>121</v>
      </c>
      <c r="I1845" t="s">
        <v>11</v>
      </c>
    </row>
    <row r="1846" spans="1:9" x14ac:dyDescent="0.25">
      <c r="A1846" s="95">
        <v>1845</v>
      </c>
      <c r="B1846" t="s">
        <v>1806</v>
      </c>
      <c r="C1846" t="s">
        <v>3174</v>
      </c>
      <c r="F1846" s="1">
        <v>32787</v>
      </c>
      <c r="G1846" t="s">
        <v>2272</v>
      </c>
      <c r="H1846" t="s">
        <v>121</v>
      </c>
      <c r="I1846" t="s">
        <v>11</v>
      </c>
    </row>
    <row r="1847" spans="1:9" x14ac:dyDescent="0.25">
      <c r="A1847" s="95">
        <v>1846</v>
      </c>
      <c r="B1847" t="s">
        <v>2008</v>
      </c>
      <c r="C1847" t="s">
        <v>3175</v>
      </c>
      <c r="F1847" s="1">
        <v>42947</v>
      </c>
      <c r="G1847" t="s">
        <v>2276</v>
      </c>
      <c r="H1847" t="s">
        <v>121</v>
      </c>
      <c r="I1847" t="s">
        <v>11</v>
      </c>
    </row>
    <row r="1848" spans="1:9" x14ac:dyDescent="0.25">
      <c r="A1848" s="95">
        <v>1847</v>
      </c>
      <c r="B1848" t="s">
        <v>2008</v>
      </c>
      <c r="C1848" t="s">
        <v>3176</v>
      </c>
      <c r="F1848" s="1">
        <v>41424</v>
      </c>
      <c r="G1848" t="s">
        <v>2276</v>
      </c>
      <c r="H1848" t="s">
        <v>121</v>
      </c>
      <c r="I1848" t="s">
        <v>11</v>
      </c>
    </row>
    <row r="1849" spans="1:9" x14ac:dyDescent="0.25">
      <c r="A1849" s="95">
        <v>1848</v>
      </c>
      <c r="B1849" t="s">
        <v>737</v>
      </c>
      <c r="C1849" t="s">
        <v>3177</v>
      </c>
      <c r="D1849" t="s">
        <v>2012</v>
      </c>
      <c r="F1849" s="1">
        <v>38275</v>
      </c>
      <c r="G1849" t="s">
        <v>2272</v>
      </c>
      <c r="H1849" t="s">
        <v>121</v>
      </c>
      <c r="I1849" t="s">
        <v>11</v>
      </c>
    </row>
    <row r="1850" spans="1:9" x14ac:dyDescent="0.25">
      <c r="A1850" s="95">
        <v>1849</v>
      </c>
      <c r="B1850" t="s">
        <v>1941</v>
      </c>
      <c r="C1850" t="s">
        <v>3178</v>
      </c>
      <c r="F1850" s="1">
        <v>39470</v>
      </c>
      <c r="G1850" t="s">
        <v>2276</v>
      </c>
      <c r="H1850" t="s">
        <v>121</v>
      </c>
      <c r="I1850" t="s">
        <v>11</v>
      </c>
    </row>
    <row r="1851" spans="1:9" x14ac:dyDescent="0.25">
      <c r="A1851" s="95">
        <v>1850</v>
      </c>
      <c r="B1851" t="s">
        <v>1941</v>
      </c>
      <c r="C1851" t="s">
        <v>3179</v>
      </c>
      <c r="F1851" s="1">
        <v>40773</v>
      </c>
      <c r="G1851" t="s">
        <v>2276</v>
      </c>
      <c r="H1851" t="s">
        <v>121</v>
      </c>
      <c r="I1851" t="s">
        <v>11</v>
      </c>
    </row>
    <row r="1852" spans="1:9" x14ac:dyDescent="0.25">
      <c r="A1852" s="95">
        <v>1851</v>
      </c>
      <c r="B1852" t="s">
        <v>538</v>
      </c>
      <c r="C1852" t="s">
        <v>138</v>
      </c>
      <c r="F1852" s="1">
        <v>27493</v>
      </c>
      <c r="G1852" t="s">
        <v>2276</v>
      </c>
      <c r="H1852" t="s">
        <v>121</v>
      </c>
      <c r="I1852" t="s">
        <v>11</v>
      </c>
    </row>
    <row r="1853" spans="1:9" x14ac:dyDescent="0.25">
      <c r="A1853" s="95">
        <v>1852</v>
      </c>
      <c r="B1853" t="s">
        <v>538</v>
      </c>
      <c r="C1853" t="s">
        <v>2367</v>
      </c>
      <c r="F1853" s="1">
        <v>27072</v>
      </c>
      <c r="G1853" t="s">
        <v>2276</v>
      </c>
      <c r="H1853" t="s">
        <v>121</v>
      </c>
      <c r="I1853" t="s">
        <v>11</v>
      </c>
    </row>
    <row r="1854" spans="1:9" x14ac:dyDescent="0.25">
      <c r="A1854" s="95">
        <v>1853</v>
      </c>
      <c r="B1854" t="s">
        <v>538</v>
      </c>
      <c r="C1854" t="s">
        <v>3180</v>
      </c>
      <c r="F1854" s="1">
        <v>40397</v>
      </c>
      <c r="G1854" t="s">
        <v>2276</v>
      </c>
      <c r="H1854" t="s">
        <v>121</v>
      </c>
      <c r="I1854" t="s">
        <v>11</v>
      </c>
    </row>
    <row r="1855" spans="1:9" x14ac:dyDescent="0.25">
      <c r="A1855" s="95">
        <v>1854</v>
      </c>
      <c r="B1855" t="s">
        <v>538</v>
      </c>
      <c r="C1855" t="s">
        <v>3181</v>
      </c>
      <c r="F1855" s="1">
        <v>43181</v>
      </c>
      <c r="G1855" t="s">
        <v>2276</v>
      </c>
      <c r="H1855" t="s">
        <v>121</v>
      </c>
      <c r="I1855" t="s">
        <v>11</v>
      </c>
    </row>
    <row r="1856" spans="1:9" x14ac:dyDescent="0.25">
      <c r="A1856" s="95">
        <v>1855</v>
      </c>
      <c r="B1856" t="s">
        <v>538</v>
      </c>
      <c r="C1856" t="s">
        <v>3182</v>
      </c>
      <c r="F1856" s="1">
        <v>42390</v>
      </c>
      <c r="G1856" t="s">
        <v>2276</v>
      </c>
      <c r="H1856" t="s">
        <v>121</v>
      </c>
      <c r="I1856" t="s">
        <v>11</v>
      </c>
    </row>
    <row r="1857" spans="1:9" x14ac:dyDescent="0.25">
      <c r="A1857" s="95">
        <v>1856</v>
      </c>
      <c r="B1857" t="s">
        <v>538</v>
      </c>
      <c r="C1857" t="s">
        <v>3183</v>
      </c>
      <c r="F1857" s="1">
        <v>44664</v>
      </c>
      <c r="G1857" t="s">
        <v>2276</v>
      </c>
      <c r="H1857" t="s">
        <v>121</v>
      </c>
      <c r="I1857" t="s">
        <v>11</v>
      </c>
    </row>
    <row r="1858" spans="1:9" x14ac:dyDescent="0.25">
      <c r="A1858" s="95">
        <v>1857</v>
      </c>
      <c r="B1858" t="s">
        <v>1498</v>
      </c>
      <c r="C1858" t="s">
        <v>3184</v>
      </c>
      <c r="F1858" s="1">
        <v>36725</v>
      </c>
      <c r="G1858" t="s">
        <v>2272</v>
      </c>
      <c r="H1858" t="s">
        <v>121</v>
      </c>
      <c r="I1858" t="s">
        <v>11</v>
      </c>
    </row>
    <row r="1859" spans="1:9" x14ac:dyDescent="0.25">
      <c r="A1859" s="95">
        <v>1858</v>
      </c>
      <c r="B1859" t="s">
        <v>1898</v>
      </c>
      <c r="C1859" t="s">
        <v>3185</v>
      </c>
      <c r="D1859" t="s">
        <v>2674</v>
      </c>
      <c r="F1859" s="1">
        <v>34495</v>
      </c>
      <c r="G1859" t="s">
        <v>2276</v>
      </c>
      <c r="H1859" t="s">
        <v>121</v>
      </c>
      <c r="I1859" t="s">
        <v>11</v>
      </c>
    </row>
    <row r="1860" spans="1:9" x14ac:dyDescent="0.25">
      <c r="A1860" s="95">
        <v>1859</v>
      </c>
      <c r="B1860" t="s">
        <v>1898</v>
      </c>
      <c r="C1860" t="s">
        <v>156</v>
      </c>
      <c r="D1860" t="s">
        <v>2674</v>
      </c>
      <c r="F1860" s="1">
        <v>35225</v>
      </c>
      <c r="G1860" t="s">
        <v>2276</v>
      </c>
      <c r="H1860" t="s">
        <v>121</v>
      </c>
      <c r="I1860" t="s">
        <v>11</v>
      </c>
    </row>
    <row r="1861" spans="1:9" x14ac:dyDescent="0.25">
      <c r="A1861" s="95">
        <v>1860</v>
      </c>
      <c r="B1861" t="s">
        <v>1898</v>
      </c>
      <c r="C1861" t="s">
        <v>61</v>
      </c>
      <c r="D1861" t="s">
        <v>2674</v>
      </c>
      <c r="F1861" s="1">
        <v>36284</v>
      </c>
      <c r="G1861" t="s">
        <v>2276</v>
      </c>
      <c r="H1861" t="s">
        <v>121</v>
      </c>
      <c r="I1861" t="s">
        <v>11</v>
      </c>
    </row>
    <row r="1862" spans="1:9" x14ac:dyDescent="0.25">
      <c r="A1862" s="95">
        <v>1861</v>
      </c>
      <c r="B1862" t="s">
        <v>1898</v>
      </c>
      <c r="C1862" t="s">
        <v>91</v>
      </c>
      <c r="D1862" t="s">
        <v>2674</v>
      </c>
      <c r="F1862" s="1">
        <v>37169</v>
      </c>
      <c r="G1862" t="s">
        <v>2276</v>
      </c>
      <c r="H1862" t="s">
        <v>121</v>
      </c>
      <c r="I1862" t="s">
        <v>11</v>
      </c>
    </row>
    <row r="1863" spans="1:9" x14ac:dyDescent="0.25">
      <c r="A1863" s="95">
        <v>1862</v>
      </c>
      <c r="B1863" t="s">
        <v>1898</v>
      </c>
      <c r="C1863" t="s">
        <v>2966</v>
      </c>
      <c r="D1863" t="s">
        <v>2674</v>
      </c>
      <c r="F1863" s="1">
        <v>41144</v>
      </c>
      <c r="G1863" t="s">
        <v>2276</v>
      </c>
      <c r="H1863" t="s">
        <v>121</v>
      </c>
      <c r="I1863" t="s">
        <v>11</v>
      </c>
    </row>
    <row r="1864" spans="1:9" x14ac:dyDescent="0.25">
      <c r="A1864" s="95">
        <v>1863</v>
      </c>
      <c r="B1864" t="s">
        <v>1857</v>
      </c>
      <c r="C1864" t="s">
        <v>568</v>
      </c>
      <c r="F1864" s="1">
        <v>34953</v>
      </c>
      <c r="G1864" t="s">
        <v>2272</v>
      </c>
      <c r="H1864" t="s">
        <v>121</v>
      </c>
      <c r="I1864" t="s">
        <v>11</v>
      </c>
    </row>
    <row r="1865" spans="1:9" x14ac:dyDescent="0.25">
      <c r="A1865" s="95">
        <v>1864</v>
      </c>
      <c r="B1865" t="s">
        <v>2587</v>
      </c>
      <c r="C1865" t="s">
        <v>3186</v>
      </c>
      <c r="F1865" s="1">
        <v>37741</v>
      </c>
      <c r="G1865" t="s">
        <v>2272</v>
      </c>
      <c r="H1865" t="s">
        <v>121</v>
      </c>
      <c r="I1865" t="s">
        <v>11</v>
      </c>
    </row>
    <row r="1866" spans="1:9" x14ac:dyDescent="0.25">
      <c r="A1866" s="95">
        <v>1865</v>
      </c>
      <c r="B1866" t="s">
        <v>1932</v>
      </c>
      <c r="C1866" t="s">
        <v>2937</v>
      </c>
      <c r="D1866" t="s">
        <v>2482</v>
      </c>
      <c r="F1866" s="1">
        <v>32385</v>
      </c>
      <c r="G1866" t="s">
        <v>2276</v>
      </c>
      <c r="H1866" t="s">
        <v>121</v>
      </c>
      <c r="I1866" t="s">
        <v>11</v>
      </c>
    </row>
    <row r="1867" spans="1:9" x14ac:dyDescent="0.25">
      <c r="A1867" s="95">
        <v>1866</v>
      </c>
      <c r="B1867" t="s">
        <v>1932</v>
      </c>
      <c r="C1867" t="s">
        <v>3187</v>
      </c>
      <c r="D1867" t="s">
        <v>2482</v>
      </c>
      <c r="F1867" s="1">
        <v>35326</v>
      </c>
      <c r="G1867" t="s">
        <v>2276</v>
      </c>
      <c r="H1867" t="s">
        <v>121</v>
      </c>
      <c r="I1867" t="s">
        <v>11</v>
      </c>
    </row>
    <row r="1868" spans="1:9" x14ac:dyDescent="0.25">
      <c r="A1868" s="95">
        <v>1867</v>
      </c>
      <c r="B1868" t="s">
        <v>1932</v>
      </c>
      <c r="C1868" t="s">
        <v>342</v>
      </c>
      <c r="D1868" t="s">
        <v>2482</v>
      </c>
      <c r="F1868" s="1">
        <v>36315</v>
      </c>
      <c r="G1868" t="s">
        <v>2276</v>
      </c>
      <c r="H1868" t="s">
        <v>121</v>
      </c>
      <c r="I1868" t="s">
        <v>11</v>
      </c>
    </row>
    <row r="1869" spans="1:9" x14ac:dyDescent="0.25">
      <c r="A1869" s="95">
        <v>1868</v>
      </c>
      <c r="B1869" t="s">
        <v>1848</v>
      </c>
      <c r="C1869" t="s">
        <v>3188</v>
      </c>
      <c r="F1869" s="1">
        <v>28599</v>
      </c>
      <c r="G1869" t="s">
        <v>2272</v>
      </c>
      <c r="H1869" t="s">
        <v>121</v>
      </c>
      <c r="I1869" t="s">
        <v>11</v>
      </c>
    </row>
    <row r="1870" spans="1:9" x14ac:dyDescent="0.25">
      <c r="A1870" s="95">
        <v>1869</v>
      </c>
      <c r="B1870" t="s">
        <v>358</v>
      </c>
      <c r="C1870" t="s">
        <v>566</v>
      </c>
      <c r="D1870" t="s">
        <v>2561</v>
      </c>
      <c r="F1870" s="1">
        <v>31385</v>
      </c>
      <c r="G1870" t="s">
        <v>2276</v>
      </c>
      <c r="H1870" t="s">
        <v>121</v>
      </c>
      <c r="I1870" t="s">
        <v>11</v>
      </c>
    </row>
    <row r="1871" spans="1:9" x14ac:dyDescent="0.25">
      <c r="A1871" s="95">
        <v>1870</v>
      </c>
      <c r="B1871" t="s">
        <v>358</v>
      </c>
      <c r="C1871" t="s">
        <v>3189</v>
      </c>
      <c r="F1871" s="1">
        <v>38578</v>
      </c>
      <c r="G1871" t="s">
        <v>2276</v>
      </c>
      <c r="H1871" t="s">
        <v>121</v>
      </c>
      <c r="I1871" t="s">
        <v>11</v>
      </c>
    </row>
    <row r="1872" spans="1:9" x14ac:dyDescent="0.25">
      <c r="A1872" s="95">
        <v>1871</v>
      </c>
      <c r="B1872" t="s">
        <v>90</v>
      </c>
      <c r="C1872" t="s">
        <v>3190</v>
      </c>
      <c r="F1872" s="1">
        <v>35367</v>
      </c>
      <c r="G1872" t="s">
        <v>2272</v>
      </c>
      <c r="H1872" t="s">
        <v>121</v>
      </c>
      <c r="I1872" t="s">
        <v>11</v>
      </c>
    </row>
    <row r="1873" spans="1:9" x14ac:dyDescent="0.25">
      <c r="A1873" s="95">
        <v>1872</v>
      </c>
      <c r="B1873" t="s">
        <v>90</v>
      </c>
      <c r="C1873" t="s">
        <v>3191</v>
      </c>
      <c r="F1873" s="1">
        <v>38653</v>
      </c>
      <c r="G1873" t="s">
        <v>2272</v>
      </c>
      <c r="H1873" t="s">
        <v>121</v>
      </c>
      <c r="I1873" t="s">
        <v>11</v>
      </c>
    </row>
    <row r="1874" spans="1:9" x14ac:dyDescent="0.25">
      <c r="A1874" s="95">
        <v>1873</v>
      </c>
      <c r="B1874" t="s">
        <v>2042</v>
      </c>
      <c r="C1874" t="s">
        <v>3192</v>
      </c>
      <c r="F1874" s="1">
        <v>35494</v>
      </c>
      <c r="G1874" t="s">
        <v>2272</v>
      </c>
      <c r="H1874" t="s">
        <v>121</v>
      </c>
      <c r="I1874" t="s">
        <v>11</v>
      </c>
    </row>
    <row r="1875" spans="1:9" x14ac:dyDescent="0.25">
      <c r="A1875" s="95">
        <v>1874</v>
      </c>
      <c r="B1875" t="s">
        <v>2042</v>
      </c>
      <c r="C1875" t="s">
        <v>3193</v>
      </c>
      <c r="F1875" s="1">
        <v>34411</v>
      </c>
      <c r="G1875" t="s">
        <v>2272</v>
      </c>
      <c r="H1875" t="s">
        <v>121</v>
      </c>
      <c r="I1875" t="s">
        <v>11</v>
      </c>
    </row>
    <row r="1876" spans="1:9" x14ac:dyDescent="0.25">
      <c r="A1876" s="95">
        <v>1875</v>
      </c>
      <c r="B1876" t="s">
        <v>3194</v>
      </c>
      <c r="C1876" t="s">
        <v>3195</v>
      </c>
      <c r="F1876" s="1">
        <v>37932</v>
      </c>
      <c r="G1876" t="s">
        <v>2276</v>
      </c>
      <c r="H1876" t="s">
        <v>121</v>
      </c>
      <c r="I1876" t="s">
        <v>11</v>
      </c>
    </row>
    <row r="1877" spans="1:9" x14ac:dyDescent="0.25">
      <c r="A1877" s="95">
        <v>1876</v>
      </c>
      <c r="B1877" t="s">
        <v>2044</v>
      </c>
      <c r="C1877" t="s">
        <v>3196</v>
      </c>
      <c r="F1877" s="1">
        <v>38512</v>
      </c>
      <c r="G1877" t="s">
        <v>2276</v>
      </c>
      <c r="H1877" t="s">
        <v>121</v>
      </c>
      <c r="I1877" t="s">
        <v>11</v>
      </c>
    </row>
    <row r="1878" spans="1:9" x14ac:dyDescent="0.25">
      <c r="A1878" s="95">
        <v>1877</v>
      </c>
      <c r="B1878" t="s">
        <v>2044</v>
      </c>
      <c r="C1878" t="s">
        <v>3197</v>
      </c>
      <c r="F1878" s="1">
        <v>41468</v>
      </c>
      <c r="G1878" t="s">
        <v>2276</v>
      </c>
      <c r="H1878" t="s">
        <v>121</v>
      </c>
      <c r="I1878" t="s">
        <v>11</v>
      </c>
    </row>
    <row r="1879" spans="1:9" x14ac:dyDescent="0.25">
      <c r="A1879" s="95">
        <v>1878</v>
      </c>
      <c r="B1879" t="s">
        <v>2044</v>
      </c>
      <c r="C1879" t="s">
        <v>3198</v>
      </c>
      <c r="F1879" s="1">
        <v>42520</v>
      </c>
      <c r="G1879" t="s">
        <v>2276</v>
      </c>
      <c r="H1879" t="s">
        <v>121</v>
      </c>
      <c r="I1879" t="s">
        <v>11</v>
      </c>
    </row>
    <row r="1880" spans="1:9" x14ac:dyDescent="0.25">
      <c r="A1880" s="95">
        <v>1879</v>
      </c>
      <c r="B1880" t="s">
        <v>2048</v>
      </c>
      <c r="C1880" t="s">
        <v>3199</v>
      </c>
      <c r="F1880" s="1">
        <v>38425</v>
      </c>
      <c r="G1880" t="s">
        <v>2272</v>
      </c>
      <c r="H1880" t="s">
        <v>121</v>
      </c>
      <c r="I1880" t="s">
        <v>11</v>
      </c>
    </row>
    <row r="1881" spans="1:9" x14ac:dyDescent="0.25">
      <c r="A1881" s="95">
        <v>1880</v>
      </c>
      <c r="B1881" t="s">
        <v>737</v>
      </c>
      <c r="C1881" t="s">
        <v>3200</v>
      </c>
      <c r="F1881" s="1">
        <v>36621</v>
      </c>
      <c r="G1881" t="s">
        <v>2272</v>
      </c>
      <c r="H1881" t="s">
        <v>121</v>
      </c>
      <c r="I1881" t="s">
        <v>11</v>
      </c>
    </row>
    <row r="1882" spans="1:9" x14ac:dyDescent="0.25">
      <c r="A1882" s="95">
        <v>1881</v>
      </c>
      <c r="B1882" t="s">
        <v>737</v>
      </c>
      <c r="C1882" t="s">
        <v>3201</v>
      </c>
      <c r="F1882" s="1">
        <v>38479</v>
      </c>
      <c r="G1882" t="s">
        <v>2272</v>
      </c>
      <c r="H1882" t="s">
        <v>121</v>
      </c>
      <c r="I1882" t="s">
        <v>11</v>
      </c>
    </row>
    <row r="1883" spans="1:9" x14ac:dyDescent="0.25">
      <c r="A1883" s="95">
        <v>1882</v>
      </c>
      <c r="B1883" t="s">
        <v>737</v>
      </c>
      <c r="C1883" t="s">
        <v>3202</v>
      </c>
      <c r="F1883" s="1">
        <v>39028</v>
      </c>
      <c r="G1883" t="s">
        <v>2272</v>
      </c>
      <c r="H1883" t="s">
        <v>121</v>
      </c>
      <c r="I1883" t="s">
        <v>11</v>
      </c>
    </row>
    <row r="1884" spans="1:9" x14ac:dyDescent="0.25">
      <c r="A1884" s="95">
        <v>1883</v>
      </c>
      <c r="B1884" t="s">
        <v>2051</v>
      </c>
      <c r="C1884" t="s">
        <v>3203</v>
      </c>
      <c r="F1884" s="1">
        <v>38442</v>
      </c>
      <c r="G1884" t="s">
        <v>2276</v>
      </c>
      <c r="H1884" t="s">
        <v>121</v>
      </c>
      <c r="I1884" t="s">
        <v>11</v>
      </c>
    </row>
    <row r="1885" spans="1:9" x14ac:dyDescent="0.25">
      <c r="A1885" s="95">
        <v>1884</v>
      </c>
      <c r="B1885" t="s">
        <v>2051</v>
      </c>
      <c r="C1885" t="s">
        <v>3204</v>
      </c>
      <c r="F1885" s="1">
        <v>39491</v>
      </c>
      <c r="G1885" t="s">
        <v>2276</v>
      </c>
      <c r="H1885" t="s">
        <v>121</v>
      </c>
      <c r="I1885" t="s">
        <v>11</v>
      </c>
    </row>
    <row r="1886" spans="1:9" x14ac:dyDescent="0.25">
      <c r="A1886" s="95">
        <v>1885</v>
      </c>
      <c r="B1886" t="s">
        <v>1769</v>
      </c>
      <c r="C1886" t="s">
        <v>3205</v>
      </c>
      <c r="F1886" s="1">
        <v>35131</v>
      </c>
      <c r="G1886" t="s">
        <v>2272</v>
      </c>
      <c r="H1886" t="s">
        <v>121</v>
      </c>
      <c r="I1886" t="s">
        <v>11</v>
      </c>
    </row>
    <row r="1887" spans="1:9" x14ac:dyDescent="0.25">
      <c r="A1887" s="95">
        <v>1886</v>
      </c>
      <c r="B1887" t="s">
        <v>742</v>
      </c>
      <c r="C1887" t="s">
        <v>2089</v>
      </c>
      <c r="F1887" s="1">
        <v>32158</v>
      </c>
      <c r="G1887" t="s">
        <v>2276</v>
      </c>
      <c r="H1887" t="s">
        <v>121</v>
      </c>
      <c r="I1887" t="s">
        <v>11</v>
      </c>
    </row>
    <row r="1888" spans="1:9" x14ac:dyDescent="0.25">
      <c r="A1888" s="95">
        <v>1887</v>
      </c>
      <c r="B1888" t="s">
        <v>742</v>
      </c>
      <c r="C1888" t="s">
        <v>3206</v>
      </c>
      <c r="F1888" s="1">
        <v>33060</v>
      </c>
      <c r="G1888" t="s">
        <v>2276</v>
      </c>
      <c r="H1888" t="s">
        <v>121</v>
      </c>
      <c r="I1888" t="s">
        <v>11</v>
      </c>
    </row>
    <row r="1889" spans="1:9" x14ac:dyDescent="0.25">
      <c r="A1889" s="95">
        <v>1888</v>
      </c>
      <c r="B1889" t="s">
        <v>1299</v>
      </c>
      <c r="C1889" t="s">
        <v>3207</v>
      </c>
      <c r="F1889" s="1">
        <v>38673</v>
      </c>
      <c r="G1889" t="s">
        <v>2272</v>
      </c>
      <c r="H1889" t="s">
        <v>121</v>
      </c>
      <c r="I1889" t="s">
        <v>11</v>
      </c>
    </row>
    <row r="1890" spans="1:9" x14ac:dyDescent="0.25">
      <c r="A1890" s="95">
        <v>1889</v>
      </c>
      <c r="B1890" t="s">
        <v>2060</v>
      </c>
      <c r="C1890" t="s">
        <v>3208</v>
      </c>
      <c r="F1890" s="1">
        <v>38260</v>
      </c>
      <c r="G1890" t="s">
        <v>2276</v>
      </c>
      <c r="H1890" t="s">
        <v>121</v>
      </c>
      <c r="I1890" t="s">
        <v>11</v>
      </c>
    </row>
    <row r="1891" spans="1:9" x14ac:dyDescent="0.25">
      <c r="A1891" s="95">
        <v>1890</v>
      </c>
      <c r="B1891" t="s">
        <v>89</v>
      </c>
      <c r="C1891" t="s">
        <v>3209</v>
      </c>
      <c r="F1891" s="1">
        <v>39452</v>
      </c>
      <c r="G1891" t="s">
        <v>2272</v>
      </c>
      <c r="H1891" t="s">
        <v>121</v>
      </c>
      <c r="I1891" t="s">
        <v>11</v>
      </c>
    </row>
    <row r="1892" spans="1:9" x14ac:dyDescent="0.25">
      <c r="A1892" s="95">
        <v>1891</v>
      </c>
      <c r="B1892" t="s">
        <v>1051</v>
      </c>
      <c r="C1892" t="s">
        <v>3210</v>
      </c>
      <c r="F1892" s="1">
        <v>41388</v>
      </c>
      <c r="G1892" t="s">
        <v>2272</v>
      </c>
      <c r="H1892" t="s">
        <v>121</v>
      </c>
      <c r="I1892" t="s">
        <v>11</v>
      </c>
    </row>
    <row r="1893" spans="1:9" x14ac:dyDescent="0.25">
      <c r="A1893" s="95">
        <v>1892</v>
      </c>
      <c r="B1893" t="s">
        <v>1498</v>
      </c>
      <c r="C1893" t="s">
        <v>1306</v>
      </c>
      <c r="F1893" s="1">
        <v>38548</v>
      </c>
      <c r="G1893" t="s">
        <v>2272</v>
      </c>
      <c r="H1893" t="s">
        <v>121</v>
      </c>
      <c r="I1893" t="s">
        <v>11</v>
      </c>
    </row>
    <row r="1894" spans="1:9" x14ac:dyDescent="0.25">
      <c r="A1894" s="95">
        <v>1893</v>
      </c>
      <c r="B1894" t="s">
        <v>1498</v>
      </c>
      <c r="C1894" t="s">
        <v>36</v>
      </c>
      <c r="F1894" s="1">
        <v>38218</v>
      </c>
      <c r="G1894" t="s">
        <v>2272</v>
      </c>
      <c r="H1894" t="s">
        <v>121</v>
      </c>
      <c r="I1894" t="s">
        <v>11</v>
      </c>
    </row>
    <row r="1895" spans="1:9" x14ac:dyDescent="0.25">
      <c r="A1895" s="95">
        <v>1894</v>
      </c>
      <c r="B1895" t="s">
        <v>2070</v>
      </c>
      <c r="C1895" t="s">
        <v>2479</v>
      </c>
      <c r="F1895" s="1">
        <v>37549</v>
      </c>
      <c r="G1895" t="s">
        <v>2276</v>
      </c>
      <c r="H1895" t="s">
        <v>121</v>
      </c>
      <c r="I1895" t="s">
        <v>11</v>
      </c>
    </row>
    <row r="1896" spans="1:9" x14ac:dyDescent="0.25">
      <c r="A1896" s="95">
        <v>1895</v>
      </c>
      <c r="B1896" t="s">
        <v>1735</v>
      </c>
      <c r="C1896" t="s">
        <v>3211</v>
      </c>
      <c r="F1896" s="1">
        <v>38825</v>
      </c>
      <c r="G1896" t="s">
        <v>2272</v>
      </c>
      <c r="H1896" t="s">
        <v>121</v>
      </c>
      <c r="I1896" t="s">
        <v>11</v>
      </c>
    </row>
    <row r="1897" spans="1:9" x14ac:dyDescent="0.25">
      <c r="A1897" s="95">
        <v>1896</v>
      </c>
      <c r="B1897" t="s">
        <v>1452</v>
      </c>
      <c r="C1897" t="s">
        <v>3212</v>
      </c>
      <c r="F1897" s="1">
        <v>39039</v>
      </c>
      <c r="G1897" t="s">
        <v>2272</v>
      </c>
      <c r="H1897" t="s">
        <v>121</v>
      </c>
      <c r="I1897" t="s">
        <v>11</v>
      </c>
    </row>
    <row r="1898" spans="1:9" x14ac:dyDescent="0.25">
      <c r="A1898" s="95">
        <v>1897</v>
      </c>
      <c r="B1898" t="s">
        <v>2073</v>
      </c>
      <c r="C1898" t="s">
        <v>3213</v>
      </c>
      <c r="F1898" s="1">
        <v>41082</v>
      </c>
      <c r="G1898" t="s">
        <v>2276</v>
      </c>
      <c r="H1898" t="s">
        <v>121</v>
      </c>
      <c r="I1898" t="s">
        <v>11</v>
      </c>
    </row>
    <row r="1899" spans="1:9" x14ac:dyDescent="0.25">
      <c r="A1899" s="95">
        <v>1898</v>
      </c>
      <c r="B1899" t="s">
        <v>2073</v>
      </c>
      <c r="C1899" t="s">
        <v>3214</v>
      </c>
      <c r="F1899" s="1">
        <v>44890</v>
      </c>
      <c r="G1899" t="s">
        <v>2276</v>
      </c>
      <c r="H1899" t="s">
        <v>121</v>
      </c>
      <c r="I1899" t="s">
        <v>11</v>
      </c>
    </row>
    <row r="1900" spans="1:9" x14ac:dyDescent="0.25">
      <c r="A1900" s="95">
        <v>1899</v>
      </c>
      <c r="B1900" t="s">
        <v>2193</v>
      </c>
      <c r="C1900" t="s">
        <v>3215</v>
      </c>
      <c r="F1900" s="1">
        <v>36621</v>
      </c>
      <c r="G1900" t="s">
        <v>2272</v>
      </c>
      <c r="H1900" t="s">
        <v>121</v>
      </c>
      <c r="I1900" t="s">
        <v>11</v>
      </c>
    </row>
    <row r="1901" spans="1:9" x14ac:dyDescent="0.25">
      <c r="A1901" s="95">
        <v>1900</v>
      </c>
      <c r="B1901" t="s">
        <v>3216</v>
      </c>
      <c r="C1901" t="s">
        <v>3217</v>
      </c>
      <c r="F1901" s="1">
        <v>39701</v>
      </c>
      <c r="G1901" t="s">
        <v>2272</v>
      </c>
      <c r="H1901" t="s">
        <v>121</v>
      </c>
      <c r="I1901" t="s">
        <v>11</v>
      </c>
    </row>
    <row r="1902" spans="1:9" x14ac:dyDescent="0.25">
      <c r="A1902" s="95">
        <v>1901</v>
      </c>
      <c r="B1902" t="s">
        <v>538</v>
      </c>
      <c r="C1902" t="s">
        <v>169</v>
      </c>
      <c r="F1902" s="1">
        <v>41306</v>
      </c>
      <c r="G1902" t="s">
        <v>2276</v>
      </c>
      <c r="H1902" t="s">
        <v>121</v>
      </c>
      <c r="I1902" t="s">
        <v>11</v>
      </c>
    </row>
    <row r="1903" spans="1:9" x14ac:dyDescent="0.25">
      <c r="A1903" s="95">
        <v>1902</v>
      </c>
      <c r="B1903" t="s">
        <v>538</v>
      </c>
      <c r="C1903" t="s">
        <v>1508</v>
      </c>
      <c r="F1903" s="1">
        <v>41977</v>
      </c>
      <c r="G1903" t="s">
        <v>2276</v>
      </c>
      <c r="H1903" t="s">
        <v>121</v>
      </c>
      <c r="I1903" t="s">
        <v>11</v>
      </c>
    </row>
    <row r="1904" spans="1:9" x14ac:dyDescent="0.25">
      <c r="A1904" s="95">
        <v>1903</v>
      </c>
      <c r="B1904" t="s">
        <v>54</v>
      </c>
      <c r="C1904" t="s">
        <v>3218</v>
      </c>
      <c r="F1904" s="1">
        <v>26832</v>
      </c>
      <c r="G1904" t="s">
        <v>2272</v>
      </c>
      <c r="H1904" t="s">
        <v>121</v>
      </c>
      <c r="I1904" t="s">
        <v>11</v>
      </c>
    </row>
    <row r="1905" spans="1:9" x14ac:dyDescent="0.25">
      <c r="A1905" s="95">
        <v>1904</v>
      </c>
      <c r="B1905" t="s">
        <v>1426</v>
      </c>
      <c r="C1905" t="s">
        <v>3219</v>
      </c>
      <c r="F1905" s="1">
        <v>44261</v>
      </c>
      <c r="G1905" t="s">
        <v>2276</v>
      </c>
      <c r="H1905" t="s">
        <v>121</v>
      </c>
      <c r="I1905" t="s">
        <v>11</v>
      </c>
    </row>
    <row r="1906" spans="1:9" x14ac:dyDescent="0.25">
      <c r="A1906" s="95">
        <v>1905</v>
      </c>
      <c r="B1906" t="s">
        <v>1426</v>
      </c>
      <c r="C1906" t="s">
        <v>3220</v>
      </c>
      <c r="F1906" s="1">
        <v>46068</v>
      </c>
      <c r="G1906" t="s">
        <v>2276</v>
      </c>
      <c r="H1906" t="s">
        <v>121</v>
      </c>
      <c r="I1906" t="s">
        <v>11</v>
      </c>
    </row>
    <row r="1907" spans="1:9" x14ac:dyDescent="0.25">
      <c r="A1907" s="95">
        <v>1906</v>
      </c>
      <c r="B1907" t="s">
        <v>2070</v>
      </c>
      <c r="C1907" t="s">
        <v>2716</v>
      </c>
      <c r="F1907" s="1">
        <v>39693</v>
      </c>
      <c r="G1907" t="s">
        <v>2276</v>
      </c>
      <c r="H1907" t="s">
        <v>121</v>
      </c>
      <c r="I1907" t="s">
        <v>11</v>
      </c>
    </row>
    <row r="1908" spans="1:9" x14ac:dyDescent="0.25">
      <c r="A1908" s="95">
        <v>1907</v>
      </c>
      <c r="B1908" t="s">
        <v>2070</v>
      </c>
      <c r="C1908" t="s">
        <v>2527</v>
      </c>
      <c r="F1908" s="1">
        <v>39871</v>
      </c>
      <c r="G1908" t="s">
        <v>2276</v>
      </c>
      <c r="H1908" t="s">
        <v>121</v>
      </c>
      <c r="I1908" t="s">
        <v>11</v>
      </c>
    </row>
    <row r="1909" spans="1:9" x14ac:dyDescent="0.25">
      <c r="A1909" s="95">
        <v>1908</v>
      </c>
      <c r="B1909" t="s">
        <v>1932</v>
      </c>
      <c r="C1909" t="s">
        <v>3221</v>
      </c>
      <c r="F1909" s="1">
        <v>38926</v>
      </c>
      <c r="G1909" t="s">
        <v>2276</v>
      </c>
      <c r="H1909" t="s">
        <v>121</v>
      </c>
      <c r="I1909" t="s">
        <v>11</v>
      </c>
    </row>
    <row r="1910" spans="1:9" x14ac:dyDescent="0.25">
      <c r="A1910" s="95">
        <v>1909</v>
      </c>
      <c r="B1910" t="s">
        <v>737</v>
      </c>
      <c r="C1910" t="s">
        <v>1057</v>
      </c>
      <c r="F1910" s="1">
        <v>33019</v>
      </c>
      <c r="G1910" t="s">
        <v>2276</v>
      </c>
      <c r="H1910" t="s">
        <v>121</v>
      </c>
      <c r="I1910" t="s">
        <v>11</v>
      </c>
    </row>
    <row r="1911" spans="1:9" x14ac:dyDescent="0.25">
      <c r="A1911" s="95">
        <v>1910</v>
      </c>
      <c r="B1911" t="s">
        <v>2088</v>
      </c>
      <c r="C1911" t="s">
        <v>3222</v>
      </c>
      <c r="F1911" s="1">
        <v>38721</v>
      </c>
      <c r="G1911" t="s">
        <v>2276</v>
      </c>
      <c r="H1911" t="s">
        <v>121</v>
      </c>
      <c r="I1911" t="s">
        <v>11</v>
      </c>
    </row>
    <row r="1912" spans="1:9" x14ac:dyDescent="0.25">
      <c r="A1912" s="95">
        <v>1911</v>
      </c>
      <c r="B1912" t="s">
        <v>2088</v>
      </c>
      <c r="C1912" t="s">
        <v>3223</v>
      </c>
      <c r="F1912" s="1">
        <v>39480</v>
      </c>
      <c r="G1912" t="s">
        <v>2276</v>
      </c>
      <c r="H1912" t="s">
        <v>121</v>
      </c>
      <c r="I1912" t="s">
        <v>11</v>
      </c>
    </row>
    <row r="1913" spans="1:9" x14ac:dyDescent="0.25">
      <c r="A1913" s="95">
        <v>1912</v>
      </c>
      <c r="B1913" t="s">
        <v>450</v>
      </c>
      <c r="C1913" t="s">
        <v>3224</v>
      </c>
      <c r="D1913" t="s">
        <v>2610</v>
      </c>
      <c r="F1913" s="1">
        <v>35627</v>
      </c>
      <c r="G1913" t="s">
        <v>2273</v>
      </c>
      <c r="H1913" t="s">
        <v>121</v>
      </c>
      <c r="I1913" t="s">
        <v>11</v>
      </c>
    </row>
    <row r="1914" spans="1:9" x14ac:dyDescent="0.25">
      <c r="A1914" s="95">
        <v>1913</v>
      </c>
      <c r="B1914" t="s">
        <v>450</v>
      </c>
      <c r="C1914" t="s">
        <v>2442</v>
      </c>
      <c r="D1914" t="s">
        <v>2610</v>
      </c>
      <c r="F1914" s="1">
        <v>36664</v>
      </c>
      <c r="G1914" t="s">
        <v>2273</v>
      </c>
      <c r="H1914" t="s">
        <v>121</v>
      </c>
      <c r="I1914" t="s">
        <v>11</v>
      </c>
    </row>
    <row r="1915" spans="1:9" x14ac:dyDescent="0.25">
      <c r="A1915" s="95">
        <v>1914</v>
      </c>
      <c r="B1915" t="s">
        <v>450</v>
      </c>
      <c r="C1915" t="s">
        <v>2527</v>
      </c>
      <c r="D1915" t="s">
        <v>2610</v>
      </c>
      <c r="F1915" s="1">
        <v>37042</v>
      </c>
      <c r="G1915" t="s">
        <v>2273</v>
      </c>
      <c r="H1915" t="s">
        <v>121</v>
      </c>
      <c r="I1915" t="s">
        <v>11</v>
      </c>
    </row>
    <row r="1916" spans="1:9" x14ac:dyDescent="0.25">
      <c r="A1916" s="95">
        <v>1915</v>
      </c>
      <c r="B1916" t="s">
        <v>450</v>
      </c>
      <c r="C1916" t="s">
        <v>3225</v>
      </c>
      <c r="D1916" t="s">
        <v>2610</v>
      </c>
      <c r="F1916" s="1">
        <v>39013</v>
      </c>
      <c r="G1916" t="s">
        <v>2273</v>
      </c>
      <c r="H1916" t="s">
        <v>121</v>
      </c>
      <c r="I1916" t="s">
        <v>11</v>
      </c>
    </row>
    <row r="1917" spans="1:9" x14ac:dyDescent="0.25">
      <c r="A1917" s="95">
        <v>1916</v>
      </c>
      <c r="B1917" t="s">
        <v>538</v>
      </c>
      <c r="C1917" t="s">
        <v>3226</v>
      </c>
      <c r="F1917" s="1">
        <v>35150</v>
      </c>
      <c r="G1917" t="s">
        <v>2276</v>
      </c>
      <c r="H1917" t="s">
        <v>121</v>
      </c>
      <c r="I1917" t="s">
        <v>11</v>
      </c>
    </row>
    <row r="1918" spans="1:9" x14ac:dyDescent="0.25">
      <c r="A1918" s="95">
        <v>1917</v>
      </c>
      <c r="B1918" t="s">
        <v>538</v>
      </c>
      <c r="C1918" t="s">
        <v>1495</v>
      </c>
      <c r="F1918" s="1">
        <v>36016</v>
      </c>
      <c r="G1918" t="s">
        <v>2276</v>
      </c>
      <c r="H1918" t="s">
        <v>121</v>
      </c>
      <c r="I1918" t="s">
        <v>11</v>
      </c>
    </row>
    <row r="1919" spans="1:9" x14ac:dyDescent="0.25">
      <c r="A1919" s="95">
        <v>1918</v>
      </c>
      <c r="B1919" t="s">
        <v>737</v>
      </c>
      <c r="C1919" t="s">
        <v>2091</v>
      </c>
      <c r="F1919" s="1">
        <v>38251</v>
      </c>
      <c r="G1919" t="s">
        <v>2272</v>
      </c>
      <c r="H1919" t="s">
        <v>121</v>
      </c>
      <c r="I1919" t="s">
        <v>11</v>
      </c>
    </row>
    <row r="1920" spans="1:9" x14ac:dyDescent="0.25">
      <c r="A1920" s="95">
        <v>1919</v>
      </c>
      <c r="B1920" t="s">
        <v>2026</v>
      </c>
      <c r="C1920" t="s">
        <v>3227</v>
      </c>
      <c r="D1920" t="s">
        <v>2559</v>
      </c>
      <c r="F1920" s="1">
        <v>38022</v>
      </c>
      <c r="G1920" t="s">
        <v>2276</v>
      </c>
      <c r="H1920" t="s">
        <v>121</v>
      </c>
      <c r="I1920" t="s">
        <v>11</v>
      </c>
    </row>
    <row r="1921" spans="1:9" x14ac:dyDescent="0.25">
      <c r="A1921" s="95">
        <v>1920</v>
      </c>
      <c r="B1921" t="s">
        <v>1292</v>
      </c>
      <c r="C1921" t="s">
        <v>3228</v>
      </c>
      <c r="D1921" t="s">
        <v>2097</v>
      </c>
      <c r="F1921" s="1">
        <v>42206</v>
      </c>
      <c r="G1921" t="s">
        <v>2273</v>
      </c>
      <c r="H1921" t="s">
        <v>121</v>
      </c>
      <c r="I1921" t="s">
        <v>11</v>
      </c>
    </row>
    <row r="1922" spans="1:9" x14ac:dyDescent="0.25">
      <c r="A1922" s="95">
        <v>1921</v>
      </c>
      <c r="B1922" t="s">
        <v>1292</v>
      </c>
      <c r="C1922" t="s">
        <v>3229</v>
      </c>
      <c r="D1922" t="s">
        <v>2097</v>
      </c>
      <c r="F1922" s="1">
        <v>43236</v>
      </c>
      <c r="G1922" t="s">
        <v>2273</v>
      </c>
      <c r="H1922" t="s">
        <v>121</v>
      </c>
      <c r="I1922" t="s">
        <v>11</v>
      </c>
    </row>
    <row r="1923" spans="1:9" x14ac:dyDescent="0.25">
      <c r="A1923" s="95">
        <v>1922</v>
      </c>
      <c r="B1923" t="s">
        <v>1292</v>
      </c>
      <c r="C1923" t="s">
        <v>3230</v>
      </c>
      <c r="D1923" t="s">
        <v>2097</v>
      </c>
      <c r="F1923" s="1">
        <v>44944</v>
      </c>
      <c r="G1923" t="s">
        <v>2273</v>
      </c>
      <c r="H1923" t="s">
        <v>121</v>
      </c>
      <c r="I1923" t="s">
        <v>11</v>
      </c>
    </row>
    <row r="1924" spans="1:9" x14ac:dyDescent="0.25">
      <c r="A1924" s="95">
        <v>1923</v>
      </c>
      <c r="B1924" t="s">
        <v>1417</v>
      </c>
      <c r="C1924" t="s">
        <v>91</v>
      </c>
      <c r="E1924" t="s">
        <v>67</v>
      </c>
      <c r="F1924" s="1">
        <v>37379</v>
      </c>
      <c r="G1924" t="s">
        <v>2272</v>
      </c>
      <c r="H1924" t="s">
        <v>121</v>
      </c>
      <c r="I1924" t="s">
        <v>11</v>
      </c>
    </row>
    <row r="1925" spans="1:9" x14ac:dyDescent="0.25">
      <c r="A1925" s="95">
        <v>1924</v>
      </c>
      <c r="B1925" t="s">
        <v>1898</v>
      </c>
      <c r="C1925" t="s">
        <v>91</v>
      </c>
      <c r="D1925" t="s">
        <v>2625</v>
      </c>
      <c r="F1925" s="1">
        <v>22260</v>
      </c>
      <c r="G1925" t="s">
        <v>2276</v>
      </c>
      <c r="H1925" t="s">
        <v>121</v>
      </c>
      <c r="I1925" t="s">
        <v>11</v>
      </c>
    </row>
    <row r="1926" spans="1:9" x14ac:dyDescent="0.25">
      <c r="A1926" s="95">
        <v>1925</v>
      </c>
      <c r="B1926" t="s">
        <v>1898</v>
      </c>
      <c r="C1926" t="s">
        <v>566</v>
      </c>
      <c r="D1926" t="s">
        <v>2559</v>
      </c>
      <c r="F1926" s="1">
        <v>34626</v>
      </c>
      <c r="G1926" t="s">
        <v>2276</v>
      </c>
      <c r="H1926" t="s">
        <v>121</v>
      </c>
      <c r="I1926" t="s">
        <v>11</v>
      </c>
    </row>
    <row r="1927" spans="1:9" x14ac:dyDescent="0.25">
      <c r="A1927" s="95">
        <v>1926</v>
      </c>
      <c r="B1927" t="s">
        <v>176</v>
      </c>
      <c r="C1927" t="s">
        <v>3231</v>
      </c>
      <c r="F1927" s="1">
        <v>37084</v>
      </c>
      <c r="G1927" t="s">
        <v>2272</v>
      </c>
      <c r="H1927" t="s">
        <v>121</v>
      </c>
      <c r="I1927" t="s">
        <v>11</v>
      </c>
    </row>
    <row r="1928" spans="1:9" x14ac:dyDescent="0.25">
      <c r="A1928" s="95">
        <v>1927</v>
      </c>
      <c r="B1928" t="s">
        <v>176</v>
      </c>
      <c r="C1928" t="s">
        <v>3232</v>
      </c>
      <c r="F1928" s="1">
        <v>38944</v>
      </c>
      <c r="G1928" t="s">
        <v>2272</v>
      </c>
      <c r="H1928" t="s">
        <v>121</v>
      </c>
      <c r="I1928" t="s">
        <v>11</v>
      </c>
    </row>
    <row r="1929" spans="1:9" x14ac:dyDescent="0.25">
      <c r="A1929" s="95">
        <v>1928</v>
      </c>
      <c r="B1929" t="s">
        <v>2102</v>
      </c>
      <c r="C1929" t="s">
        <v>3233</v>
      </c>
      <c r="F1929" s="1">
        <v>35298</v>
      </c>
      <c r="G1929" t="s">
        <v>2272</v>
      </c>
      <c r="H1929" t="s">
        <v>121</v>
      </c>
      <c r="I1929" t="s">
        <v>11</v>
      </c>
    </row>
    <row r="1930" spans="1:9" x14ac:dyDescent="0.25">
      <c r="A1930" s="95">
        <v>1929</v>
      </c>
      <c r="B1930" t="s">
        <v>2102</v>
      </c>
      <c r="C1930" t="s">
        <v>2648</v>
      </c>
      <c r="F1930" s="1">
        <v>46233</v>
      </c>
      <c r="G1930" t="s">
        <v>2272</v>
      </c>
      <c r="H1930" t="s">
        <v>121</v>
      </c>
      <c r="I1930" t="s">
        <v>11</v>
      </c>
    </row>
    <row r="1931" spans="1:9" x14ac:dyDescent="0.25">
      <c r="A1931" s="95">
        <v>1930</v>
      </c>
      <c r="B1931" t="s">
        <v>2102</v>
      </c>
      <c r="C1931" t="s">
        <v>3234</v>
      </c>
      <c r="F1931" s="1">
        <v>37924</v>
      </c>
      <c r="G1931" t="s">
        <v>2272</v>
      </c>
      <c r="H1931" t="s">
        <v>121</v>
      </c>
      <c r="I1931" t="s">
        <v>11</v>
      </c>
    </row>
    <row r="1932" spans="1:9" x14ac:dyDescent="0.25">
      <c r="A1932" s="95">
        <v>1931</v>
      </c>
      <c r="B1932" t="s">
        <v>2104</v>
      </c>
      <c r="C1932" t="s">
        <v>3235</v>
      </c>
      <c r="F1932" s="1">
        <v>39047</v>
      </c>
      <c r="G1932" t="s">
        <v>2272</v>
      </c>
      <c r="H1932" t="s">
        <v>121</v>
      </c>
      <c r="I1932" t="s">
        <v>11</v>
      </c>
    </row>
    <row r="1933" spans="1:9" x14ac:dyDescent="0.25">
      <c r="A1933" s="95">
        <v>1932</v>
      </c>
      <c r="B1933" t="s">
        <v>1050</v>
      </c>
      <c r="C1933" t="s">
        <v>3236</v>
      </c>
      <c r="D1933" t="s">
        <v>1403</v>
      </c>
      <c r="F1933" s="1">
        <v>38014</v>
      </c>
      <c r="G1933" t="s">
        <v>2272</v>
      </c>
      <c r="H1933" t="s">
        <v>121</v>
      </c>
      <c r="I1933" t="s">
        <v>11</v>
      </c>
    </row>
    <row r="1934" spans="1:9" x14ac:dyDescent="0.25">
      <c r="A1934" s="95">
        <v>1933</v>
      </c>
      <c r="B1934" t="s">
        <v>1050</v>
      </c>
      <c r="C1934" t="s">
        <v>3237</v>
      </c>
      <c r="D1934" t="s">
        <v>1403</v>
      </c>
      <c r="F1934" s="1">
        <v>38703</v>
      </c>
      <c r="G1934" t="s">
        <v>2272</v>
      </c>
      <c r="H1934" t="s">
        <v>121</v>
      </c>
      <c r="I1934" t="s">
        <v>11</v>
      </c>
    </row>
    <row r="1935" spans="1:9" x14ac:dyDescent="0.25">
      <c r="A1935" s="95">
        <v>1934</v>
      </c>
      <c r="B1935" t="s">
        <v>742</v>
      </c>
      <c r="C1935" t="s">
        <v>357</v>
      </c>
      <c r="F1935" s="1">
        <v>23675</v>
      </c>
      <c r="G1935" t="s">
        <v>2276</v>
      </c>
      <c r="H1935" t="s">
        <v>121</v>
      </c>
      <c r="I1935" t="s">
        <v>11</v>
      </c>
    </row>
    <row r="1936" spans="1:9" x14ac:dyDescent="0.25">
      <c r="A1936" s="95">
        <v>1935</v>
      </c>
      <c r="B1936" t="s">
        <v>742</v>
      </c>
      <c r="C1936" t="s">
        <v>2527</v>
      </c>
      <c r="F1936" s="1">
        <v>31802</v>
      </c>
      <c r="G1936" t="s">
        <v>2276</v>
      </c>
      <c r="H1936" t="s">
        <v>121</v>
      </c>
      <c r="I1936" t="s">
        <v>11</v>
      </c>
    </row>
    <row r="1937" spans="1:9" x14ac:dyDescent="0.25">
      <c r="A1937" s="95">
        <v>1936</v>
      </c>
      <c r="B1937" t="s">
        <v>605</v>
      </c>
      <c r="C1937" t="s">
        <v>3238</v>
      </c>
      <c r="F1937" s="1">
        <v>35535</v>
      </c>
      <c r="G1937" t="s">
        <v>2276</v>
      </c>
      <c r="H1937" t="s">
        <v>121</v>
      </c>
      <c r="I1937" t="s">
        <v>11</v>
      </c>
    </row>
    <row r="1938" spans="1:9" x14ac:dyDescent="0.25">
      <c r="A1938" s="95">
        <v>1937</v>
      </c>
      <c r="B1938" t="s">
        <v>605</v>
      </c>
      <c r="C1938" t="s">
        <v>709</v>
      </c>
      <c r="F1938" s="1">
        <v>36125</v>
      </c>
      <c r="G1938" t="s">
        <v>2276</v>
      </c>
      <c r="H1938" t="s">
        <v>121</v>
      </c>
      <c r="I1938" t="s">
        <v>11</v>
      </c>
    </row>
    <row r="1939" spans="1:9" x14ac:dyDescent="0.25">
      <c r="A1939" s="95">
        <v>1938</v>
      </c>
      <c r="B1939" t="s">
        <v>605</v>
      </c>
      <c r="C1939" t="s">
        <v>2022</v>
      </c>
      <c r="F1939" s="1">
        <v>36713</v>
      </c>
      <c r="G1939" t="s">
        <v>2276</v>
      </c>
      <c r="H1939" t="s">
        <v>121</v>
      </c>
      <c r="I1939" t="s">
        <v>11</v>
      </c>
    </row>
    <row r="1940" spans="1:9" x14ac:dyDescent="0.25">
      <c r="A1940" s="95">
        <v>1939</v>
      </c>
      <c r="B1940" t="s">
        <v>2622</v>
      </c>
      <c r="C1940" t="s">
        <v>2623</v>
      </c>
      <c r="F1940" s="1">
        <v>45210</v>
      </c>
      <c r="G1940" t="s">
        <v>2276</v>
      </c>
      <c r="H1940" t="s">
        <v>121</v>
      </c>
      <c r="I1940" t="s">
        <v>11</v>
      </c>
    </row>
    <row r="1941" spans="1:9" x14ac:dyDescent="0.25">
      <c r="A1941" s="95">
        <v>1940</v>
      </c>
      <c r="B1941" t="s">
        <v>3239</v>
      </c>
      <c r="C1941" t="s">
        <v>3240</v>
      </c>
      <c r="F1941" s="1">
        <v>33130</v>
      </c>
      <c r="G1941" t="s">
        <v>2272</v>
      </c>
      <c r="H1941" t="s">
        <v>121</v>
      </c>
      <c r="I1941" t="s">
        <v>11</v>
      </c>
    </row>
    <row r="1942" spans="1:9" x14ac:dyDescent="0.25">
      <c r="A1942" s="95">
        <v>1941</v>
      </c>
      <c r="B1942" t="s">
        <v>3239</v>
      </c>
      <c r="C1942" t="s">
        <v>3241</v>
      </c>
      <c r="F1942" s="1">
        <v>34296</v>
      </c>
      <c r="G1942" t="s">
        <v>2272</v>
      </c>
      <c r="H1942" t="s">
        <v>121</v>
      </c>
      <c r="I1942" t="s">
        <v>11</v>
      </c>
    </row>
    <row r="1943" spans="1:9" x14ac:dyDescent="0.25">
      <c r="A1943" s="95">
        <v>1942</v>
      </c>
      <c r="B1943" t="s">
        <v>2117</v>
      </c>
      <c r="C1943" t="s">
        <v>3242</v>
      </c>
      <c r="F1943" s="1">
        <v>25332</v>
      </c>
      <c r="G1943" t="s">
        <v>2272</v>
      </c>
      <c r="H1943" t="s">
        <v>121</v>
      </c>
      <c r="I1943" t="s">
        <v>11</v>
      </c>
    </row>
    <row r="1944" spans="1:9" x14ac:dyDescent="0.25">
      <c r="A1944" s="95">
        <v>1943</v>
      </c>
      <c r="B1944" t="s">
        <v>1917</v>
      </c>
      <c r="C1944" t="s">
        <v>3121</v>
      </c>
      <c r="D1944" t="s">
        <v>2625</v>
      </c>
      <c r="F1944" s="1">
        <v>37163</v>
      </c>
      <c r="G1944" t="s">
        <v>2276</v>
      </c>
      <c r="H1944" t="s">
        <v>121</v>
      </c>
      <c r="I1944" t="s">
        <v>11</v>
      </c>
    </row>
    <row r="1945" spans="1:9" x14ac:dyDescent="0.25">
      <c r="A1945" s="95">
        <v>1944</v>
      </c>
      <c r="B1945" t="s">
        <v>1917</v>
      </c>
      <c r="C1945" t="s">
        <v>3120</v>
      </c>
      <c r="D1945" t="s">
        <v>2625</v>
      </c>
      <c r="F1945" s="1">
        <v>36773</v>
      </c>
      <c r="G1945" t="s">
        <v>2276</v>
      </c>
      <c r="H1945" t="s">
        <v>121</v>
      </c>
      <c r="I1945" t="s">
        <v>11</v>
      </c>
    </row>
    <row r="1946" spans="1:9" x14ac:dyDescent="0.25">
      <c r="A1946" s="95">
        <v>1945</v>
      </c>
      <c r="B1946" t="s">
        <v>1917</v>
      </c>
      <c r="C1946" t="s">
        <v>3243</v>
      </c>
      <c r="D1946" t="s">
        <v>2625</v>
      </c>
      <c r="F1946" s="1">
        <v>36298</v>
      </c>
      <c r="G1946" t="s">
        <v>2276</v>
      </c>
      <c r="H1946" t="s">
        <v>121</v>
      </c>
      <c r="I1946" t="s">
        <v>11</v>
      </c>
    </row>
    <row r="1947" spans="1:9" x14ac:dyDescent="0.25">
      <c r="A1947" s="95">
        <v>1946</v>
      </c>
      <c r="B1947" t="s">
        <v>1292</v>
      </c>
      <c r="C1947" t="s">
        <v>2613</v>
      </c>
      <c r="D1947" t="s">
        <v>1409</v>
      </c>
      <c r="F1947" s="1">
        <v>28392</v>
      </c>
      <c r="G1947" t="s">
        <v>2273</v>
      </c>
      <c r="H1947" t="s">
        <v>121</v>
      </c>
      <c r="I1947" t="s">
        <v>11</v>
      </c>
    </row>
    <row r="1948" spans="1:9" x14ac:dyDescent="0.25">
      <c r="A1948" s="95">
        <v>1947</v>
      </c>
      <c r="B1948" t="s">
        <v>2124</v>
      </c>
      <c r="C1948" t="s">
        <v>3244</v>
      </c>
      <c r="F1948" s="1">
        <v>28953</v>
      </c>
      <c r="G1948" t="s">
        <v>2272</v>
      </c>
      <c r="H1948" t="s">
        <v>121</v>
      </c>
      <c r="I1948" t="s">
        <v>11</v>
      </c>
    </row>
    <row r="1949" spans="1:9" x14ac:dyDescent="0.25">
      <c r="A1949" s="95">
        <v>1948</v>
      </c>
      <c r="B1949" t="s">
        <v>742</v>
      </c>
      <c r="C1949" t="s">
        <v>3245</v>
      </c>
      <c r="D1949" t="s">
        <v>2514</v>
      </c>
      <c r="F1949" s="1">
        <v>32738</v>
      </c>
      <c r="G1949" t="s">
        <v>2276</v>
      </c>
      <c r="H1949" t="s">
        <v>121</v>
      </c>
      <c r="I1949" t="s">
        <v>11</v>
      </c>
    </row>
    <row r="1950" spans="1:9" x14ac:dyDescent="0.25">
      <c r="A1950" s="95">
        <v>1949</v>
      </c>
      <c r="B1950" t="s">
        <v>742</v>
      </c>
      <c r="C1950" t="s">
        <v>3246</v>
      </c>
      <c r="D1950" t="s">
        <v>2514</v>
      </c>
      <c r="F1950" s="1">
        <v>40571</v>
      </c>
      <c r="G1950" t="s">
        <v>2276</v>
      </c>
      <c r="H1950" t="s">
        <v>121</v>
      </c>
      <c r="I1950" t="s">
        <v>11</v>
      </c>
    </row>
    <row r="1951" spans="1:9" x14ac:dyDescent="0.25">
      <c r="A1951" s="95">
        <v>1950</v>
      </c>
      <c r="B1951" t="s">
        <v>742</v>
      </c>
      <c r="C1951" t="s">
        <v>3247</v>
      </c>
      <c r="D1951" t="s">
        <v>2514</v>
      </c>
      <c r="F1951" s="1">
        <v>36287</v>
      </c>
      <c r="G1951" t="s">
        <v>2276</v>
      </c>
      <c r="H1951" t="s">
        <v>121</v>
      </c>
      <c r="I1951" t="s">
        <v>11</v>
      </c>
    </row>
    <row r="1952" spans="1:9" x14ac:dyDescent="0.25">
      <c r="A1952" s="95">
        <v>1951</v>
      </c>
      <c r="B1952" t="s">
        <v>2128</v>
      </c>
      <c r="C1952" t="s">
        <v>3248</v>
      </c>
      <c r="D1952" t="s">
        <v>2020</v>
      </c>
      <c r="F1952" s="1">
        <v>36754</v>
      </c>
      <c r="G1952" t="s">
        <v>2272</v>
      </c>
      <c r="H1952" t="s">
        <v>121</v>
      </c>
      <c r="I1952" t="s">
        <v>11</v>
      </c>
    </row>
    <row r="1953" spans="1:9" x14ac:dyDescent="0.25">
      <c r="A1953" s="95">
        <v>1952</v>
      </c>
      <c r="B1953" t="s">
        <v>2130</v>
      </c>
      <c r="C1953" t="s">
        <v>3249</v>
      </c>
      <c r="D1953" t="s">
        <v>816</v>
      </c>
      <c r="F1953" s="1">
        <v>35149</v>
      </c>
      <c r="G1953" t="s">
        <v>2273</v>
      </c>
      <c r="H1953" t="s">
        <v>121</v>
      </c>
      <c r="I1953" t="s">
        <v>11</v>
      </c>
    </row>
    <row r="1954" spans="1:9" x14ac:dyDescent="0.25">
      <c r="A1954" s="95">
        <v>1953</v>
      </c>
      <c r="B1954" t="s">
        <v>2130</v>
      </c>
      <c r="C1954" t="s">
        <v>3250</v>
      </c>
      <c r="D1954" t="s">
        <v>816</v>
      </c>
      <c r="F1954" s="1">
        <v>35234</v>
      </c>
      <c r="G1954" t="s">
        <v>2273</v>
      </c>
      <c r="H1954" t="s">
        <v>121</v>
      </c>
      <c r="I1954" t="s">
        <v>11</v>
      </c>
    </row>
    <row r="1955" spans="1:9" x14ac:dyDescent="0.25">
      <c r="A1955" s="95">
        <v>1954</v>
      </c>
      <c r="B1955" t="s">
        <v>2130</v>
      </c>
      <c r="C1955" t="s">
        <v>3251</v>
      </c>
      <c r="D1955" t="s">
        <v>816</v>
      </c>
      <c r="F1955" s="1">
        <v>36301</v>
      </c>
      <c r="G1955" t="s">
        <v>2273</v>
      </c>
      <c r="H1955" t="s">
        <v>121</v>
      </c>
      <c r="I1955" t="s">
        <v>11</v>
      </c>
    </row>
    <row r="1956" spans="1:9" x14ac:dyDescent="0.25">
      <c r="A1956" s="95">
        <v>1955</v>
      </c>
      <c r="B1956" t="s">
        <v>2130</v>
      </c>
      <c r="C1956" t="s">
        <v>3252</v>
      </c>
      <c r="D1956" t="s">
        <v>816</v>
      </c>
      <c r="F1956" s="1">
        <v>37348</v>
      </c>
      <c r="G1956" t="s">
        <v>2273</v>
      </c>
      <c r="H1956" t="s">
        <v>121</v>
      </c>
      <c r="I1956" t="s">
        <v>11</v>
      </c>
    </row>
    <row r="1957" spans="1:9" x14ac:dyDescent="0.25">
      <c r="A1957" s="95">
        <v>1956</v>
      </c>
      <c r="B1957" t="s">
        <v>941</v>
      </c>
      <c r="C1957" t="s">
        <v>457</v>
      </c>
      <c r="F1957" s="1">
        <v>28645</v>
      </c>
      <c r="G1957" t="s">
        <v>2272</v>
      </c>
      <c r="H1957" t="s">
        <v>121</v>
      </c>
      <c r="I1957" t="s">
        <v>11</v>
      </c>
    </row>
    <row r="1958" spans="1:9" x14ac:dyDescent="0.25">
      <c r="A1958" s="95">
        <v>1957</v>
      </c>
      <c r="B1958" t="s">
        <v>941</v>
      </c>
      <c r="C1958" t="s">
        <v>3253</v>
      </c>
      <c r="F1958" s="1">
        <v>38424</v>
      </c>
      <c r="G1958" t="s">
        <v>2272</v>
      </c>
      <c r="H1958" t="s">
        <v>121</v>
      </c>
      <c r="I1958" t="s">
        <v>11</v>
      </c>
    </row>
    <row r="1959" spans="1:9" x14ac:dyDescent="0.25">
      <c r="A1959" s="95">
        <v>1958</v>
      </c>
      <c r="B1959" t="s">
        <v>157</v>
      </c>
      <c r="C1959" t="s">
        <v>3254</v>
      </c>
      <c r="D1959" t="s">
        <v>2496</v>
      </c>
      <c r="F1959" s="1">
        <v>41598</v>
      </c>
      <c r="G1959" t="s">
        <v>2272</v>
      </c>
      <c r="H1959" t="s">
        <v>121</v>
      </c>
      <c r="I1959" t="s">
        <v>11</v>
      </c>
    </row>
    <row r="1960" spans="1:9" x14ac:dyDescent="0.25">
      <c r="A1960" s="95">
        <v>1959</v>
      </c>
      <c r="B1960" t="s">
        <v>157</v>
      </c>
      <c r="C1960" t="s">
        <v>3255</v>
      </c>
      <c r="D1960" t="s">
        <v>2496</v>
      </c>
      <c r="F1960" s="1">
        <v>42324</v>
      </c>
      <c r="G1960" t="s">
        <v>2272</v>
      </c>
      <c r="H1960" t="s">
        <v>121</v>
      </c>
      <c r="I1960" t="s">
        <v>11</v>
      </c>
    </row>
    <row r="1961" spans="1:9" x14ac:dyDescent="0.25">
      <c r="A1961" s="95">
        <v>1960</v>
      </c>
      <c r="B1961" t="s">
        <v>361</v>
      </c>
      <c r="C1961" t="s">
        <v>3256</v>
      </c>
      <c r="F1961" s="1">
        <v>33979</v>
      </c>
      <c r="G1961" t="s">
        <v>2276</v>
      </c>
      <c r="H1961" t="s">
        <v>121</v>
      </c>
      <c r="I1961" t="s">
        <v>11</v>
      </c>
    </row>
    <row r="1962" spans="1:9" x14ac:dyDescent="0.25">
      <c r="A1962" s="95">
        <v>1961</v>
      </c>
      <c r="B1962" t="s">
        <v>361</v>
      </c>
      <c r="C1962" t="s">
        <v>3257</v>
      </c>
      <c r="F1962" s="1">
        <v>33126</v>
      </c>
      <c r="G1962" t="s">
        <v>2276</v>
      </c>
      <c r="H1962" t="s">
        <v>121</v>
      </c>
      <c r="I1962" t="s">
        <v>11</v>
      </c>
    </row>
    <row r="1963" spans="1:9" x14ac:dyDescent="0.25">
      <c r="A1963" s="95">
        <v>1962</v>
      </c>
      <c r="B1963" t="s">
        <v>3258</v>
      </c>
      <c r="C1963" t="s">
        <v>3259</v>
      </c>
      <c r="F1963" s="1">
        <v>42231</v>
      </c>
      <c r="G1963" t="s">
        <v>2276</v>
      </c>
      <c r="H1963" t="s">
        <v>121</v>
      </c>
      <c r="I1963" t="s">
        <v>11</v>
      </c>
    </row>
    <row r="1964" spans="1:9" x14ac:dyDescent="0.25">
      <c r="A1964" s="95">
        <v>1963</v>
      </c>
      <c r="B1964" t="s">
        <v>2145</v>
      </c>
      <c r="C1964" t="s">
        <v>3260</v>
      </c>
      <c r="F1964" s="1">
        <v>29068</v>
      </c>
      <c r="G1964" t="s">
        <v>2276</v>
      </c>
      <c r="H1964" t="s">
        <v>121</v>
      </c>
      <c r="I1964" t="s">
        <v>11</v>
      </c>
    </row>
    <row r="1965" spans="1:9" x14ac:dyDescent="0.25">
      <c r="A1965" s="95">
        <v>1964</v>
      </c>
      <c r="B1965" t="s">
        <v>2018</v>
      </c>
      <c r="C1965" t="s">
        <v>2612</v>
      </c>
      <c r="D1965" t="s">
        <v>941</v>
      </c>
      <c r="F1965" s="1">
        <v>31203</v>
      </c>
      <c r="G1965" t="s">
        <v>2272</v>
      </c>
      <c r="H1965" t="s">
        <v>121</v>
      </c>
      <c r="I1965" t="s">
        <v>11</v>
      </c>
    </row>
    <row r="1966" spans="1:9" x14ac:dyDescent="0.25">
      <c r="A1966" s="95">
        <v>1965</v>
      </c>
      <c r="B1966" t="s">
        <v>2018</v>
      </c>
      <c r="C1966" t="s">
        <v>3261</v>
      </c>
      <c r="D1966" t="s">
        <v>941</v>
      </c>
      <c r="F1966" s="1">
        <v>35084</v>
      </c>
      <c r="G1966" t="s">
        <v>2272</v>
      </c>
      <c r="H1966" t="s">
        <v>121</v>
      </c>
      <c r="I1966" t="s">
        <v>11</v>
      </c>
    </row>
    <row r="1967" spans="1:9" x14ac:dyDescent="0.25">
      <c r="A1967" s="95">
        <v>1966</v>
      </c>
      <c r="B1967" t="s">
        <v>2149</v>
      </c>
      <c r="C1967" t="s">
        <v>3262</v>
      </c>
      <c r="F1967" s="1">
        <v>38629</v>
      </c>
      <c r="G1967" t="s">
        <v>2276</v>
      </c>
      <c r="H1967" t="s">
        <v>121</v>
      </c>
      <c r="I1967" t="s">
        <v>11</v>
      </c>
    </row>
    <row r="1968" spans="1:9" x14ac:dyDescent="0.25">
      <c r="A1968" s="95">
        <v>1967</v>
      </c>
      <c r="B1968" t="s">
        <v>2149</v>
      </c>
      <c r="C1968" t="s">
        <v>3263</v>
      </c>
      <c r="F1968" s="1">
        <v>39036</v>
      </c>
      <c r="G1968" t="s">
        <v>2276</v>
      </c>
      <c r="H1968" t="s">
        <v>121</v>
      </c>
      <c r="I1968" t="s">
        <v>11</v>
      </c>
    </row>
    <row r="1969" spans="1:9" x14ac:dyDescent="0.25">
      <c r="A1969" s="95">
        <v>1968</v>
      </c>
      <c r="B1969" t="s">
        <v>2092</v>
      </c>
      <c r="C1969" t="s">
        <v>3264</v>
      </c>
      <c r="F1969" s="1">
        <v>37694</v>
      </c>
      <c r="G1969" t="s">
        <v>2272</v>
      </c>
      <c r="H1969" t="s">
        <v>121</v>
      </c>
      <c r="I1969" t="s">
        <v>11</v>
      </c>
    </row>
    <row r="1970" spans="1:9" x14ac:dyDescent="0.25">
      <c r="A1970" s="95">
        <v>1969</v>
      </c>
      <c r="B1970" t="s">
        <v>2092</v>
      </c>
      <c r="C1970" t="s">
        <v>3265</v>
      </c>
      <c r="F1970" s="1">
        <v>38142</v>
      </c>
      <c r="G1970" t="s">
        <v>2272</v>
      </c>
      <c r="H1970" t="s">
        <v>121</v>
      </c>
      <c r="I1970" t="s">
        <v>11</v>
      </c>
    </row>
    <row r="1971" spans="1:9" x14ac:dyDescent="0.25">
      <c r="A1971" s="95">
        <v>1970</v>
      </c>
      <c r="B1971" t="s">
        <v>2092</v>
      </c>
      <c r="C1971" t="s">
        <v>3266</v>
      </c>
      <c r="F1971" s="1">
        <v>39657</v>
      </c>
      <c r="G1971" t="s">
        <v>2272</v>
      </c>
      <c r="H1971" t="s">
        <v>121</v>
      </c>
      <c r="I1971" t="s">
        <v>11</v>
      </c>
    </row>
    <row r="1972" spans="1:9" x14ac:dyDescent="0.25">
      <c r="A1972" s="95">
        <v>1971</v>
      </c>
      <c r="B1972" t="s">
        <v>2639</v>
      </c>
      <c r="C1972" t="s">
        <v>3267</v>
      </c>
      <c r="D1972" t="s">
        <v>2496</v>
      </c>
      <c r="F1972" s="1">
        <v>42648</v>
      </c>
      <c r="G1972" t="s">
        <v>2272</v>
      </c>
      <c r="H1972" t="s">
        <v>121</v>
      </c>
      <c r="I1972" t="s">
        <v>11</v>
      </c>
    </row>
    <row r="1973" spans="1:9" x14ac:dyDescent="0.25">
      <c r="A1973" s="95">
        <v>1972</v>
      </c>
      <c r="B1973" t="s">
        <v>2639</v>
      </c>
      <c r="C1973" t="s">
        <v>3268</v>
      </c>
      <c r="D1973" t="s">
        <v>2496</v>
      </c>
      <c r="F1973" s="1">
        <v>45365</v>
      </c>
      <c r="G1973" t="s">
        <v>2272</v>
      </c>
      <c r="H1973" t="s">
        <v>121</v>
      </c>
      <c r="I1973" t="s">
        <v>11</v>
      </c>
    </row>
    <row r="1974" spans="1:9" x14ac:dyDescent="0.25">
      <c r="A1974" s="95">
        <v>1973</v>
      </c>
      <c r="B1974" t="s">
        <v>109</v>
      </c>
      <c r="C1974" t="s">
        <v>3269</v>
      </c>
      <c r="D1974" t="s">
        <v>2561</v>
      </c>
      <c r="F1974" s="1">
        <v>39405</v>
      </c>
      <c r="G1974" t="s">
        <v>2272</v>
      </c>
      <c r="H1974" t="s">
        <v>121</v>
      </c>
      <c r="I1974" t="s">
        <v>11</v>
      </c>
    </row>
    <row r="1975" spans="1:9" x14ac:dyDescent="0.25">
      <c r="A1975" s="95">
        <v>1974</v>
      </c>
      <c r="B1975" t="s">
        <v>2159</v>
      </c>
      <c r="C1975" t="s">
        <v>2023</v>
      </c>
      <c r="F1975" s="1">
        <v>38279</v>
      </c>
      <c r="G1975" t="s">
        <v>2272</v>
      </c>
      <c r="H1975" t="s">
        <v>121</v>
      </c>
      <c r="I1975" t="s">
        <v>11</v>
      </c>
    </row>
    <row r="1976" spans="1:9" x14ac:dyDescent="0.25">
      <c r="A1976" s="95">
        <v>1975</v>
      </c>
      <c r="B1976" t="s">
        <v>2643</v>
      </c>
      <c r="C1976" t="s">
        <v>149</v>
      </c>
      <c r="F1976" s="1">
        <v>43588</v>
      </c>
      <c r="G1976" t="s">
        <v>2276</v>
      </c>
      <c r="H1976" t="s">
        <v>121</v>
      </c>
      <c r="I1976" t="s">
        <v>11</v>
      </c>
    </row>
    <row r="1977" spans="1:9" x14ac:dyDescent="0.25">
      <c r="A1977" s="95">
        <v>1976</v>
      </c>
      <c r="B1977" t="s">
        <v>2643</v>
      </c>
      <c r="C1977" t="s">
        <v>2535</v>
      </c>
      <c r="F1977" s="1">
        <v>44834</v>
      </c>
      <c r="G1977" t="s">
        <v>2276</v>
      </c>
      <c r="H1977" t="s">
        <v>121</v>
      </c>
      <c r="I1977" t="s">
        <v>11</v>
      </c>
    </row>
    <row r="1978" spans="1:9" x14ac:dyDescent="0.25">
      <c r="A1978" s="95">
        <v>1977</v>
      </c>
      <c r="B1978" t="s">
        <v>2643</v>
      </c>
      <c r="C1978" t="s">
        <v>984</v>
      </c>
      <c r="F1978" s="1">
        <v>45913</v>
      </c>
      <c r="G1978" t="s">
        <v>2276</v>
      </c>
      <c r="H1978" t="s">
        <v>121</v>
      </c>
      <c r="I1978" t="s">
        <v>11</v>
      </c>
    </row>
    <row r="1979" spans="1:9" x14ac:dyDescent="0.25">
      <c r="A1979" s="95">
        <v>1978</v>
      </c>
      <c r="B1979" t="s">
        <v>2643</v>
      </c>
      <c r="C1979" t="s">
        <v>3270</v>
      </c>
      <c r="F1979" s="1">
        <v>41919</v>
      </c>
      <c r="G1979" t="s">
        <v>2276</v>
      </c>
      <c r="H1979" t="s">
        <v>121</v>
      </c>
      <c r="I1979" t="s">
        <v>11</v>
      </c>
    </row>
    <row r="1980" spans="1:9" x14ac:dyDescent="0.25">
      <c r="A1980" s="95">
        <v>1979</v>
      </c>
      <c r="B1980" t="s">
        <v>2643</v>
      </c>
      <c r="C1980" t="s">
        <v>1607</v>
      </c>
      <c r="F1980" s="1">
        <v>42591</v>
      </c>
      <c r="G1980" t="s">
        <v>2276</v>
      </c>
      <c r="H1980" t="s">
        <v>121</v>
      </c>
      <c r="I1980" t="s">
        <v>11</v>
      </c>
    </row>
    <row r="1981" spans="1:9" x14ac:dyDescent="0.25">
      <c r="A1981" s="95">
        <v>1980</v>
      </c>
      <c r="B1981" t="s">
        <v>221</v>
      </c>
      <c r="C1981" t="s">
        <v>3271</v>
      </c>
      <c r="F1981" s="1">
        <v>38882</v>
      </c>
      <c r="G1981" t="s">
        <v>2272</v>
      </c>
      <c r="H1981" t="s">
        <v>121</v>
      </c>
      <c r="I1981" t="s">
        <v>11</v>
      </c>
    </row>
    <row r="1982" spans="1:9" x14ac:dyDescent="0.25">
      <c r="A1982" s="95">
        <v>1981</v>
      </c>
      <c r="B1982" t="s">
        <v>2026</v>
      </c>
      <c r="C1982" t="s">
        <v>3272</v>
      </c>
      <c r="F1982" s="1">
        <v>36554</v>
      </c>
      <c r="G1982" t="s">
        <v>2276</v>
      </c>
      <c r="H1982" t="s">
        <v>121</v>
      </c>
      <c r="I1982" t="s">
        <v>11</v>
      </c>
    </row>
    <row r="1983" spans="1:9" x14ac:dyDescent="0.25">
      <c r="A1983" s="95">
        <v>1982</v>
      </c>
      <c r="B1983" t="s">
        <v>2026</v>
      </c>
      <c r="C1983" t="s">
        <v>3273</v>
      </c>
      <c r="F1983" s="1">
        <v>38592</v>
      </c>
      <c r="G1983" t="s">
        <v>2276</v>
      </c>
      <c r="H1983" t="s">
        <v>121</v>
      </c>
      <c r="I1983" t="s">
        <v>11</v>
      </c>
    </row>
    <row r="1984" spans="1:9" x14ac:dyDescent="0.25">
      <c r="A1984" s="95">
        <v>1983</v>
      </c>
      <c r="B1984" t="s">
        <v>2165</v>
      </c>
      <c r="C1984" t="s">
        <v>3274</v>
      </c>
      <c r="F1984" s="1">
        <v>41597</v>
      </c>
      <c r="G1984" t="s">
        <v>2276</v>
      </c>
      <c r="H1984" t="s">
        <v>121</v>
      </c>
      <c r="I1984" t="s">
        <v>11</v>
      </c>
    </row>
    <row r="1985" spans="1:9" x14ac:dyDescent="0.25">
      <c r="A1985" s="95">
        <v>1984</v>
      </c>
      <c r="B1985" t="s">
        <v>2165</v>
      </c>
      <c r="C1985" t="s">
        <v>3275</v>
      </c>
      <c r="F1985" s="1">
        <v>42693</v>
      </c>
      <c r="G1985" t="s">
        <v>2276</v>
      </c>
      <c r="H1985" t="s">
        <v>121</v>
      </c>
      <c r="I1985" t="s">
        <v>11</v>
      </c>
    </row>
    <row r="1986" spans="1:9" x14ac:dyDescent="0.25">
      <c r="A1986" s="95">
        <v>1985</v>
      </c>
      <c r="B1986" t="s">
        <v>2102</v>
      </c>
      <c r="C1986" t="s">
        <v>3276</v>
      </c>
      <c r="F1986" s="1">
        <v>38244</v>
      </c>
      <c r="G1986" t="s">
        <v>2272</v>
      </c>
      <c r="H1986" t="s">
        <v>121</v>
      </c>
      <c r="I1986" t="s">
        <v>11</v>
      </c>
    </row>
    <row r="1987" spans="1:9" x14ac:dyDescent="0.25">
      <c r="A1987" s="95">
        <v>1986</v>
      </c>
      <c r="B1987" t="s">
        <v>2102</v>
      </c>
      <c r="C1987" t="s">
        <v>3277</v>
      </c>
      <c r="F1987" s="1">
        <v>37798</v>
      </c>
      <c r="G1987" t="s">
        <v>2272</v>
      </c>
      <c r="H1987" t="s">
        <v>121</v>
      </c>
      <c r="I1987" t="s">
        <v>11</v>
      </c>
    </row>
    <row r="1988" spans="1:9" x14ac:dyDescent="0.25">
      <c r="A1988" s="95">
        <v>1987</v>
      </c>
      <c r="B1988" t="s">
        <v>1326</v>
      </c>
      <c r="C1988" t="s">
        <v>3278</v>
      </c>
      <c r="D1988" t="s">
        <v>2559</v>
      </c>
      <c r="F1988" s="1">
        <v>38813</v>
      </c>
      <c r="G1988" t="s">
        <v>2276</v>
      </c>
      <c r="H1988" t="s">
        <v>121</v>
      </c>
      <c r="I1988" t="s">
        <v>11</v>
      </c>
    </row>
    <row r="1989" spans="1:9" x14ac:dyDescent="0.25">
      <c r="A1989" s="95">
        <v>1988</v>
      </c>
      <c r="B1989" t="s">
        <v>38</v>
      </c>
      <c r="C1989" t="s">
        <v>635</v>
      </c>
      <c r="F1989" s="1">
        <v>37983</v>
      </c>
      <c r="G1989" t="s">
        <v>2272</v>
      </c>
      <c r="H1989" t="s">
        <v>121</v>
      </c>
      <c r="I1989" t="s">
        <v>11</v>
      </c>
    </row>
    <row r="1990" spans="1:9" x14ac:dyDescent="0.25">
      <c r="A1990" s="95">
        <v>1989</v>
      </c>
      <c r="B1990" t="s">
        <v>2175</v>
      </c>
      <c r="C1990" t="s">
        <v>2146</v>
      </c>
      <c r="F1990" s="1">
        <v>18886</v>
      </c>
      <c r="G1990" t="s">
        <v>2276</v>
      </c>
      <c r="H1990" t="s">
        <v>121</v>
      </c>
      <c r="I1990" t="s">
        <v>11</v>
      </c>
    </row>
    <row r="1991" spans="1:9" x14ac:dyDescent="0.25">
      <c r="A1991" s="95">
        <v>1990</v>
      </c>
      <c r="B1991" t="s">
        <v>1978</v>
      </c>
      <c r="C1991" t="s">
        <v>2320</v>
      </c>
      <c r="D1991" t="s">
        <v>1726</v>
      </c>
      <c r="F1991" s="1">
        <v>38620</v>
      </c>
      <c r="G1991" t="s">
        <v>2272</v>
      </c>
      <c r="H1991" t="s">
        <v>121</v>
      </c>
      <c r="I1991" t="s">
        <v>11</v>
      </c>
    </row>
    <row r="1992" spans="1:9" x14ac:dyDescent="0.25">
      <c r="A1992" s="95">
        <v>1991</v>
      </c>
      <c r="B1992" t="s">
        <v>1978</v>
      </c>
      <c r="C1992" t="s">
        <v>3279</v>
      </c>
      <c r="D1992" t="s">
        <v>1726</v>
      </c>
      <c r="F1992" s="1">
        <v>27815</v>
      </c>
      <c r="G1992" t="s">
        <v>2272</v>
      </c>
      <c r="H1992" t="s">
        <v>121</v>
      </c>
      <c r="I1992" t="s">
        <v>11</v>
      </c>
    </row>
    <row r="1993" spans="1:9" x14ac:dyDescent="0.25">
      <c r="A1993" s="95">
        <v>1992</v>
      </c>
      <c r="B1993" t="s">
        <v>1908</v>
      </c>
      <c r="C1993" t="s">
        <v>3280</v>
      </c>
      <c r="D1993" t="s">
        <v>742</v>
      </c>
      <c r="F1993" s="1">
        <v>37300</v>
      </c>
      <c r="G1993" t="s">
        <v>2277</v>
      </c>
      <c r="H1993" t="s">
        <v>121</v>
      </c>
      <c r="I1993" t="s">
        <v>11</v>
      </c>
    </row>
    <row r="1994" spans="1:9" x14ac:dyDescent="0.25">
      <c r="A1994" s="95">
        <v>1993</v>
      </c>
      <c r="B1994" t="s">
        <v>1908</v>
      </c>
      <c r="C1994" t="s">
        <v>3281</v>
      </c>
      <c r="D1994" t="s">
        <v>742</v>
      </c>
      <c r="F1994" s="1">
        <v>39420</v>
      </c>
      <c r="G1994" t="s">
        <v>2277</v>
      </c>
      <c r="H1994" t="s">
        <v>121</v>
      </c>
      <c r="I1994" t="s">
        <v>11</v>
      </c>
    </row>
    <row r="1995" spans="1:9" x14ac:dyDescent="0.25">
      <c r="A1995" s="95">
        <v>1994</v>
      </c>
      <c r="B1995" t="s">
        <v>1898</v>
      </c>
      <c r="C1995" t="s">
        <v>3282</v>
      </c>
      <c r="F1995" s="1">
        <v>36476</v>
      </c>
      <c r="G1995" t="s">
        <v>2276</v>
      </c>
      <c r="H1995" t="s">
        <v>121</v>
      </c>
      <c r="I1995" t="s">
        <v>11</v>
      </c>
    </row>
    <row r="1996" spans="1:9" x14ac:dyDescent="0.25">
      <c r="A1996" s="95">
        <v>1995</v>
      </c>
      <c r="B1996" t="s">
        <v>1898</v>
      </c>
      <c r="C1996" t="s">
        <v>140</v>
      </c>
      <c r="F1996" s="1">
        <v>36836</v>
      </c>
      <c r="G1996" t="s">
        <v>2276</v>
      </c>
      <c r="H1996" t="s">
        <v>121</v>
      </c>
      <c r="I1996" t="s">
        <v>11</v>
      </c>
    </row>
    <row r="1997" spans="1:9" x14ac:dyDescent="0.25">
      <c r="A1997" s="95">
        <v>1996</v>
      </c>
      <c r="B1997" t="s">
        <v>1898</v>
      </c>
      <c r="C1997" t="s">
        <v>333</v>
      </c>
      <c r="F1997" s="1">
        <v>37950</v>
      </c>
      <c r="G1997" t="s">
        <v>2276</v>
      </c>
      <c r="H1997" t="s">
        <v>121</v>
      </c>
      <c r="I1997" t="s">
        <v>11</v>
      </c>
    </row>
    <row r="1998" spans="1:9" x14ac:dyDescent="0.25">
      <c r="A1998" s="95">
        <v>1997</v>
      </c>
      <c r="B1998" t="s">
        <v>1898</v>
      </c>
      <c r="C1998" t="s">
        <v>3283</v>
      </c>
      <c r="E1998" t="s">
        <v>22</v>
      </c>
      <c r="F1998" s="1">
        <v>39051</v>
      </c>
      <c r="G1998" t="s">
        <v>2276</v>
      </c>
      <c r="H1998" t="s">
        <v>121</v>
      </c>
      <c r="I1998" t="s">
        <v>11</v>
      </c>
    </row>
    <row r="1999" spans="1:9" x14ac:dyDescent="0.25">
      <c r="A1999" s="95">
        <v>1998</v>
      </c>
      <c r="B1999" t="s">
        <v>796</v>
      </c>
      <c r="C1999" t="s">
        <v>3284</v>
      </c>
      <c r="D1999" t="s">
        <v>1050</v>
      </c>
      <c r="F1999" s="1">
        <v>37706</v>
      </c>
      <c r="G1999" t="s">
        <v>2272</v>
      </c>
      <c r="H1999" t="s">
        <v>121</v>
      </c>
      <c r="I1999" t="s">
        <v>11</v>
      </c>
    </row>
    <row r="2000" spans="1:9" x14ac:dyDescent="0.25">
      <c r="A2000" s="95">
        <v>1999</v>
      </c>
      <c r="B2000" t="s">
        <v>796</v>
      </c>
      <c r="C2000" t="s">
        <v>3285</v>
      </c>
      <c r="D2000" t="s">
        <v>1050</v>
      </c>
      <c r="F2000" s="1">
        <v>39018</v>
      </c>
      <c r="G2000" t="s">
        <v>2272</v>
      </c>
      <c r="H2000" t="s">
        <v>121</v>
      </c>
      <c r="I2000" t="s">
        <v>11</v>
      </c>
    </row>
    <row r="2001" spans="1:9" x14ac:dyDescent="0.25">
      <c r="A2001" s="95">
        <v>2000</v>
      </c>
      <c r="B2001" t="s">
        <v>129</v>
      </c>
      <c r="C2001" t="s">
        <v>3286</v>
      </c>
      <c r="F2001" s="1">
        <v>36113</v>
      </c>
      <c r="G2001" t="s">
        <v>2276</v>
      </c>
      <c r="H2001" t="s">
        <v>121</v>
      </c>
      <c r="I2001" t="s">
        <v>11</v>
      </c>
    </row>
    <row r="2002" spans="1:9" x14ac:dyDescent="0.25">
      <c r="A2002" s="95">
        <v>2001</v>
      </c>
      <c r="B2002" t="s">
        <v>129</v>
      </c>
      <c r="C2002" t="s">
        <v>3287</v>
      </c>
      <c r="F2002" s="1">
        <v>37343</v>
      </c>
      <c r="G2002" t="s">
        <v>2276</v>
      </c>
      <c r="H2002" t="s">
        <v>121</v>
      </c>
      <c r="I2002" t="s">
        <v>11</v>
      </c>
    </row>
    <row r="2003" spans="1:9" x14ac:dyDescent="0.25">
      <c r="A2003" s="95">
        <v>2002</v>
      </c>
      <c r="B2003" t="s">
        <v>1288</v>
      </c>
      <c r="C2003" t="s">
        <v>783</v>
      </c>
      <c r="F2003" s="1">
        <v>36865</v>
      </c>
      <c r="G2003" t="s">
        <v>2276</v>
      </c>
      <c r="H2003" t="s">
        <v>121</v>
      </c>
      <c r="I2003" t="s">
        <v>11</v>
      </c>
    </row>
    <row r="2004" spans="1:9" x14ac:dyDescent="0.25">
      <c r="A2004" s="95">
        <v>2003</v>
      </c>
      <c r="B2004" t="s">
        <v>1288</v>
      </c>
      <c r="C2004" t="s">
        <v>3288</v>
      </c>
      <c r="F2004" s="1">
        <v>38059</v>
      </c>
      <c r="G2004" t="s">
        <v>2276</v>
      </c>
      <c r="H2004" t="s">
        <v>121</v>
      </c>
      <c r="I2004" t="s">
        <v>11</v>
      </c>
    </row>
    <row r="2005" spans="1:9" x14ac:dyDescent="0.25">
      <c r="A2005" s="95">
        <v>2004</v>
      </c>
      <c r="B2005" t="s">
        <v>2017</v>
      </c>
      <c r="C2005" t="s">
        <v>3289</v>
      </c>
      <c r="F2005" s="1">
        <v>46359</v>
      </c>
      <c r="G2005" t="s">
        <v>2276</v>
      </c>
      <c r="H2005" t="s">
        <v>121</v>
      </c>
      <c r="I2005" t="s">
        <v>11</v>
      </c>
    </row>
    <row r="2006" spans="1:9" x14ac:dyDescent="0.25">
      <c r="A2006" s="95">
        <v>2005</v>
      </c>
      <c r="B2006" t="s">
        <v>538</v>
      </c>
      <c r="C2006" t="s">
        <v>3290</v>
      </c>
      <c r="F2006" s="1">
        <v>34350</v>
      </c>
      <c r="G2006" t="s">
        <v>2276</v>
      </c>
      <c r="H2006" t="s">
        <v>121</v>
      </c>
      <c r="I2006" t="s">
        <v>11</v>
      </c>
    </row>
    <row r="2007" spans="1:9" x14ac:dyDescent="0.25">
      <c r="A2007" s="95">
        <v>2006</v>
      </c>
      <c r="B2007" t="s">
        <v>3291</v>
      </c>
      <c r="C2007" t="s">
        <v>75</v>
      </c>
      <c r="D2007" t="s">
        <v>2514</v>
      </c>
      <c r="F2007" s="1">
        <v>39393</v>
      </c>
      <c r="G2007" t="s">
        <v>2276</v>
      </c>
      <c r="H2007" t="s">
        <v>121</v>
      </c>
      <c r="I2007" t="s">
        <v>11</v>
      </c>
    </row>
    <row r="2008" spans="1:9" x14ac:dyDescent="0.25">
      <c r="A2008" s="95">
        <v>2007</v>
      </c>
      <c r="B2008" t="s">
        <v>3291</v>
      </c>
      <c r="C2008" t="s">
        <v>3292</v>
      </c>
      <c r="D2008" t="s">
        <v>2514</v>
      </c>
      <c r="F2008" s="1">
        <v>35031</v>
      </c>
      <c r="G2008" t="s">
        <v>2276</v>
      </c>
      <c r="H2008" t="s">
        <v>121</v>
      </c>
      <c r="I2008" t="s">
        <v>11</v>
      </c>
    </row>
    <row r="2009" spans="1:9" x14ac:dyDescent="0.25">
      <c r="A2009" s="95">
        <v>2008</v>
      </c>
      <c r="B2009" t="s">
        <v>361</v>
      </c>
      <c r="C2009" t="s">
        <v>3293</v>
      </c>
      <c r="F2009" s="1">
        <v>36446</v>
      </c>
      <c r="G2009" t="s">
        <v>2276</v>
      </c>
      <c r="H2009" t="s">
        <v>121</v>
      </c>
      <c r="I2009" t="s">
        <v>11</v>
      </c>
    </row>
    <row r="2010" spans="1:9" x14ac:dyDescent="0.25">
      <c r="A2010" s="95">
        <v>2009</v>
      </c>
      <c r="B2010" t="s">
        <v>3294</v>
      </c>
      <c r="C2010" t="s">
        <v>3295</v>
      </c>
      <c r="F2010" s="1">
        <v>36890</v>
      </c>
      <c r="G2010" t="s">
        <v>2276</v>
      </c>
      <c r="H2010" t="s">
        <v>121</v>
      </c>
      <c r="I2010" t="s">
        <v>11</v>
      </c>
    </row>
    <row r="2011" spans="1:9" x14ac:dyDescent="0.25">
      <c r="A2011" s="95">
        <v>2010</v>
      </c>
      <c r="B2011" t="s">
        <v>358</v>
      </c>
      <c r="C2011" t="s">
        <v>3296</v>
      </c>
      <c r="F2011" s="1">
        <v>39449</v>
      </c>
      <c r="G2011" t="s">
        <v>2276</v>
      </c>
      <c r="H2011" t="s">
        <v>121</v>
      </c>
      <c r="I2011" t="s">
        <v>11</v>
      </c>
    </row>
    <row r="2012" spans="1:9" x14ac:dyDescent="0.25">
      <c r="A2012" s="95">
        <v>2011</v>
      </c>
      <c r="B2012" t="s">
        <v>1426</v>
      </c>
      <c r="C2012" t="s">
        <v>3297</v>
      </c>
      <c r="D2012" t="s">
        <v>2569</v>
      </c>
      <c r="F2012" s="1">
        <v>38474</v>
      </c>
      <c r="G2012" t="s">
        <v>2276</v>
      </c>
      <c r="H2012" t="s">
        <v>121</v>
      </c>
      <c r="I2012" t="s">
        <v>11</v>
      </c>
    </row>
    <row r="2013" spans="1:9" x14ac:dyDescent="0.25">
      <c r="A2013" s="95">
        <v>2012</v>
      </c>
      <c r="B2013" t="s">
        <v>2215</v>
      </c>
      <c r="C2013" t="s">
        <v>1826</v>
      </c>
      <c r="D2013" t="s">
        <v>2521</v>
      </c>
      <c r="F2013" s="1">
        <v>37827</v>
      </c>
      <c r="G2013" t="s">
        <v>2276</v>
      </c>
      <c r="H2013" t="s">
        <v>121</v>
      </c>
      <c r="I2013" t="s">
        <v>11</v>
      </c>
    </row>
    <row r="2014" spans="1:9" x14ac:dyDescent="0.25">
      <c r="A2014" s="95">
        <v>2013</v>
      </c>
      <c r="B2014" t="s">
        <v>2215</v>
      </c>
      <c r="C2014" t="s">
        <v>3298</v>
      </c>
      <c r="D2014" t="s">
        <v>2521</v>
      </c>
      <c r="F2014" s="1">
        <v>38189</v>
      </c>
      <c r="G2014" t="s">
        <v>2276</v>
      </c>
      <c r="H2014" t="s">
        <v>121</v>
      </c>
      <c r="I2014" t="s">
        <v>11</v>
      </c>
    </row>
    <row r="2015" spans="1:9" x14ac:dyDescent="0.25">
      <c r="A2015" s="95">
        <v>2014</v>
      </c>
      <c r="B2015" t="s">
        <v>1426</v>
      </c>
      <c r="C2015" t="s">
        <v>3299</v>
      </c>
      <c r="F2015" s="1">
        <v>37978</v>
      </c>
      <c r="G2015" t="s">
        <v>2276</v>
      </c>
      <c r="H2015" t="s">
        <v>121</v>
      </c>
      <c r="I2015" t="s">
        <v>11</v>
      </c>
    </row>
    <row r="2016" spans="1:9" x14ac:dyDescent="0.25">
      <c r="A2016" s="95">
        <v>2015</v>
      </c>
      <c r="B2016" t="s">
        <v>1426</v>
      </c>
      <c r="C2016" t="s">
        <v>3300</v>
      </c>
      <c r="F2016" s="1">
        <v>38773</v>
      </c>
      <c r="G2016" t="s">
        <v>2276</v>
      </c>
      <c r="H2016" t="s">
        <v>121</v>
      </c>
      <c r="I2016" t="s">
        <v>11</v>
      </c>
    </row>
    <row r="2017" spans="1:9" x14ac:dyDescent="0.25">
      <c r="A2017" s="95">
        <v>2016</v>
      </c>
      <c r="B2017" t="s">
        <v>1426</v>
      </c>
      <c r="C2017" t="s">
        <v>3301</v>
      </c>
      <c r="F2017" s="1">
        <v>39281</v>
      </c>
      <c r="G2017" t="s">
        <v>2276</v>
      </c>
      <c r="H2017" t="s">
        <v>121</v>
      </c>
      <c r="I2017" t="s">
        <v>11</v>
      </c>
    </row>
    <row r="2018" spans="1:9" x14ac:dyDescent="0.25">
      <c r="A2018" s="95">
        <v>2017</v>
      </c>
      <c r="B2018" t="s">
        <v>1898</v>
      </c>
      <c r="C2018" t="s">
        <v>3302</v>
      </c>
      <c r="F2018" s="1">
        <v>34232</v>
      </c>
      <c r="G2018" t="s">
        <v>2276</v>
      </c>
      <c r="H2018" t="s">
        <v>121</v>
      </c>
      <c r="I2018" t="s">
        <v>11</v>
      </c>
    </row>
    <row r="2019" spans="1:9" x14ac:dyDescent="0.25">
      <c r="A2019" s="95">
        <v>2018</v>
      </c>
      <c r="B2019" t="s">
        <v>758</v>
      </c>
      <c r="C2019" t="s">
        <v>2612</v>
      </c>
      <c r="F2019" s="1">
        <v>29979</v>
      </c>
      <c r="G2019" t="s">
        <v>2276</v>
      </c>
      <c r="H2019" t="s">
        <v>121</v>
      </c>
      <c r="I2019" t="s">
        <v>11</v>
      </c>
    </row>
    <row r="2020" spans="1:9" x14ac:dyDescent="0.25">
      <c r="A2020" s="95">
        <v>2019</v>
      </c>
      <c r="B2020" t="s">
        <v>16</v>
      </c>
      <c r="C2020" t="s">
        <v>3303</v>
      </c>
      <c r="F2020" s="1">
        <v>26573</v>
      </c>
      <c r="G2020" t="s">
        <v>2276</v>
      </c>
      <c r="H2020" t="s">
        <v>121</v>
      </c>
      <c r="I2020" t="s">
        <v>11</v>
      </c>
    </row>
    <row r="2021" spans="1:9" x14ac:dyDescent="0.25">
      <c r="A2021" s="95">
        <v>2020</v>
      </c>
      <c r="B2021" t="s">
        <v>52</v>
      </c>
      <c r="C2021" t="s">
        <v>3304</v>
      </c>
      <c r="F2021" s="1">
        <v>38382</v>
      </c>
      <c r="G2021" t="s">
        <v>2276</v>
      </c>
      <c r="H2021" t="s">
        <v>121</v>
      </c>
      <c r="I2021" t="s">
        <v>11</v>
      </c>
    </row>
    <row r="2022" spans="1:9" x14ac:dyDescent="0.25">
      <c r="A2022" s="95">
        <v>2021</v>
      </c>
      <c r="B2022" t="s">
        <v>1971</v>
      </c>
      <c r="C2022" t="s">
        <v>3305</v>
      </c>
      <c r="F2022" s="1">
        <v>35006</v>
      </c>
      <c r="G2022" t="s">
        <v>2276</v>
      </c>
      <c r="H2022" t="s">
        <v>121</v>
      </c>
      <c r="I2022" t="s">
        <v>11</v>
      </c>
    </row>
    <row r="2023" spans="1:9" x14ac:dyDescent="0.25">
      <c r="A2023" s="95">
        <v>2022</v>
      </c>
      <c r="B2023" t="s">
        <v>1971</v>
      </c>
      <c r="C2023" t="s">
        <v>3306</v>
      </c>
      <c r="F2023" s="1">
        <v>38101</v>
      </c>
      <c r="G2023" t="s">
        <v>2276</v>
      </c>
      <c r="H2023" t="s">
        <v>121</v>
      </c>
      <c r="I2023" t="s">
        <v>11</v>
      </c>
    </row>
    <row r="2024" spans="1:9" x14ac:dyDescent="0.25">
      <c r="A2024" s="95">
        <v>2023</v>
      </c>
      <c r="B2024" t="s">
        <v>3307</v>
      </c>
      <c r="C2024" t="s">
        <v>3308</v>
      </c>
      <c r="D2024" t="s">
        <v>2020</v>
      </c>
      <c r="F2024" s="1">
        <v>32518</v>
      </c>
      <c r="G2024" t="s">
        <v>2276</v>
      </c>
      <c r="H2024" t="s">
        <v>121</v>
      </c>
      <c r="I2024" t="s">
        <v>11</v>
      </c>
    </row>
    <row r="2025" spans="1:9" x14ac:dyDescent="0.25">
      <c r="A2025" s="95">
        <v>2024</v>
      </c>
      <c r="B2025" t="s">
        <v>3307</v>
      </c>
      <c r="C2025" t="s">
        <v>488</v>
      </c>
      <c r="D2025" t="s">
        <v>2585</v>
      </c>
      <c r="F2025" s="1">
        <v>32906</v>
      </c>
      <c r="G2025" t="s">
        <v>2276</v>
      </c>
      <c r="H2025" t="s">
        <v>121</v>
      </c>
      <c r="I2025" t="s">
        <v>11</v>
      </c>
    </row>
    <row r="2026" spans="1:9" x14ac:dyDescent="0.25">
      <c r="A2026" s="95">
        <v>2025</v>
      </c>
      <c r="B2026" t="s">
        <v>2230</v>
      </c>
      <c r="C2026" t="s">
        <v>3309</v>
      </c>
      <c r="D2026" t="s">
        <v>2676</v>
      </c>
      <c r="F2026" s="1">
        <v>36845</v>
      </c>
      <c r="G2026" t="s">
        <v>2276</v>
      </c>
      <c r="H2026" t="s">
        <v>121</v>
      </c>
      <c r="I2026" t="s">
        <v>11</v>
      </c>
    </row>
    <row r="2027" spans="1:9" x14ac:dyDescent="0.25">
      <c r="A2027" s="95">
        <v>2026</v>
      </c>
      <c r="B2027" t="s">
        <v>2230</v>
      </c>
      <c r="C2027" t="s">
        <v>3310</v>
      </c>
      <c r="D2027" t="s">
        <v>2676</v>
      </c>
      <c r="F2027" s="1">
        <v>37304</v>
      </c>
      <c r="G2027" t="s">
        <v>2276</v>
      </c>
      <c r="H2027" t="s">
        <v>121</v>
      </c>
      <c r="I2027" t="s">
        <v>11</v>
      </c>
    </row>
    <row r="2028" spans="1:9" x14ac:dyDescent="0.25">
      <c r="A2028" s="95">
        <v>2027</v>
      </c>
      <c r="B2028" t="s">
        <v>538</v>
      </c>
      <c r="C2028" t="s">
        <v>75</v>
      </c>
      <c r="F2028" s="1">
        <v>33245</v>
      </c>
      <c r="G2028" t="s">
        <v>2276</v>
      </c>
      <c r="H2028" t="s">
        <v>121</v>
      </c>
      <c r="I2028" t="s">
        <v>11</v>
      </c>
    </row>
    <row r="2029" spans="1:9" x14ac:dyDescent="0.25">
      <c r="A2029" s="95">
        <v>2028</v>
      </c>
      <c r="B2029" t="s">
        <v>2230</v>
      </c>
      <c r="C2029" t="s">
        <v>1361</v>
      </c>
      <c r="D2029" t="s">
        <v>2559</v>
      </c>
      <c r="F2029" s="1">
        <v>27531</v>
      </c>
      <c r="G2029" t="s">
        <v>2276</v>
      </c>
      <c r="H2029" t="s">
        <v>121</v>
      </c>
      <c r="I2029" t="s">
        <v>11</v>
      </c>
    </row>
    <row r="2030" spans="1:9" x14ac:dyDescent="0.25">
      <c r="A2030" s="95">
        <v>2029</v>
      </c>
      <c r="B2030" t="s">
        <v>2230</v>
      </c>
      <c r="C2030" t="s">
        <v>459</v>
      </c>
      <c r="D2030" t="s">
        <v>2559</v>
      </c>
      <c r="F2030" s="1">
        <v>27791</v>
      </c>
      <c r="G2030" t="s">
        <v>2276</v>
      </c>
      <c r="H2030" t="s">
        <v>121</v>
      </c>
      <c r="I2030" t="s">
        <v>11</v>
      </c>
    </row>
    <row r="2031" spans="1:9" x14ac:dyDescent="0.25">
      <c r="A2031" s="95">
        <v>2030</v>
      </c>
      <c r="B2031" t="s">
        <v>1426</v>
      </c>
      <c r="C2031" t="s">
        <v>2364</v>
      </c>
      <c r="F2031" s="1">
        <v>29835</v>
      </c>
      <c r="G2031" t="s">
        <v>2276</v>
      </c>
      <c r="H2031" t="s">
        <v>121</v>
      </c>
      <c r="I2031" t="s">
        <v>11</v>
      </c>
    </row>
    <row r="2032" spans="1:9" x14ac:dyDescent="0.25">
      <c r="A2032" s="95">
        <v>2031</v>
      </c>
      <c r="B2032" t="s">
        <v>1426</v>
      </c>
      <c r="C2032" t="s">
        <v>2798</v>
      </c>
      <c r="F2032" s="1">
        <v>32902</v>
      </c>
      <c r="G2032" t="s">
        <v>2276</v>
      </c>
      <c r="H2032" t="s">
        <v>121</v>
      </c>
      <c r="I2032" t="s">
        <v>11</v>
      </c>
    </row>
    <row r="2033" spans="1:9" x14ac:dyDescent="0.25">
      <c r="A2033" s="95">
        <v>2032</v>
      </c>
      <c r="B2033" t="s">
        <v>2240</v>
      </c>
      <c r="C2033" t="s">
        <v>3311</v>
      </c>
      <c r="F2033" s="1">
        <v>39320</v>
      </c>
      <c r="G2033" t="s">
        <v>2276</v>
      </c>
      <c r="H2033" t="s">
        <v>121</v>
      </c>
      <c r="I2033" t="s">
        <v>11</v>
      </c>
    </row>
    <row r="2034" spans="1:9" x14ac:dyDescent="0.25">
      <c r="A2034" s="95">
        <v>2033</v>
      </c>
      <c r="B2034" t="s">
        <v>577</v>
      </c>
      <c r="C2034" t="s">
        <v>3312</v>
      </c>
      <c r="F2034" s="1">
        <v>33519</v>
      </c>
      <c r="G2034" t="s">
        <v>2276</v>
      </c>
      <c r="H2034" t="s">
        <v>121</v>
      </c>
      <c r="I2034" t="s">
        <v>11</v>
      </c>
    </row>
    <row r="2035" spans="1:9" x14ac:dyDescent="0.25">
      <c r="A2035" s="95">
        <v>2034</v>
      </c>
      <c r="B2035" t="s">
        <v>1328</v>
      </c>
      <c r="C2035" t="s">
        <v>3313</v>
      </c>
      <c r="F2035" s="1">
        <v>36181</v>
      </c>
      <c r="G2035" t="s">
        <v>2276</v>
      </c>
      <c r="H2035" t="s">
        <v>121</v>
      </c>
      <c r="I2035" t="s">
        <v>11</v>
      </c>
    </row>
    <row r="2036" spans="1:9" x14ac:dyDescent="0.25">
      <c r="A2036" s="95">
        <v>2035</v>
      </c>
      <c r="B2036" t="s">
        <v>1328</v>
      </c>
      <c r="C2036" t="s">
        <v>136</v>
      </c>
      <c r="F2036" s="1">
        <v>30669</v>
      </c>
      <c r="G2036" t="s">
        <v>2276</v>
      </c>
      <c r="H2036" t="s">
        <v>121</v>
      </c>
      <c r="I2036" t="s">
        <v>11</v>
      </c>
    </row>
    <row r="2037" spans="1:9" x14ac:dyDescent="0.25">
      <c r="A2037" s="95">
        <v>2036</v>
      </c>
      <c r="B2037" t="s">
        <v>1328</v>
      </c>
      <c r="C2037" t="s">
        <v>3314</v>
      </c>
      <c r="F2037" s="1">
        <v>35514</v>
      </c>
      <c r="G2037" t="s">
        <v>2276</v>
      </c>
      <c r="H2037" t="s">
        <v>121</v>
      </c>
      <c r="I2037" t="s">
        <v>11</v>
      </c>
    </row>
    <row r="2038" spans="1:9" x14ac:dyDescent="0.25">
      <c r="A2038" s="95">
        <v>2037</v>
      </c>
      <c r="B2038" t="s">
        <v>1380</v>
      </c>
      <c r="C2038" t="s">
        <v>3315</v>
      </c>
      <c r="D2038" t="s">
        <v>2561</v>
      </c>
      <c r="F2038" s="1">
        <v>36836</v>
      </c>
      <c r="G2038" t="s">
        <v>2276</v>
      </c>
      <c r="H2038" t="s">
        <v>121</v>
      </c>
      <c r="I2038" t="s">
        <v>11</v>
      </c>
    </row>
    <row r="2039" spans="1:9" x14ac:dyDescent="0.25">
      <c r="A2039" s="95">
        <v>2038</v>
      </c>
      <c r="B2039" t="s">
        <v>1380</v>
      </c>
      <c r="C2039" t="s">
        <v>2912</v>
      </c>
      <c r="D2039" t="s">
        <v>2561</v>
      </c>
      <c r="F2039" s="1">
        <v>38786</v>
      </c>
      <c r="G2039" t="s">
        <v>2276</v>
      </c>
      <c r="H2039" t="s">
        <v>121</v>
      </c>
      <c r="I2039" t="s">
        <v>11</v>
      </c>
    </row>
    <row r="2040" spans="1:9" x14ac:dyDescent="0.25">
      <c r="A2040" s="95">
        <v>2039</v>
      </c>
      <c r="B2040" t="s">
        <v>2081</v>
      </c>
      <c r="C2040" t="s">
        <v>3316</v>
      </c>
      <c r="F2040" s="1">
        <v>35395</v>
      </c>
      <c r="G2040" t="s">
        <v>2276</v>
      </c>
      <c r="H2040" t="s">
        <v>121</v>
      </c>
      <c r="I2040" t="s">
        <v>11</v>
      </c>
    </row>
    <row r="2041" spans="1:9" x14ac:dyDescent="0.25">
      <c r="A2041" s="95">
        <v>2040</v>
      </c>
      <c r="B2041" t="s">
        <v>3317</v>
      </c>
      <c r="C2041" t="s">
        <v>2138</v>
      </c>
      <c r="F2041" s="1">
        <v>38842</v>
      </c>
      <c r="G2041" t="s">
        <v>2276</v>
      </c>
      <c r="H2041" t="s">
        <v>121</v>
      </c>
      <c r="I2041" t="s">
        <v>11</v>
      </c>
    </row>
    <row r="2042" spans="1:9" x14ac:dyDescent="0.25">
      <c r="A2042" s="95">
        <v>2041</v>
      </c>
      <c r="B2042" t="s">
        <v>1417</v>
      </c>
      <c r="C2042" t="s">
        <v>3265</v>
      </c>
      <c r="F2042" s="1">
        <v>32421</v>
      </c>
      <c r="G2042" t="s">
        <v>2276</v>
      </c>
      <c r="H2042" t="s">
        <v>121</v>
      </c>
      <c r="I2042" t="s">
        <v>11</v>
      </c>
    </row>
    <row r="2043" spans="1:9" x14ac:dyDescent="0.25">
      <c r="A2043" s="95">
        <v>2042</v>
      </c>
      <c r="B2043" t="s">
        <v>1417</v>
      </c>
      <c r="C2043" t="s">
        <v>3318</v>
      </c>
      <c r="F2043" s="1">
        <v>35578</v>
      </c>
      <c r="G2043" t="s">
        <v>2276</v>
      </c>
      <c r="H2043" t="s">
        <v>121</v>
      </c>
      <c r="I2043" t="s">
        <v>11</v>
      </c>
    </row>
    <row r="2044" spans="1:9" x14ac:dyDescent="0.25">
      <c r="A2044" s="95">
        <v>2043</v>
      </c>
      <c r="B2044" t="s">
        <v>1788</v>
      </c>
      <c r="C2044" t="s">
        <v>3319</v>
      </c>
      <c r="F2044" s="1">
        <v>37680</v>
      </c>
      <c r="G2044" t="s">
        <v>2274</v>
      </c>
      <c r="H2044" t="s">
        <v>121</v>
      </c>
      <c r="I2044" t="s">
        <v>11</v>
      </c>
    </row>
    <row r="2045" spans="1:9" x14ac:dyDescent="0.25">
      <c r="A2045" s="95">
        <v>2044</v>
      </c>
      <c r="B2045" t="s">
        <v>1788</v>
      </c>
      <c r="C2045" t="s">
        <v>3320</v>
      </c>
      <c r="F2045" s="1">
        <v>38048</v>
      </c>
      <c r="G2045" t="s">
        <v>2274</v>
      </c>
      <c r="H2045" t="s">
        <v>121</v>
      </c>
      <c r="I2045" t="s">
        <v>11</v>
      </c>
    </row>
    <row r="2046" spans="1:9" x14ac:dyDescent="0.25">
      <c r="A2046" s="95">
        <v>2045</v>
      </c>
      <c r="B2046" t="s">
        <v>129</v>
      </c>
      <c r="C2046" t="s">
        <v>3321</v>
      </c>
      <c r="F2046" s="1">
        <v>36337</v>
      </c>
      <c r="G2046" t="s">
        <v>2274</v>
      </c>
      <c r="H2046" t="s">
        <v>121</v>
      </c>
      <c r="I2046" t="s">
        <v>11</v>
      </c>
    </row>
    <row r="2047" spans="1:9" x14ac:dyDescent="0.25">
      <c r="A2047" s="95">
        <v>2046</v>
      </c>
      <c r="B2047" t="s">
        <v>1373</v>
      </c>
      <c r="C2047" t="s">
        <v>3322</v>
      </c>
      <c r="D2047" t="s">
        <v>1269</v>
      </c>
      <c r="F2047" s="1">
        <v>37191</v>
      </c>
      <c r="G2047" t="s">
        <v>2273</v>
      </c>
      <c r="H2047" t="s">
        <v>121</v>
      </c>
      <c r="I2047" t="s">
        <v>11</v>
      </c>
    </row>
    <row r="2048" spans="1:9" x14ac:dyDescent="0.25">
      <c r="A2048" s="95">
        <v>2047</v>
      </c>
      <c r="B2048" t="s">
        <v>1373</v>
      </c>
      <c r="C2048" t="s">
        <v>3323</v>
      </c>
      <c r="D2048" t="s">
        <v>1269</v>
      </c>
      <c r="F2048" s="1">
        <v>38664</v>
      </c>
      <c r="G2048" t="s">
        <v>2273</v>
      </c>
      <c r="H2048" t="s">
        <v>121</v>
      </c>
      <c r="I2048" t="s">
        <v>11</v>
      </c>
    </row>
    <row r="2049" spans="1:9" x14ac:dyDescent="0.25">
      <c r="A2049" s="95">
        <v>2048</v>
      </c>
      <c r="B2049" t="s">
        <v>1279</v>
      </c>
      <c r="C2049" t="s">
        <v>1565</v>
      </c>
      <c r="D2049" t="s">
        <v>2691</v>
      </c>
      <c r="F2049" s="1">
        <v>32359</v>
      </c>
      <c r="G2049" t="s">
        <v>2273</v>
      </c>
      <c r="H2049" t="s">
        <v>121</v>
      </c>
      <c r="I2049" t="s">
        <v>11</v>
      </c>
    </row>
    <row r="2050" spans="1:9" x14ac:dyDescent="0.25">
      <c r="A2050" s="95">
        <v>2049</v>
      </c>
      <c r="B2050" t="s">
        <v>1279</v>
      </c>
      <c r="C2050" t="s">
        <v>1344</v>
      </c>
      <c r="D2050" t="s">
        <v>2691</v>
      </c>
      <c r="F2050" s="1">
        <v>34962</v>
      </c>
      <c r="G2050" t="s">
        <v>2273</v>
      </c>
      <c r="H2050" t="s">
        <v>121</v>
      </c>
      <c r="I2050" t="s">
        <v>11</v>
      </c>
    </row>
    <row r="2051" spans="1:9" x14ac:dyDescent="0.25">
      <c r="A2051" s="95">
        <v>2050</v>
      </c>
      <c r="B2051" t="s">
        <v>1592</v>
      </c>
      <c r="C2051" t="s">
        <v>138</v>
      </c>
      <c r="D2051" t="s">
        <v>1594</v>
      </c>
      <c r="F2051" s="1">
        <v>36372</v>
      </c>
      <c r="G2051" t="s">
        <v>2273</v>
      </c>
      <c r="H2051" t="s">
        <v>121</v>
      </c>
      <c r="I2051" t="s">
        <v>11</v>
      </c>
    </row>
    <row r="2052" spans="1:9" x14ac:dyDescent="0.25">
      <c r="A2052" s="95">
        <v>2051</v>
      </c>
      <c r="B2052" t="s">
        <v>1609</v>
      </c>
      <c r="C2052" t="s">
        <v>3324</v>
      </c>
      <c r="D2052" t="s">
        <v>1269</v>
      </c>
      <c r="F2052" s="1">
        <v>37851</v>
      </c>
      <c r="G2052" t="s">
        <v>2273</v>
      </c>
      <c r="H2052" t="s">
        <v>121</v>
      </c>
      <c r="I2052" t="s">
        <v>11</v>
      </c>
    </row>
    <row r="2053" spans="1:9" x14ac:dyDescent="0.25">
      <c r="A2053" s="95">
        <v>2052</v>
      </c>
      <c r="B2053" t="s">
        <v>2270</v>
      </c>
      <c r="C2053" t="s">
        <v>110</v>
      </c>
      <c r="D2053" t="s">
        <v>1609</v>
      </c>
      <c r="F2053" s="1">
        <v>38369</v>
      </c>
      <c r="G2053" t="s">
        <v>2273</v>
      </c>
      <c r="H2053" t="s">
        <v>121</v>
      </c>
      <c r="I2053" t="s">
        <v>11</v>
      </c>
    </row>
    <row r="2054" spans="1:9" x14ac:dyDescent="0.25">
      <c r="A2054" s="95">
        <v>2053</v>
      </c>
      <c r="B2054" t="s">
        <v>1270</v>
      </c>
      <c r="C2054" t="s">
        <v>1432</v>
      </c>
      <c r="D2054" t="s">
        <v>2296</v>
      </c>
      <c r="F2054" s="1">
        <v>41377</v>
      </c>
      <c r="G2054" t="s">
        <v>2273</v>
      </c>
      <c r="H2054" t="s">
        <v>121</v>
      </c>
      <c r="I2054" t="s">
        <v>11</v>
      </c>
    </row>
    <row r="2055" spans="1:9" x14ac:dyDescent="0.25">
      <c r="A2055" s="95">
        <v>2054</v>
      </c>
      <c r="B2055" t="s">
        <v>49</v>
      </c>
      <c r="C2055" t="s">
        <v>3325</v>
      </c>
      <c r="D2055" t="s">
        <v>1406</v>
      </c>
      <c r="F2055" s="1">
        <v>40944</v>
      </c>
      <c r="G2055" t="s">
        <v>2273</v>
      </c>
      <c r="H2055" t="s">
        <v>121</v>
      </c>
      <c r="I2055" t="s">
        <v>11</v>
      </c>
    </row>
    <row r="2056" spans="1:9" x14ac:dyDescent="0.25">
      <c r="A2056" s="95">
        <v>2055</v>
      </c>
      <c r="B2056" t="s">
        <v>49</v>
      </c>
      <c r="C2056" t="s">
        <v>3326</v>
      </c>
      <c r="D2056" t="s">
        <v>1406</v>
      </c>
      <c r="F2056" s="1">
        <v>43788</v>
      </c>
      <c r="G2056" t="s">
        <v>2273</v>
      </c>
      <c r="H2056" t="s">
        <v>121</v>
      </c>
      <c r="I2056" t="s">
        <v>11</v>
      </c>
    </row>
    <row r="2057" spans="1:9" x14ac:dyDescent="0.25">
      <c r="A2057" s="95">
        <v>2056</v>
      </c>
      <c r="B2057" t="s">
        <v>816</v>
      </c>
      <c r="C2057" t="s">
        <v>161</v>
      </c>
      <c r="F2057" s="1">
        <v>36192</v>
      </c>
      <c r="G2057" t="s">
        <v>2273</v>
      </c>
      <c r="H2057" t="s">
        <v>121</v>
      </c>
      <c r="I2057" t="s">
        <v>11</v>
      </c>
    </row>
    <row r="2058" spans="1:9" x14ac:dyDescent="0.25">
      <c r="A2058" s="95">
        <v>2057</v>
      </c>
      <c r="B2058" t="s">
        <v>1292</v>
      </c>
      <c r="C2058" t="s">
        <v>3327</v>
      </c>
      <c r="D2058" t="s">
        <v>1294</v>
      </c>
      <c r="F2058" s="1">
        <v>13675</v>
      </c>
      <c r="G2058" t="s">
        <v>2274</v>
      </c>
      <c r="H2058" t="s">
        <v>121</v>
      </c>
      <c r="I2058" t="s">
        <v>11</v>
      </c>
    </row>
    <row r="2059" spans="1:9" x14ac:dyDescent="0.25">
      <c r="A2059" s="95">
        <v>2058</v>
      </c>
      <c r="B2059" t="s">
        <v>1292</v>
      </c>
      <c r="C2059" t="s">
        <v>2805</v>
      </c>
      <c r="D2059" t="s">
        <v>1773</v>
      </c>
      <c r="F2059" s="1">
        <v>35154</v>
      </c>
      <c r="G2059" t="s">
        <v>2274</v>
      </c>
      <c r="H2059" t="s">
        <v>121</v>
      </c>
      <c r="I2059" t="s">
        <v>11</v>
      </c>
    </row>
    <row r="2060" spans="1:9" x14ac:dyDescent="0.25">
      <c r="A2060" s="95">
        <v>2059</v>
      </c>
      <c r="B2060" t="s">
        <v>1292</v>
      </c>
      <c r="C2060" t="s">
        <v>3328</v>
      </c>
      <c r="D2060" t="s">
        <v>1773</v>
      </c>
      <c r="F2060" s="1">
        <v>44835</v>
      </c>
      <c r="G2060" t="s">
        <v>2274</v>
      </c>
      <c r="H2060" t="s">
        <v>121</v>
      </c>
      <c r="I2060" t="s">
        <v>11</v>
      </c>
    </row>
    <row r="2061" spans="1:9" x14ac:dyDescent="0.25">
      <c r="A2061" s="95">
        <v>2060</v>
      </c>
      <c r="B2061" t="s">
        <v>1269</v>
      </c>
      <c r="C2061" t="s">
        <v>637</v>
      </c>
      <c r="D2061" t="s">
        <v>536</v>
      </c>
      <c r="F2061" s="1">
        <v>19898</v>
      </c>
      <c r="G2061" t="s">
        <v>2273</v>
      </c>
      <c r="H2061" t="s">
        <v>121</v>
      </c>
      <c r="I2061" t="s">
        <v>11</v>
      </c>
    </row>
    <row r="2062" spans="1:9" x14ac:dyDescent="0.25">
      <c r="A2062" s="95">
        <v>2061</v>
      </c>
      <c r="B2062" t="s">
        <v>1307</v>
      </c>
      <c r="C2062" t="s">
        <v>610</v>
      </c>
      <c r="D2062" t="s">
        <v>3329</v>
      </c>
      <c r="F2062" s="1">
        <v>22175</v>
      </c>
      <c r="G2062" t="s">
        <v>2273</v>
      </c>
      <c r="H2062" t="s">
        <v>121</v>
      </c>
      <c r="I2062" t="s">
        <v>11</v>
      </c>
    </row>
    <row r="2063" spans="1:9" x14ac:dyDescent="0.25">
      <c r="A2063" s="95">
        <v>2062</v>
      </c>
      <c r="B2063" t="s">
        <v>1294</v>
      </c>
      <c r="C2063" t="s">
        <v>1346</v>
      </c>
      <c r="D2063" t="s">
        <v>1279</v>
      </c>
      <c r="F2063" s="1">
        <v>20572</v>
      </c>
      <c r="G2063" t="s">
        <v>2273</v>
      </c>
      <c r="H2063" t="s">
        <v>121</v>
      </c>
      <c r="I2063" t="s">
        <v>11</v>
      </c>
    </row>
    <row r="2064" spans="1:9" x14ac:dyDescent="0.25">
      <c r="A2064" s="95">
        <v>2063</v>
      </c>
      <c r="B2064" t="s">
        <v>1368</v>
      </c>
      <c r="C2064" t="s">
        <v>3330</v>
      </c>
      <c r="D2064" t="s">
        <v>27</v>
      </c>
      <c r="F2064" s="1">
        <v>39275</v>
      </c>
      <c r="G2064" t="s">
        <v>2274</v>
      </c>
      <c r="H2064" t="s">
        <v>121</v>
      </c>
      <c r="I2064" t="s">
        <v>11</v>
      </c>
    </row>
    <row r="2065" spans="1:9" x14ac:dyDescent="0.25">
      <c r="A2065" s="95">
        <v>2064</v>
      </c>
      <c r="B2065" t="s">
        <v>1294</v>
      </c>
      <c r="C2065" t="s">
        <v>3331</v>
      </c>
      <c r="D2065" t="s">
        <v>3332</v>
      </c>
      <c r="E2065" t="s">
        <v>67</v>
      </c>
      <c r="F2065" s="1">
        <v>30474</v>
      </c>
      <c r="G2065" t="s">
        <v>2274</v>
      </c>
      <c r="H2065" t="s">
        <v>121</v>
      </c>
      <c r="I2065" t="s">
        <v>11</v>
      </c>
    </row>
    <row r="2066" spans="1:9" x14ac:dyDescent="0.25">
      <c r="A2066" s="95">
        <v>2065</v>
      </c>
      <c r="B2066" t="s">
        <v>1292</v>
      </c>
      <c r="C2066" t="s">
        <v>3327</v>
      </c>
      <c r="D2066" t="s">
        <v>1294</v>
      </c>
      <c r="F2066" s="1">
        <v>13675</v>
      </c>
      <c r="G2066" t="s">
        <v>2274</v>
      </c>
      <c r="H2066" t="s">
        <v>121</v>
      </c>
      <c r="I2066" t="s">
        <v>11</v>
      </c>
    </row>
    <row r="2067" spans="1:9" x14ac:dyDescent="0.25">
      <c r="A2067" s="95">
        <v>2066</v>
      </c>
      <c r="B2067" t="s">
        <v>1396</v>
      </c>
      <c r="C2067" t="s">
        <v>2721</v>
      </c>
      <c r="D2067" t="s">
        <v>2347</v>
      </c>
      <c r="F2067" s="1">
        <v>41225</v>
      </c>
      <c r="G2067" t="s">
        <v>2273</v>
      </c>
      <c r="H2067" t="s">
        <v>121</v>
      </c>
      <c r="I2067" t="s">
        <v>11</v>
      </c>
    </row>
    <row r="2068" spans="1:9" x14ac:dyDescent="0.25">
      <c r="A2068" s="95">
        <v>2067</v>
      </c>
      <c r="B2068" t="s">
        <v>1396</v>
      </c>
      <c r="C2068" t="s">
        <v>3333</v>
      </c>
      <c r="D2068" t="s">
        <v>2347</v>
      </c>
      <c r="F2068" s="1">
        <v>42469</v>
      </c>
      <c r="G2068" t="s">
        <v>2273</v>
      </c>
      <c r="H2068" t="s">
        <v>121</v>
      </c>
      <c r="I2068" t="s">
        <v>11</v>
      </c>
    </row>
    <row r="2069" spans="1:9" x14ac:dyDescent="0.25">
      <c r="A2069" s="95">
        <v>2068</v>
      </c>
      <c r="B2069" t="s">
        <v>1396</v>
      </c>
      <c r="C2069" t="s">
        <v>1397</v>
      </c>
      <c r="D2069" t="s">
        <v>2347</v>
      </c>
      <c r="F2069" s="1">
        <v>43698</v>
      </c>
      <c r="G2069" t="s">
        <v>2273</v>
      </c>
      <c r="H2069" t="s">
        <v>121</v>
      </c>
      <c r="I2069" t="s">
        <v>11</v>
      </c>
    </row>
    <row r="2070" spans="1:9" x14ac:dyDescent="0.25">
      <c r="A2070" s="95">
        <v>2069</v>
      </c>
      <c r="B2070" t="s">
        <v>2353</v>
      </c>
      <c r="C2070" t="s">
        <v>1839</v>
      </c>
      <c r="D2070" t="s">
        <v>3334</v>
      </c>
      <c r="F2070" s="1">
        <v>37802</v>
      </c>
      <c r="G2070" t="s">
        <v>2273</v>
      </c>
      <c r="H2070" t="s">
        <v>121</v>
      </c>
      <c r="I2070" t="s">
        <v>11</v>
      </c>
    </row>
    <row r="2071" spans="1:9" x14ac:dyDescent="0.25">
      <c r="A2071" s="95">
        <v>2070</v>
      </c>
      <c r="B2071" t="s">
        <v>742</v>
      </c>
      <c r="C2071" t="s">
        <v>3335</v>
      </c>
      <c r="D2071" t="s">
        <v>3336</v>
      </c>
      <c r="F2071" s="1">
        <v>35696</v>
      </c>
      <c r="G2071" t="s">
        <v>2273</v>
      </c>
      <c r="H2071" t="s">
        <v>121</v>
      </c>
      <c r="I2071" t="s">
        <v>11</v>
      </c>
    </row>
    <row r="2072" spans="1:9" x14ac:dyDescent="0.25">
      <c r="A2072" s="95">
        <v>2071</v>
      </c>
      <c r="B2072" t="s">
        <v>997</v>
      </c>
      <c r="C2072" t="s">
        <v>3337</v>
      </c>
      <c r="D2072" t="s">
        <v>2373</v>
      </c>
      <c r="F2072" s="1">
        <v>39689</v>
      </c>
      <c r="G2072" t="s">
        <v>2273</v>
      </c>
      <c r="H2072" t="s">
        <v>121</v>
      </c>
      <c r="I2072" t="s">
        <v>11</v>
      </c>
    </row>
    <row r="2073" spans="1:9" x14ac:dyDescent="0.25">
      <c r="A2073" s="95">
        <v>2072</v>
      </c>
      <c r="B2073" t="s">
        <v>997</v>
      </c>
      <c r="C2073" t="s">
        <v>3338</v>
      </c>
      <c r="D2073" t="s">
        <v>2373</v>
      </c>
      <c r="F2073" s="1">
        <v>40078</v>
      </c>
      <c r="G2073" t="s">
        <v>2273</v>
      </c>
      <c r="H2073" t="s">
        <v>121</v>
      </c>
      <c r="I2073" t="s">
        <v>11</v>
      </c>
    </row>
    <row r="2074" spans="1:9" x14ac:dyDescent="0.25">
      <c r="A2074" s="95">
        <v>2073</v>
      </c>
      <c r="B2074" t="s">
        <v>3339</v>
      </c>
      <c r="C2074" t="s">
        <v>60</v>
      </c>
      <c r="D2074" t="s">
        <v>3340</v>
      </c>
      <c r="F2074" s="1">
        <v>27321</v>
      </c>
      <c r="G2074" t="s">
        <v>2273</v>
      </c>
      <c r="H2074" t="s">
        <v>121</v>
      </c>
      <c r="I2074" t="s">
        <v>11</v>
      </c>
    </row>
    <row r="2075" spans="1:9" x14ac:dyDescent="0.25">
      <c r="A2075" s="95">
        <v>2074</v>
      </c>
      <c r="B2075" t="s">
        <v>3341</v>
      </c>
      <c r="C2075" t="s">
        <v>322</v>
      </c>
      <c r="D2075" t="s">
        <v>1473</v>
      </c>
      <c r="F2075" s="1">
        <v>31302</v>
      </c>
      <c r="G2075" t="s">
        <v>2273</v>
      </c>
      <c r="H2075" t="s">
        <v>121</v>
      </c>
      <c r="I2075" t="s">
        <v>11</v>
      </c>
    </row>
    <row r="2076" spans="1:9" x14ac:dyDescent="0.25">
      <c r="A2076" s="95">
        <v>2075</v>
      </c>
      <c r="B2076" t="s">
        <v>3341</v>
      </c>
      <c r="C2076" t="s">
        <v>3342</v>
      </c>
      <c r="D2076" t="s">
        <v>1473</v>
      </c>
      <c r="F2076" s="1">
        <v>41325</v>
      </c>
      <c r="G2076" t="s">
        <v>2273</v>
      </c>
      <c r="H2076" t="s">
        <v>121</v>
      </c>
      <c r="I2076" t="s">
        <v>11</v>
      </c>
    </row>
    <row r="2077" spans="1:9" x14ac:dyDescent="0.25">
      <c r="A2077" s="95">
        <v>2076</v>
      </c>
      <c r="B2077" t="s">
        <v>3343</v>
      </c>
      <c r="C2077" t="s">
        <v>3344</v>
      </c>
      <c r="D2077" t="s">
        <v>3345</v>
      </c>
      <c r="F2077" s="1">
        <v>35259</v>
      </c>
      <c r="G2077" t="s">
        <v>2273</v>
      </c>
      <c r="H2077" t="s">
        <v>121</v>
      </c>
      <c r="I2077" t="s">
        <v>11</v>
      </c>
    </row>
    <row r="2078" spans="1:9" x14ac:dyDescent="0.25">
      <c r="A2078" s="95">
        <v>2077</v>
      </c>
      <c r="B2078" t="s">
        <v>1511</v>
      </c>
      <c r="C2078" t="s">
        <v>1994</v>
      </c>
      <c r="D2078" t="s">
        <v>1275</v>
      </c>
      <c r="F2078" s="1">
        <v>19250</v>
      </c>
      <c r="G2078" t="s">
        <v>2273</v>
      </c>
      <c r="H2078" t="s">
        <v>121</v>
      </c>
      <c r="I2078" t="s">
        <v>11</v>
      </c>
    </row>
    <row r="2079" spans="1:9" x14ac:dyDescent="0.25">
      <c r="A2079" s="95">
        <v>2078</v>
      </c>
      <c r="B2079" t="s">
        <v>1288</v>
      </c>
      <c r="C2079" t="s">
        <v>2454</v>
      </c>
      <c r="D2079" t="s">
        <v>997</v>
      </c>
      <c r="F2079" s="1">
        <v>39201</v>
      </c>
      <c r="G2079" t="s">
        <v>2273</v>
      </c>
      <c r="H2079" t="s">
        <v>121</v>
      </c>
      <c r="I2079" t="s">
        <v>11</v>
      </c>
    </row>
    <row r="2080" spans="1:9" x14ac:dyDescent="0.25">
      <c r="A2080" s="95">
        <v>2079</v>
      </c>
      <c r="B2080" t="s">
        <v>2409</v>
      </c>
      <c r="C2080" t="s">
        <v>1861</v>
      </c>
      <c r="D2080" t="s">
        <v>3346</v>
      </c>
      <c r="F2080" s="1">
        <v>26207</v>
      </c>
      <c r="G2080" t="s">
        <v>2273</v>
      </c>
      <c r="H2080" t="s">
        <v>121</v>
      </c>
      <c r="I2080" t="s">
        <v>11</v>
      </c>
    </row>
    <row r="2081" spans="1:9" x14ac:dyDescent="0.25">
      <c r="A2081" s="95">
        <v>2080</v>
      </c>
      <c r="B2081" t="s">
        <v>997</v>
      </c>
      <c r="C2081" t="s">
        <v>3347</v>
      </c>
      <c r="D2081" t="s">
        <v>1311</v>
      </c>
      <c r="E2081" t="s">
        <v>76</v>
      </c>
      <c r="F2081" s="1">
        <v>23846</v>
      </c>
      <c r="G2081" t="s">
        <v>2273</v>
      </c>
      <c r="H2081" t="s">
        <v>121</v>
      </c>
      <c r="I2081" t="s">
        <v>11</v>
      </c>
    </row>
    <row r="2082" spans="1:9" x14ac:dyDescent="0.25">
      <c r="A2082" s="95">
        <v>2081</v>
      </c>
      <c r="B2082" t="s">
        <v>997</v>
      </c>
      <c r="C2082" t="s">
        <v>3348</v>
      </c>
      <c r="D2082" t="s">
        <v>3349</v>
      </c>
      <c r="F2082" s="1">
        <v>15170</v>
      </c>
      <c r="G2082" t="s">
        <v>2273</v>
      </c>
      <c r="H2082" t="s">
        <v>121</v>
      </c>
      <c r="I2082" t="s">
        <v>11</v>
      </c>
    </row>
    <row r="2083" spans="1:9" x14ac:dyDescent="0.25">
      <c r="A2083" s="95">
        <v>2082</v>
      </c>
      <c r="B2083" t="s">
        <v>421</v>
      </c>
      <c r="C2083" t="s">
        <v>3350</v>
      </c>
      <c r="D2083" t="s">
        <v>3351</v>
      </c>
      <c r="F2083" s="1">
        <v>34861</v>
      </c>
      <c r="G2083" t="s">
        <v>2273</v>
      </c>
      <c r="H2083" t="s">
        <v>121</v>
      </c>
      <c r="I2083" t="s">
        <v>11</v>
      </c>
    </row>
    <row r="2084" spans="1:9" x14ac:dyDescent="0.25">
      <c r="A2084" s="95">
        <v>2083</v>
      </c>
      <c r="B2084" t="s">
        <v>1592</v>
      </c>
      <c r="C2084" t="s">
        <v>1594</v>
      </c>
      <c r="D2084" t="s">
        <v>1594</v>
      </c>
      <c r="F2084" s="1">
        <v>37054</v>
      </c>
      <c r="G2084" t="s">
        <v>2273</v>
      </c>
      <c r="H2084" t="s">
        <v>121</v>
      </c>
      <c r="I2084" t="s">
        <v>11</v>
      </c>
    </row>
    <row r="2085" spans="1:9" x14ac:dyDescent="0.25">
      <c r="A2085" s="95">
        <v>2084</v>
      </c>
      <c r="B2085" t="s">
        <v>1592</v>
      </c>
      <c r="C2085" t="s">
        <v>3352</v>
      </c>
      <c r="D2085" t="s">
        <v>1594</v>
      </c>
      <c r="F2085" s="1">
        <v>33802</v>
      </c>
      <c r="G2085" t="s">
        <v>2273</v>
      </c>
      <c r="H2085" t="s">
        <v>121</v>
      </c>
      <c r="I2085" t="s">
        <v>11</v>
      </c>
    </row>
    <row r="2086" spans="1:9" x14ac:dyDescent="0.25">
      <c r="A2086" s="95">
        <v>2085</v>
      </c>
      <c r="B2086" t="s">
        <v>1592</v>
      </c>
      <c r="C2086" t="s">
        <v>2969</v>
      </c>
      <c r="D2086" t="s">
        <v>1594</v>
      </c>
      <c r="F2086" s="1">
        <v>41682</v>
      </c>
      <c r="G2086" t="s">
        <v>2273</v>
      </c>
      <c r="H2086" t="s">
        <v>121</v>
      </c>
      <c r="I2086" t="s">
        <v>11</v>
      </c>
    </row>
    <row r="2087" spans="1:9" x14ac:dyDescent="0.25">
      <c r="A2087" s="95">
        <v>2086</v>
      </c>
      <c r="B2087" t="s">
        <v>1592</v>
      </c>
      <c r="C2087" t="s">
        <v>3353</v>
      </c>
      <c r="D2087" t="s">
        <v>1594</v>
      </c>
      <c r="F2087" s="1">
        <v>36372</v>
      </c>
      <c r="G2087" t="s">
        <v>2273</v>
      </c>
      <c r="H2087" t="s">
        <v>121</v>
      </c>
      <c r="I2087" t="s">
        <v>11</v>
      </c>
    </row>
    <row r="2088" spans="1:9" x14ac:dyDescent="0.25">
      <c r="A2088" s="95">
        <v>2087</v>
      </c>
      <c r="B2088" t="s">
        <v>1592</v>
      </c>
      <c r="C2088" t="s">
        <v>3353</v>
      </c>
      <c r="D2088" t="s">
        <v>1594</v>
      </c>
      <c r="F2088" s="1">
        <v>36372</v>
      </c>
      <c r="G2088" t="s">
        <v>2273</v>
      </c>
      <c r="H2088" t="s">
        <v>121</v>
      </c>
      <c r="I2088" t="s">
        <v>11</v>
      </c>
    </row>
    <row r="2089" spans="1:9" x14ac:dyDescent="0.25">
      <c r="A2089" s="95">
        <v>2088</v>
      </c>
      <c r="B2089" t="s">
        <v>1592</v>
      </c>
      <c r="C2089" t="s">
        <v>3353</v>
      </c>
      <c r="D2089" t="s">
        <v>1594</v>
      </c>
      <c r="F2089" s="1">
        <v>36372</v>
      </c>
      <c r="G2089" t="s">
        <v>2273</v>
      </c>
      <c r="H2089" t="s">
        <v>121</v>
      </c>
      <c r="I2089" t="s">
        <v>11</v>
      </c>
    </row>
    <row r="2090" spans="1:9" x14ac:dyDescent="0.25">
      <c r="A2090" s="95">
        <v>2089</v>
      </c>
      <c r="B2090" t="s">
        <v>816</v>
      </c>
      <c r="C2090" t="s">
        <v>1601</v>
      </c>
      <c r="F2090" s="1">
        <v>36192</v>
      </c>
      <c r="G2090" t="s">
        <v>2273</v>
      </c>
      <c r="H2090" t="s">
        <v>121</v>
      </c>
      <c r="I2090" t="s">
        <v>11</v>
      </c>
    </row>
    <row r="2091" spans="1:9" x14ac:dyDescent="0.25">
      <c r="A2091" s="95">
        <v>2090</v>
      </c>
      <c r="B2091" t="s">
        <v>1452</v>
      </c>
      <c r="C2091" t="s">
        <v>3354</v>
      </c>
      <c r="D2091" t="s">
        <v>3354</v>
      </c>
      <c r="F2091" s="1">
        <v>41206</v>
      </c>
      <c r="G2091" t="s">
        <v>2273</v>
      </c>
      <c r="H2091" t="s">
        <v>121</v>
      </c>
      <c r="I2091" t="s">
        <v>11</v>
      </c>
    </row>
    <row r="2092" spans="1:9" x14ac:dyDescent="0.25">
      <c r="A2092" s="95">
        <v>2091</v>
      </c>
      <c r="B2092" t="s">
        <v>3355</v>
      </c>
      <c r="C2092" t="s">
        <v>3356</v>
      </c>
      <c r="D2092" t="s">
        <v>1452</v>
      </c>
      <c r="F2092" s="1">
        <v>45182</v>
      </c>
      <c r="G2092" t="s">
        <v>2273</v>
      </c>
      <c r="H2092" t="s">
        <v>121</v>
      </c>
      <c r="I2092" t="s">
        <v>11</v>
      </c>
    </row>
    <row r="2093" spans="1:9" x14ac:dyDescent="0.25">
      <c r="A2093" s="95">
        <v>2092</v>
      </c>
      <c r="B2093" t="s">
        <v>1452</v>
      </c>
      <c r="C2093" t="s">
        <v>3357</v>
      </c>
      <c r="D2093" t="s">
        <v>3358</v>
      </c>
      <c r="F2093" s="1">
        <v>36848</v>
      </c>
      <c r="G2093" t="s">
        <v>2273</v>
      </c>
      <c r="H2093" t="s">
        <v>121</v>
      </c>
      <c r="I2093" t="s">
        <v>11</v>
      </c>
    </row>
    <row r="2094" spans="1:9" x14ac:dyDescent="0.25">
      <c r="A2094" s="95">
        <v>2093</v>
      </c>
      <c r="B2094" t="s">
        <v>1326</v>
      </c>
      <c r="C2094" t="s">
        <v>3359</v>
      </c>
      <c r="D2094" t="s">
        <v>1548</v>
      </c>
      <c r="F2094" s="1">
        <v>40650</v>
      </c>
      <c r="G2094" t="s">
        <v>2273</v>
      </c>
      <c r="H2094" t="s">
        <v>121</v>
      </c>
      <c r="I2094" t="s">
        <v>11</v>
      </c>
    </row>
    <row r="2095" spans="1:9" x14ac:dyDescent="0.25">
      <c r="A2095" s="95">
        <v>2094</v>
      </c>
      <c r="B2095" t="s">
        <v>1294</v>
      </c>
      <c r="C2095" t="s">
        <v>776</v>
      </c>
      <c r="D2095" t="s">
        <v>1638</v>
      </c>
      <c r="F2095" s="1">
        <v>22533</v>
      </c>
      <c r="G2095" t="s">
        <v>2273</v>
      </c>
      <c r="H2095" t="s">
        <v>121</v>
      </c>
      <c r="I2095" t="s">
        <v>11</v>
      </c>
    </row>
    <row r="2096" spans="1:9" x14ac:dyDescent="0.25">
      <c r="A2096" s="95">
        <v>2095</v>
      </c>
      <c r="B2096" t="s">
        <v>1294</v>
      </c>
      <c r="C2096" t="s">
        <v>3360</v>
      </c>
      <c r="D2096" t="s">
        <v>1452</v>
      </c>
      <c r="F2096" s="1">
        <v>24188</v>
      </c>
      <c r="G2096" t="s">
        <v>2273</v>
      </c>
      <c r="H2096" t="s">
        <v>121</v>
      </c>
      <c r="I2096" t="s">
        <v>11</v>
      </c>
    </row>
    <row r="2097" spans="1:11" x14ac:dyDescent="0.25">
      <c r="A2097" s="95">
        <v>2096</v>
      </c>
      <c r="B2097" t="s">
        <v>2097</v>
      </c>
      <c r="C2097" t="s">
        <v>1861</v>
      </c>
      <c r="D2097" t="s">
        <v>59</v>
      </c>
      <c r="F2097" s="1">
        <v>34890</v>
      </c>
      <c r="G2097" t="s">
        <v>2273</v>
      </c>
      <c r="H2097" t="s">
        <v>121</v>
      </c>
      <c r="I2097" t="s">
        <v>11</v>
      </c>
      <c r="K2097"/>
    </row>
    <row r="2098" spans="1:11" x14ac:dyDescent="0.25">
      <c r="A2098" s="95">
        <v>2097</v>
      </c>
      <c r="B2098" t="s">
        <v>1288</v>
      </c>
      <c r="C2098" t="s">
        <v>3361</v>
      </c>
      <c r="D2098" t="s">
        <v>160</v>
      </c>
      <c r="E2098" t="s">
        <v>22</v>
      </c>
      <c r="F2098" s="1">
        <v>20268</v>
      </c>
      <c r="G2098" t="s">
        <v>2273</v>
      </c>
      <c r="H2098" t="s">
        <v>121</v>
      </c>
      <c r="I2098" t="s">
        <v>11</v>
      </c>
      <c r="K2098"/>
    </row>
    <row r="2099" spans="1:11" x14ac:dyDescent="0.25">
      <c r="A2099" s="95">
        <v>2098</v>
      </c>
      <c r="B2099" t="s">
        <v>1651</v>
      </c>
      <c r="C2099" t="s">
        <v>2721</v>
      </c>
      <c r="D2099" t="s">
        <v>1548</v>
      </c>
      <c r="F2099" s="1">
        <v>40856</v>
      </c>
      <c r="G2099" t="s">
        <v>2273</v>
      </c>
      <c r="H2099" t="s">
        <v>121</v>
      </c>
      <c r="I2099" t="s">
        <v>11</v>
      </c>
      <c r="K2099"/>
    </row>
    <row r="2100" spans="1:11" x14ac:dyDescent="0.25">
      <c r="A2100" s="95">
        <v>2099</v>
      </c>
      <c r="B2100" t="s">
        <v>3362</v>
      </c>
      <c r="C2100" t="s">
        <v>3363</v>
      </c>
      <c r="D2100" t="s">
        <v>1658</v>
      </c>
      <c r="F2100" s="1">
        <v>39953</v>
      </c>
      <c r="G2100" t="s">
        <v>2273</v>
      </c>
      <c r="H2100" t="s">
        <v>121</v>
      </c>
      <c r="I2100" t="s">
        <v>11</v>
      </c>
      <c r="K2100"/>
    </row>
    <row r="2101" spans="1:11" x14ac:dyDescent="0.25">
      <c r="A2101" s="95">
        <v>2100</v>
      </c>
      <c r="B2101" t="s">
        <v>3364</v>
      </c>
      <c r="C2101" t="s">
        <v>756</v>
      </c>
      <c r="F2101" s="1">
        <v>35626</v>
      </c>
      <c r="G2101" t="s">
        <v>2272</v>
      </c>
      <c r="H2101" t="s">
        <v>121</v>
      </c>
      <c r="I2101" t="s">
        <v>11</v>
      </c>
      <c r="K2101"/>
    </row>
    <row r="2102" spans="1:11" x14ac:dyDescent="0.25">
      <c r="A2102" s="95">
        <v>2101</v>
      </c>
      <c r="B2102" t="s">
        <v>1751</v>
      </c>
      <c r="C2102" t="s">
        <v>1910</v>
      </c>
      <c r="F2102" s="1">
        <v>35218</v>
      </c>
      <c r="G2102" t="s">
        <v>2272</v>
      </c>
      <c r="H2102" t="s">
        <v>121</v>
      </c>
      <c r="I2102" t="s">
        <v>11</v>
      </c>
      <c r="K2102"/>
    </row>
    <row r="2103" spans="1:11" x14ac:dyDescent="0.25">
      <c r="A2103" s="95">
        <v>2102</v>
      </c>
      <c r="B2103" t="s">
        <v>3365</v>
      </c>
      <c r="C2103" t="s">
        <v>3366</v>
      </c>
      <c r="F2103" s="1">
        <v>39253</v>
      </c>
      <c r="G2103" t="s">
        <v>2272</v>
      </c>
      <c r="H2103" t="s">
        <v>121</v>
      </c>
      <c r="I2103" t="s">
        <v>11</v>
      </c>
      <c r="K2103"/>
    </row>
    <row r="2104" spans="1:11" x14ac:dyDescent="0.25">
      <c r="A2104" s="95">
        <v>2103</v>
      </c>
      <c r="B2104" t="s">
        <v>1787</v>
      </c>
      <c r="C2104" t="s">
        <v>3367</v>
      </c>
      <c r="F2104" s="1">
        <v>38584</v>
      </c>
      <c r="G2104" t="s">
        <v>2272</v>
      </c>
      <c r="H2104" t="s">
        <v>121</v>
      </c>
      <c r="I2104" t="s">
        <v>11</v>
      </c>
      <c r="K2104"/>
    </row>
    <row r="2105" spans="1:11" x14ac:dyDescent="0.25">
      <c r="A2105" s="95">
        <v>2104</v>
      </c>
      <c r="B2105" t="s">
        <v>1464</v>
      </c>
      <c r="C2105" t="s">
        <v>3368</v>
      </c>
      <c r="D2105" t="s">
        <v>3369</v>
      </c>
      <c r="F2105" s="1">
        <v>34443</v>
      </c>
      <c r="G2105" t="s">
        <v>2273</v>
      </c>
      <c r="H2105" t="s">
        <v>121</v>
      </c>
      <c r="I2105" t="s">
        <v>11</v>
      </c>
      <c r="K2105"/>
    </row>
    <row r="2106" spans="1:11" x14ac:dyDescent="0.25">
      <c r="A2106" s="95">
        <v>2105</v>
      </c>
      <c r="B2106" t="s">
        <v>2026</v>
      </c>
      <c r="C2106" t="s">
        <v>1677</v>
      </c>
      <c r="D2106" t="s">
        <v>2559</v>
      </c>
      <c r="F2106" s="1">
        <v>18387</v>
      </c>
      <c r="G2106" t="s">
        <v>2276</v>
      </c>
      <c r="H2106" t="s">
        <v>121</v>
      </c>
      <c r="I2106" t="s">
        <v>11</v>
      </c>
      <c r="K2106"/>
    </row>
    <row r="2107" spans="1:11" x14ac:dyDescent="0.25">
      <c r="A2107" s="95">
        <v>2106</v>
      </c>
      <c r="B2107" t="s">
        <v>2559</v>
      </c>
      <c r="C2107" t="s">
        <v>3370</v>
      </c>
      <c r="D2107" t="s">
        <v>3371</v>
      </c>
      <c r="F2107" s="1">
        <v>29929</v>
      </c>
      <c r="G2107" t="s">
        <v>2276</v>
      </c>
      <c r="H2107" t="s">
        <v>121</v>
      </c>
      <c r="I2107" t="s">
        <v>11</v>
      </c>
      <c r="K2107"/>
    </row>
    <row r="2108" spans="1:11" x14ac:dyDescent="0.25">
      <c r="A2108" s="95">
        <v>2107</v>
      </c>
      <c r="B2108" t="s">
        <v>1288</v>
      </c>
      <c r="C2108" t="s">
        <v>3372</v>
      </c>
      <c r="D2108" t="s">
        <v>1999</v>
      </c>
      <c r="F2108" s="1">
        <v>42839</v>
      </c>
      <c r="G2108" t="s">
        <v>2276</v>
      </c>
      <c r="H2108" t="s">
        <v>121</v>
      </c>
      <c r="I2108" t="s">
        <v>11</v>
      </c>
      <c r="K2108"/>
    </row>
    <row r="2109" spans="1:11" x14ac:dyDescent="0.25">
      <c r="A2109" s="95">
        <v>2108</v>
      </c>
      <c r="B2109" t="s">
        <v>1999</v>
      </c>
      <c r="C2109" t="s">
        <v>3373</v>
      </c>
      <c r="D2109" t="s">
        <v>1999</v>
      </c>
      <c r="F2109" s="1">
        <v>43620</v>
      </c>
      <c r="G2109" t="s">
        <v>2276</v>
      </c>
      <c r="H2109" t="s">
        <v>121</v>
      </c>
      <c r="I2109" t="s">
        <v>11</v>
      </c>
      <c r="K2109"/>
    </row>
    <row r="2110" spans="1:11" x14ac:dyDescent="0.25">
      <c r="A2110" s="95">
        <v>2109</v>
      </c>
      <c r="B2110" t="s">
        <v>3374</v>
      </c>
      <c r="C2110" t="s">
        <v>55</v>
      </c>
      <c r="F2110" s="1">
        <v>27184</v>
      </c>
      <c r="G2110" t="s">
        <v>2276</v>
      </c>
      <c r="H2110" t="s">
        <v>121</v>
      </c>
      <c r="I2110" t="s">
        <v>11</v>
      </c>
      <c r="K2110"/>
    </row>
    <row r="2111" spans="1:11" x14ac:dyDescent="0.25">
      <c r="K2111"/>
    </row>
    <row r="2112" spans="1:11" x14ac:dyDescent="0.25">
      <c r="K2112"/>
    </row>
    <row r="2113" spans="11:11" x14ac:dyDescent="0.25">
      <c r="K2113"/>
    </row>
    <row r="2114" spans="11:11" x14ac:dyDescent="0.25">
      <c r="K2114"/>
    </row>
    <row r="2115" spans="11:11" x14ac:dyDescent="0.25">
      <c r="K2115"/>
    </row>
    <row r="2116" spans="11:11" x14ac:dyDescent="0.25">
      <c r="K2116"/>
    </row>
    <row r="2117" spans="11:11" x14ac:dyDescent="0.25">
      <c r="K2117"/>
    </row>
    <row r="2118" spans="11:11" x14ac:dyDescent="0.25">
      <c r="K2118"/>
    </row>
    <row r="2119" spans="11:11" x14ac:dyDescent="0.25">
      <c r="K2119"/>
    </row>
    <row r="2120" spans="11:11" x14ac:dyDescent="0.25">
      <c r="K2120"/>
    </row>
    <row r="2121" spans="11:11" x14ac:dyDescent="0.25">
      <c r="K2121"/>
    </row>
    <row r="2122" spans="11:11" x14ac:dyDescent="0.25">
      <c r="K2122"/>
    </row>
    <row r="2123" spans="11:11" x14ac:dyDescent="0.25">
      <c r="K2123"/>
    </row>
    <row r="2124" spans="11:11" x14ac:dyDescent="0.25">
      <c r="K2124"/>
    </row>
    <row r="2125" spans="11:11" x14ac:dyDescent="0.25">
      <c r="K2125"/>
    </row>
    <row r="2126" spans="11:11" x14ac:dyDescent="0.25">
      <c r="K2126"/>
    </row>
    <row r="2127" spans="11:11" x14ac:dyDescent="0.25">
      <c r="K2127"/>
    </row>
    <row r="2128" spans="11:11" x14ac:dyDescent="0.25">
      <c r="K2128"/>
    </row>
    <row r="2129" spans="11:11" x14ac:dyDescent="0.25">
      <c r="K2129"/>
    </row>
    <row r="2130" spans="11:11" x14ac:dyDescent="0.25">
      <c r="K2130"/>
    </row>
    <row r="2131" spans="11:11" x14ac:dyDescent="0.25">
      <c r="K2131"/>
    </row>
    <row r="2132" spans="11:11" x14ac:dyDescent="0.25">
      <c r="K2132"/>
    </row>
    <row r="2133" spans="11:11" x14ac:dyDescent="0.25">
      <c r="K2133"/>
    </row>
    <row r="2134" spans="11:11" x14ac:dyDescent="0.25">
      <c r="K2134"/>
    </row>
    <row r="2135" spans="11:11" x14ac:dyDescent="0.25">
      <c r="K2135"/>
    </row>
    <row r="2136" spans="11:11" x14ac:dyDescent="0.25">
      <c r="K2136"/>
    </row>
    <row r="2137" spans="11:11" x14ac:dyDescent="0.25">
      <c r="K2137"/>
    </row>
    <row r="2138" spans="11:11" x14ac:dyDescent="0.25">
      <c r="K2138"/>
    </row>
    <row r="2139" spans="11:11" x14ac:dyDescent="0.25">
      <c r="K2139"/>
    </row>
    <row r="2140" spans="11:11" x14ac:dyDescent="0.25">
      <c r="K2140"/>
    </row>
    <row r="2141" spans="11:11" x14ac:dyDescent="0.25">
      <c r="K2141"/>
    </row>
    <row r="2142" spans="11:11" x14ac:dyDescent="0.25">
      <c r="K2142"/>
    </row>
    <row r="2143" spans="11:11" x14ac:dyDescent="0.25">
      <c r="K2143"/>
    </row>
    <row r="2144" spans="11:11" x14ac:dyDescent="0.25">
      <c r="K2144"/>
    </row>
    <row r="2145" spans="11:11" x14ac:dyDescent="0.25">
      <c r="K2145"/>
    </row>
    <row r="2146" spans="11:11" x14ac:dyDescent="0.25">
      <c r="K2146"/>
    </row>
    <row r="2147" spans="11:11" x14ac:dyDescent="0.25">
      <c r="K2147"/>
    </row>
    <row r="2148" spans="11:11" x14ac:dyDescent="0.25">
      <c r="K2148"/>
    </row>
    <row r="2149" spans="11:11" x14ac:dyDescent="0.25">
      <c r="K2149"/>
    </row>
    <row r="2150" spans="11:11" x14ac:dyDescent="0.25">
      <c r="K2150"/>
    </row>
    <row r="2151" spans="11:11" x14ac:dyDescent="0.25">
      <c r="K2151"/>
    </row>
    <row r="2152" spans="11:11" x14ac:dyDescent="0.25">
      <c r="K2152"/>
    </row>
    <row r="2153" spans="11:11" x14ac:dyDescent="0.25">
      <c r="K2153"/>
    </row>
    <row r="2154" spans="11:11" x14ac:dyDescent="0.25">
      <c r="K2154"/>
    </row>
    <row r="2155" spans="11:11" x14ac:dyDescent="0.25">
      <c r="K2155"/>
    </row>
    <row r="2156" spans="11:11" x14ac:dyDescent="0.25">
      <c r="K2156"/>
    </row>
    <row r="2157" spans="11:11" x14ac:dyDescent="0.25">
      <c r="K2157"/>
    </row>
    <row r="2158" spans="11:11" x14ac:dyDescent="0.25">
      <c r="K2158"/>
    </row>
    <row r="2159" spans="11:11" x14ac:dyDescent="0.25">
      <c r="K2159"/>
    </row>
    <row r="2160" spans="11:11" x14ac:dyDescent="0.25">
      <c r="K2160"/>
    </row>
    <row r="2161" spans="11:11" x14ac:dyDescent="0.25">
      <c r="K2161"/>
    </row>
    <row r="2162" spans="11:11" x14ac:dyDescent="0.25">
      <c r="K2162"/>
    </row>
    <row r="2163" spans="11:11" x14ac:dyDescent="0.25">
      <c r="K2163"/>
    </row>
    <row r="2164" spans="11:11" x14ac:dyDescent="0.25">
      <c r="K2164"/>
    </row>
    <row r="2165" spans="11:11" x14ac:dyDescent="0.25">
      <c r="K2165"/>
    </row>
    <row r="2166" spans="11:11" x14ac:dyDescent="0.25">
      <c r="K2166"/>
    </row>
    <row r="2167" spans="11:11" x14ac:dyDescent="0.25">
      <c r="K2167"/>
    </row>
    <row r="2168" spans="11:11" x14ac:dyDescent="0.25">
      <c r="K2168"/>
    </row>
    <row r="2169" spans="11:11" x14ac:dyDescent="0.25">
      <c r="K2169"/>
    </row>
    <row r="2170" spans="11:11" x14ac:dyDescent="0.25">
      <c r="K2170"/>
    </row>
    <row r="2171" spans="11:11" x14ac:dyDescent="0.25">
      <c r="K2171"/>
    </row>
    <row r="2172" spans="11:11" x14ac:dyDescent="0.25">
      <c r="K2172"/>
    </row>
    <row r="2173" spans="11:11" x14ac:dyDescent="0.25">
      <c r="K2173"/>
    </row>
    <row r="2174" spans="11:11" x14ac:dyDescent="0.25">
      <c r="K2174"/>
    </row>
    <row r="2175" spans="11:11" x14ac:dyDescent="0.25">
      <c r="K2175"/>
    </row>
    <row r="2176" spans="11:11" x14ac:dyDescent="0.25">
      <c r="K2176"/>
    </row>
    <row r="2177" spans="11:11" x14ac:dyDescent="0.25">
      <c r="K2177"/>
    </row>
    <row r="2178" spans="11:11" x14ac:dyDescent="0.25">
      <c r="K2178"/>
    </row>
    <row r="2179" spans="11:11" x14ac:dyDescent="0.25">
      <c r="K2179"/>
    </row>
    <row r="2180" spans="11:11" x14ac:dyDescent="0.25">
      <c r="K2180"/>
    </row>
    <row r="2181" spans="11:11" x14ac:dyDescent="0.25">
      <c r="K2181"/>
    </row>
    <row r="2182" spans="11:11" x14ac:dyDescent="0.25">
      <c r="K2182"/>
    </row>
    <row r="2183" spans="11:11" x14ac:dyDescent="0.25">
      <c r="K2183"/>
    </row>
    <row r="2184" spans="11:11" x14ac:dyDescent="0.25">
      <c r="K2184"/>
    </row>
    <row r="2185" spans="11:11" x14ac:dyDescent="0.25">
      <c r="K2185"/>
    </row>
    <row r="2186" spans="11:11" x14ac:dyDescent="0.25">
      <c r="K2186"/>
    </row>
    <row r="2187" spans="11:11" x14ac:dyDescent="0.25">
      <c r="K2187"/>
    </row>
    <row r="2188" spans="11:11" x14ac:dyDescent="0.25">
      <c r="K2188"/>
    </row>
    <row r="2189" spans="11:11" x14ac:dyDescent="0.25">
      <c r="K2189"/>
    </row>
    <row r="2190" spans="11:11" x14ac:dyDescent="0.25">
      <c r="K2190"/>
    </row>
    <row r="2191" spans="11:11" x14ac:dyDescent="0.25">
      <c r="K2191"/>
    </row>
    <row r="2192" spans="11:11" x14ac:dyDescent="0.25">
      <c r="K2192"/>
    </row>
    <row r="2193" spans="11:11" x14ac:dyDescent="0.25">
      <c r="K2193"/>
    </row>
    <row r="2194" spans="11:11" x14ac:dyDescent="0.25">
      <c r="K2194"/>
    </row>
    <row r="2195" spans="11:11" x14ac:dyDescent="0.25">
      <c r="K2195"/>
    </row>
    <row r="2196" spans="11:11" x14ac:dyDescent="0.25">
      <c r="K2196"/>
    </row>
    <row r="2197" spans="11:11" x14ac:dyDescent="0.25">
      <c r="K2197"/>
    </row>
    <row r="2198" spans="11:11" x14ac:dyDescent="0.25">
      <c r="K2198"/>
    </row>
    <row r="2199" spans="11:11" x14ac:dyDescent="0.25">
      <c r="K2199"/>
    </row>
    <row r="2200" spans="11:11" x14ac:dyDescent="0.25">
      <c r="K2200"/>
    </row>
    <row r="2201" spans="11:11" x14ac:dyDescent="0.25">
      <c r="K2201"/>
    </row>
    <row r="2202" spans="11:11" x14ac:dyDescent="0.25">
      <c r="K2202"/>
    </row>
    <row r="2203" spans="11:11" x14ac:dyDescent="0.25">
      <c r="K2203"/>
    </row>
    <row r="2204" spans="11:11" x14ac:dyDescent="0.25">
      <c r="K2204"/>
    </row>
    <row r="2205" spans="11:11" x14ac:dyDescent="0.25">
      <c r="K2205"/>
    </row>
    <row r="2206" spans="11:11" x14ac:dyDescent="0.25">
      <c r="K2206"/>
    </row>
    <row r="2207" spans="11:11" x14ac:dyDescent="0.25">
      <c r="K2207"/>
    </row>
    <row r="2208" spans="11:11" x14ac:dyDescent="0.25">
      <c r="K2208"/>
    </row>
    <row r="2209" spans="11:11" x14ac:dyDescent="0.25">
      <c r="K2209"/>
    </row>
    <row r="2210" spans="11:11" x14ac:dyDescent="0.25">
      <c r="K2210"/>
    </row>
    <row r="2211" spans="11:11" x14ac:dyDescent="0.25">
      <c r="K2211"/>
    </row>
    <row r="2212" spans="11:11" x14ac:dyDescent="0.25">
      <c r="K2212"/>
    </row>
    <row r="2213" spans="11:11" x14ac:dyDescent="0.25">
      <c r="K2213"/>
    </row>
    <row r="2214" spans="11:11" x14ac:dyDescent="0.25">
      <c r="K2214"/>
    </row>
    <row r="2215" spans="11:11" x14ac:dyDescent="0.25">
      <c r="K2215"/>
    </row>
    <row r="2216" spans="11:11" x14ac:dyDescent="0.25">
      <c r="K2216"/>
    </row>
    <row r="2217" spans="11:11" x14ac:dyDescent="0.25">
      <c r="K2217"/>
    </row>
    <row r="2218" spans="11:11" x14ac:dyDescent="0.25">
      <c r="K2218"/>
    </row>
    <row r="2219" spans="11:11" x14ac:dyDescent="0.25">
      <c r="K2219"/>
    </row>
    <row r="2220" spans="11:11" x14ac:dyDescent="0.25">
      <c r="K2220"/>
    </row>
    <row r="2221" spans="11:11" x14ac:dyDescent="0.25">
      <c r="K2221"/>
    </row>
    <row r="2222" spans="11:11" x14ac:dyDescent="0.25">
      <c r="K2222"/>
    </row>
    <row r="2223" spans="11:11" x14ac:dyDescent="0.25">
      <c r="K2223"/>
    </row>
    <row r="2224" spans="11:11" x14ac:dyDescent="0.25">
      <c r="K2224"/>
    </row>
    <row r="2225" spans="11:11" x14ac:dyDescent="0.25">
      <c r="K2225"/>
    </row>
    <row r="2226" spans="11:11" x14ac:dyDescent="0.25">
      <c r="K2226"/>
    </row>
    <row r="2227" spans="11:11" x14ac:dyDescent="0.25">
      <c r="K2227"/>
    </row>
    <row r="2228" spans="11:11" x14ac:dyDescent="0.25">
      <c r="K2228"/>
    </row>
    <row r="2229" spans="11:11" x14ac:dyDescent="0.25">
      <c r="K2229"/>
    </row>
    <row r="2230" spans="11:11" x14ac:dyDescent="0.25">
      <c r="K2230"/>
    </row>
    <row r="2231" spans="11:11" x14ac:dyDescent="0.25">
      <c r="K2231"/>
    </row>
    <row r="2232" spans="11:11" x14ac:dyDescent="0.25">
      <c r="K2232"/>
    </row>
    <row r="2233" spans="11:11" x14ac:dyDescent="0.25">
      <c r="K2233"/>
    </row>
    <row r="2234" spans="11:11" x14ac:dyDescent="0.25">
      <c r="K2234"/>
    </row>
    <row r="2235" spans="11:11" x14ac:dyDescent="0.25">
      <c r="K2235"/>
    </row>
    <row r="2236" spans="11:11" x14ac:dyDescent="0.25">
      <c r="K2236"/>
    </row>
    <row r="2237" spans="11:11" x14ac:dyDescent="0.25">
      <c r="K2237"/>
    </row>
    <row r="2238" spans="11:11" x14ac:dyDescent="0.25">
      <c r="K2238"/>
    </row>
    <row r="2239" spans="11:11" x14ac:dyDescent="0.25">
      <c r="K2239"/>
    </row>
    <row r="2240" spans="11:11" x14ac:dyDescent="0.25">
      <c r="K2240"/>
    </row>
    <row r="2241" spans="11:11" x14ac:dyDescent="0.25">
      <c r="K2241"/>
    </row>
    <row r="2242" spans="11:11" x14ac:dyDescent="0.25">
      <c r="K2242"/>
    </row>
    <row r="2243" spans="11:11" x14ac:dyDescent="0.25">
      <c r="K2243"/>
    </row>
    <row r="2244" spans="11:11" x14ac:dyDescent="0.25">
      <c r="K2244"/>
    </row>
    <row r="2245" spans="11:11" x14ac:dyDescent="0.25">
      <c r="K2245"/>
    </row>
    <row r="2246" spans="11:11" x14ac:dyDescent="0.25">
      <c r="K2246"/>
    </row>
    <row r="2247" spans="11:11" x14ac:dyDescent="0.25">
      <c r="K2247"/>
    </row>
    <row r="2248" spans="11:11" x14ac:dyDescent="0.25">
      <c r="K2248"/>
    </row>
    <row r="2249" spans="11:11" x14ac:dyDescent="0.25">
      <c r="K2249"/>
    </row>
    <row r="2250" spans="11:11" x14ac:dyDescent="0.25">
      <c r="K2250"/>
    </row>
    <row r="2251" spans="11:11" x14ac:dyDescent="0.25">
      <c r="K2251"/>
    </row>
    <row r="2252" spans="11:11" x14ac:dyDescent="0.25">
      <c r="K2252"/>
    </row>
    <row r="2253" spans="11:11" x14ac:dyDescent="0.25">
      <c r="K2253"/>
    </row>
    <row r="2254" spans="11:11" x14ac:dyDescent="0.25">
      <c r="K2254"/>
    </row>
    <row r="2255" spans="11:11" x14ac:dyDescent="0.25">
      <c r="K2255"/>
    </row>
    <row r="2256" spans="11:11" x14ac:dyDescent="0.25">
      <c r="K2256"/>
    </row>
    <row r="2257" spans="11:11" x14ac:dyDescent="0.25">
      <c r="K2257"/>
    </row>
    <row r="2258" spans="11:11" x14ac:dyDescent="0.25">
      <c r="K2258"/>
    </row>
    <row r="2259" spans="11:11" x14ac:dyDescent="0.25">
      <c r="K2259"/>
    </row>
    <row r="2260" spans="11:11" x14ac:dyDescent="0.25">
      <c r="K2260"/>
    </row>
    <row r="2261" spans="11:11" x14ac:dyDescent="0.25">
      <c r="K2261"/>
    </row>
    <row r="2262" spans="11:11" x14ac:dyDescent="0.25">
      <c r="K2262"/>
    </row>
    <row r="2263" spans="11:11" x14ac:dyDescent="0.25">
      <c r="K2263"/>
    </row>
    <row r="2264" spans="11:11" x14ac:dyDescent="0.25">
      <c r="K2264"/>
    </row>
    <row r="2265" spans="11:11" x14ac:dyDescent="0.25">
      <c r="K2265"/>
    </row>
    <row r="2266" spans="11:11" x14ac:dyDescent="0.25">
      <c r="K2266"/>
    </row>
    <row r="2267" spans="11:11" x14ac:dyDescent="0.25">
      <c r="K2267"/>
    </row>
    <row r="2268" spans="11:11" x14ac:dyDescent="0.25">
      <c r="K2268"/>
    </row>
    <row r="2269" spans="11:11" x14ac:dyDescent="0.25">
      <c r="K2269"/>
    </row>
    <row r="2270" spans="11:11" x14ac:dyDescent="0.25">
      <c r="K2270"/>
    </row>
    <row r="2271" spans="11:11" x14ac:dyDescent="0.25">
      <c r="K2271"/>
    </row>
    <row r="2272" spans="11:11" x14ac:dyDescent="0.25">
      <c r="K2272"/>
    </row>
    <row r="2273" spans="11:11" x14ac:dyDescent="0.25">
      <c r="K2273"/>
    </row>
    <row r="2274" spans="11:11" x14ac:dyDescent="0.25">
      <c r="K2274"/>
    </row>
    <row r="2275" spans="11:11" x14ac:dyDescent="0.25">
      <c r="K2275"/>
    </row>
    <row r="2276" spans="11:11" x14ac:dyDescent="0.25">
      <c r="K2276"/>
    </row>
    <row r="2277" spans="11:11" x14ac:dyDescent="0.25">
      <c r="K2277"/>
    </row>
    <row r="2278" spans="11:11" x14ac:dyDescent="0.25">
      <c r="K2278"/>
    </row>
    <row r="2279" spans="11:11" x14ac:dyDescent="0.25">
      <c r="K2279"/>
    </row>
    <row r="2280" spans="11:11" x14ac:dyDescent="0.25">
      <c r="K2280"/>
    </row>
    <row r="2281" spans="11:11" x14ac:dyDescent="0.25">
      <c r="K2281"/>
    </row>
    <row r="2282" spans="11:11" x14ac:dyDescent="0.25">
      <c r="K2282"/>
    </row>
    <row r="2283" spans="11:11" x14ac:dyDescent="0.25">
      <c r="K2283"/>
    </row>
    <row r="2284" spans="11:11" x14ac:dyDescent="0.25">
      <c r="K2284"/>
    </row>
    <row r="2285" spans="11:11" x14ac:dyDescent="0.25">
      <c r="K2285"/>
    </row>
    <row r="2286" spans="11:11" x14ac:dyDescent="0.25">
      <c r="K2286"/>
    </row>
    <row r="2287" spans="11:11" x14ac:dyDescent="0.25">
      <c r="K2287"/>
    </row>
    <row r="2288" spans="11:11" x14ac:dyDescent="0.25">
      <c r="K2288"/>
    </row>
    <row r="2289" spans="11:11" x14ac:dyDescent="0.25">
      <c r="K2289"/>
    </row>
    <row r="2290" spans="11:11" x14ac:dyDescent="0.25">
      <c r="K2290"/>
    </row>
    <row r="2291" spans="11:11" x14ac:dyDescent="0.25">
      <c r="K2291"/>
    </row>
    <row r="2292" spans="11:11" x14ac:dyDescent="0.25">
      <c r="K2292"/>
    </row>
    <row r="2293" spans="11:11" x14ac:dyDescent="0.25">
      <c r="K2293"/>
    </row>
    <row r="2294" spans="11:11" x14ac:dyDescent="0.25">
      <c r="K2294"/>
    </row>
    <row r="2295" spans="11:11" x14ac:dyDescent="0.25">
      <c r="K2295"/>
    </row>
    <row r="2296" spans="11:11" x14ac:dyDescent="0.25">
      <c r="K2296"/>
    </row>
    <row r="2297" spans="11:11" x14ac:dyDescent="0.25">
      <c r="K2297"/>
    </row>
    <row r="2298" spans="11:11" x14ac:dyDescent="0.25">
      <c r="K2298"/>
    </row>
    <row r="2299" spans="11:11" x14ac:dyDescent="0.25">
      <c r="K2299"/>
    </row>
    <row r="2300" spans="11:11" x14ac:dyDescent="0.25">
      <c r="K2300"/>
    </row>
    <row r="2301" spans="11:11" x14ac:dyDescent="0.25">
      <c r="K2301"/>
    </row>
    <row r="2302" spans="11:11" x14ac:dyDescent="0.25">
      <c r="K2302"/>
    </row>
    <row r="2303" spans="11:11" x14ac:dyDescent="0.25">
      <c r="K2303"/>
    </row>
    <row r="2304" spans="11:11" x14ac:dyDescent="0.25">
      <c r="K2304"/>
    </row>
    <row r="2305" spans="11:11" x14ac:dyDescent="0.25">
      <c r="K2305"/>
    </row>
    <row r="2306" spans="11:11" x14ac:dyDescent="0.25">
      <c r="K2306"/>
    </row>
    <row r="2307" spans="11:11" x14ac:dyDescent="0.25">
      <c r="K2307"/>
    </row>
    <row r="2308" spans="11:11" x14ac:dyDescent="0.25">
      <c r="K2308"/>
    </row>
    <row r="2309" spans="11:11" x14ac:dyDescent="0.25">
      <c r="K2309"/>
    </row>
    <row r="2310" spans="11:11" x14ac:dyDescent="0.25">
      <c r="K2310"/>
    </row>
    <row r="2311" spans="11:11" x14ac:dyDescent="0.25">
      <c r="K2311"/>
    </row>
    <row r="2312" spans="11:11" x14ac:dyDescent="0.25">
      <c r="K2312"/>
    </row>
    <row r="2313" spans="11:11" x14ac:dyDescent="0.25">
      <c r="K2313"/>
    </row>
    <row r="2314" spans="11:11" x14ac:dyDescent="0.25">
      <c r="K2314"/>
    </row>
    <row r="2315" spans="11:11" x14ac:dyDescent="0.25">
      <c r="K2315"/>
    </row>
    <row r="2316" spans="11:11" x14ac:dyDescent="0.25">
      <c r="K2316"/>
    </row>
    <row r="2317" spans="11:11" x14ac:dyDescent="0.25">
      <c r="K2317"/>
    </row>
    <row r="2318" spans="11:11" x14ac:dyDescent="0.25">
      <c r="K2318"/>
    </row>
    <row r="2319" spans="11:11" x14ac:dyDescent="0.25">
      <c r="K2319"/>
    </row>
    <row r="2320" spans="11:11" x14ac:dyDescent="0.25">
      <c r="K2320"/>
    </row>
    <row r="2321" spans="11:11" x14ac:dyDescent="0.25">
      <c r="K2321"/>
    </row>
    <row r="2322" spans="11:11" x14ac:dyDescent="0.25">
      <c r="K2322"/>
    </row>
    <row r="2323" spans="11:11" x14ac:dyDescent="0.25">
      <c r="K2323"/>
    </row>
    <row r="2324" spans="11:11" x14ac:dyDescent="0.25">
      <c r="K2324"/>
    </row>
    <row r="2325" spans="11:11" x14ac:dyDescent="0.25">
      <c r="K2325"/>
    </row>
    <row r="2326" spans="11:11" x14ac:dyDescent="0.25">
      <c r="K2326"/>
    </row>
    <row r="2327" spans="11:11" x14ac:dyDescent="0.25">
      <c r="K2327"/>
    </row>
    <row r="2328" spans="11:11" x14ac:dyDescent="0.25">
      <c r="K2328"/>
    </row>
    <row r="2329" spans="11:11" x14ac:dyDescent="0.25">
      <c r="K2329"/>
    </row>
    <row r="2330" spans="11:11" x14ac:dyDescent="0.25">
      <c r="K2330"/>
    </row>
    <row r="2331" spans="11:11" x14ac:dyDescent="0.25">
      <c r="K2331"/>
    </row>
    <row r="2332" spans="11:11" x14ac:dyDescent="0.25">
      <c r="K2332"/>
    </row>
    <row r="2333" spans="11:11" x14ac:dyDescent="0.25">
      <c r="K2333"/>
    </row>
    <row r="2334" spans="11:11" x14ac:dyDescent="0.25">
      <c r="K2334"/>
    </row>
    <row r="2335" spans="11:11" x14ac:dyDescent="0.25">
      <c r="K2335"/>
    </row>
    <row r="2336" spans="11:11" x14ac:dyDescent="0.25">
      <c r="K2336"/>
    </row>
    <row r="2337" spans="11:11" x14ac:dyDescent="0.25">
      <c r="K2337"/>
    </row>
    <row r="2338" spans="11:11" x14ac:dyDescent="0.25">
      <c r="K2338"/>
    </row>
    <row r="2339" spans="11:11" x14ac:dyDescent="0.25">
      <c r="K2339"/>
    </row>
    <row r="2340" spans="11:11" x14ac:dyDescent="0.25">
      <c r="K2340"/>
    </row>
    <row r="2341" spans="11:11" x14ac:dyDescent="0.25">
      <c r="K2341"/>
    </row>
    <row r="2342" spans="11:11" x14ac:dyDescent="0.25">
      <c r="K2342"/>
    </row>
    <row r="2343" spans="11:11" x14ac:dyDescent="0.25">
      <c r="K2343"/>
    </row>
    <row r="2344" spans="11:11" x14ac:dyDescent="0.25">
      <c r="K2344"/>
    </row>
    <row r="2345" spans="11:11" x14ac:dyDescent="0.25">
      <c r="K2345"/>
    </row>
    <row r="2346" spans="11:11" x14ac:dyDescent="0.25">
      <c r="K2346"/>
    </row>
    <row r="2347" spans="11:11" x14ac:dyDescent="0.25">
      <c r="K2347"/>
    </row>
    <row r="2348" spans="11:11" x14ac:dyDescent="0.25">
      <c r="K2348"/>
    </row>
    <row r="2349" spans="11:11" x14ac:dyDescent="0.25">
      <c r="K2349"/>
    </row>
    <row r="2350" spans="11:11" x14ac:dyDescent="0.25">
      <c r="K2350"/>
    </row>
    <row r="2351" spans="11:11" x14ac:dyDescent="0.25">
      <c r="K2351"/>
    </row>
    <row r="2352" spans="11:11" x14ac:dyDescent="0.25">
      <c r="K2352"/>
    </row>
    <row r="2353" spans="11:11" x14ac:dyDescent="0.25">
      <c r="K2353"/>
    </row>
    <row r="2354" spans="11:11" x14ac:dyDescent="0.25">
      <c r="K2354"/>
    </row>
    <row r="2355" spans="11:11" x14ac:dyDescent="0.25">
      <c r="K2355"/>
    </row>
    <row r="2356" spans="11:11" x14ac:dyDescent="0.25">
      <c r="K2356"/>
    </row>
    <row r="2357" spans="11:11" x14ac:dyDescent="0.25">
      <c r="K2357"/>
    </row>
    <row r="2358" spans="11:11" x14ac:dyDescent="0.25">
      <c r="K2358"/>
    </row>
    <row r="2359" spans="11:11" x14ac:dyDescent="0.25">
      <c r="K2359"/>
    </row>
    <row r="2360" spans="11:11" x14ac:dyDescent="0.25">
      <c r="K2360"/>
    </row>
    <row r="2361" spans="11:11" x14ac:dyDescent="0.25">
      <c r="K2361"/>
    </row>
    <row r="2362" spans="11:11" x14ac:dyDescent="0.25">
      <c r="K2362"/>
    </row>
    <row r="2363" spans="11:11" x14ac:dyDescent="0.25">
      <c r="K2363"/>
    </row>
    <row r="2364" spans="11:11" x14ac:dyDescent="0.25">
      <c r="K2364"/>
    </row>
    <row r="2365" spans="11:11" x14ac:dyDescent="0.25">
      <c r="K2365"/>
    </row>
    <row r="2366" spans="11:11" x14ac:dyDescent="0.25">
      <c r="K2366"/>
    </row>
    <row r="2367" spans="11:11" x14ac:dyDescent="0.25">
      <c r="K2367"/>
    </row>
    <row r="2368" spans="11:11" x14ac:dyDescent="0.25">
      <c r="K2368"/>
    </row>
    <row r="2369" spans="11:11" x14ac:dyDescent="0.25">
      <c r="K2369"/>
    </row>
    <row r="2370" spans="11:11" x14ac:dyDescent="0.25">
      <c r="K2370"/>
    </row>
    <row r="2371" spans="11:11" x14ac:dyDescent="0.25">
      <c r="K2371"/>
    </row>
    <row r="2372" spans="11:11" x14ac:dyDescent="0.25">
      <c r="K2372"/>
    </row>
    <row r="2373" spans="11:11" x14ac:dyDescent="0.25">
      <c r="K2373"/>
    </row>
    <row r="2374" spans="11:11" x14ac:dyDescent="0.25">
      <c r="K2374"/>
    </row>
    <row r="2375" spans="11:11" x14ac:dyDescent="0.25">
      <c r="K2375"/>
    </row>
    <row r="2376" spans="11:11" x14ac:dyDescent="0.25">
      <c r="K2376"/>
    </row>
    <row r="2377" spans="11:11" x14ac:dyDescent="0.25">
      <c r="K2377"/>
    </row>
    <row r="2378" spans="11:11" x14ac:dyDescent="0.25">
      <c r="K2378"/>
    </row>
    <row r="2379" spans="11:11" x14ac:dyDescent="0.25">
      <c r="K2379"/>
    </row>
    <row r="2380" spans="11:11" x14ac:dyDescent="0.25">
      <c r="K2380"/>
    </row>
    <row r="2381" spans="11:11" x14ac:dyDescent="0.25">
      <c r="K2381"/>
    </row>
    <row r="2382" spans="11:11" x14ac:dyDescent="0.25">
      <c r="K2382"/>
    </row>
    <row r="2383" spans="11:11" x14ac:dyDescent="0.25">
      <c r="K2383"/>
    </row>
    <row r="2384" spans="11:11" x14ac:dyDescent="0.25">
      <c r="K2384"/>
    </row>
    <row r="2385" spans="11:11" x14ac:dyDescent="0.25">
      <c r="K2385"/>
    </row>
    <row r="2386" spans="11:11" x14ac:dyDescent="0.25">
      <c r="K2386"/>
    </row>
    <row r="2387" spans="11:11" x14ac:dyDescent="0.25">
      <c r="K2387"/>
    </row>
    <row r="2388" spans="11:11" x14ac:dyDescent="0.25">
      <c r="K2388"/>
    </row>
    <row r="2389" spans="11:11" x14ac:dyDescent="0.25">
      <c r="K2389"/>
    </row>
    <row r="2390" spans="11:11" x14ac:dyDescent="0.25">
      <c r="K2390"/>
    </row>
    <row r="2391" spans="11:11" x14ac:dyDescent="0.25">
      <c r="K2391"/>
    </row>
    <row r="2392" spans="11:11" x14ac:dyDescent="0.25">
      <c r="K2392"/>
    </row>
    <row r="2393" spans="11:11" x14ac:dyDescent="0.25">
      <c r="K2393"/>
    </row>
    <row r="2394" spans="11:11" x14ac:dyDescent="0.25">
      <c r="K2394"/>
    </row>
    <row r="2395" spans="11:11" x14ac:dyDescent="0.25">
      <c r="K2395"/>
    </row>
    <row r="2396" spans="11:11" x14ac:dyDescent="0.25">
      <c r="K2396"/>
    </row>
    <row r="2397" spans="11:11" x14ac:dyDescent="0.25">
      <c r="K2397"/>
    </row>
    <row r="2398" spans="11:11" x14ac:dyDescent="0.25">
      <c r="K2398"/>
    </row>
    <row r="2399" spans="11:11" x14ac:dyDescent="0.25">
      <c r="K2399"/>
    </row>
    <row r="2400" spans="11:11" x14ac:dyDescent="0.25">
      <c r="K2400"/>
    </row>
    <row r="2401" spans="11:11" x14ac:dyDescent="0.25">
      <c r="K2401"/>
    </row>
    <row r="2402" spans="11:11" x14ac:dyDescent="0.25">
      <c r="K2402"/>
    </row>
    <row r="2403" spans="11:11" x14ac:dyDescent="0.25">
      <c r="K2403"/>
    </row>
    <row r="2404" spans="11:11" x14ac:dyDescent="0.25">
      <c r="K2404"/>
    </row>
    <row r="2405" spans="11:11" x14ac:dyDescent="0.25">
      <c r="K2405"/>
    </row>
    <row r="2406" spans="11:11" x14ac:dyDescent="0.25">
      <c r="K2406"/>
    </row>
    <row r="2407" spans="11:11" x14ac:dyDescent="0.25">
      <c r="K2407"/>
    </row>
    <row r="2408" spans="11:11" x14ac:dyDescent="0.25">
      <c r="K2408"/>
    </row>
    <row r="2409" spans="11:11" x14ac:dyDescent="0.25">
      <c r="K2409"/>
    </row>
    <row r="2410" spans="11:11" x14ac:dyDescent="0.25">
      <c r="K2410"/>
    </row>
    <row r="2411" spans="11:11" x14ac:dyDescent="0.25">
      <c r="K2411"/>
    </row>
    <row r="2412" spans="11:11" x14ac:dyDescent="0.25">
      <c r="K2412"/>
    </row>
    <row r="2413" spans="11:11" x14ac:dyDescent="0.25">
      <c r="K2413"/>
    </row>
    <row r="2414" spans="11:11" x14ac:dyDescent="0.25">
      <c r="K2414"/>
    </row>
    <row r="2415" spans="11:11" x14ac:dyDescent="0.25">
      <c r="K2415"/>
    </row>
    <row r="2416" spans="11:11" x14ac:dyDescent="0.25">
      <c r="K2416"/>
    </row>
    <row r="2417" spans="11:11" x14ac:dyDescent="0.25">
      <c r="K2417"/>
    </row>
    <row r="2418" spans="11:11" x14ac:dyDescent="0.25">
      <c r="K2418"/>
    </row>
    <row r="2419" spans="11:11" x14ac:dyDescent="0.25">
      <c r="K2419"/>
    </row>
    <row r="2420" spans="11:11" x14ac:dyDescent="0.25">
      <c r="K2420"/>
    </row>
    <row r="2421" spans="11:11" x14ac:dyDescent="0.25">
      <c r="K2421"/>
    </row>
    <row r="2422" spans="11:11" x14ac:dyDescent="0.25">
      <c r="K2422"/>
    </row>
    <row r="2423" spans="11:11" x14ac:dyDescent="0.25">
      <c r="K2423"/>
    </row>
    <row r="2424" spans="11:11" x14ac:dyDescent="0.25">
      <c r="K2424"/>
    </row>
    <row r="2425" spans="11:11" x14ac:dyDescent="0.25">
      <c r="K2425"/>
    </row>
    <row r="2426" spans="11:11" x14ac:dyDescent="0.25">
      <c r="K2426"/>
    </row>
    <row r="2427" spans="11:11" x14ac:dyDescent="0.25">
      <c r="K2427"/>
    </row>
    <row r="2428" spans="11:11" x14ac:dyDescent="0.25">
      <c r="K2428"/>
    </row>
    <row r="2429" spans="11:11" x14ac:dyDescent="0.25">
      <c r="K2429"/>
    </row>
    <row r="2430" spans="11:11" x14ac:dyDescent="0.25">
      <c r="K2430"/>
    </row>
    <row r="2431" spans="11:11" x14ac:dyDescent="0.25">
      <c r="K2431"/>
    </row>
    <row r="2432" spans="11:11" x14ac:dyDescent="0.25">
      <c r="K2432"/>
    </row>
    <row r="2433" spans="11:11" x14ac:dyDescent="0.25">
      <c r="K2433"/>
    </row>
    <row r="2434" spans="11:11" x14ac:dyDescent="0.25">
      <c r="K2434"/>
    </row>
    <row r="2435" spans="11:11" x14ac:dyDescent="0.25">
      <c r="K2435"/>
    </row>
    <row r="2436" spans="11:11" x14ac:dyDescent="0.25">
      <c r="K2436"/>
    </row>
    <row r="2437" spans="11:11" x14ac:dyDescent="0.25">
      <c r="K2437"/>
    </row>
    <row r="2438" spans="11:11" x14ac:dyDescent="0.25">
      <c r="K2438"/>
    </row>
    <row r="2439" spans="11:11" x14ac:dyDescent="0.25">
      <c r="K2439"/>
    </row>
    <row r="2440" spans="11:11" x14ac:dyDescent="0.25">
      <c r="K2440"/>
    </row>
    <row r="2441" spans="11:11" x14ac:dyDescent="0.25">
      <c r="K2441"/>
    </row>
    <row r="2442" spans="11:11" x14ac:dyDescent="0.25">
      <c r="K2442"/>
    </row>
    <row r="2443" spans="11:11" x14ac:dyDescent="0.25">
      <c r="K2443"/>
    </row>
    <row r="2444" spans="11:11" x14ac:dyDescent="0.25">
      <c r="K2444"/>
    </row>
    <row r="2445" spans="11:11" x14ac:dyDescent="0.25">
      <c r="K2445"/>
    </row>
    <row r="2446" spans="11:11" x14ac:dyDescent="0.25">
      <c r="K2446"/>
    </row>
    <row r="2447" spans="11:11" x14ac:dyDescent="0.25">
      <c r="K2447"/>
    </row>
    <row r="2448" spans="11:11" x14ac:dyDescent="0.25">
      <c r="K2448"/>
    </row>
    <row r="2449" spans="11:11" x14ac:dyDescent="0.25">
      <c r="K2449"/>
    </row>
    <row r="2450" spans="11:11" x14ac:dyDescent="0.25">
      <c r="K2450"/>
    </row>
    <row r="2451" spans="11:11" x14ac:dyDescent="0.25">
      <c r="K2451"/>
    </row>
    <row r="2452" spans="11:11" x14ac:dyDescent="0.25">
      <c r="K2452"/>
    </row>
    <row r="2453" spans="11:11" x14ac:dyDescent="0.25">
      <c r="K2453"/>
    </row>
    <row r="2454" spans="11:11" x14ac:dyDescent="0.25">
      <c r="K2454"/>
    </row>
    <row r="2455" spans="11:11" x14ac:dyDescent="0.25">
      <c r="K2455"/>
    </row>
    <row r="2456" spans="11:11" x14ac:dyDescent="0.25">
      <c r="K2456"/>
    </row>
    <row r="2457" spans="11:11" x14ac:dyDescent="0.25">
      <c r="K2457"/>
    </row>
    <row r="2458" spans="11:11" x14ac:dyDescent="0.25">
      <c r="K2458"/>
    </row>
    <row r="2459" spans="11:11" x14ac:dyDescent="0.25">
      <c r="K2459"/>
    </row>
    <row r="2460" spans="11:11" x14ac:dyDescent="0.25">
      <c r="K2460"/>
    </row>
    <row r="2461" spans="11:11" x14ac:dyDescent="0.25">
      <c r="K2461"/>
    </row>
    <row r="2462" spans="11:11" x14ac:dyDescent="0.25">
      <c r="K2462"/>
    </row>
    <row r="2463" spans="11:11" x14ac:dyDescent="0.25">
      <c r="K2463"/>
    </row>
    <row r="2464" spans="11:11" x14ac:dyDescent="0.25">
      <c r="K2464"/>
    </row>
    <row r="2465" spans="11:11" x14ac:dyDescent="0.25">
      <c r="K2465"/>
    </row>
    <row r="2466" spans="11:11" x14ac:dyDescent="0.25">
      <c r="K2466"/>
    </row>
    <row r="2467" spans="11:11" x14ac:dyDescent="0.25">
      <c r="K2467"/>
    </row>
    <row r="2468" spans="11:11" x14ac:dyDescent="0.25">
      <c r="K2468"/>
    </row>
    <row r="2469" spans="11:11" x14ac:dyDescent="0.25">
      <c r="K2469"/>
    </row>
    <row r="2470" spans="11:11" x14ac:dyDescent="0.25">
      <c r="K2470"/>
    </row>
    <row r="2471" spans="11:11" x14ac:dyDescent="0.25">
      <c r="K2471"/>
    </row>
    <row r="2472" spans="11:11" x14ac:dyDescent="0.25">
      <c r="K2472"/>
    </row>
    <row r="2473" spans="11:11" x14ac:dyDescent="0.25">
      <c r="K2473"/>
    </row>
    <row r="2474" spans="11:11" x14ac:dyDescent="0.25">
      <c r="K2474"/>
    </row>
    <row r="2475" spans="11:11" x14ac:dyDescent="0.25">
      <c r="K2475"/>
    </row>
    <row r="2476" spans="11:11" x14ac:dyDescent="0.25">
      <c r="K2476"/>
    </row>
    <row r="2477" spans="11:11" x14ac:dyDescent="0.25">
      <c r="K2477"/>
    </row>
    <row r="2478" spans="11:11" x14ac:dyDescent="0.25">
      <c r="K2478"/>
    </row>
    <row r="2479" spans="11:11" x14ac:dyDescent="0.25">
      <c r="K2479"/>
    </row>
    <row r="2480" spans="11:11" x14ac:dyDescent="0.25">
      <c r="K2480"/>
    </row>
    <row r="2481" spans="11:11" x14ac:dyDescent="0.25">
      <c r="K2481"/>
    </row>
    <row r="2482" spans="11:11" x14ac:dyDescent="0.25">
      <c r="K2482"/>
    </row>
    <row r="2483" spans="11:11" x14ac:dyDescent="0.25">
      <c r="K2483"/>
    </row>
    <row r="2484" spans="11:11" x14ac:dyDescent="0.25">
      <c r="K2484"/>
    </row>
    <row r="2485" spans="11:11" x14ac:dyDescent="0.25">
      <c r="K2485"/>
    </row>
    <row r="2486" spans="11:11" x14ac:dyDescent="0.25">
      <c r="K2486"/>
    </row>
    <row r="2487" spans="11:11" x14ac:dyDescent="0.25">
      <c r="K2487"/>
    </row>
    <row r="2488" spans="11:11" x14ac:dyDescent="0.25">
      <c r="K2488"/>
    </row>
    <row r="2489" spans="11:11" x14ac:dyDescent="0.25">
      <c r="K2489"/>
    </row>
    <row r="2490" spans="11:11" x14ac:dyDescent="0.25">
      <c r="K2490"/>
    </row>
    <row r="2491" spans="11:11" x14ac:dyDescent="0.25">
      <c r="K2491"/>
    </row>
    <row r="2492" spans="11:11" x14ac:dyDescent="0.25">
      <c r="K2492"/>
    </row>
    <row r="2493" spans="11:11" x14ac:dyDescent="0.25">
      <c r="K2493"/>
    </row>
    <row r="2494" spans="11:11" x14ac:dyDescent="0.25">
      <c r="K2494"/>
    </row>
    <row r="2495" spans="11:11" x14ac:dyDescent="0.25">
      <c r="K2495"/>
    </row>
    <row r="2496" spans="11:11" x14ac:dyDescent="0.25">
      <c r="K2496"/>
    </row>
    <row r="2497" spans="11:11" x14ac:dyDescent="0.25">
      <c r="K2497"/>
    </row>
    <row r="2498" spans="11:11" x14ac:dyDescent="0.25">
      <c r="K2498"/>
    </row>
    <row r="2499" spans="11:11" x14ac:dyDescent="0.25">
      <c r="K2499"/>
    </row>
    <row r="2500" spans="11:11" x14ac:dyDescent="0.25">
      <c r="K2500"/>
    </row>
    <row r="2501" spans="11:11" x14ac:dyDescent="0.25">
      <c r="K2501"/>
    </row>
    <row r="2502" spans="11:11" x14ac:dyDescent="0.25">
      <c r="K2502"/>
    </row>
    <row r="2503" spans="11:11" x14ac:dyDescent="0.25">
      <c r="K2503"/>
    </row>
    <row r="2504" spans="11:11" x14ac:dyDescent="0.25">
      <c r="K2504"/>
    </row>
    <row r="2505" spans="11:11" x14ac:dyDescent="0.25">
      <c r="K2505"/>
    </row>
    <row r="2506" spans="11:11" x14ac:dyDescent="0.25">
      <c r="K2506"/>
    </row>
    <row r="2507" spans="11:11" x14ac:dyDescent="0.25">
      <c r="K2507"/>
    </row>
    <row r="2508" spans="11:11" x14ac:dyDescent="0.25">
      <c r="K2508"/>
    </row>
    <row r="2509" spans="11:11" x14ac:dyDescent="0.25">
      <c r="K2509"/>
    </row>
    <row r="2510" spans="11:11" x14ac:dyDescent="0.25">
      <c r="K2510"/>
    </row>
    <row r="2511" spans="11:11" x14ac:dyDescent="0.25">
      <c r="K2511"/>
    </row>
    <row r="2512" spans="11:11" x14ac:dyDescent="0.25">
      <c r="K2512"/>
    </row>
    <row r="2513" spans="11:11" x14ac:dyDescent="0.25">
      <c r="K2513"/>
    </row>
    <row r="2514" spans="11:11" x14ac:dyDescent="0.25">
      <c r="K2514"/>
    </row>
    <row r="2515" spans="11:11" x14ac:dyDescent="0.25">
      <c r="K2515"/>
    </row>
    <row r="2516" spans="11:11" x14ac:dyDescent="0.25">
      <c r="K2516"/>
    </row>
    <row r="2517" spans="11:11" x14ac:dyDescent="0.25">
      <c r="K2517"/>
    </row>
    <row r="2518" spans="11:11" x14ac:dyDescent="0.25">
      <c r="K2518"/>
    </row>
    <row r="2519" spans="11:11" x14ac:dyDescent="0.25">
      <c r="K2519"/>
    </row>
    <row r="2520" spans="11:11" x14ac:dyDescent="0.25">
      <c r="K2520"/>
    </row>
    <row r="2521" spans="11:11" x14ac:dyDescent="0.25">
      <c r="K2521"/>
    </row>
    <row r="2522" spans="11:11" x14ac:dyDescent="0.25">
      <c r="K2522"/>
    </row>
    <row r="2523" spans="11:11" x14ac:dyDescent="0.25">
      <c r="K2523"/>
    </row>
    <row r="2524" spans="11:11" x14ac:dyDescent="0.25">
      <c r="K2524"/>
    </row>
    <row r="2525" spans="11:11" x14ac:dyDescent="0.25">
      <c r="K2525"/>
    </row>
    <row r="2526" spans="11:11" x14ac:dyDescent="0.25">
      <c r="K2526"/>
    </row>
    <row r="2527" spans="11:11" x14ac:dyDescent="0.25">
      <c r="K2527"/>
    </row>
    <row r="2528" spans="11:11" x14ac:dyDescent="0.25">
      <c r="K2528"/>
    </row>
    <row r="2529" spans="11:11" x14ac:dyDescent="0.25">
      <c r="K2529"/>
    </row>
    <row r="2530" spans="11:11" x14ac:dyDescent="0.25">
      <c r="K2530"/>
    </row>
    <row r="2531" spans="11:11" x14ac:dyDescent="0.25">
      <c r="K2531"/>
    </row>
    <row r="2532" spans="11:11" x14ac:dyDescent="0.25">
      <c r="K2532"/>
    </row>
    <row r="2533" spans="11:11" x14ac:dyDescent="0.25">
      <c r="K2533"/>
    </row>
    <row r="2534" spans="11:11" x14ac:dyDescent="0.25">
      <c r="K2534"/>
    </row>
    <row r="2535" spans="11:11" x14ac:dyDescent="0.25">
      <c r="K2535"/>
    </row>
    <row r="2536" spans="11:11" x14ac:dyDescent="0.25">
      <c r="K2536"/>
    </row>
    <row r="2537" spans="11:11" x14ac:dyDescent="0.25">
      <c r="K2537"/>
    </row>
    <row r="2538" spans="11:11" x14ac:dyDescent="0.25">
      <c r="K2538"/>
    </row>
    <row r="2539" spans="11:11" x14ac:dyDescent="0.25">
      <c r="K2539"/>
    </row>
    <row r="2540" spans="11:11" x14ac:dyDescent="0.25">
      <c r="K2540"/>
    </row>
    <row r="2541" spans="11:11" x14ac:dyDescent="0.25">
      <c r="K2541"/>
    </row>
    <row r="2542" spans="11:11" x14ac:dyDescent="0.25">
      <c r="K2542"/>
    </row>
    <row r="2543" spans="11:11" x14ac:dyDescent="0.25">
      <c r="K2543"/>
    </row>
    <row r="2544" spans="11:11" x14ac:dyDescent="0.25">
      <c r="K2544"/>
    </row>
    <row r="2545" spans="11:11" x14ac:dyDescent="0.25">
      <c r="K2545"/>
    </row>
    <row r="2546" spans="11:11" x14ac:dyDescent="0.25">
      <c r="K2546"/>
    </row>
    <row r="2547" spans="11:11" x14ac:dyDescent="0.25">
      <c r="K2547"/>
    </row>
    <row r="2548" spans="11:11" x14ac:dyDescent="0.25">
      <c r="K2548"/>
    </row>
    <row r="2549" spans="11:11" x14ac:dyDescent="0.25">
      <c r="K2549"/>
    </row>
    <row r="2550" spans="11:11" x14ac:dyDescent="0.25">
      <c r="K2550"/>
    </row>
    <row r="2551" spans="11:11" x14ac:dyDescent="0.25">
      <c r="K2551"/>
    </row>
    <row r="2552" spans="11:11" x14ac:dyDescent="0.25">
      <c r="K2552"/>
    </row>
    <row r="2553" spans="11:11" x14ac:dyDescent="0.25">
      <c r="K2553"/>
    </row>
    <row r="2554" spans="11:11" x14ac:dyDescent="0.25">
      <c r="K2554"/>
    </row>
    <row r="2555" spans="11:11" x14ac:dyDescent="0.25">
      <c r="K2555"/>
    </row>
    <row r="2556" spans="11:11" x14ac:dyDescent="0.25">
      <c r="K2556"/>
    </row>
    <row r="2557" spans="11:11" x14ac:dyDescent="0.25">
      <c r="K2557"/>
    </row>
    <row r="2558" spans="11:11" x14ac:dyDescent="0.25">
      <c r="K2558"/>
    </row>
    <row r="2559" spans="11:11" x14ac:dyDescent="0.25">
      <c r="K2559"/>
    </row>
    <row r="2560" spans="11:11" x14ac:dyDescent="0.25">
      <c r="K2560"/>
    </row>
    <row r="2561" spans="11:11" x14ac:dyDescent="0.25">
      <c r="K2561"/>
    </row>
    <row r="2562" spans="11:11" x14ac:dyDescent="0.25">
      <c r="K2562"/>
    </row>
    <row r="2563" spans="11:11" x14ac:dyDescent="0.25">
      <c r="K2563"/>
    </row>
    <row r="2564" spans="11:11" x14ac:dyDescent="0.25">
      <c r="K2564"/>
    </row>
    <row r="2565" spans="11:11" x14ac:dyDescent="0.25">
      <c r="K2565"/>
    </row>
    <row r="2566" spans="11:11" x14ac:dyDescent="0.25">
      <c r="K2566"/>
    </row>
    <row r="2567" spans="11:11" x14ac:dyDescent="0.25">
      <c r="K2567"/>
    </row>
    <row r="2568" spans="11:11" x14ac:dyDescent="0.25">
      <c r="K2568"/>
    </row>
    <row r="2569" spans="11:11" x14ac:dyDescent="0.25">
      <c r="K2569"/>
    </row>
    <row r="2570" spans="11:11" x14ac:dyDescent="0.25">
      <c r="K2570"/>
    </row>
    <row r="2571" spans="11:11" x14ac:dyDescent="0.25">
      <c r="K2571"/>
    </row>
    <row r="2572" spans="11:11" x14ac:dyDescent="0.25">
      <c r="K2572"/>
    </row>
    <row r="2573" spans="11:11" x14ac:dyDescent="0.25">
      <c r="K2573"/>
    </row>
    <row r="2574" spans="11:11" x14ac:dyDescent="0.25">
      <c r="K2574"/>
    </row>
    <row r="2575" spans="11:11" x14ac:dyDescent="0.25">
      <c r="K2575"/>
    </row>
    <row r="2576" spans="11:11" x14ac:dyDescent="0.25">
      <c r="K2576"/>
    </row>
    <row r="2577" spans="11:11" x14ac:dyDescent="0.25">
      <c r="K2577"/>
    </row>
    <row r="2578" spans="11:11" x14ac:dyDescent="0.25">
      <c r="K2578"/>
    </row>
    <row r="2579" spans="11:11" x14ac:dyDescent="0.25">
      <c r="K2579"/>
    </row>
    <row r="2580" spans="11:11" x14ac:dyDescent="0.25">
      <c r="K2580"/>
    </row>
    <row r="2581" spans="11:11" x14ac:dyDescent="0.25">
      <c r="K2581"/>
    </row>
    <row r="2582" spans="11:11" x14ac:dyDescent="0.25">
      <c r="K2582"/>
    </row>
    <row r="2583" spans="11:11" x14ac:dyDescent="0.25">
      <c r="K2583"/>
    </row>
    <row r="2584" spans="11:11" x14ac:dyDescent="0.25">
      <c r="K2584"/>
    </row>
    <row r="2585" spans="11:11" x14ac:dyDescent="0.25">
      <c r="K2585"/>
    </row>
    <row r="2586" spans="11:11" x14ac:dyDescent="0.25">
      <c r="K2586"/>
    </row>
    <row r="2587" spans="11:11" x14ac:dyDescent="0.25">
      <c r="K2587"/>
    </row>
    <row r="2588" spans="11:11" x14ac:dyDescent="0.25">
      <c r="K2588"/>
    </row>
    <row r="2589" spans="11:11" x14ac:dyDescent="0.25">
      <c r="K2589"/>
    </row>
    <row r="2590" spans="11:11" x14ac:dyDescent="0.25">
      <c r="K2590"/>
    </row>
    <row r="2591" spans="11:11" x14ac:dyDescent="0.25">
      <c r="K2591"/>
    </row>
    <row r="2592" spans="11:11" x14ac:dyDescent="0.25">
      <c r="K2592"/>
    </row>
    <row r="2593" spans="11:11" x14ac:dyDescent="0.25">
      <c r="K2593"/>
    </row>
    <row r="2594" spans="11:11" x14ac:dyDescent="0.25">
      <c r="K2594"/>
    </row>
    <row r="2595" spans="11:11" x14ac:dyDescent="0.25">
      <c r="K2595"/>
    </row>
    <row r="2596" spans="11:11" x14ac:dyDescent="0.25">
      <c r="K2596"/>
    </row>
    <row r="2597" spans="11:11" x14ac:dyDescent="0.25">
      <c r="K2597"/>
    </row>
    <row r="2598" spans="11:11" x14ac:dyDescent="0.25">
      <c r="K2598"/>
    </row>
    <row r="2599" spans="11:11" x14ac:dyDescent="0.25">
      <c r="K2599"/>
    </row>
    <row r="2600" spans="11:11" x14ac:dyDescent="0.25">
      <c r="K2600"/>
    </row>
    <row r="2601" spans="11:11" x14ac:dyDescent="0.25">
      <c r="K2601"/>
    </row>
    <row r="2602" spans="11:11" x14ac:dyDescent="0.25">
      <c r="K2602"/>
    </row>
    <row r="2603" spans="11:11" x14ac:dyDescent="0.25">
      <c r="K2603"/>
    </row>
    <row r="2604" spans="11:11" x14ac:dyDescent="0.25">
      <c r="K2604"/>
    </row>
    <row r="2605" spans="11:11" x14ac:dyDescent="0.25">
      <c r="K2605"/>
    </row>
    <row r="2606" spans="11:11" x14ac:dyDescent="0.25">
      <c r="K2606"/>
    </row>
    <row r="2607" spans="11:11" x14ac:dyDescent="0.25">
      <c r="K2607"/>
    </row>
    <row r="2608" spans="11:11" x14ac:dyDescent="0.25">
      <c r="K2608"/>
    </row>
    <row r="2609" spans="11:11" x14ac:dyDescent="0.25">
      <c r="K2609"/>
    </row>
    <row r="2610" spans="11:11" x14ac:dyDescent="0.25">
      <c r="K2610"/>
    </row>
    <row r="2611" spans="11:11" x14ac:dyDescent="0.25">
      <c r="K2611"/>
    </row>
    <row r="2612" spans="11:11" x14ac:dyDescent="0.25">
      <c r="K2612"/>
    </row>
    <row r="2613" spans="11:11" x14ac:dyDescent="0.25">
      <c r="K2613"/>
    </row>
    <row r="2614" spans="11:11" x14ac:dyDescent="0.25">
      <c r="K2614"/>
    </row>
    <row r="2615" spans="11:11" x14ac:dyDescent="0.25">
      <c r="K2615"/>
    </row>
    <row r="2616" spans="11:11" x14ac:dyDescent="0.25">
      <c r="K2616"/>
    </row>
    <row r="2617" spans="11:11" x14ac:dyDescent="0.25">
      <c r="K2617"/>
    </row>
    <row r="2618" spans="11:11" x14ac:dyDescent="0.25">
      <c r="K2618"/>
    </row>
    <row r="2619" spans="11:11" x14ac:dyDescent="0.25">
      <c r="K2619"/>
    </row>
    <row r="2620" spans="11:11" x14ac:dyDescent="0.25">
      <c r="K2620"/>
    </row>
    <row r="2621" spans="11:11" x14ac:dyDescent="0.25">
      <c r="K2621"/>
    </row>
    <row r="2622" spans="11:11" x14ac:dyDescent="0.25">
      <c r="K2622"/>
    </row>
    <row r="2623" spans="11:11" x14ac:dyDescent="0.25">
      <c r="K2623"/>
    </row>
    <row r="2624" spans="11:11" x14ac:dyDescent="0.25">
      <c r="K2624"/>
    </row>
    <row r="2625" spans="11:11" x14ac:dyDescent="0.25">
      <c r="K2625"/>
    </row>
    <row r="2626" spans="11:11" x14ac:dyDescent="0.25">
      <c r="K2626"/>
    </row>
    <row r="2627" spans="11:11" x14ac:dyDescent="0.25">
      <c r="K2627"/>
    </row>
    <row r="2628" spans="11:11" x14ac:dyDescent="0.25">
      <c r="K2628"/>
    </row>
    <row r="2629" spans="11:11" x14ac:dyDescent="0.25">
      <c r="K2629"/>
    </row>
    <row r="2630" spans="11:11" x14ac:dyDescent="0.25">
      <c r="K2630"/>
    </row>
    <row r="2631" spans="11:11" x14ac:dyDescent="0.25">
      <c r="K2631"/>
    </row>
    <row r="2632" spans="11:11" x14ac:dyDescent="0.25">
      <c r="K2632"/>
    </row>
    <row r="2633" spans="11:11" x14ac:dyDescent="0.25">
      <c r="K2633"/>
    </row>
    <row r="2634" spans="11:11" x14ac:dyDescent="0.25">
      <c r="K2634"/>
    </row>
    <row r="2635" spans="11:11" x14ac:dyDescent="0.25">
      <c r="K2635"/>
    </row>
    <row r="2636" spans="11:11" x14ac:dyDescent="0.25">
      <c r="K2636"/>
    </row>
    <row r="2637" spans="11:11" x14ac:dyDescent="0.25">
      <c r="K2637"/>
    </row>
    <row r="2638" spans="11:11" x14ac:dyDescent="0.25">
      <c r="K2638"/>
    </row>
    <row r="2639" spans="11:11" x14ac:dyDescent="0.25">
      <c r="K2639"/>
    </row>
    <row r="2640" spans="11:11" x14ac:dyDescent="0.25">
      <c r="K2640"/>
    </row>
    <row r="2641" spans="11:11" x14ac:dyDescent="0.25">
      <c r="K2641"/>
    </row>
    <row r="2642" spans="11:11" x14ac:dyDescent="0.25">
      <c r="K2642"/>
    </row>
    <row r="2643" spans="11:11" x14ac:dyDescent="0.25">
      <c r="K2643"/>
    </row>
    <row r="2644" spans="11:11" x14ac:dyDescent="0.25">
      <c r="K2644"/>
    </row>
    <row r="2645" spans="11:11" x14ac:dyDescent="0.25">
      <c r="K2645"/>
    </row>
    <row r="2646" spans="11:11" x14ac:dyDescent="0.25">
      <c r="K2646"/>
    </row>
    <row r="2647" spans="11:11" x14ac:dyDescent="0.25">
      <c r="K2647"/>
    </row>
    <row r="2648" spans="11:11" x14ac:dyDescent="0.25">
      <c r="K2648"/>
    </row>
    <row r="2649" spans="11:11" x14ac:dyDescent="0.25">
      <c r="K2649"/>
    </row>
    <row r="2650" spans="11:11" x14ac:dyDescent="0.25">
      <c r="K2650"/>
    </row>
    <row r="2651" spans="11:11" x14ac:dyDescent="0.25">
      <c r="K2651"/>
    </row>
    <row r="2652" spans="11:11" x14ac:dyDescent="0.25">
      <c r="K2652"/>
    </row>
    <row r="2653" spans="11:11" x14ac:dyDescent="0.25">
      <c r="K2653"/>
    </row>
    <row r="2654" spans="11:11" x14ac:dyDescent="0.25">
      <c r="K2654"/>
    </row>
    <row r="2655" spans="11:11" x14ac:dyDescent="0.25">
      <c r="K2655"/>
    </row>
    <row r="2656" spans="11:11" x14ac:dyDescent="0.25">
      <c r="K2656"/>
    </row>
    <row r="2657" spans="11:11" x14ac:dyDescent="0.25">
      <c r="K2657"/>
    </row>
    <row r="2658" spans="11:11" x14ac:dyDescent="0.25">
      <c r="K2658"/>
    </row>
    <row r="2659" spans="11:11" x14ac:dyDescent="0.25">
      <c r="K2659"/>
    </row>
    <row r="2660" spans="11:11" x14ac:dyDescent="0.25">
      <c r="K2660"/>
    </row>
    <row r="2661" spans="11:11" x14ac:dyDescent="0.25">
      <c r="K2661"/>
    </row>
    <row r="2662" spans="11:11" x14ac:dyDescent="0.25">
      <c r="K2662"/>
    </row>
    <row r="2663" spans="11:11" x14ac:dyDescent="0.25">
      <c r="K2663"/>
    </row>
    <row r="2664" spans="11:11" x14ac:dyDescent="0.25">
      <c r="K2664"/>
    </row>
    <row r="2665" spans="11:11" x14ac:dyDescent="0.25">
      <c r="K2665"/>
    </row>
    <row r="2666" spans="11:11" x14ac:dyDescent="0.25">
      <c r="K2666"/>
    </row>
    <row r="2667" spans="11:11" x14ac:dyDescent="0.25">
      <c r="K2667"/>
    </row>
    <row r="2668" spans="11:11" x14ac:dyDescent="0.25">
      <c r="K2668"/>
    </row>
    <row r="2669" spans="11:11" x14ac:dyDescent="0.25">
      <c r="K2669"/>
    </row>
    <row r="2670" spans="11:11" x14ac:dyDescent="0.25">
      <c r="K2670"/>
    </row>
    <row r="2671" spans="11:11" x14ac:dyDescent="0.25">
      <c r="K2671"/>
    </row>
    <row r="2672" spans="11:11" x14ac:dyDescent="0.25">
      <c r="K2672"/>
    </row>
    <row r="2673" spans="11:11" x14ac:dyDescent="0.25">
      <c r="K2673"/>
    </row>
    <row r="2674" spans="11:11" x14ac:dyDescent="0.25">
      <c r="K2674"/>
    </row>
    <row r="2675" spans="11:11" x14ac:dyDescent="0.25">
      <c r="K2675"/>
    </row>
    <row r="2676" spans="11:11" x14ac:dyDescent="0.25">
      <c r="K2676"/>
    </row>
    <row r="2677" spans="11:11" x14ac:dyDescent="0.25">
      <c r="K2677"/>
    </row>
    <row r="2678" spans="11:11" x14ac:dyDescent="0.25">
      <c r="K2678"/>
    </row>
    <row r="2679" spans="11:11" x14ac:dyDescent="0.25">
      <c r="K2679"/>
    </row>
    <row r="2680" spans="11:11" x14ac:dyDescent="0.25">
      <c r="K2680"/>
    </row>
    <row r="2681" spans="11:11" x14ac:dyDescent="0.25">
      <c r="K2681"/>
    </row>
    <row r="2682" spans="11:11" x14ac:dyDescent="0.25">
      <c r="K2682"/>
    </row>
    <row r="2683" spans="11:11" x14ac:dyDescent="0.25">
      <c r="K2683"/>
    </row>
    <row r="2684" spans="11:11" x14ac:dyDescent="0.25">
      <c r="K2684"/>
    </row>
    <row r="2685" spans="11:11" x14ac:dyDescent="0.25">
      <c r="K2685"/>
    </row>
    <row r="2686" spans="11:11" x14ac:dyDescent="0.25">
      <c r="K2686"/>
    </row>
    <row r="2687" spans="11:11" x14ac:dyDescent="0.25">
      <c r="K2687"/>
    </row>
    <row r="2688" spans="11:11" x14ac:dyDescent="0.25">
      <c r="K2688"/>
    </row>
    <row r="2689" spans="11:11" x14ac:dyDescent="0.25">
      <c r="K2689"/>
    </row>
    <row r="2690" spans="11:11" x14ac:dyDescent="0.25">
      <c r="K2690"/>
    </row>
    <row r="2691" spans="11:11" x14ac:dyDescent="0.25">
      <c r="K2691"/>
    </row>
    <row r="2692" spans="11:11" x14ac:dyDescent="0.25">
      <c r="K2692"/>
    </row>
    <row r="2693" spans="11:11" x14ac:dyDescent="0.25">
      <c r="K2693"/>
    </row>
    <row r="2694" spans="11:11" x14ac:dyDescent="0.25">
      <c r="K2694"/>
    </row>
    <row r="2695" spans="11:11" x14ac:dyDescent="0.25">
      <c r="K2695"/>
    </row>
    <row r="2696" spans="11:11" x14ac:dyDescent="0.25">
      <c r="K2696"/>
    </row>
    <row r="2697" spans="11:11" x14ac:dyDescent="0.25">
      <c r="K2697"/>
    </row>
    <row r="2698" spans="11:11" x14ac:dyDescent="0.25">
      <c r="K2698"/>
    </row>
    <row r="2699" spans="11:11" x14ac:dyDescent="0.25">
      <c r="K2699"/>
    </row>
    <row r="2700" spans="11:11" x14ac:dyDescent="0.25">
      <c r="K2700"/>
    </row>
    <row r="2701" spans="11:11" x14ac:dyDescent="0.25">
      <c r="K2701"/>
    </row>
    <row r="2702" spans="11:11" x14ac:dyDescent="0.25">
      <c r="K2702"/>
    </row>
    <row r="2703" spans="11:11" x14ac:dyDescent="0.25">
      <c r="K2703"/>
    </row>
    <row r="2704" spans="11:11" x14ac:dyDescent="0.25">
      <c r="K2704"/>
    </row>
    <row r="2705" spans="11:11" x14ac:dyDescent="0.25">
      <c r="K2705"/>
    </row>
    <row r="2706" spans="11:11" x14ac:dyDescent="0.25">
      <c r="K2706"/>
    </row>
    <row r="2707" spans="11:11" x14ac:dyDescent="0.25">
      <c r="K2707"/>
    </row>
    <row r="2708" spans="11:11" x14ac:dyDescent="0.25">
      <c r="K2708"/>
    </row>
    <row r="2709" spans="11:11" x14ac:dyDescent="0.25">
      <c r="K2709"/>
    </row>
    <row r="2710" spans="11:11" x14ac:dyDescent="0.25">
      <c r="K2710"/>
    </row>
    <row r="2711" spans="11:11" x14ac:dyDescent="0.25">
      <c r="K2711"/>
    </row>
    <row r="2712" spans="11:11" x14ac:dyDescent="0.25">
      <c r="K2712"/>
    </row>
    <row r="2713" spans="11:11" x14ac:dyDescent="0.25">
      <c r="K2713"/>
    </row>
    <row r="2714" spans="11:11" x14ac:dyDescent="0.25">
      <c r="K2714"/>
    </row>
    <row r="2715" spans="11:11" x14ac:dyDescent="0.25">
      <c r="K2715"/>
    </row>
    <row r="2716" spans="11:11" x14ac:dyDescent="0.25">
      <c r="K2716"/>
    </row>
    <row r="2717" spans="11:11" x14ac:dyDescent="0.25">
      <c r="K2717"/>
    </row>
    <row r="2718" spans="11:11" x14ac:dyDescent="0.25">
      <c r="K2718"/>
    </row>
    <row r="2719" spans="11:11" x14ac:dyDescent="0.25">
      <c r="K2719"/>
    </row>
    <row r="2720" spans="11:11" x14ac:dyDescent="0.25">
      <c r="K2720"/>
    </row>
    <row r="2721" spans="11:11" x14ac:dyDescent="0.25">
      <c r="K2721"/>
    </row>
    <row r="2722" spans="11:11" x14ac:dyDescent="0.25">
      <c r="K2722"/>
    </row>
    <row r="2723" spans="11:11" x14ac:dyDescent="0.25">
      <c r="K2723"/>
    </row>
    <row r="2724" spans="11:11" x14ac:dyDescent="0.25">
      <c r="K2724"/>
    </row>
    <row r="2725" spans="11:11" x14ac:dyDescent="0.25">
      <c r="K2725"/>
    </row>
    <row r="2726" spans="11:11" x14ac:dyDescent="0.25">
      <c r="K2726"/>
    </row>
    <row r="2727" spans="11:11" x14ac:dyDescent="0.25">
      <c r="K2727"/>
    </row>
    <row r="2728" spans="11:11" x14ac:dyDescent="0.25">
      <c r="K2728"/>
    </row>
    <row r="2729" spans="11:11" x14ac:dyDescent="0.25">
      <c r="K2729"/>
    </row>
    <row r="2730" spans="11:11" x14ac:dyDescent="0.25">
      <c r="K2730"/>
    </row>
    <row r="2731" spans="11:11" x14ac:dyDescent="0.25">
      <c r="K2731"/>
    </row>
    <row r="2732" spans="11:11" x14ac:dyDescent="0.25">
      <c r="K2732"/>
    </row>
    <row r="2733" spans="11:11" x14ac:dyDescent="0.25">
      <c r="K2733"/>
    </row>
    <row r="2734" spans="11:11" x14ac:dyDescent="0.25">
      <c r="K2734"/>
    </row>
    <row r="2735" spans="11:11" x14ac:dyDescent="0.25">
      <c r="K2735"/>
    </row>
    <row r="2736" spans="11:11" x14ac:dyDescent="0.25">
      <c r="K2736"/>
    </row>
    <row r="2737" spans="11:11" x14ac:dyDescent="0.25">
      <c r="K2737"/>
    </row>
    <row r="2738" spans="11:11" x14ac:dyDescent="0.25">
      <c r="K2738"/>
    </row>
    <row r="2739" spans="11:11" x14ac:dyDescent="0.25">
      <c r="K2739"/>
    </row>
    <row r="2740" spans="11:11" x14ac:dyDescent="0.25">
      <c r="K2740"/>
    </row>
    <row r="2741" spans="11:11" x14ac:dyDescent="0.25">
      <c r="K2741"/>
    </row>
    <row r="2742" spans="11:11" x14ac:dyDescent="0.25">
      <c r="K2742"/>
    </row>
    <row r="2743" spans="11:11" x14ac:dyDescent="0.25">
      <c r="K2743"/>
    </row>
    <row r="2744" spans="11:11" x14ac:dyDescent="0.25">
      <c r="K2744"/>
    </row>
    <row r="2745" spans="11:11" x14ac:dyDescent="0.25">
      <c r="K2745"/>
    </row>
    <row r="2746" spans="11:11" x14ac:dyDescent="0.25">
      <c r="K2746"/>
    </row>
    <row r="2747" spans="11:11" x14ac:dyDescent="0.25">
      <c r="K2747"/>
    </row>
    <row r="2748" spans="11:11" x14ac:dyDescent="0.25">
      <c r="K2748"/>
    </row>
    <row r="2749" spans="11:11" x14ac:dyDescent="0.25">
      <c r="K2749"/>
    </row>
    <row r="2750" spans="11:11" x14ac:dyDescent="0.25">
      <c r="K2750"/>
    </row>
    <row r="2751" spans="11:11" x14ac:dyDescent="0.25">
      <c r="K2751"/>
    </row>
    <row r="2752" spans="11:11" x14ac:dyDescent="0.25">
      <c r="K2752"/>
    </row>
    <row r="2753" spans="11:11" x14ac:dyDescent="0.25">
      <c r="K2753"/>
    </row>
    <row r="2754" spans="11:11" x14ac:dyDescent="0.25">
      <c r="K2754"/>
    </row>
    <row r="2755" spans="11:11" x14ac:dyDescent="0.25">
      <c r="K2755"/>
    </row>
    <row r="2756" spans="11:11" x14ac:dyDescent="0.25">
      <c r="K2756"/>
    </row>
    <row r="2757" spans="11:11" x14ac:dyDescent="0.25">
      <c r="K2757"/>
    </row>
    <row r="2758" spans="11:11" x14ac:dyDescent="0.25">
      <c r="K2758"/>
    </row>
    <row r="2759" spans="11:11" x14ac:dyDescent="0.25">
      <c r="K2759"/>
    </row>
    <row r="2760" spans="11:11" x14ac:dyDescent="0.25">
      <c r="K2760"/>
    </row>
    <row r="2761" spans="11:11" x14ac:dyDescent="0.25">
      <c r="K2761"/>
    </row>
    <row r="2762" spans="11:11" x14ac:dyDescent="0.25">
      <c r="K2762"/>
    </row>
    <row r="2763" spans="11:11" x14ac:dyDescent="0.25">
      <c r="K2763"/>
    </row>
    <row r="2764" spans="11:11" x14ac:dyDescent="0.25">
      <c r="K2764"/>
    </row>
    <row r="2765" spans="11:11" x14ac:dyDescent="0.25">
      <c r="K2765"/>
    </row>
    <row r="2766" spans="11:11" x14ac:dyDescent="0.25">
      <c r="K2766"/>
    </row>
    <row r="2767" spans="11:11" x14ac:dyDescent="0.25">
      <c r="K2767"/>
    </row>
    <row r="2768" spans="11:11" x14ac:dyDescent="0.25">
      <c r="K2768"/>
    </row>
    <row r="2769" spans="11:11" x14ac:dyDescent="0.25">
      <c r="K2769"/>
    </row>
    <row r="2770" spans="11:11" x14ac:dyDescent="0.25">
      <c r="K2770"/>
    </row>
    <row r="2771" spans="11:11" x14ac:dyDescent="0.25">
      <c r="K2771"/>
    </row>
    <row r="2772" spans="11:11" x14ac:dyDescent="0.25">
      <c r="K2772"/>
    </row>
    <row r="2773" spans="11:11" x14ac:dyDescent="0.25">
      <c r="K2773"/>
    </row>
    <row r="2774" spans="11:11" x14ac:dyDescent="0.25">
      <c r="K2774"/>
    </row>
    <row r="2775" spans="11:11" x14ac:dyDescent="0.25">
      <c r="K2775"/>
    </row>
    <row r="2776" spans="11:11" x14ac:dyDescent="0.25">
      <c r="K2776"/>
    </row>
    <row r="2777" spans="11:11" x14ac:dyDescent="0.25">
      <c r="K2777"/>
    </row>
    <row r="2778" spans="11:11" x14ac:dyDescent="0.25">
      <c r="K2778"/>
    </row>
    <row r="2779" spans="11:11" x14ac:dyDescent="0.25">
      <c r="K2779"/>
    </row>
    <row r="2780" spans="11:11" x14ac:dyDescent="0.25">
      <c r="K2780"/>
    </row>
    <row r="2781" spans="11:11" x14ac:dyDescent="0.25">
      <c r="K2781"/>
    </row>
    <row r="2782" spans="11:11" x14ac:dyDescent="0.25">
      <c r="K2782"/>
    </row>
    <row r="2783" spans="11:11" x14ac:dyDescent="0.25">
      <c r="K2783"/>
    </row>
    <row r="2784" spans="11:11" x14ac:dyDescent="0.25">
      <c r="K2784"/>
    </row>
    <row r="2785" spans="11:11" x14ac:dyDescent="0.25">
      <c r="K2785"/>
    </row>
    <row r="2786" spans="11:11" x14ac:dyDescent="0.25">
      <c r="K2786"/>
    </row>
    <row r="2787" spans="11:11" x14ac:dyDescent="0.25">
      <c r="K2787"/>
    </row>
    <row r="2788" spans="11:11" x14ac:dyDescent="0.25">
      <c r="K2788"/>
    </row>
    <row r="2789" spans="11:11" x14ac:dyDescent="0.25">
      <c r="K2789"/>
    </row>
    <row r="2790" spans="11:11" x14ac:dyDescent="0.25">
      <c r="K2790"/>
    </row>
    <row r="2791" spans="11:11" x14ac:dyDescent="0.25">
      <c r="K2791"/>
    </row>
    <row r="2792" spans="11:11" x14ac:dyDescent="0.25">
      <c r="K2792"/>
    </row>
    <row r="2793" spans="11:11" x14ac:dyDescent="0.25">
      <c r="K2793"/>
    </row>
    <row r="2794" spans="11:11" x14ac:dyDescent="0.25">
      <c r="K2794"/>
    </row>
    <row r="2795" spans="11:11" x14ac:dyDescent="0.25">
      <c r="K2795"/>
    </row>
    <row r="2796" spans="11:11" x14ac:dyDescent="0.25">
      <c r="K2796"/>
    </row>
    <row r="2797" spans="11:11" x14ac:dyDescent="0.25">
      <c r="K2797"/>
    </row>
    <row r="2798" spans="11:11" x14ac:dyDescent="0.25">
      <c r="K2798"/>
    </row>
    <row r="2799" spans="11:11" x14ac:dyDescent="0.25">
      <c r="K2799"/>
    </row>
    <row r="2800" spans="11:11" x14ac:dyDescent="0.25">
      <c r="K2800"/>
    </row>
    <row r="2801" spans="11:11" x14ac:dyDescent="0.25">
      <c r="K2801"/>
    </row>
    <row r="2802" spans="11:11" x14ac:dyDescent="0.25">
      <c r="K2802"/>
    </row>
    <row r="2803" spans="11:11" x14ac:dyDescent="0.25">
      <c r="K2803"/>
    </row>
    <row r="2804" spans="11:11" x14ac:dyDescent="0.25">
      <c r="K2804"/>
    </row>
    <row r="2805" spans="11:11" x14ac:dyDescent="0.25">
      <c r="K2805"/>
    </row>
    <row r="2806" spans="11:11" x14ac:dyDescent="0.25">
      <c r="K2806"/>
    </row>
    <row r="2807" spans="11:11" x14ac:dyDescent="0.25">
      <c r="K2807"/>
    </row>
    <row r="2808" spans="11:11" x14ac:dyDescent="0.25">
      <c r="K2808"/>
    </row>
    <row r="2809" spans="11:11" x14ac:dyDescent="0.25">
      <c r="K2809"/>
    </row>
    <row r="2810" spans="11:11" x14ac:dyDescent="0.25">
      <c r="K2810"/>
    </row>
    <row r="2811" spans="11:11" x14ac:dyDescent="0.25">
      <c r="K2811"/>
    </row>
    <row r="2812" spans="11:11" x14ac:dyDescent="0.25">
      <c r="K2812"/>
    </row>
    <row r="2813" spans="11:11" x14ac:dyDescent="0.25">
      <c r="K2813"/>
    </row>
    <row r="2814" spans="11:11" x14ac:dyDescent="0.25">
      <c r="K2814"/>
    </row>
    <row r="2815" spans="11:11" x14ac:dyDescent="0.25">
      <c r="K2815"/>
    </row>
    <row r="2816" spans="11:11" x14ac:dyDescent="0.25">
      <c r="K2816"/>
    </row>
    <row r="2817" spans="11:11" x14ac:dyDescent="0.25">
      <c r="K2817"/>
    </row>
    <row r="2818" spans="11:11" x14ac:dyDescent="0.25">
      <c r="K2818"/>
    </row>
    <row r="2819" spans="11:11" x14ac:dyDescent="0.25">
      <c r="K2819"/>
    </row>
    <row r="2820" spans="11:11" x14ac:dyDescent="0.25">
      <c r="K2820"/>
    </row>
    <row r="2821" spans="11:11" x14ac:dyDescent="0.25">
      <c r="K2821"/>
    </row>
    <row r="2822" spans="11:11" x14ac:dyDescent="0.25">
      <c r="K2822"/>
    </row>
    <row r="2823" spans="11:11" x14ac:dyDescent="0.25">
      <c r="K2823"/>
    </row>
    <row r="2824" spans="11:11" x14ac:dyDescent="0.25">
      <c r="K2824"/>
    </row>
    <row r="2825" spans="11:11" x14ac:dyDescent="0.25">
      <c r="K2825"/>
    </row>
    <row r="2826" spans="11:11" x14ac:dyDescent="0.25">
      <c r="K2826"/>
    </row>
    <row r="2827" spans="11:11" x14ac:dyDescent="0.25">
      <c r="K2827"/>
    </row>
    <row r="2828" spans="11:11" x14ac:dyDescent="0.25">
      <c r="K2828"/>
    </row>
    <row r="2829" spans="11:11" x14ac:dyDescent="0.25">
      <c r="K2829"/>
    </row>
    <row r="2830" spans="11:11" x14ac:dyDescent="0.25">
      <c r="K2830"/>
    </row>
    <row r="2831" spans="11:11" x14ac:dyDescent="0.25">
      <c r="K2831"/>
    </row>
    <row r="2832" spans="11:11" x14ac:dyDescent="0.25">
      <c r="K2832"/>
    </row>
    <row r="2833" spans="11:11" x14ac:dyDescent="0.25">
      <c r="K2833"/>
    </row>
    <row r="2834" spans="11:11" x14ac:dyDescent="0.25">
      <c r="K2834"/>
    </row>
    <row r="2835" spans="11:11" x14ac:dyDescent="0.25">
      <c r="K2835"/>
    </row>
    <row r="2836" spans="11:11" x14ac:dyDescent="0.25">
      <c r="K2836"/>
    </row>
    <row r="2837" spans="11:11" x14ac:dyDescent="0.25">
      <c r="K2837"/>
    </row>
    <row r="2838" spans="11:11" x14ac:dyDescent="0.25">
      <c r="K2838"/>
    </row>
    <row r="2839" spans="11:11" x14ac:dyDescent="0.25">
      <c r="K2839"/>
    </row>
    <row r="2840" spans="11:11" x14ac:dyDescent="0.25">
      <c r="K2840"/>
    </row>
    <row r="2841" spans="11:11" x14ac:dyDescent="0.25">
      <c r="K2841"/>
    </row>
    <row r="2842" spans="11:11" x14ac:dyDescent="0.25">
      <c r="K2842"/>
    </row>
    <row r="2843" spans="11:11" x14ac:dyDescent="0.25">
      <c r="K2843"/>
    </row>
    <row r="2844" spans="11:11" x14ac:dyDescent="0.25">
      <c r="K2844"/>
    </row>
    <row r="2845" spans="11:11" x14ac:dyDescent="0.25">
      <c r="K2845"/>
    </row>
    <row r="2846" spans="11:11" x14ac:dyDescent="0.25">
      <c r="K2846"/>
    </row>
    <row r="2847" spans="11:11" x14ac:dyDescent="0.25">
      <c r="K2847"/>
    </row>
    <row r="2848" spans="11:11" x14ac:dyDescent="0.25">
      <c r="K2848"/>
    </row>
    <row r="2849" spans="11:11" x14ac:dyDescent="0.25">
      <c r="K2849"/>
    </row>
    <row r="2850" spans="11:11" x14ac:dyDescent="0.25">
      <c r="K2850"/>
    </row>
    <row r="2851" spans="11:11" x14ac:dyDescent="0.25">
      <c r="K2851"/>
    </row>
    <row r="2852" spans="11:11" x14ac:dyDescent="0.25">
      <c r="K2852"/>
    </row>
    <row r="2853" spans="11:11" x14ac:dyDescent="0.25">
      <c r="K2853"/>
    </row>
    <row r="2854" spans="11:11" x14ac:dyDescent="0.25">
      <c r="K2854"/>
    </row>
    <row r="2855" spans="11:11" x14ac:dyDescent="0.25">
      <c r="K2855"/>
    </row>
    <row r="2856" spans="11:11" x14ac:dyDescent="0.25">
      <c r="K2856"/>
    </row>
    <row r="2857" spans="11:11" x14ac:dyDescent="0.25">
      <c r="K2857"/>
    </row>
    <row r="2858" spans="11:11" x14ac:dyDescent="0.25">
      <c r="K2858"/>
    </row>
    <row r="2859" spans="11:11" x14ac:dyDescent="0.25">
      <c r="K2859"/>
    </row>
    <row r="2860" spans="11:11" x14ac:dyDescent="0.25">
      <c r="K2860"/>
    </row>
    <row r="2861" spans="11:11" x14ac:dyDescent="0.25">
      <c r="K2861"/>
    </row>
    <row r="2862" spans="11:11" x14ac:dyDescent="0.25">
      <c r="K2862"/>
    </row>
    <row r="2863" spans="11:11" x14ac:dyDescent="0.25">
      <c r="K2863"/>
    </row>
    <row r="2864" spans="11:11" x14ac:dyDescent="0.25">
      <c r="K2864"/>
    </row>
    <row r="2865" spans="11:11" x14ac:dyDescent="0.25">
      <c r="K2865"/>
    </row>
    <row r="2866" spans="11:11" x14ac:dyDescent="0.25">
      <c r="K2866"/>
    </row>
    <row r="2867" spans="11:11" x14ac:dyDescent="0.25">
      <c r="K2867"/>
    </row>
    <row r="2868" spans="11:11" x14ac:dyDescent="0.25">
      <c r="K2868"/>
    </row>
    <row r="2869" spans="11:11" x14ac:dyDescent="0.25">
      <c r="K2869"/>
    </row>
    <row r="2870" spans="11:11" x14ac:dyDescent="0.25">
      <c r="K2870"/>
    </row>
    <row r="2871" spans="11:11" x14ac:dyDescent="0.25">
      <c r="K2871"/>
    </row>
    <row r="2872" spans="11:11" x14ac:dyDescent="0.25">
      <c r="K2872"/>
    </row>
    <row r="2873" spans="11:11" x14ac:dyDescent="0.25">
      <c r="K2873"/>
    </row>
    <row r="2874" spans="11:11" x14ac:dyDescent="0.25">
      <c r="K2874"/>
    </row>
    <row r="2875" spans="11:11" x14ac:dyDescent="0.25">
      <c r="K2875"/>
    </row>
    <row r="2876" spans="11:11" x14ac:dyDescent="0.25">
      <c r="K2876"/>
    </row>
    <row r="2877" spans="11:11" x14ac:dyDescent="0.25">
      <c r="K2877"/>
    </row>
    <row r="2878" spans="11:11" x14ac:dyDescent="0.25">
      <c r="K2878"/>
    </row>
    <row r="2879" spans="11:11" x14ac:dyDescent="0.25">
      <c r="K2879"/>
    </row>
    <row r="2880" spans="11:11" x14ac:dyDescent="0.25">
      <c r="K2880"/>
    </row>
    <row r="2881" spans="11:11" x14ac:dyDescent="0.25">
      <c r="K2881"/>
    </row>
    <row r="2882" spans="11:11" x14ac:dyDescent="0.25">
      <c r="K2882"/>
    </row>
    <row r="2883" spans="11:11" x14ac:dyDescent="0.25">
      <c r="K2883"/>
    </row>
    <row r="2884" spans="11:11" x14ac:dyDescent="0.25">
      <c r="K2884"/>
    </row>
    <row r="2885" spans="11:11" x14ac:dyDescent="0.25">
      <c r="K2885"/>
    </row>
    <row r="2886" spans="11:11" x14ac:dyDescent="0.25">
      <c r="K2886"/>
    </row>
    <row r="2887" spans="11:11" x14ac:dyDescent="0.25">
      <c r="K2887"/>
    </row>
    <row r="2888" spans="11:11" x14ac:dyDescent="0.25">
      <c r="K2888"/>
    </row>
    <row r="2889" spans="11:11" x14ac:dyDescent="0.25">
      <c r="K2889"/>
    </row>
    <row r="2890" spans="11:11" x14ac:dyDescent="0.25">
      <c r="K2890"/>
    </row>
    <row r="2891" spans="11:11" x14ac:dyDescent="0.25">
      <c r="K2891"/>
    </row>
    <row r="2892" spans="11:11" x14ac:dyDescent="0.25">
      <c r="K2892"/>
    </row>
    <row r="2893" spans="11:11" x14ac:dyDescent="0.25">
      <c r="K2893"/>
    </row>
    <row r="2894" spans="11:11" x14ac:dyDescent="0.25">
      <c r="K2894"/>
    </row>
    <row r="2895" spans="11:11" x14ac:dyDescent="0.25">
      <c r="K2895"/>
    </row>
    <row r="2896" spans="11:11" x14ac:dyDescent="0.25">
      <c r="K2896"/>
    </row>
    <row r="2897" spans="11:11" x14ac:dyDescent="0.25">
      <c r="K2897"/>
    </row>
    <row r="2898" spans="11:11" x14ac:dyDescent="0.25">
      <c r="K2898"/>
    </row>
    <row r="2899" spans="11:11" x14ac:dyDescent="0.25">
      <c r="K2899"/>
    </row>
    <row r="2900" spans="11:11" x14ac:dyDescent="0.25">
      <c r="K2900"/>
    </row>
    <row r="2901" spans="11:11" x14ac:dyDescent="0.25">
      <c r="K2901"/>
    </row>
    <row r="2902" spans="11:11" x14ac:dyDescent="0.25">
      <c r="K2902"/>
    </row>
    <row r="2903" spans="11:11" x14ac:dyDescent="0.25">
      <c r="K2903"/>
    </row>
    <row r="2904" spans="11:11" x14ac:dyDescent="0.25">
      <c r="K2904"/>
    </row>
    <row r="2905" spans="11:11" x14ac:dyDescent="0.25">
      <c r="K2905"/>
    </row>
    <row r="2906" spans="11:11" x14ac:dyDescent="0.25">
      <c r="K2906"/>
    </row>
    <row r="2907" spans="11:11" x14ac:dyDescent="0.25">
      <c r="K2907"/>
    </row>
    <row r="2908" spans="11:11" x14ac:dyDescent="0.25">
      <c r="K2908"/>
    </row>
    <row r="2909" spans="11:11" x14ac:dyDescent="0.25">
      <c r="K2909"/>
    </row>
    <row r="2910" spans="11:11" x14ac:dyDescent="0.25">
      <c r="K2910"/>
    </row>
    <row r="2911" spans="11:11" x14ac:dyDescent="0.25">
      <c r="K2911"/>
    </row>
    <row r="2912" spans="11:11" x14ac:dyDescent="0.25">
      <c r="K2912"/>
    </row>
    <row r="2913" spans="11:11" x14ac:dyDescent="0.25">
      <c r="K2913"/>
    </row>
    <row r="2914" spans="11:11" x14ac:dyDescent="0.25">
      <c r="K2914"/>
    </row>
    <row r="2915" spans="11:11" x14ac:dyDescent="0.25">
      <c r="K2915"/>
    </row>
    <row r="2916" spans="11:11" x14ac:dyDescent="0.25">
      <c r="K2916"/>
    </row>
    <row r="2917" spans="11:11" x14ac:dyDescent="0.25">
      <c r="K2917"/>
    </row>
    <row r="2918" spans="11:11" x14ac:dyDescent="0.25">
      <c r="K2918"/>
    </row>
    <row r="2919" spans="11:11" x14ac:dyDescent="0.25">
      <c r="K2919"/>
    </row>
    <row r="2920" spans="11:11" x14ac:dyDescent="0.25">
      <c r="K2920"/>
    </row>
    <row r="2921" spans="11:11" x14ac:dyDescent="0.25">
      <c r="K2921"/>
    </row>
    <row r="2922" spans="11:11" x14ac:dyDescent="0.25">
      <c r="K2922"/>
    </row>
    <row r="2923" spans="11:11" x14ac:dyDescent="0.25">
      <c r="K2923"/>
    </row>
    <row r="2924" spans="11:11" x14ac:dyDescent="0.25">
      <c r="K2924"/>
    </row>
    <row r="2925" spans="11:11" x14ac:dyDescent="0.25">
      <c r="K2925"/>
    </row>
    <row r="2926" spans="11:11" x14ac:dyDescent="0.25">
      <c r="K2926"/>
    </row>
    <row r="2927" spans="11:11" x14ac:dyDescent="0.25">
      <c r="K2927"/>
    </row>
    <row r="2928" spans="11:11" x14ac:dyDescent="0.25">
      <c r="K2928"/>
    </row>
    <row r="2929" spans="11:11" x14ac:dyDescent="0.25">
      <c r="K2929"/>
    </row>
    <row r="2930" spans="11:11" x14ac:dyDescent="0.25">
      <c r="K2930"/>
    </row>
    <row r="2931" spans="11:11" x14ac:dyDescent="0.25">
      <c r="K2931"/>
    </row>
    <row r="2932" spans="11:11" x14ac:dyDescent="0.25">
      <c r="K2932"/>
    </row>
    <row r="2933" spans="11:11" x14ac:dyDescent="0.25">
      <c r="K2933"/>
    </row>
    <row r="2934" spans="11:11" x14ac:dyDescent="0.25">
      <c r="K2934"/>
    </row>
    <row r="2935" spans="11:11" x14ac:dyDescent="0.25">
      <c r="K2935"/>
    </row>
    <row r="2936" spans="11:11" x14ac:dyDescent="0.25">
      <c r="K2936"/>
    </row>
    <row r="2937" spans="11:11" x14ac:dyDescent="0.25">
      <c r="K2937"/>
    </row>
    <row r="2938" spans="11:11" x14ac:dyDescent="0.25">
      <c r="K2938"/>
    </row>
    <row r="2939" spans="11:11" x14ac:dyDescent="0.25">
      <c r="K2939"/>
    </row>
    <row r="2940" spans="11:11" x14ac:dyDescent="0.25">
      <c r="K2940"/>
    </row>
    <row r="2941" spans="11:11" x14ac:dyDescent="0.25">
      <c r="K2941"/>
    </row>
    <row r="2942" spans="11:11" x14ac:dyDescent="0.25">
      <c r="K2942"/>
    </row>
    <row r="2943" spans="11:11" x14ac:dyDescent="0.25">
      <c r="K2943"/>
    </row>
    <row r="2944" spans="11:11" x14ac:dyDescent="0.25">
      <c r="K2944"/>
    </row>
    <row r="2945" spans="11:11" x14ac:dyDescent="0.25">
      <c r="K2945"/>
    </row>
    <row r="2946" spans="11:11" x14ac:dyDescent="0.25">
      <c r="K2946"/>
    </row>
    <row r="2947" spans="11:11" x14ac:dyDescent="0.25">
      <c r="K2947"/>
    </row>
    <row r="2948" spans="11:11" x14ac:dyDescent="0.25">
      <c r="K2948"/>
    </row>
    <row r="2949" spans="11:11" x14ac:dyDescent="0.25">
      <c r="K2949"/>
    </row>
    <row r="2950" spans="11:11" x14ac:dyDescent="0.25">
      <c r="K2950"/>
    </row>
    <row r="2951" spans="11:11" x14ac:dyDescent="0.25">
      <c r="K2951"/>
    </row>
    <row r="2952" spans="11:11" x14ac:dyDescent="0.25">
      <c r="K2952"/>
    </row>
    <row r="2953" spans="11:11" x14ac:dyDescent="0.25">
      <c r="K2953"/>
    </row>
    <row r="2954" spans="11:11" x14ac:dyDescent="0.25">
      <c r="K2954"/>
    </row>
    <row r="2955" spans="11:11" x14ac:dyDescent="0.25">
      <c r="K2955"/>
    </row>
    <row r="2956" spans="11:11" x14ac:dyDescent="0.25">
      <c r="K2956"/>
    </row>
    <row r="2957" spans="11:11" x14ac:dyDescent="0.25">
      <c r="K2957"/>
    </row>
    <row r="2958" spans="11:11" x14ac:dyDescent="0.25">
      <c r="K2958"/>
    </row>
    <row r="2959" spans="11:11" x14ac:dyDescent="0.25">
      <c r="K2959"/>
    </row>
    <row r="2960" spans="11:11" x14ac:dyDescent="0.25">
      <c r="K2960"/>
    </row>
    <row r="2961" spans="11:11" x14ac:dyDescent="0.25">
      <c r="K2961"/>
    </row>
    <row r="2962" spans="11:11" x14ac:dyDescent="0.25">
      <c r="K2962"/>
    </row>
    <row r="2963" spans="11:11" x14ac:dyDescent="0.25">
      <c r="K2963"/>
    </row>
    <row r="2964" spans="11:11" x14ac:dyDescent="0.25">
      <c r="K2964"/>
    </row>
    <row r="2965" spans="11:11" x14ac:dyDescent="0.25">
      <c r="K2965"/>
    </row>
    <row r="2966" spans="11:11" x14ac:dyDescent="0.25">
      <c r="K2966"/>
    </row>
    <row r="2967" spans="11:11" x14ac:dyDescent="0.25">
      <c r="K2967"/>
    </row>
    <row r="2968" spans="11:11" x14ac:dyDescent="0.25">
      <c r="K2968"/>
    </row>
    <row r="2969" spans="11:11" x14ac:dyDescent="0.25">
      <c r="K2969"/>
    </row>
    <row r="2970" spans="11:11" x14ac:dyDescent="0.25">
      <c r="K2970"/>
    </row>
    <row r="2971" spans="11:11" x14ac:dyDescent="0.25">
      <c r="K2971"/>
    </row>
    <row r="2972" spans="11:11" x14ac:dyDescent="0.25">
      <c r="K2972"/>
    </row>
    <row r="2973" spans="11:11" x14ac:dyDescent="0.25">
      <c r="K2973"/>
    </row>
    <row r="2974" spans="11:11" x14ac:dyDescent="0.25">
      <c r="K2974"/>
    </row>
    <row r="2975" spans="11:11" x14ac:dyDescent="0.25">
      <c r="K2975"/>
    </row>
    <row r="2976" spans="11:11" x14ac:dyDescent="0.25">
      <c r="K2976"/>
    </row>
    <row r="2977" spans="11:11" x14ac:dyDescent="0.25">
      <c r="K2977"/>
    </row>
    <row r="2978" spans="11:11" x14ac:dyDescent="0.25">
      <c r="K2978"/>
    </row>
    <row r="2979" spans="11:11" x14ac:dyDescent="0.25">
      <c r="K2979"/>
    </row>
    <row r="2980" spans="11:11" x14ac:dyDescent="0.25">
      <c r="K2980"/>
    </row>
    <row r="2981" spans="11:11" x14ac:dyDescent="0.25">
      <c r="K2981"/>
    </row>
    <row r="2982" spans="11:11" x14ac:dyDescent="0.25">
      <c r="K2982"/>
    </row>
    <row r="2983" spans="11:11" x14ac:dyDescent="0.25">
      <c r="K2983"/>
    </row>
    <row r="2984" spans="11:11" x14ac:dyDescent="0.25">
      <c r="K2984"/>
    </row>
    <row r="2985" spans="11:11" x14ac:dyDescent="0.25">
      <c r="K2985"/>
    </row>
    <row r="2986" spans="11:11" x14ac:dyDescent="0.25">
      <c r="K2986"/>
    </row>
    <row r="2987" spans="11:11" x14ac:dyDescent="0.25">
      <c r="K2987"/>
    </row>
    <row r="2988" spans="11:11" x14ac:dyDescent="0.25">
      <c r="K2988"/>
    </row>
    <row r="2989" spans="11:11" x14ac:dyDescent="0.25">
      <c r="K2989"/>
    </row>
    <row r="2990" spans="11:11" x14ac:dyDescent="0.25">
      <c r="K2990"/>
    </row>
    <row r="2991" spans="11:11" x14ac:dyDescent="0.25">
      <c r="K2991"/>
    </row>
    <row r="2992" spans="11:11" x14ac:dyDescent="0.25">
      <c r="K2992"/>
    </row>
    <row r="2993" spans="11:11" x14ac:dyDescent="0.25">
      <c r="K2993"/>
    </row>
    <row r="2994" spans="11:11" x14ac:dyDescent="0.25">
      <c r="K2994"/>
    </row>
    <row r="2995" spans="11:11" x14ac:dyDescent="0.25">
      <c r="K2995"/>
    </row>
    <row r="2996" spans="11:11" x14ac:dyDescent="0.25">
      <c r="K2996"/>
    </row>
    <row r="2997" spans="11:11" x14ac:dyDescent="0.25">
      <c r="K2997"/>
    </row>
    <row r="2998" spans="11:11" x14ac:dyDescent="0.25">
      <c r="K2998"/>
    </row>
    <row r="2999" spans="11:11" x14ac:dyDescent="0.25">
      <c r="K2999"/>
    </row>
    <row r="3000" spans="11:11" x14ac:dyDescent="0.25">
      <c r="K3000"/>
    </row>
    <row r="3001" spans="11:11" x14ac:dyDescent="0.25">
      <c r="K3001"/>
    </row>
    <row r="3002" spans="11:11" x14ac:dyDescent="0.25">
      <c r="K3002"/>
    </row>
    <row r="3003" spans="11:11" x14ac:dyDescent="0.25">
      <c r="K3003"/>
    </row>
    <row r="3004" spans="11:11" x14ac:dyDescent="0.25">
      <c r="K3004"/>
    </row>
    <row r="3005" spans="11:11" x14ac:dyDescent="0.25">
      <c r="K3005"/>
    </row>
    <row r="3006" spans="11:11" x14ac:dyDescent="0.25">
      <c r="K3006"/>
    </row>
    <row r="3007" spans="11:11" x14ac:dyDescent="0.25">
      <c r="K3007"/>
    </row>
    <row r="3008" spans="11:11" x14ac:dyDescent="0.25">
      <c r="K3008"/>
    </row>
    <row r="3009" spans="11:11" x14ac:dyDescent="0.25">
      <c r="K3009"/>
    </row>
    <row r="3010" spans="11:11" x14ac:dyDescent="0.25">
      <c r="K3010"/>
    </row>
    <row r="3011" spans="11:11" x14ac:dyDescent="0.25">
      <c r="K3011"/>
    </row>
    <row r="3012" spans="11:11" x14ac:dyDescent="0.25">
      <c r="K3012"/>
    </row>
    <row r="3013" spans="11:11" x14ac:dyDescent="0.25">
      <c r="K3013"/>
    </row>
    <row r="3014" spans="11:11" x14ac:dyDescent="0.25">
      <c r="K3014"/>
    </row>
    <row r="3015" spans="11:11" x14ac:dyDescent="0.25">
      <c r="K3015"/>
    </row>
    <row r="3016" spans="11:11" x14ac:dyDescent="0.25">
      <c r="K3016"/>
    </row>
    <row r="3017" spans="11:11" x14ac:dyDescent="0.25">
      <c r="K3017"/>
    </row>
    <row r="3018" spans="11:11" x14ac:dyDescent="0.25">
      <c r="K3018"/>
    </row>
    <row r="3019" spans="11:11" x14ac:dyDescent="0.25">
      <c r="K3019"/>
    </row>
    <row r="3020" spans="11:11" x14ac:dyDescent="0.25">
      <c r="K3020"/>
    </row>
    <row r="3021" spans="11:11" x14ac:dyDescent="0.25">
      <c r="K3021"/>
    </row>
    <row r="3022" spans="11:11" x14ac:dyDescent="0.25">
      <c r="K3022"/>
    </row>
    <row r="3023" spans="11:11" x14ac:dyDescent="0.25">
      <c r="K3023"/>
    </row>
    <row r="3024" spans="11:11" x14ac:dyDescent="0.25">
      <c r="K3024"/>
    </row>
    <row r="3025" spans="11:11" x14ac:dyDescent="0.25">
      <c r="K3025"/>
    </row>
    <row r="3026" spans="11:11" x14ac:dyDescent="0.25">
      <c r="K3026"/>
    </row>
    <row r="3027" spans="11:11" x14ac:dyDescent="0.25">
      <c r="K3027"/>
    </row>
    <row r="3028" spans="11:11" x14ac:dyDescent="0.25">
      <c r="K3028"/>
    </row>
    <row r="3029" spans="11:11" x14ac:dyDescent="0.25">
      <c r="K3029"/>
    </row>
    <row r="3030" spans="11:11" x14ac:dyDescent="0.25">
      <c r="K3030"/>
    </row>
    <row r="3031" spans="11:11" x14ac:dyDescent="0.25">
      <c r="K3031"/>
    </row>
    <row r="3032" spans="11:11" x14ac:dyDescent="0.25">
      <c r="K3032"/>
    </row>
    <row r="3033" spans="11:11" x14ac:dyDescent="0.25">
      <c r="K3033"/>
    </row>
    <row r="3034" spans="11:11" x14ac:dyDescent="0.25">
      <c r="K3034"/>
    </row>
    <row r="3035" spans="11:11" x14ac:dyDescent="0.25">
      <c r="K3035"/>
    </row>
    <row r="3036" spans="11:11" x14ac:dyDescent="0.25">
      <c r="K3036"/>
    </row>
    <row r="3037" spans="11:11" x14ac:dyDescent="0.25">
      <c r="K3037"/>
    </row>
    <row r="3038" spans="11:11" x14ac:dyDescent="0.25">
      <c r="K3038"/>
    </row>
    <row r="3039" spans="11:11" x14ac:dyDescent="0.25">
      <c r="K3039"/>
    </row>
    <row r="3040" spans="11:11" x14ac:dyDescent="0.25">
      <c r="K3040"/>
    </row>
    <row r="3041" spans="11:11" x14ac:dyDescent="0.25">
      <c r="K3041"/>
    </row>
    <row r="3042" spans="11:11" x14ac:dyDescent="0.25">
      <c r="K3042"/>
    </row>
    <row r="3043" spans="11:11" x14ac:dyDescent="0.25">
      <c r="K3043"/>
    </row>
    <row r="3044" spans="11:11" x14ac:dyDescent="0.25">
      <c r="K3044"/>
    </row>
    <row r="3045" spans="11:11" x14ac:dyDescent="0.25">
      <c r="K3045"/>
    </row>
    <row r="3046" spans="11:11" x14ac:dyDescent="0.25">
      <c r="K3046"/>
    </row>
    <row r="3047" spans="11:11" x14ac:dyDescent="0.25">
      <c r="K3047"/>
    </row>
    <row r="3048" spans="11:11" x14ac:dyDescent="0.25">
      <c r="K3048"/>
    </row>
    <row r="3049" spans="11:11" x14ac:dyDescent="0.25">
      <c r="K3049"/>
    </row>
    <row r="3050" spans="11:11" x14ac:dyDescent="0.25">
      <c r="K3050"/>
    </row>
    <row r="3051" spans="11:11" x14ac:dyDescent="0.25">
      <c r="K3051"/>
    </row>
    <row r="3052" spans="11:11" x14ac:dyDescent="0.25">
      <c r="K3052"/>
    </row>
    <row r="3053" spans="11:11" x14ac:dyDescent="0.25">
      <c r="K3053"/>
    </row>
    <row r="3054" spans="11:11" x14ac:dyDescent="0.25">
      <c r="K3054"/>
    </row>
    <row r="3055" spans="11:11" x14ac:dyDescent="0.25">
      <c r="K3055"/>
    </row>
    <row r="3056" spans="11:11" x14ac:dyDescent="0.25">
      <c r="K3056"/>
    </row>
    <row r="3057" spans="11:11" x14ac:dyDescent="0.25">
      <c r="K3057"/>
    </row>
    <row r="3058" spans="11:11" x14ac:dyDescent="0.25">
      <c r="K3058"/>
    </row>
    <row r="3059" spans="11:11" x14ac:dyDescent="0.25">
      <c r="K3059"/>
    </row>
    <row r="3060" spans="11:11" x14ac:dyDescent="0.25">
      <c r="K3060"/>
    </row>
    <row r="3061" spans="11:11" x14ac:dyDescent="0.25">
      <c r="K3061"/>
    </row>
    <row r="3062" spans="11:11" x14ac:dyDescent="0.25">
      <c r="K3062"/>
    </row>
    <row r="3063" spans="11:11" x14ac:dyDescent="0.25">
      <c r="K3063"/>
    </row>
    <row r="3064" spans="11:11" x14ac:dyDescent="0.25">
      <c r="K3064"/>
    </row>
    <row r="3065" spans="11:11" x14ac:dyDescent="0.25">
      <c r="K3065"/>
    </row>
    <row r="3066" spans="11:11" x14ac:dyDescent="0.25">
      <c r="K3066"/>
    </row>
    <row r="3067" spans="11:11" x14ac:dyDescent="0.25">
      <c r="K3067"/>
    </row>
    <row r="3068" spans="11:11" x14ac:dyDescent="0.25">
      <c r="K3068"/>
    </row>
    <row r="3069" spans="11:11" x14ac:dyDescent="0.25">
      <c r="K3069"/>
    </row>
    <row r="3070" spans="11:11" x14ac:dyDescent="0.25">
      <c r="K3070"/>
    </row>
    <row r="3071" spans="11:11" x14ac:dyDescent="0.25">
      <c r="K3071"/>
    </row>
    <row r="3072" spans="11:11" x14ac:dyDescent="0.25">
      <c r="K3072"/>
    </row>
    <row r="3073" spans="11:11" x14ac:dyDescent="0.25">
      <c r="K3073"/>
    </row>
    <row r="3074" spans="11:11" x14ac:dyDescent="0.25">
      <c r="K3074"/>
    </row>
    <row r="3075" spans="11:11" x14ac:dyDescent="0.25">
      <c r="K3075"/>
    </row>
    <row r="3076" spans="11:11" x14ac:dyDescent="0.25">
      <c r="K3076"/>
    </row>
    <row r="3077" spans="11:11" x14ac:dyDescent="0.25">
      <c r="K3077"/>
    </row>
    <row r="3078" spans="11:11" x14ac:dyDescent="0.25">
      <c r="K3078"/>
    </row>
    <row r="3079" spans="11:11" x14ac:dyDescent="0.25">
      <c r="K3079"/>
    </row>
    <row r="3080" spans="11:11" x14ac:dyDescent="0.25">
      <c r="K3080"/>
    </row>
    <row r="3081" spans="11:11" x14ac:dyDescent="0.25">
      <c r="K3081"/>
    </row>
    <row r="3082" spans="11:11" x14ac:dyDescent="0.25">
      <c r="K3082"/>
    </row>
    <row r="3083" spans="11:11" x14ac:dyDescent="0.25">
      <c r="K3083"/>
    </row>
    <row r="3084" spans="11:11" x14ac:dyDescent="0.25">
      <c r="K3084"/>
    </row>
    <row r="3085" spans="11:11" x14ac:dyDescent="0.25">
      <c r="K3085"/>
    </row>
    <row r="3086" spans="11:11" x14ac:dyDescent="0.25">
      <c r="K3086"/>
    </row>
    <row r="3087" spans="11:11" x14ac:dyDescent="0.25">
      <c r="K3087"/>
    </row>
    <row r="3088" spans="11:11" x14ac:dyDescent="0.25">
      <c r="K3088"/>
    </row>
    <row r="3089" spans="11:11" x14ac:dyDescent="0.25">
      <c r="K3089"/>
    </row>
    <row r="3090" spans="11:11" x14ac:dyDescent="0.25">
      <c r="K3090"/>
    </row>
    <row r="3091" spans="11:11" x14ac:dyDescent="0.25">
      <c r="K3091"/>
    </row>
    <row r="3092" spans="11:11" x14ac:dyDescent="0.25">
      <c r="K3092"/>
    </row>
    <row r="3093" spans="11:11" x14ac:dyDescent="0.25">
      <c r="K3093"/>
    </row>
    <row r="3094" spans="11:11" x14ac:dyDescent="0.25">
      <c r="K3094"/>
    </row>
    <row r="3095" spans="11:11" x14ac:dyDescent="0.25">
      <c r="K3095"/>
    </row>
    <row r="3096" spans="11:11" x14ac:dyDescent="0.25">
      <c r="K3096"/>
    </row>
    <row r="3097" spans="11:11" x14ac:dyDescent="0.25">
      <c r="K3097"/>
    </row>
    <row r="3098" spans="11:11" x14ac:dyDescent="0.25">
      <c r="K3098"/>
    </row>
    <row r="3099" spans="11:11" x14ac:dyDescent="0.25">
      <c r="K3099"/>
    </row>
    <row r="3100" spans="11:11" x14ac:dyDescent="0.25">
      <c r="K3100"/>
    </row>
    <row r="3101" spans="11:11" x14ac:dyDescent="0.25">
      <c r="K3101"/>
    </row>
    <row r="3102" spans="11:11" x14ac:dyDescent="0.25">
      <c r="K3102"/>
    </row>
    <row r="3103" spans="11:11" x14ac:dyDescent="0.25">
      <c r="K3103"/>
    </row>
    <row r="3104" spans="11:11" x14ac:dyDescent="0.25">
      <c r="K3104"/>
    </row>
    <row r="3105" spans="11:11" x14ac:dyDescent="0.25">
      <c r="K3105"/>
    </row>
    <row r="3106" spans="11:11" x14ac:dyDescent="0.25">
      <c r="K3106"/>
    </row>
    <row r="3107" spans="11:11" x14ac:dyDescent="0.25">
      <c r="K3107"/>
    </row>
    <row r="3108" spans="11:11" x14ac:dyDescent="0.25">
      <c r="K3108"/>
    </row>
    <row r="3109" spans="11:11" x14ac:dyDescent="0.25">
      <c r="K3109"/>
    </row>
    <row r="3110" spans="11:11" x14ac:dyDescent="0.25">
      <c r="K3110"/>
    </row>
    <row r="3111" spans="11:11" x14ac:dyDescent="0.25">
      <c r="K3111"/>
    </row>
    <row r="3112" spans="11:11" x14ac:dyDescent="0.25">
      <c r="K3112"/>
    </row>
    <row r="3113" spans="11:11" x14ac:dyDescent="0.25">
      <c r="K3113"/>
    </row>
    <row r="3114" spans="11:11" x14ac:dyDescent="0.25">
      <c r="K3114"/>
    </row>
    <row r="3115" spans="11:11" x14ac:dyDescent="0.25">
      <c r="K3115"/>
    </row>
    <row r="3116" spans="11:11" x14ac:dyDescent="0.25">
      <c r="K3116"/>
    </row>
    <row r="3117" spans="11:11" x14ac:dyDescent="0.25">
      <c r="K3117"/>
    </row>
    <row r="3118" spans="11:11" x14ac:dyDescent="0.25">
      <c r="K3118"/>
    </row>
    <row r="3119" spans="11:11" x14ac:dyDescent="0.25">
      <c r="K3119"/>
    </row>
    <row r="3120" spans="11:11" x14ac:dyDescent="0.25">
      <c r="K3120"/>
    </row>
    <row r="3121" spans="11:11" x14ac:dyDescent="0.25">
      <c r="K3121"/>
    </row>
    <row r="3122" spans="11:11" x14ac:dyDescent="0.25">
      <c r="K3122"/>
    </row>
    <row r="3123" spans="11:11" x14ac:dyDescent="0.25">
      <c r="K3123"/>
    </row>
    <row r="3124" spans="11:11" x14ac:dyDescent="0.25">
      <c r="K3124"/>
    </row>
    <row r="3125" spans="11:11" x14ac:dyDescent="0.25">
      <c r="K3125"/>
    </row>
    <row r="3126" spans="11:11" x14ac:dyDescent="0.25">
      <c r="K3126"/>
    </row>
    <row r="3127" spans="11:11" x14ac:dyDescent="0.25">
      <c r="K3127"/>
    </row>
    <row r="3128" spans="11:11" x14ac:dyDescent="0.25">
      <c r="K3128"/>
    </row>
    <row r="3129" spans="11:11" x14ac:dyDescent="0.25">
      <c r="K3129"/>
    </row>
    <row r="3130" spans="11:11" x14ac:dyDescent="0.25">
      <c r="K3130"/>
    </row>
    <row r="3131" spans="11:11" x14ac:dyDescent="0.25">
      <c r="K3131"/>
    </row>
    <row r="3132" spans="11:11" x14ac:dyDescent="0.25">
      <c r="K3132"/>
    </row>
    <row r="3133" spans="11:11" x14ac:dyDescent="0.25">
      <c r="K3133"/>
    </row>
    <row r="3134" spans="11:11" x14ac:dyDescent="0.25">
      <c r="K3134"/>
    </row>
    <row r="3135" spans="11:11" x14ac:dyDescent="0.25">
      <c r="K3135"/>
    </row>
    <row r="3136" spans="11:11" x14ac:dyDescent="0.25">
      <c r="K3136"/>
    </row>
    <row r="3137" spans="11:11" x14ac:dyDescent="0.25">
      <c r="K3137"/>
    </row>
    <row r="3138" spans="11:11" x14ac:dyDescent="0.25">
      <c r="K3138"/>
    </row>
    <row r="3139" spans="11:11" x14ac:dyDescent="0.25">
      <c r="K3139"/>
    </row>
    <row r="3140" spans="11:11" x14ac:dyDescent="0.25">
      <c r="K3140"/>
    </row>
    <row r="3141" spans="11:11" x14ac:dyDescent="0.25">
      <c r="K3141"/>
    </row>
    <row r="3142" spans="11:11" x14ac:dyDescent="0.25">
      <c r="K3142"/>
    </row>
    <row r="3143" spans="11:11" x14ac:dyDescent="0.25">
      <c r="K3143"/>
    </row>
    <row r="3144" spans="11:11" x14ac:dyDescent="0.25">
      <c r="K3144"/>
    </row>
    <row r="3145" spans="11:11" x14ac:dyDescent="0.25">
      <c r="K3145"/>
    </row>
    <row r="3146" spans="11:11" x14ac:dyDescent="0.25">
      <c r="K3146"/>
    </row>
    <row r="3147" spans="11:11" x14ac:dyDescent="0.25">
      <c r="K3147"/>
    </row>
    <row r="3148" spans="11:11" x14ac:dyDescent="0.25">
      <c r="K3148"/>
    </row>
    <row r="3149" spans="11:11" x14ac:dyDescent="0.25">
      <c r="K3149"/>
    </row>
    <row r="3150" spans="11:11" x14ac:dyDescent="0.25">
      <c r="K3150"/>
    </row>
    <row r="3151" spans="11:11" x14ac:dyDescent="0.25">
      <c r="K3151"/>
    </row>
    <row r="3152" spans="11:11" x14ac:dyDescent="0.25">
      <c r="K3152"/>
    </row>
    <row r="3153" spans="11:11" x14ac:dyDescent="0.25">
      <c r="K3153"/>
    </row>
    <row r="3154" spans="11:11" x14ac:dyDescent="0.25">
      <c r="K3154"/>
    </row>
    <row r="3155" spans="11:11" x14ac:dyDescent="0.25">
      <c r="K3155"/>
    </row>
    <row r="3156" spans="11:11" x14ac:dyDescent="0.25">
      <c r="K3156"/>
    </row>
    <row r="3157" spans="11:11" x14ac:dyDescent="0.25">
      <c r="K3157"/>
    </row>
    <row r="3158" spans="11:11" x14ac:dyDescent="0.25">
      <c r="K3158"/>
    </row>
    <row r="3159" spans="11:11" x14ac:dyDescent="0.25">
      <c r="K3159"/>
    </row>
    <row r="3160" spans="11:11" x14ac:dyDescent="0.25">
      <c r="K3160"/>
    </row>
    <row r="3161" spans="11:11" x14ac:dyDescent="0.25">
      <c r="K3161"/>
    </row>
    <row r="3162" spans="11:11" x14ac:dyDescent="0.25">
      <c r="K3162"/>
    </row>
    <row r="3163" spans="11:11" x14ac:dyDescent="0.25">
      <c r="K3163"/>
    </row>
    <row r="3164" spans="11:11" x14ac:dyDescent="0.25">
      <c r="K3164"/>
    </row>
    <row r="3165" spans="11:11" x14ac:dyDescent="0.25">
      <c r="K3165"/>
    </row>
    <row r="3166" spans="11:11" x14ac:dyDescent="0.25">
      <c r="K3166"/>
    </row>
    <row r="3167" spans="11:11" x14ac:dyDescent="0.25">
      <c r="K3167"/>
    </row>
    <row r="3168" spans="11:11" x14ac:dyDescent="0.25">
      <c r="K3168"/>
    </row>
    <row r="3169" spans="11:11" x14ac:dyDescent="0.25">
      <c r="K3169"/>
    </row>
    <row r="3170" spans="11:11" x14ac:dyDescent="0.25">
      <c r="K3170"/>
    </row>
    <row r="3171" spans="11:11" x14ac:dyDescent="0.25">
      <c r="K3171"/>
    </row>
    <row r="3172" spans="11:11" x14ac:dyDescent="0.25">
      <c r="K3172"/>
    </row>
    <row r="3173" spans="11:11" x14ac:dyDescent="0.25">
      <c r="K3173"/>
    </row>
    <row r="3174" spans="11:11" x14ac:dyDescent="0.25">
      <c r="K3174"/>
    </row>
    <row r="3175" spans="11:11" x14ac:dyDescent="0.25">
      <c r="K3175"/>
    </row>
    <row r="3176" spans="11:11" x14ac:dyDescent="0.25">
      <c r="K3176"/>
    </row>
    <row r="3177" spans="11:11" x14ac:dyDescent="0.25">
      <c r="K3177"/>
    </row>
    <row r="3178" spans="11:11" x14ac:dyDescent="0.25">
      <c r="K3178"/>
    </row>
    <row r="3179" spans="11:11" x14ac:dyDescent="0.25">
      <c r="K3179"/>
    </row>
    <row r="3180" spans="11:11" x14ac:dyDescent="0.25">
      <c r="K3180"/>
    </row>
    <row r="3181" spans="11:11" x14ac:dyDescent="0.25">
      <c r="K3181"/>
    </row>
    <row r="3182" spans="11:11" x14ac:dyDescent="0.25">
      <c r="K3182"/>
    </row>
    <row r="3183" spans="11:11" x14ac:dyDescent="0.25">
      <c r="K3183"/>
    </row>
    <row r="3184" spans="11:11" x14ac:dyDescent="0.25">
      <c r="K3184"/>
    </row>
    <row r="3185" spans="11:11" x14ac:dyDescent="0.25">
      <c r="K3185"/>
    </row>
    <row r="3186" spans="11:11" x14ac:dyDescent="0.25">
      <c r="K3186"/>
    </row>
    <row r="3187" spans="11:11" x14ac:dyDescent="0.25">
      <c r="K3187"/>
    </row>
    <row r="3188" spans="11:11" x14ac:dyDescent="0.25">
      <c r="K3188"/>
    </row>
    <row r="3189" spans="11:11" x14ac:dyDescent="0.25">
      <c r="K3189"/>
    </row>
    <row r="3190" spans="11:11" x14ac:dyDescent="0.25">
      <c r="K3190"/>
    </row>
    <row r="3191" spans="11:11" x14ac:dyDescent="0.25">
      <c r="K3191"/>
    </row>
    <row r="3192" spans="11:11" x14ac:dyDescent="0.25">
      <c r="K3192"/>
    </row>
    <row r="3193" spans="11:11" x14ac:dyDescent="0.25">
      <c r="K3193"/>
    </row>
    <row r="3194" spans="11:11" x14ac:dyDescent="0.25">
      <c r="K3194"/>
    </row>
    <row r="3195" spans="11:11" x14ac:dyDescent="0.25">
      <c r="K3195"/>
    </row>
    <row r="3196" spans="11:11" x14ac:dyDescent="0.25">
      <c r="K3196"/>
    </row>
    <row r="3197" spans="11:11" x14ac:dyDescent="0.25">
      <c r="K3197"/>
    </row>
    <row r="3198" spans="11:11" x14ac:dyDescent="0.25">
      <c r="K3198"/>
    </row>
    <row r="3199" spans="11:11" x14ac:dyDescent="0.25">
      <c r="K3199"/>
    </row>
    <row r="3200" spans="11:11" x14ac:dyDescent="0.25">
      <c r="K3200"/>
    </row>
    <row r="3201" spans="11:11" x14ac:dyDescent="0.25">
      <c r="K3201"/>
    </row>
    <row r="3202" spans="11:11" x14ac:dyDescent="0.25">
      <c r="K3202"/>
    </row>
    <row r="3203" spans="11:11" x14ac:dyDescent="0.25">
      <c r="K3203"/>
    </row>
    <row r="3204" spans="11:11" x14ac:dyDescent="0.25">
      <c r="K3204"/>
    </row>
    <row r="3205" spans="11:11" x14ac:dyDescent="0.25">
      <c r="K3205"/>
    </row>
    <row r="3206" spans="11:11" x14ac:dyDescent="0.25">
      <c r="K3206"/>
    </row>
    <row r="3207" spans="11:11" x14ac:dyDescent="0.25">
      <c r="K3207"/>
    </row>
    <row r="3208" spans="11:11" x14ac:dyDescent="0.25">
      <c r="K3208"/>
    </row>
    <row r="3209" spans="11:11" x14ac:dyDescent="0.25">
      <c r="K3209"/>
    </row>
    <row r="3210" spans="11:11" x14ac:dyDescent="0.25">
      <c r="K3210"/>
    </row>
    <row r="3211" spans="11:11" x14ac:dyDescent="0.25">
      <c r="K3211"/>
    </row>
    <row r="3212" spans="11:11" x14ac:dyDescent="0.25">
      <c r="K3212"/>
    </row>
    <row r="3213" spans="11:11" x14ac:dyDescent="0.25">
      <c r="K3213"/>
    </row>
    <row r="3214" spans="11:11" x14ac:dyDescent="0.25">
      <c r="K3214"/>
    </row>
    <row r="3215" spans="11:11" x14ac:dyDescent="0.25">
      <c r="K3215"/>
    </row>
    <row r="3216" spans="11:11" x14ac:dyDescent="0.25">
      <c r="K3216"/>
    </row>
    <row r="3217" spans="11:11" x14ac:dyDescent="0.25">
      <c r="K3217"/>
    </row>
    <row r="3218" spans="11:11" x14ac:dyDescent="0.25">
      <c r="K3218"/>
    </row>
    <row r="3219" spans="11:11" x14ac:dyDescent="0.25">
      <c r="K3219"/>
    </row>
    <row r="3220" spans="11:11" x14ac:dyDescent="0.25">
      <c r="K3220"/>
    </row>
    <row r="3221" spans="11:11" x14ac:dyDescent="0.25">
      <c r="K3221"/>
    </row>
    <row r="3222" spans="11:11" x14ac:dyDescent="0.25">
      <c r="K3222"/>
    </row>
    <row r="3223" spans="11:11" x14ac:dyDescent="0.25">
      <c r="K3223"/>
    </row>
    <row r="3224" spans="11:11" x14ac:dyDescent="0.25">
      <c r="K3224"/>
    </row>
    <row r="3225" spans="11:11" x14ac:dyDescent="0.25">
      <c r="K3225"/>
    </row>
    <row r="3226" spans="11:11" x14ac:dyDescent="0.25">
      <c r="K3226"/>
    </row>
    <row r="3227" spans="11:11" x14ac:dyDescent="0.25">
      <c r="K3227"/>
    </row>
    <row r="3228" spans="11:11" x14ac:dyDescent="0.25">
      <c r="K3228"/>
    </row>
    <row r="3229" spans="11:11" x14ac:dyDescent="0.25">
      <c r="K3229"/>
    </row>
    <row r="3230" spans="11:11" x14ac:dyDescent="0.25">
      <c r="K3230"/>
    </row>
    <row r="3231" spans="11:11" x14ac:dyDescent="0.25">
      <c r="K3231"/>
    </row>
    <row r="3232" spans="11:11" x14ac:dyDescent="0.25">
      <c r="K3232"/>
    </row>
    <row r="3233" spans="11:11" x14ac:dyDescent="0.25">
      <c r="K3233"/>
    </row>
    <row r="3234" spans="11:11" x14ac:dyDescent="0.25">
      <c r="K3234"/>
    </row>
    <row r="3235" spans="11:11" x14ac:dyDescent="0.25">
      <c r="K3235"/>
    </row>
    <row r="3236" spans="11:11" x14ac:dyDescent="0.25">
      <c r="K3236"/>
    </row>
    <row r="3237" spans="11:11" x14ac:dyDescent="0.25">
      <c r="K3237"/>
    </row>
    <row r="3238" spans="11:11" x14ac:dyDescent="0.25">
      <c r="K3238"/>
    </row>
    <row r="3239" spans="11:11" x14ac:dyDescent="0.25">
      <c r="K3239"/>
    </row>
    <row r="3240" spans="11:11" x14ac:dyDescent="0.25">
      <c r="K3240"/>
    </row>
    <row r="3241" spans="11:11" x14ac:dyDescent="0.25">
      <c r="K3241"/>
    </row>
    <row r="3242" spans="11:11" x14ac:dyDescent="0.25">
      <c r="K3242"/>
    </row>
    <row r="3243" spans="11:11" x14ac:dyDescent="0.25">
      <c r="K3243"/>
    </row>
    <row r="3244" spans="11:11" x14ac:dyDescent="0.25">
      <c r="K3244"/>
    </row>
    <row r="3245" spans="11:11" x14ac:dyDescent="0.25">
      <c r="K3245"/>
    </row>
    <row r="3246" spans="11:11" x14ac:dyDescent="0.25">
      <c r="K3246"/>
    </row>
    <row r="3247" spans="11:11" x14ac:dyDescent="0.25">
      <c r="K3247"/>
    </row>
    <row r="3248" spans="11:11" x14ac:dyDescent="0.25">
      <c r="K3248"/>
    </row>
    <row r="3249" spans="11:11" x14ac:dyDescent="0.25">
      <c r="K3249"/>
    </row>
    <row r="3250" spans="11:11" x14ac:dyDescent="0.25">
      <c r="K3250"/>
    </row>
    <row r="3251" spans="11:11" x14ac:dyDescent="0.25">
      <c r="K3251"/>
    </row>
    <row r="3252" spans="11:11" x14ac:dyDescent="0.25">
      <c r="K3252"/>
    </row>
    <row r="3253" spans="11:11" x14ac:dyDescent="0.25">
      <c r="K3253"/>
    </row>
    <row r="3254" spans="11:11" x14ac:dyDescent="0.25">
      <c r="K3254"/>
    </row>
    <row r="3255" spans="11:11" x14ac:dyDescent="0.25">
      <c r="K3255"/>
    </row>
    <row r="3256" spans="11:11" x14ac:dyDescent="0.25">
      <c r="K3256"/>
    </row>
    <row r="3257" spans="11:11" x14ac:dyDescent="0.25">
      <c r="K3257"/>
    </row>
    <row r="3258" spans="11:11" x14ac:dyDescent="0.25">
      <c r="K3258"/>
    </row>
    <row r="3259" spans="11:11" x14ac:dyDescent="0.25">
      <c r="K3259"/>
    </row>
    <row r="3260" spans="11:11" x14ac:dyDescent="0.25">
      <c r="K3260"/>
    </row>
    <row r="3261" spans="11:11" x14ac:dyDescent="0.25">
      <c r="K3261"/>
    </row>
    <row r="3262" spans="11:11" x14ac:dyDescent="0.25">
      <c r="K3262"/>
    </row>
    <row r="3263" spans="11:11" x14ac:dyDescent="0.25">
      <c r="K3263"/>
    </row>
    <row r="3264" spans="11:11" x14ac:dyDescent="0.25">
      <c r="K3264"/>
    </row>
    <row r="3265" spans="11:11" x14ac:dyDescent="0.25">
      <c r="K3265"/>
    </row>
    <row r="3266" spans="11:11" x14ac:dyDescent="0.25">
      <c r="K3266"/>
    </row>
    <row r="3267" spans="11:11" x14ac:dyDescent="0.25">
      <c r="K3267"/>
    </row>
    <row r="3268" spans="11:11" x14ac:dyDescent="0.25">
      <c r="K3268"/>
    </row>
    <row r="3269" spans="11:11" x14ac:dyDescent="0.25">
      <c r="K3269"/>
    </row>
    <row r="3270" spans="11:11" x14ac:dyDescent="0.25">
      <c r="K3270"/>
    </row>
    <row r="3271" spans="11:11" x14ac:dyDescent="0.25">
      <c r="K3271"/>
    </row>
    <row r="3272" spans="11:11" x14ac:dyDescent="0.25">
      <c r="K3272"/>
    </row>
    <row r="3273" spans="11:11" x14ac:dyDescent="0.25">
      <c r="K3273"/>
    </row>
    <row r="3274" spans="11:11" x14ac:dyDescent="0.25">
      <c r="K3274"/>
    </row>
    <row r="3275" spans="11:11" x14ac:dyDescent="0.25">
      <c r="K3275"/>
    </row>
    <row r="3276" spans="11:11" x14ac:dyDescent="0.25">
      <c r="K3276"/>
    </row>
    <row r="3277" spans="11:11" x14ac:dyDescent="0.25">
      <c r="K3277"/>
    </row>
    <row r="3278" spans="11:11" x14ac:dyDescent="0.25">
      <c r="K3278"/>
    </row>
    <row r="3279" spans="11:11" x14ac:dyDescent="0.25">
      <c r="K3279"/>
    </row>
    <row r="3280" spans="11:11" x14ac:dyDescent="0.25">
      <c r="K3280"/>
    </row>
    <row r="3281" spans="11:11" x14ac:dyDescent="0.25">
      <c r="K3281"/>
    </row>
    <row r="3282" spans="11:11" x14ac:dyDescent="0.25">
      <c r="K3282"/>
    </row>
    <row r="3283" spans="11:11" x14ac:dyDescent="0.25">
      <c r="K3283"/>
    </row>
    <row r="3284" spans="11:11" x14ac:dyDescent="0.25">
      <c r="K3284"/>
    </row>
    <row r="3285" spans="11:11" x14ac:dyDescent="0.25">
      <c r="K3285"/>
    </row>
    <row r="3286" spans="11:11" x14ac:dyDescent="0.25">
      <c r="K3286"/>
    </row>
    <row r="3287" spans="11:11" x14ac:dyDescent="0.25">
      <c r="K3287"/>
    </row>
    <row r="3288" spans="11:11" x14ac:dyDescent="0.25">
      <c r="K3288"/>
    </row>
    <row r="3289" spans="11:11" x14ac:dyDescent="0.25">
      <c r="K3289"/>
    </row>
    <row r="3290" spans="11:11" x14ac:dyDescent="0.25">
      <c r="K3290"/>
    </row>
    <row r="3291" spans="11:11" x14ac:dyDescent="0.25">
      <c r="K3291"/>
    </row>
    <row r="3292" spans="11:11" x14ac:dyDescent="0.25">
      <c r="K3292"/>
    </row>
    <row r="3293" spans="11:11" x14ac:dyDescent="0.25">
      <c r="K3293"/>
    </row>
    <row r="3294" spans="11:11" x14ac:dyDescent="0.25">
      <c r="K3294"/>
    </row>
    <row r="3295" spans="11:11" x14ac:dyDescent="0.25">
      <c r="K3295"/>
    </row>
    <row r="3296" spans="11:11" x14ac:dyDescent="0.25">
      <c r="K3296"/>
    </row>
    <row r="3297" spans="11:11" x14ac:dyDescent="0.25">
      <c r="K3297"/>
    </row>
    <row r="3298" spans="11:11" x14ac:dyDescent="0.25">
      <c r="K3298"/>
    </row>
    <row r="3299" spans="11:11" x14ac:dyDescent="0.25">
      <c r="K3299"/>
    </row>
    <row r="3300" spans="11:11" x14ac:dyDescent="0.25">
      <c r="K3300"/>
    </row>
    <row r="3301" spans="11:11" x14ac:dyDescent="0.25">
      <c r="K3301"/>
    </row>
    <row r="3302" spans="11:11" x14ac:dyDescent="0.25">
      <c r="K3302"/>
    </row>
    <row r="3303" spans="11:11" x14ac:dyDescent="0.25">
      <c r="K3303"/>
    </row>
    <row r="3304" spans="11:11" x14ac:dyDescent="0.25">
      <c r="K3304"/>
    </row>
    <row r="3305" spans="11:11" x14ac:dyDescent="0.25">
      <c r="K3305"/>
    </row>
    <row r="3306" spans="11:11" x14ac:dyDescent="0.25">
      <c r="K3306"/>
    </row>
    <row r="3307" spans="11:11" x14ac:dyDescent="0.25">
      <c r="K3307"/>
    </row>
    <row r="3308" spans="11:11" x14ac:dyDescent="0.25">
      <c r="K3308"/>
    </row>
    <row r="3309" spans="11:11" x14ac:dyDescent="0.25">
      <c r="K3309"/>
    </row>
    <row r="3310" spans="11:11" x14ac:dyDescent="0.25">
      <c r="K3310"/>
    </row>
    <row r="3311" spans="11:11" x14ac:dyDescent="0.25">
      <c r="K3311"/>
    </row>
    <row r="3312" spans="11:11" x14ac:dyDescent="0.25">
      <c r="K3312"/>
    </row>
    <row r="3313" spans="11:11" x14ac:dyDescent="0.25">
      <c r="K3313"/>
    </row>
    <row r="3314" spans="11:11" x14ac:dyDescent="0.25">
      <c r="K3314"/>
    </row>
    <row r="3315" spans="11:11" x14ac:dyDescent="0.25">
      <c r="K3315"/>
    </row>
    <row r="3316" spans="11:11" x14ac:dyDescent="0.25">
      <c r="K3316"/>
    </row>
    <row r="3317" spans="11:11" x14ac:dyDescent="0.25">
      <c r="K3317"/>
    </row>
    <row r="3318" spans="11:11" x14ac:dyDescent="0.25">
      <c r="K3318"/>
    </row>
    <row r="3319" spans="11:11" x14ac:dyDescent="0.25">
      <c r="K3319"/>
    </row>
    <row r="3320" spans="11:11" x14ac:dyDescent="0.25">
      <c r="K3320"/>
    </row>
    <row r="3321" spans="11:11" x14ac:dyDescent="0.25">
      <c r="K3321"/>
    </row>
    <row r="3322" spans="11:11" x14ac:dyDescent="0.25">
      <c r="K3322"/>
    </row>
    <row r="3323" spans="11:11" x14ac:dyDescent="0.25">
      <c r="K3323"/>
    </row>
    <row r="3324" spans="11:11" x14ac:dyDescent="0.25">
      <c r="K3324"/>
    </row>
    <row r="3325" spans="11:11" x14ac:dyDescent="0.25">
      <c r="K3325"/>
    </row>
    <row r="3326" spans="11:11" x14ac:dyDescent="0.25">
      <c r="K3326"/>
    </row>
    <row r="3327" spans="11:11" x14ac:dyDescent="0.25">
      <c r="K3327"/>
    </row>
    <row r="3328" spans="11:11" x14ac:dyDescent="0.25">
      <c r="K3328"/>
    </row>
    <row r="3329" spans="11:11" x14ac:dyDescent="0.25">
      <c r="K3329"/>
    </row>
    <row r="3330" spans="11:11" x14ac:dyDescent="0.25">
      <c r="K3330"/>
    </row>
    <row r="3331" spans="11:11" x14ac:dyDescent="0.25">
      <c r="K3331"/>
    </row>
    <row r="3332" spans="11:11" x14ac:dyDescent="0.25">
      <c r="K3332"/>
    </row>
    <row r="3333" spans="11:11" x14ac:dyDescent="0.25">
      <c r="K3333"/>
    </row>
    <row r="3334" spans="11:11" x14ac:dyDescent="0.25">
      <c r="K3334"/>
    </row>
    <row r="3335" spans="11:11" x14ac:dyDescent="0.25">
      <c r="K3335"/>
    </row>
    <row r="3336" spans="11:11" x14ac:dyDescent="0.25">
      <c r="K3336"/>
    </row>
    <row r="3337" spans="11:11" x14ac:dyDescent="0.25">
      <c r="K3337"/>
    </row>
    <row r="3338" spans="11:11" x14ac:dyDescent="0.25">
      <c r="K3338"/>
    </row>
    <row r="3339" spans="11:11" x14ac:dyDescent="0.25">
      <c r="K3339"/>
    </row>
    <row r="3340" spans="11:11" x14ac:dyDescent="0.25">
      <c r="K3340"/>
    </row>
    <row r="3341" spans="11:11" x14ac:dyDescent="0.25">
      <c r="K3341"/>
    </row>
    <row r="3342" spans="11:11" x14ac:dyDescent="0.25">
      <c r="K3342"/>
    </row>
    <row r="3343" spans="11:11" x14ac:dyDescent="0.25">
      <c r="K3343"/>
    </row>
    <row r="3344" spans="11:11" x14ac:dyDescent="0.25">
      <c r="K3344"/>
    </row>
    <row r="3345" spans="11:11" x14ac:dyDescent="0.25">
      <c r="K3345"/>
    </row>
    <row r="3346" spans="11:11" x14ac:dyDescent="0.25">
      <c r="K3346"/>
    </row>
    <row r="3347" spans="11:11" x14ac:dyDescent="0.25">
      <c r="K3347"/>
    </row>
    <row r="3348" spans="11:11" x14ac:dyDescent="0.25">
      <c r="K3348"/>
    </row>
    <row r="3349" spans="11:11" x14ac:dyDescent="0.25">
      <c r="K3349"/>
    </row>
    <row r="3350" spans="11:11" x14ac:dyDescent="0.25">
      <c r="K3350"/>
    </row>
    <row r="3351" spans="11:11" x14ac:dyDescent="0.25">
      <c r="K3351"/>
    </row>
    <row r="3352" spans="11:11" x14ac:dyDescent="0.25">
      <c r="K3352"/>
    </row>
    <row r="3353" spans="11:11" x14ac:dyDescent="0.25">
      <c r="K3353"/>
    </row>
    <row r="3354" spans="11:11" x14ac:dyDescent="0.25">
      <c r="K3354"/>
    </row>
    <row r="3355" spans="11:11" x14ac:dyDescent="0.25">
      <c r="K3355"/>
    </row>
    <row r="3356" spans="11:11" x14ac:dyDescent="0.25">
      <c r="K3356"/>
    </row>
    <row r="3357" spans="11:11" x14ac:dyDescent="0.25">
      <c r="K3357"/>
    </row>
    <row r="3358" spans="11:11" x14ac:dyDescent="0.25">
      <c r="K3358"/>
    </row>
    <row r="3359" spans="11:11" x14ac:dyDescent="0.25">
      <c r="K3359"/>
    </row>
    <row r="3360" spans="11:11" x14ac:dyDescent="0.25">
      <c r="K3360"/>
    </row>
    <row r="3361" spans="11:11" x14ac:dyDescent="0.25">
      <c r="K3361"/>
    </row>
    <row r="3362" spans="11:11" x14ac:dyDescent="0.25">
      <c r="K3362"/>
    </row>
    <row r="3363" spans="11:11" x14ac:dyDescent="0.25">
      <c r="K3363"/>
    </row>
    <row r="3364" spans="11:11" x14ac:dyDescent="0.25">
      <c r="K3364"/>
    </row>
    <row r="3365" spans="11:11" x14ac:dyDescent="0.25">
      <c r="K3365"/>
    </row>
    <row r="3366" spans="11:11" x14ac:dyDescent="0.25">
      <c r="K3366"/>
    </row>
    <row r="3367" spans="11:11" x14ac:dyDescent="0.25">
      <c r="K3367"/>
    </row>
    <row r="3368" spans="11:11" x14ac:dyDescent="0.25">
      <c r="K3368"/>
    </row>
    <row r="3369" spans="11:11" x14ac:dyDescent="0.25">
      <c r="K3369"/>
    </row>
    <row r="3370" spans="11:11" x14ac:dyDescent="0.25">
      <c r="K3370"/>
    </row>
    <row r="3371" spans="11:11" x14ac:dyDescent="0.25">
      <c r="K3371"/>
    </row>
    <row r="3372" spans="11:11" x14ac:dyDescent="0.25">
      <c r="K3372"/>
    </row>
    <row r="3373" spans="11:11" x14ac:dyDescent="0.25">
      <c r="K3373"/>
    </row>
    <row r="3374" spans="11:11" x14ac:dyDescent="0.25">
      <c r="K3374"/>
    </row>
    <row r="3375" spans="11:11" x14ac:dyDescent="0.25">
      <c r="K3375"/>
    </row>
    <row r="3376" spans="11:11" x14ac:dyDescent="0.25">
      <c r="K3376"/>
    </row>
    <row r="3377" spans="11:11" x14ac:dyDescent="0.25">
      <c r="K3377"/>
    </row>
    <row r="3378" spans="11:11" x14ac:dyDescent="0.25">
      <c r="K3378"/>
    </row>
    <row r="3379" spans="11:11" x14ac:dyDescent="0.25">
      <c r="K3379"/>
    </row>
    <row r="3380" spans="11:11" x14ac:dyDescent="0.25">
      <c r="K3380"/>
    </row>
    <row r="3381" spans="11:11" x14ac:dyDescent="0.25">
      <c r="K3381"/>
    </row>
    <row r="3382" spans="11:11" x14ac:dyDescent="0.25">
      <c r="K3382"/>
    </row>
    <row r="3383" spans="11:11" x14ac:dyDescent="0.25">
      <c r="K3383"/>
    </row>
    <row r="3384" spans="11:11" x14ac:dyDescent="0.25">
      <c r="K3384"/>
    </row>
    <row r="3385" spans="11:11" x14ac:dyDescent="0.25">
      <c r="K3385"/>
    </row>
    <row r="3386" spans="11:11" x14ac:dyDescent="0.25">
      <c r="K3386"/>
    </row>
    <row r="3387" spans="11:11" x14ac:dyDescent="0.25">
      <c r="K3387"/>
    </row>
    <row r="3388" spans="11:11" x14ac:dyDescent="0.25">
      <c r="K3388"/>
    </row>
    <row r="3389" spans="11:11" x14ac:dyDescent="0.25">
      <c r="K3389"/>
    </row>
    <row r="3390" spans="11:11" x14ac:dyDescent="0.25">
      <c r="K3390"/>
    </row>
    <row r="3391" spans="11:11" x14ac:dyDescent="0.25">
      <c r="K3391"/>
    </row>
    <row r="3392" spans="11:11" x14ac:dyDescent="0.25">
      <c r="K3392"/>
    </row>
    <row r="3393" spans="11:11" x14ac:dyDescent="0.25">
      <c r="K3393"/>
    </row>
    <row r="3394" spans="11:11" x14ac:dyDescent="0.25">
      <c r="K3394"/>
    </row>
    <row r="3395" spans="11:11" x14ac:dyDescent="0.25">
      <c r="K3395"/>
    </row>
    <row r="3396" spans="11:11" x14ac:dyDescent="0.25">
      <c r="K3396"/>
    </row>
    <row r="3397" spans="11:11" x14ac:dyDescent="0.25">
      <c r="K3397"/>
    </row>
    <row r="3398" spans="11:11" x14ac:dyDescent="0.25">
      <c r="K3398"/>
    </row>
    <row r="3399" spans="11:11" x14ac:dyDescent="0.25">
      <c r="K3399"/>
    </row>
    <row r="3400" spans="11:11" x14ac:dyDescent="0.25">
      <c r="K3400"/>
    </row>
    <row r="3401" spans="11:11" x14ac:dyDescent="0.25">
      <c r="K3401"/>
    </row>
    <row r="3402" spans="11:11" x14ac:dyDescent="0.25">
      <c r="K3402"/>
    </row>
    <row r="3403" spans="11:11" x14ac:dyDescent="0.25">
      <c r="K3403"/>
    </row>
    <row r="3404" spans="11:11" x14ac:dyDescent="0.25">
      <c r="K3404"/>
    </row>
    <row r="3405" spans="11:11" x14ac:dyDescent="0.25">
      <c r="K3405"/>
    </row>
    <row r="3406" spans="11:11" x14ac:dyDescent="0.25">
      <c r="K3406"/>
    </row>
    <row r="3407" spans="11:11" x14ac:dyDescent="0.25">
      <c r="K3407"/>
    </row>
    <row r="3408" spans="11:11" x14ac:dyDescent="0.25">
      <c r="K3408"/>
    </row>
    <row r="3409" spans="11:11" x14ac:dyDescent="0.25">
      <c r="K3409"/>
    </row>
    <row r="3410" spans="11:11" x14ac:dyDescent="0.25">
      <c r="K3410"/>
    </row>
    <row r="3411" spans="11:11" x14ac:dyDescent="0.25">
      <c r="K3411"/>
    </row>
    <row r="3412" spans="11:11" x14ac:dyDescent="0.25">
      <c r="K3412"/>
    </row>
    <row r="3413" spans="11:11" x14ac:dyDescent="0.25">
      <c r="K3413"/>
    </row>
    <row r="3414" spans="11:11" x14ac:dyDescent="0.25">
      <c r="K3414"/>
    </row>
    <row r="3415" spans="11:11" x14ac:dyDescent="0.25">
      <c r="K3415"/>
    </row>
    <row r="3416" spans="11:11" x14ac:dyDescent="0.25">
      <c r="K3416"/>
    </row>
    <row r="3417" spans="11:11" x14ac:dyDescent="0.25">
      <c r="K3417"/>
    </row>
    <row r="3418" spans="11:11" x14ac:dyDescent="0.25">
      <c r="K3418"/>
    </row>
    <row r="3419" spans="11:11" x14ac:dyDescent="0.25">
      <c r="K3419"/>
    </row>
    <row r="3420" spans="11:11" x14ac:dyDescent="0.25">
      <c r="K3420"/>
    </row>
    <row r="3421" spans="11:11" x14ac:dyDescent="0.25">
      <c r="K3421"/>
    </row>
    <row r="3422" spans="11:11" x14ac:dyDescent="0.25">
      <c r="K3422"/>
    </row>
    <row r="3423" spans="11:11" x14ac:dyDescent="0.25">
      <c r="K3423"/>
    </row>
    <row r="3424" spans="11:11" x14ac:dyDescent="0.25">
      <c r="K3424"/>
    </row>
    <row r="3425" spans="11:11" x14ac:dyDescent="0.25">
      <c r="K3425"/>
    </row>
    <row r="3426" spans="11:11" x14ac:dyDescent="0.25">
      <c r="K3426"/>
    </row>
    <row r="3427" spans="11:11" x14ac:dyDescent="0.25">
      <c r="K3427"/>
    </row>
    <row r="3428" spans="11:11" x14ac:dyDescent="0.25">
      <c r="K3428"/>
    </row>
    <row r="3429" spans="11:11" x14ac:dyDescent="0.25">
      <c r="K3429"/>
    </row>
    <row r="3430" spans="11:11" x14ac:dyDescent="0.25">
      <c r="K3430"/>
    </row>
    <row r="3431" spans="11:11" x14ac:dyDescent="0.25">
      <c r="K3431"/>
    </row>
    <row r="3432" spans="11:11" x14ac:dyDescent="0.25">
      <c r="K3432"/>
    </row>
    <row r="3433" spans="11:11" x14ac:dyDescent="0.25">
      <c r="K3433"/>
    </row>
    <row r="3434" spans="11:11" x14ac:dyDescent="0.25">
      <c r="K3434"/>
    </row>
    <row r="3435" spans="11:11" x14ac:dyDescent="0.25">
      <c r="K3435"/>
    </row>
    <row r="3436" spans="11:11" x14ac:dyDescent="0.25">
      <c r="K3436"/>
    </row>
    <row r="3437" spans="11:11" x14ac:dyDescent="0.25">
      <c r="K3437"/>
    </row>
    <row r="3438" spans="11:11" x14ac:dyDescent="0.25">
      <c r="K3438"/>
    </row>
    <row r="3439" spans="11:11" x14ac:dyDescent="0.25">
      <c r="K3439"/>
    </row>
    <row r="3440" spans="11:11" x14ac:dyDescent="0.25">
      <c r="K3440"/>
    </row>
    <row r="3441" spans="11:11" x14ac:dyDescent="0.25">
      <c r="K3441"/>
    </row>
    <row r="3442" spans="11:11" x14ac:dyDescent="0.25">
      <c r="K3442"/>
    </row>
    <row r="3443" spans="11:11" x14ac:dyDescent="0.25">
      <c r="K3443"/>
    </row>
    <row r="3444" spans="11:11" x14ac:dyDescent="0.25">
      <c r="K3444"/>
    </row>
    <row r="3445" spans="11:11" x14ac:dyDescent="0.25">
      <c r="K3445"/>
    </row>
    <row r="3446" spans="11:11" x14ac:dyDescent="0.25">
      <c r="K3446"/>
    </row>
    <row r="3447" spans="11:11" x14ac:dyDescent="0.25">
      <c r="K3447"/>
    </row>
    <row r="3448" spans="11:11" x14ac:dyDescent="0.25">
      <c r="K3448"/>
    </row>
    <row r="3449" spans="11:11" x14ac:dyDescent="0.25">
      <c r="K3449"/>
    </row>
    <row r="3450" spans="11:11" x14ac:dyDescent="0.25">
      <c r="K3450"/>
    </row>
    <row r="3451" spans="11:11" x14ac:dyDescent="0.25">
      <c r="K3451"/>
    </row>
    <row r="3452" spans="11:11" x14ac:dyDescent="0.25">
      <c r="K3452"/>
    </row>
    <row r="3453" spans="11:11" x14ac:dyDescent="0.25">
      <c r="K3453"/>
    </row>
    <row r="3454" spans="11:11" x14ac:dyDescent="0.25">
      <c r="K3454"/>
    </row>
    <row r="3455" spans="11:11" x14ac:dyDescent="0.25">
      <c r="K3455"/>
    </row>
    <row r="3456" spans="11:11" x14ac:dyDescent="0.25">
      <c r="K3456"/>
    </row>
    <row r="3457" spans="11:11" x14ac:dyDescent="0.25">
      <c r="K3457"/>
    </row>
    <row r="3458" spans="11:11" x14ac:dyDescent="0.25">
      <c r="K3458"/>
    </row>
    <row r="3459" spans="11:11" x14ac:dyDescent="0.25">
      <c r="K3459"/>
    </row>
    <row r="3460" spans="11:11" x14ac:dyDescent="0.25">
      <c r="K3460"/>
    </row>
    <row r="3461" spans="11:11" x14ac:dyDescent="0.25">
      <c r="K3461"/>
    </row>
    <row r="3462" spans="11:11" x14ac:dyDescent="0.25">
      <c r="K3462"/>
    </row>
    <row r="3463" spans="11:11" x14ac:dyDescent="0.25">
      <c r="K3463"/>
    </row>
    <row r="3464" spans="11:11" x14ac:dyDescent="0.25">
      <c r="K3464"/>
    </row>
    <row r="3465" spans="11:11" x14ac:dyDescent="0.25">
      <c r="K3465"/>
    </row>
    <row r="3466" spans="11:11" x14ac:dyDescent="0.25">
      <c r="K3466"/>
    </row>
    <row r="3467" spans="11:11" x14ac:dyDescent="0.25">
      <c r="K3467"/>
    </row>
    <row r="3468" spans="11:11" x14ac:dyDescent="0.25">
      <c r="K3468"/>
    </row>
    <row r="3469" spans="11:11" x14ac:dyDescent="0.25">
      <c r="K3469"/>
    </row>
    <row r="3470" spans="11:11" x14ac:dyDescent="0.25">
      <c r="K3470"/>
    </row>
    <row r="3471" spans="11:11" x14ac:dyDescent="0.25">
      <c r="K3471"/>
    </row>
    <row r="3472" spans="11:11" x14ac:dyDescent="0.25">
      <c r="K3472"/>
    </row>
    <row r="3473" spans="11:11" x14ac:dyDescent="0.25">
      <c r="K3473"/>
    </row>
    <row r="3474" spans="11:11" x14ac:dyDescent="0.25">
      <c r="K3474"/>
    </row>
    <row r="3475" spans="11:11" x14ac:dyDescent="0.25">
      <c r="K3475"/>
    </row>
    <row r="3476" spans="11:11" x14ac:dyDescent="0.25">
      <c r="K3476"/>
    </row>
    <row r="3477" spans="11:11" x14ac:dyDescent="0.25">
      <c r="K3477"/>
    </row>
    <row r="3478" spans="11:11" x14ac:dyDescent="0.25">
      <c r="K3478"/>
    </row>
    <row r="3479" spans="11:11" x14ac:dyDescent="0.25">
      <c r="K3479"/>
    </row>
    <row r="3480" spans="11:11" x14ac:dyDescent="0.25">
      <c r="K3480"/>
    </row>
    <row r="3481" spans="11:11" x14ac:dyDescent="0.25">
      <c r="K3481"/>
    </row>
    <row r="3482" spans="11:11" x14ac:dyDescent="0.25">
      <c r="K3482"/>
    </row>
    <row r="3483" spans="11:11" x14ac:dyDescent="0.25">
      <c r="K3483"/>
    </row>
    <row r="3484" spans="11:11" x14ac:dyDescent="0.25">
      <c r="K3484"/>
    </row>
    <row r="3485" spans="11:11" x14ac:dyDescent="0.25">
      <c r="K3485"/>
    </row>
    <row r="3486" spans="11:11" x14ac:dyDescent="0.25">
      <c r="K3486"/>
    </row>
    <row r="3487" spans="11:11" x14ac:dyDescent="0.25">
      <c r="K3487"/>
    </row>
    <row r="3488" spans="11:11" x14ac:dyDescent="0.25">
      <c r="K3488"/>
    </row>
    <row r="3489" spans="11:11" x14ac:dyDescent="0.25">
      <c r="K3489"/>
    </row>
    <row r="3490" spans="11:11" x14ac:dyDescent="0.25">
      <c r="K3490"/>
    </row>
    <row r="3491" spans="11:11" x14ac:dyDescent="0.25">
      <c r="K3491"/>
    </row>
    <row r="3492" spans="11:11" x14ac:dyDescent="0.25">
      <c r="K3492"/>
    </row>
    <row r="3493" spans="11:11" x14ac:dyDescent="0.25">
      <c r="K3493"/>
    </row>
    <row r="3494" spans="11:11" x14ac:dyDescent="0.25">
      <c r="K3494"/>
    </row>
    <row r="3495" spans="11:11" x14ac:dyDescent="0.25">
      <c r="K3495"/>
    </row>
    <row r="3496" spans="11:11" x14ac:dyDescent="0.25">
      <c r="K3496"/>
    </row>
    <row r="3497" spans="11:11" x14ac:dyDescent="0.25">
      <c r="K3497"/>
    </row>
    <row r="3498" spans="11:11" x14ac:dyDescent="0.25">
      <c r="K3498"/>
    </row>
    <row r="3499" spans="11:11" x14ac:dyDescent="0.25">
      <c r="K3499"/>
    </row>
    <row r="3500" spans="11:11" x14ac:dyDescent="0.25">
      <c r="K3500"/>
    </row>
    <row r="3501" spans="11:11" x14ac:dyDescent="0.25">
      <c r="K3501"/>
    </row>
    <row r="3502" spans="11:11" x14ac:dyDescent="0.25">
      <c r="K3502"/>
    </row>
    <row r="3503" spans="11:11" x14ac:dyDescent="0.25">
      <c r="K3503"/>
    </row>
    <row r="3504" spans="11:11" x14ac:dyDescent="0.25">
      <c r="K3504"/>
    </row>
    <row r="3505" spans="11:11" x14ac:dyDescent="0.25">
      <c r="K3505"/>
    </row>
    <row r="3506" spans="11:11" x14ac:dyDescent="0.25">
      <c r="K3506"/>
    </row>
    <row r="3507" spans="11:11" x14ac:dyDescent="0.25">
      <c r="K3507"/>
    </row>
    <row r="3508" spans="11:11" x14ac:dyDescent="0.25">
      <c r="K3508"/>
    </row>
    <row r="3509" spans="11:11" x14ac:dyDescent="0.25">
      <c r="K3509"/>
    </row>
    <row r="3510" spans="11:11" x14ac:dyDescent="0.25">
      <c r="K3510"/>
    </row>
    <row r="3511" spans="11:11" x14ac:dyDescent="0.25">
      <c r="K3511"/>
    </row>
    <row r="3512" spans="11:11" x14ac:dyDescent="0.25">
      <c r="K3512"/>
    </row>
    <row r="3513" spans="11:11" x14ac:dyDescent="0.25">
      <c r="K3513"/>
    </row>
    <row r="3514" spans="11:11" x14ac:dyDescent="0.25">
      <c r="K3514"/>
    </row>
    <row r="3515" spans="11:11" x14ac:dyDescent="0.25">
      <c r="K3515"/>
    </row>
    <row r="3516" spans="11:11" x14ac:dyDescent="0.25">
      <c r="K3516"/>
    </row>
    <row r="3517" spans="11:11" x14ac:dyDescent="0.25">
      <c r="K3517"/>
    </row>
    <row r="3518" spans="11:11" x14ac:dyDescent="0.25">
      <c r="K3518"/>
    </row>
    <row r="3519" spans="11:11" x14ac:dyDescent="0.25">
      <c r="K3519"/>
    </row>
    <row r="3520" spans="11:11" x14ac:dyDescent="0.25">
      <c r="K3520"/>
    </row>
    <row r="3521" spans="11:11" x14ac:dyDescent="0.25">
      <c r="K3521"/>
    </row>
    <row r="3522" spans="11:11" x14ac:dyDescent="0.25">
      <c r="K3522"/>
    </row>
    <row r="3523" spans="11:11" x14ac:dyDescent="0.25">
      <c r="K3523"/>
    </row>
    <row r="3524" spans="11:11" x14ac:dyDescent="0.25">
      <c r="K3524"/>
    </row>
    <row r="3525" spans="11:11" x14ac:dyDescent="0.25">
      <c r="K3525"/>
    </row>
    <row r="3526" spans="11:11" x14ac:dyDescent="0.25">
      <c r="K3526"/>
    </row>
    <row r="3527" spans="11:11" x14ac:dyDescent="0.25">
      <c r="K3527"/>
    </row>
    <row r="3528" spans="11:11" x14ac:dyDescent="0.25">
      <c r="K3528"/>
    </row>
    <row r="3529" spans="11:11" x14ac:dyDescent="0.25">
      <c r="K3529"/>
    </row>
    <row r="3530" spans="11:11" x14ac:dyDescent="0.25">
      <c r="K3530"/>
    </row>
    <row r="3531" spans="11:11" x14ac:dyDescent="0.25">
      <c r="K3531"/>
    </row>
    <row r="3532" spans="11:11" x14ac:dyDescent="0.25">
      <c r="K3532"/>
    </row>
    <row r="3533" spans="11:11" x14ac:dyDescent="0.25">
      <c r="K3533"/>
    </row>
    <row r="3534" spans="11:11" x14ac:dyDescent="0.25">
      <c r="K3534"/>
    </row>
    <row r="3535" spans="11:11" x14ac:dyDescent="0.25">
      <c r="K3535"/>
    </row>
    <row r="3536" spans="11:11" x14ac:dyDescent="0.25">
      <c r="K3536"/>
    </row>
    <row r="3537" spans="11:11" x14ac:dyDescent="0.25">
      <c r="K3537"/>
    </row>
    <row r="3538" spans="11:11" x14ac:dyDescent="0.25">
      <c r="K3538"/>
    </row>
    <row r="3539" spans="11:11" x14ac:dyDescent="0.25">
      <c r="K3539"/>
    </row>
    <row r="3540" spans="11:11" x14ac:dyDescent="0.25">
      <c r="K3540"/>
    </row>
    <row r="3541" spans="11:11" x14ac:dyDescent="0.25">
      <c r="K3541"/>
    </row>
    <row r="3542" spans="11:11" x14ac:dyDescent="0.25">
      <c r="K3542"/>
    </row>
    <row r="3543" spans="11:11" x14ac:dyDescent="0.25">
      <c r="K3543"/>
    </row>
    <row r="3544" spans="11:11" x14ac:dyDescent="0.25">
      <c r="K3544"/>
    </row>
    <row r="3545" spans="11:11" x14ac:dyDescent="0.25">
      <c r="K3545"/>
    </row>
    <row r="3546" spans="11:11" x14ac:dyDescent="0.25">
      <c r="K3546"/>
    </row>
    <row r="3547" spans="11:11" x14ac:dyDescent="0.25">
      <c r="K3547"/>
    </row>
    <row r="3548" spans="11:11" x14ac:dyDescent="0.25">
      <c r="K3548"/>
    </row>
    <row r="3549" spans="11:11" x14ac:dyDescent="0.25">
      <c r="K3549"/>
    </row>
    <row r="3550" spans="11:11" x14ac:dyDescent="0.25">
      <c r="K3550"/>
    </row>
    <row r="3551" spans="11:11" x14ac:dyDescent="0.25">
      <c r="K3551"/>
    </row>
    <row r="3552" spans="11:11" x14ac:dyDescent="0.25">
      <c r="K3552"/>
    </row>
    <row r="3553" spans="11:11" x14ac:dyDescent="0.25">
      <c r="K3553"/>
    </row>
    <row r="3554" spans="11:11" x14ac:dyDescent="0.25">
      <c r="K3554"/>
    </row>
    <row r="3555" spans="11:11" x14ac:dyDescent="0.25">
      <c r="K3555"/>
    </row>
    <row r="3556" spans="11:11" x14ac:dyDescent="0.25">
      <c r="K3556"/>
    </row>
    <row r="3557" spans="11:11" x14ac:dyDescent="0.25">
      <c r="K3557"/>
    </row>
    <row r="3558" spans="11:11" x14ac:dyDescent="0.25">
      <c r="K3558"/>
    </row>
    <row r="3559" spans="11:11" x14ac:dyDescent="0.25">
      <c r="K3559"/>
    </row>
    <row r="3560" spans="11:11" x14ac:dyDescent="0.25">
      <c r="K3560"/>
    </row>
    <row r="3561" spans="11:11" x14ac:dyDescent="0.25">
      <c r="K3561"/>
    </row>
    <row r="3562" spans="11:11" x14ac:dyDescent="0.25">
      <c r="K3562"/>
    </row>
    <row r="3563" spans="11:11" x14ac:dyDescent="0.25">
      <c r="K3563"/>
    </row>
    <row r="3564" spans="11:11" x14ac:dyDescent="0.25">
      <c r="K3564"/>
    </row>
    <row r="3565" spans="11:11" x14ac:dyDescent="0.25">
      <c r="K3565"/>
    </row>
    <row r="3566" spans="11:11" x14ac:dyDescent="0.25">
      <c r="K3566"/>
    </row>
    <row r="3567" spans="11:11" x14ac:dyDescent="0.25">
      <c r="K3567"/>
    </row>
    <row r="3568" spans="11:11" x14ac:dyDescent="0.25">
      <c r="K3568"/>
    </row>
    <row r="3569" spans="11:11" x14ac:dyDescent="0.25">
      <c r="K3569"/>
    </row>
    <row r="3570" spans="11:11" x14ac:dyDescent="0.25">
      <c r="K3570"/>
    </row>
    <row r="3571" spans="11:11" x14ac:dyDescent="0.25">
      <c r="K3571"/>
    </row>
    <row r="3572" spans="11:11" x14ac:dyDescent="0.25">
      <c r="K3572"/>
    </row>
    <row r="3573" spans="11:11" x14ac:dyDescent="0.25">
      <c r="K3573"/>
    </row>
    <row r="3574" spans="11:11" x14ac:dyDescent="0.25">
      <c r="K3574"/>
    </row>
    <row r="3575" spans="11:11" x14ac:dyDescent="0.25">
      <c r="K3575"/>
    </row>
    <row r="3576" spans="11:11" x14ac:dyDescent="0.25">
      <c r="K3576"/>
    </row>
    <row r="3577" spans="11:11" x14ac:dyDescent="0.25">
      <c r="K3577"/>
    </row>
    <row r="3578" spans="11:11" x14ac:dyDescent="0.25">
      <c r="K3578"/>
    </row>
    <row r="3579" spans="11:11" x14ac:dyDescent="0.25">
      <c r="K3579"/>
    </row>
    <row r="3580" spans="11:11" x14ac:dyDescent="0.25">
      <c r="K3580"/>
    </row>
    <row r="3581" spans="11:11" x14ac:dyDescent="0.25">
      <c r="K3581"/>
    </row>
    <row r="3582" spans="11:11" x14ac:dyDescent="0.25">
      <c r="K3582"/>
    </row>
    <row r="3583" spans="11:11" x14ac:dyDescent="0.25">
      <c r="K3583"/>
    </row>
    <row r="3584" spans="11:11" x14ac:dyDescent="0.25">
      <c r="K3584"/>
    </row>
    <row r="3585" spans="11:11" x14ac:dyDescent="0.25">
      <c r="K3585"/>
    </row>
    <row r="3586" spans="11:11" x14ac:dyDescent="0.25">
      <c r="K3586"/>
    </row>
    <row r="3587" spans="11:11" x14ac:dyDescent="0.25">
      <c r="K3587"/>
    </row>
    <row r="3588" spans="11:11" x14ac:dyDescent="0.25">
      <c r="K3588"/>
    </row>
    <row r="3589" spans="11:11" x14ac:dyDescent="0.25">
      <c r="K3589"/>
    </row>
    <row r="3590" spans="11:11" x14ac:dyDescent="0.25">
      <c r="K3590"/>
    </row>
    <row r="3591" spans="11:11" x14ac:dyDescent="0.25">
      <c r="K3591"/>
    </row>
    <row r="3592" spans="11:11" x14ac:dyDescent="0.25">
      <c r="K3592"/>
    </row>
    <row r="3593" spans="11:11" x14ac:dyDescent="0.25">
      <c r="K3593"/>
    </row>
    <row r="3594" spans="11:11" x14ac:dyDescent="0.25">
      <c r="K3594"/>
    </row>
    <row r="3595" spans="11:11" x14ac:dyDescent="0.25">
      <c r="K3595"/>
    </row>
    <row r="3596" spans="11:11" x14ac:dyDescent="0.25">
      <c r="K3596"/>
    </row>
    <row r="3597" spans="11:11" x14ac:dyDescent="0.25">
      <c r="K3597"/>
    </row>
    <row r="3598" spans="11:11" x14ac:dyDescent="0.25">
      <c r="K3598"/>
    </row>
    <row r="3599" spans="11:11" x14ac:dyDescent="0.25">
      <c r="K3599"/>
    </row>
    <row r="3600" spans="11:11" x14ac:dyDescent="0.25">
      <c r="K3600"/>
    </row>
    <row r="3601" spans="11:11" x14ac:dyDescent="0.25">
      <c r="K3601"/>
    </row>
    <row r="3602" spans="11:11" x14ac:dyDescent="0.25">
      <c r="K3602"/>
    </row>
    <row r="3603" spans="11:11" x14ac:dyDescent="0.25">
      <c r="K3603"/>
    </row>
    <row r="3604" spans="11:11" x14ac:dyDescent="0.25">
      <c r="K3604"/>
    </row>
    <row r="3605" spans="11:11" x14ac:dyDescent="0.25">
      <c r="K3605"/>
    </row>
    <row r="3606" spans="11:11" x14ac:dyDescent="0.25">
      <c r="K3606"/>
    </row>
    <row r="3607" spans="11:11" x14ac:dyDescent="0.25">
      <c r="K3607"/>
    </row>
    <row r="3608" spans="11:11" x14ac:dyDescent="0.25">
      <c r="K3608"/>
    </row>
    <row r="3609" spans="11:11" x14ac:dyDescent="0.25">
      <c r="K3609"/>
    </row>
    <row r="3610" spans="11:11" x14ac:dyDescent="0.25">
      <c r="K3610"/>
    </row>
    <row r="3611" spans="11:11" x14ac:dyDescent="0.25">
      <c r="K3611"/>
    </row>
    <row r="3612" spans="11:11" x14ac:dyDescent="0.25">
      <c r="K3612"/>
    </row>
    <row r="3613" spans="11:11" x14ac:dyDescent="0.25">
      <c r="K3613"/>
    </row>
    <row r="3614" spans="11:11" x14ac:dyDescent="0.25">
      <c r="K3614"/>
    </row>
    <row r="3615" spans="11:11" x14ac:dyDescent="0.25">
      <c r="K3615"/>
    </row>
    <row r="3616" spans="11:11" x14ac:dyDescent="0.25">
      <c r="K3616"/>
    </row>
    <row r="3617" spans="11:11" x14ac:dyDescent="0.25">
      <c r="K3617"/>
    </row>
    <row r="3618" spans="11:11" x14ac:dyDescent="0.25">
      <c r="K3618"/>
    </row>
    <row r="3619" spans="11:11" x14ac:dyDescent="0.25">
      <c r="K3619"/>
    </row>
    <row r="3620" spans="11:11" x14ac:dyDescent="0.25">
      <c r="K3620"/>
    </row>
    <row r="3621" spans="11:11" x14ac:dyDescent="0.25">
      <c r="K3621"/>
    </row>
    <row r="3622" spans="11:11" x14ac:dyDescent="0.25">
      <c r="K3622"/>
    </row>
    <row r="3623" spans="11:11" x14ac:dyDescent="0.25">
      <c r="K3623"/>
    </row>
    <row r="3624" spans="11:11" x14ac:dyDescent="0.25">
      <c r="K3624"/>
    </row>
    <row r="3625" spans="11:11" x14ac:dyDescent="0.25">
      <c r="K3625"/>
    </row>
    <row r="3626" spans="11:11" x14ac:dyDescent="0.25">
      <c r="K3626"/>
    </row>
    <row r="3627" spans="11:11" x14ac:dyDescent="0.25">
      <c r="K3627"/>
    </row>
    <row r="3628" spans="11:11" x14ac:dyDescent="0.25">
      <c r="K3628"/>
    </row>
    <row r="3629" spans="11:11" x14ac:dyDescent="0.25">
      <c r="K3629"/>
    </row>
    <row r="3630" spans="11:11" x14ac:dyDescent="0.25">
      <c r="K3630"/>
    </row>
    <row r="3631" spans="11:11" x14ac:dyDescent="0.25">
      <c r="K3631"/>
    </row>
    <row r="3632" spans="11:11" x14ac:dyDescent="0.25">
      <c r="K3632"/>
    </row>
    <row r="3633" spans="11:11" x14ac:dyDescent="0.25">
      <c r="K3633"/>
    </row>
    <row r="3634" spans="11:11" x14ac:dyDescent="0.25">
      <c r="K3634"/>
    </row>
    <row r="3635" spans="11:11" x14ac:dyDescent="0.25">
      <c r="K3635"/>
    </row>
    <row r="3636" spans="11:11" x14ac:dyDescent="0.25">
      <c r="K3636"/>
    </row>
    <row r="3637" spans="11:11" x14ac:dyDescent="0.25">
      <c r="K3637"/>
    </row>
    <row r="3638" spans="11:11" x14ac:dyDescent="0.25">
      <c r="K3638"/>
    </row>
    <row r="3639" spans="11:11" x14ac:dyDescent="0.25">
      <c r="K3639"/>
    </row>
    <row r="3640" spans="11:11" x14ac:dyDescent="0.25">
      <c r="K3640"/>
    </row>
    <row r="3641" spans="11:11" x14ac:dyDescent="0.25">
      <c r="K3641"/>
    </row>
    <row r="3642" spans="11:11" x14ac:dyDescent="0.25">
      <c r="K3642"/>
    </row>
    <row r="3643" spans="11:11" x14ac:dyDescent="0.25">
      <c r="K3643"/>
    </row>
    <row r="3644" spans="11:11" x14ac:dyDescent="0.25">
      <c r="K3644"/>
    </row>
    <row r="3645" spans="11:11" x14ac:dyDescent="0.25">
      <c r="K3645"/>
    </row>
    <row r="3646" spans="11:11" x14ac:dyDescent="0.25">
      <c r="K3646"/>
    </row>
    <row r="3647" spans="11:11" x14ac:dyDescent="0.25">
      <c r="K3647"/>
    </row>
    <row r="3648" spans="11:11" x14ac:dyDescent="0.25">
      <c r="K3648"/>
    </row>
    <row r="3649" spans="11:11" x14ac:dyDescent="0.25">
      <c r="K3649"/>
    </row>
    <row r="3650" spans="11:11" x14ac:dyDescent="0.25">
      <c r="K3650"/>
    </row>
    <row r="3651" spans="11:11" x14ac:dyDescent="0.25">
      <c r="K3651"/>
    </row>
    <row r="3652" spans="11:11" x14ac:dyDescent="0.25">
      <c r="K3652"/>
    </row>
    <row r="3653" spans="11:11" x14ac:dyDescent="0.25">
      <c r="K3653"/>
    </row>
    <row r="3654" spans="11:11" x14ac:dyDescent="0.25">
      <c r="K3654"/>
    </row>
    <row r="3655" spans="11:11" x14ac:dyDescent="0.25">
      <c r="K3655"/>
    </row>
    <row r="3656" spans="11:11" x14ac:dyDescent="0.25">
      <c r="K3656"/>
    </row>
    <row r="3657" spans="11:11" x14ac:dyDescent="0.25">
      <c r="K3657"/>
    </row>
    <row r="3658" spans="11:11" x14ac:dyDescent="0.25">
      <c r="K3658"/>
    </row>
    <row r="3659" spans="11:11" x14ac:dyDescent="0.25">
      <c r="K3659"/>
    </row>
    <row r="3660" spans="11:11" x14ac:dyDescent="0.25">
      <c r="K3660"/>
    </row>
    <row r="3661" spans="11:11" x14ac:dyDescent="0.25">
      <c r="K3661"/>
    </row>
    <row r="3662" spans="11:11" x14ac:dyDescent="0.25">
      <c r="K3662"/>
    </row>
    <row r="3663" spans="11:11" x14ac:dyDescent="0.25">
      <c r="K3663"/>
    </row>
    <row r="3664" spans="11:11" x14ac:dyDescent="0.25">
      <c r="K3664"/>
    </row>
    <row r="3665" spans="11:11" x14ac:dyDescent="0.25">
      <c r="K3665"/>
    </row>
    <row r="3666" spans="11:11" x14ac:dyDescent="0.25">
      <c r="K3666"/>
    </row>
    <row r="3667" spans="11:11" x14ac:dyDescent="0.25">
      <c r="K3667"/>
    </row>
    <row r="3668" spans="11:11" x14ac:dyDescent="0.25">
      <c r="K3668"/>
    </row>
    <row r="3669" spans="11:11" x14ac:dyDescent="0.25">
      <c r="K3669"/>
    </row>
    <row r="3670" spans="11:11" x14ac:dyDescent="0.25">
      <c r="K3670"/>
    </row>
    <row r="3671" spans="11:11" x14ac:dyDescent="0.25">
      <c r="K3671"/>
    </row>
    <row r="3672" spans="11:11" x14ac:dyDescent="0.25">
      <c r="K3672"/>
    </row>
    <row r="3673" spans="11:11" x14ac:dyDescent="0.25">
      <c r="K3673"/>
    </row>
    <row r="3674" spans="11:11" x14ac:dyDescent="0.25">
      <c r="K3674"/>
    </row>
    <row r="3675" spans="11:11" x14ac:dyDescent="0.25">
      <c r="K3675"/>
    </row>
    <row r="3676" spans="11:11" x14ac:dyDescent="0.25">
      <c r="K3676"/>
    </row>
    <row r="3677" spans="11:11" x14ac:dyDescent="0.25">
      <c r="K3677"/>
    </row>
    <row r="3678" spans="11:11" x14ac:dyDescent="0.25">
      <c r="K3678"/>
    </row>
    <row r="3679" spans="11:11" x14ac:dyDescent="0.25">
      <c r="K3679"/>
    </row>
    <row r="3680" spans="11:11" x14ac:dyDescent="0.25">
      <c r="K3680"/>
    </row>
    <row r="3681" spans="11:11" x14ac:dyDescent="0.25">
      <c r="K3681"/>
    </row>
    <row r="3682" spans="11:11" x14ac:dyDescent="0.25">
      <c r="K3682"/>
    </row>
    <row r="3683" spans="11:11" x14ac:dyDescent="0.25">
      <c r="K3683"/>
    </row>
    <row r="3684" spans="11:11" x14ac:dyDescent="0.25">
      <c r="K3684"/>
    </row>
    <row r="3685" spans="11:11" x14ac:dyDescent="0.25">
      <c r="K3685"/>
    </row>
    <row r="3686" spans="11:11" x14ac:dyDescent="0.25">
      <c r="K3686"/>
    </row>
    <row r="3687" spans="11:11" x14ac:dyDescent="0.25">
      <c r="K3687"/>
    </row>
    <row r="3688" spans="11:11" x14ac:dyDescent="0.25">
      <c r="K3688"/>
    </row>
    <row r="3689" spans="11:11" x14ac:dyDescent="0.25">
      <c r="K3689"/>
    </row>
    <row r="3690" spans="11:11" x14ac:dyDescent="0.25">
      <c r="K3690"/>
    </row>
    <row r="3691" spans="11:11" x14ac:dyDescent="0.25">
      <c r="K3691"/>
    </row>
    <row r="3692" spans="11:11" x14ac:dyDescent="0.25">
      <c r="K3692"/>
    </row>
    <row r="3693" spans="11:11" x14ac:dyDescent="0.25">
      <c r="K3693"/>
    </row>
    <row r="3694" spans="11:11" x14ac:dyDescent="0.25">
      <c r="K3694"/>
    </row>
    <row r="3695" spans="11:11" x14ac:dyDescent="0.25">
      <c r="K3695"/>
    </row>
    <row r="3696" spans="11:11" x14ac:dyDescent="0.25">
      <c r="K3696"/>
    </row>
    <row r="3697" spans="11:11" x14ac:dyDescent="0.25">
      <c r="K3697"/>
    </row>
    <row r="3698" spans="11:11" x14ac:dyDescent="0.25">
      <c r="K3698"/>
    </row>
    <row r="3699" spans="11:11" x14ac:dyDescent="0.25">
      <c r="K3699"/>
    </row>
    <row r="3700" spans="11:11" x14ac:dyDescent="0.25">
      <c r="K3700"/>
    </row>
    <row r="3701" spans="11:11" x14ac:dyDescent="0.25">
      <c r="K3701"/>
    </row>
    <row r="3702" spans="11:11" x14ac:dyDescent="0.25">
      <c r="K3702"/>
    </row>
    <row r="3703" spans="11:11" x14ac:dyDescent="0.25">
      <c r="K3703"/>
    </row>
    <row r="3704" spans="11:11" x14ac:dyDescent="0.25">
      <c r="K3704"/>
    </row>
    <row r="3705" spans="11:11" x14ac:dyDescent="0.25">
      <c r="K3705"/>
    </row>
    <row r="3706" spans="11:11" x14ac:dyDescent="0.25">
      <c r="K3706"/>
    </row>
    <row r="3707" spans="11:11" x14ac:dyDescent="0.25">
      <c r="K3707"/>
    </row>
    <row r="3708" spans="11:11" x14ac:dyDescent="0.25">
      <c r="K3708"/>
    </row>
    <row r="3709" spans="11:11" x14ac:dyDescent="0.25">
      <c r="K3709"/>
    </row>
    <row r="3710" spans="11:11" x14ac:dyDescent="0.25">
      <c r="K3710"/>
    </row>
    <row r="3711" spans="11:11" x14ac:dyDescent="0.25">
      <c r="K3711"/>
    </row>
    <row r="3712" spans="11:11" x14ac:dyDescent="0.25">
      <c r="K3712"/>
    </row>
    <row r="3713" spans="11:11" x14ac:dyDescent="0.25">
      <c r="K3713"/>
    </row>
    <row r="3714" spans="11:11" x14ac:dyDescent="0.25">
      <c r="K3714"/>
    </row>
    <row r="3715" spans="11:11" x14ac:dyDescent="0.25">
      <c r="K3715"/>
    </row>
    <row r="3716" spans="11:11" x14ac:dyDescent="0.25">
      <c r="K3716"/>
    </row>
    <row r="3717" spans="11:11" x14ac:dyDescent="0.25">
      <c r="K3717"/>
    </row>
    <row r="3718" spans="11:11" x14ac:dyDescent="0.25">
      <c r="K3718"/>
    </row>
    <row r="3719" spans="11:11" x14ac:dyDescent="0.25">
      <c r="K3719"/>
    </row>
    <row r="3720" spans="11:11" x14ac:dyDescent="0.25">
      <c r="K3720"/>
    </row>
    <row r="3721" spans="11:11" x14ac:dyDescent="0.25">
      <c r="K3721"/>
    </row>
    <row r="3722" spans="11:11" x14ac:dyDescent="0.25">
      <c r="K3722"/>
    </row>
    <row r="3723" spans="11:11" x14ac:dyDescent="0.25">
      <c r="K3723"/>
    </row>
    <row r="3724" spans="11:11" x14ac:dyDescent="0.25">
      <c r="K3724"/>
    </row>
    <row r="3725" spans="11:11" x14ac:dyDescent="0.25">
      <c r="K3725"/>
    </row>
    <row r="3726" spans="11:11" x14ac:dyDescent="0.25">
      <c r="K3726"/>
    </row>
    <row r="3727" spans="11:11" x14ac:dyDescent="0.25">
      <c r="K3727"/>
    </row>
    <row r="3728" spans="11:11" x14ac:dyDescent="0.25">
      <c r="K3728"/>
    </row>
    <row r="3729" spans="11:11" x14ac:dyDescent="0.25">
      <c r="K3729"/>
    </row>
    <row r="3730" spans="11:11" x14ac:dyDescent="0.25">
      <c r="K3730"/>
    </row>
    <row r="3731" spans="11:11" x14ac:dyDescent="0.25">
      <c r="K3731"/>
    </row>
    <row r="3732" spans="11:11" x14ac:dyDescent="0.25">
      <c r="K3732"/>
    </row>
    <row r="3733" spans="11:11" x14ac:dyDescent="0.25">
      <c r="K3733"/>
    </row>
    <row r="3734" spans="11:11" x14ac:dyDescent="0.25">
      <c r="K3734"/>
    </row>
    <row r="3735" spans="11:11" x14ac:dyDescent="0.25">
      <c r="K3735"/>
    </row>
    <row r="3736" spans="11:11" x14ac:dyDescent="0.25">
      <c r="K3736"/>
    </row>
    <row r="3737" spans="11:11" x14ac:dyDescent="0.25">
      <c r="K3737"/>
    </row>
    <row r="3738" spans="11:11" x14ac:dyDescent="0.25">
      <c r="K3738"/>
    </row>
    <row r="3739" spans="11:11" x14ac:dyDescent="0.25">
      <c r="K3739"/>
    </row>
    <row r="3740" spans="11:11" x14ac:dyDescent="0.25">
      <c r="K3740"/>
    </row>
    <row r="3741" spans="11:11" x14ac:dyDescent="0.25">
      <c r="K3741"/>
    </row>
    <row r="3742" spans="11:11" x14ac:dyDescent="0.25">
      <c r="K3742"/>
    </row>
    <row r="3743" spans="11:11" x14ac:dyDescent="0.25">
      <c r="K3743"/>
    </row>
    <row r="3744" spans="11:11" x14ac:dyDescent="0.25">
      <c r="K3744"/>
    </row>
    <row r="3745" spans="11:11" x14ac:dyDescent="0.25">
      <c r="K3745"/>
    </row>
    <row r="3746" spans="11:11" x14ac:dyDescent="0.25">
      <c r="K3746"/>
    </row>
    <row r="3747" spans="11:11" x14ac:dyDescent="0.25">
      <c r="K3747"/>
    </row>
    <row r="3748" spans="11:11" x14ac:dyDescent="0.25">
      <c r="K3748"/>
    </row>
    <row r="3749" spans="11:11" x14ac:dyDescent="0.25">
      <c r="K3749"/>
    </row>
    <row r="3750" spans="11:11" x14ac:dyDescent="0.25">
      <c r="K3750"/>
    </row>
    <row r="3751" spans="11:11" x14ac:dyDescent="0.25">
      <c r="K3751"/>
    </row>
    <row r="3752" spans="11:11" x14ac:dyDescent="0.25">
      <c r="K3752"/>
    </row>
    <row r="3753" spans="11:11" x14ac:dyDescent="0.25">
      <c r="K3753"/>
    </row>
    <row r="3754" spans="11:11" x14ac:dyDescent="0.25">
      <c r="K3754"/>
    </row>
    <row r="3755" spans="11:11" x14ac:dyDescent="0.25">
      <c r="K3755"/>
    </row>
    <row r="3756" spans="11:11" x14ac:dyDescent="0.25">
      <c r="K3756"/>
    </row>
    <row r="3757" spans="11:11" x14ac:dyDescent="0.25">
      <c r="K3757"/>
    </row>
    <row r="3758" spans="11:11" x14ac:dyDescent="0.25">
      <c r="K3758"/>
    </row>
    <row r="3759" spans="11:11" x14ac:dyDescent="0.25">
      <c r="K3759"/>
    </row>
    <row r="3760" spans="11:11" x14ac:dyDescent="0.25">
      <c r="K3760"/>
    </row>
    <row r="3761" spans="11:11" x14ac:dyDescent="0.25">
      <c r="K3761"/>
    </row>
    <row r="3762" spans="11:11" x14ac:dyDescent="0.25">
      <c r="K3762"/>
    </row>
    <row r="3763" spans="11:11" x14ac:dyDescent="0.25">
      <c r="K3763"/>
    </row>
    <row r="3764" spans="11:11" x14ac:dyDescent="0.25">
      <c r="K3764"/>
    </row>
    <row r="3765" spans="11:11" x14ac:dyDescent="0.25">
      <c r="K3765"/>
    </row>
    <row r="3766" spans="11:11" x14ac:dyDescent="0.25">
      <c r="K3766"/>
    </row>
    <row r="3767" spans="11:11" x14ac:dyDescent="0.25">
      <c r="K3767"/>
    </row>
    <row r="3768" spans="11:11" x14ac:dyDescent="0.25">
      <c r="K3768"/>
    </row>
    <row r="3769" spans="11:11" x14ac:dyDescent="0.25">
      <c r="K3769"/>
    </row>
    <row r="3770" spans="11:11" x14ac:dyDescent="0.25">
      <c r="K3770"/>
    </row>
    <row r="3771" spans="11:11" x14ac:dyDescent="0.25">
      <c r="K3771"/>
    </row>
    <row r="3772" spans="11:11" x14ac:dyDescent="0.25">
      <c r="K3772"/>
    </row>
    <row r="3773" spans="11:11" x14ac:dyDescent="0.25">
      <c r="K3773"/>
    </row>
    <row r="3774" spans="11:11" x14ac:dyDescent="0.25">
      <c r="K3774"/>
    </row>
    <row r="3775" spans="11:11" x14ac:dyDescent="0.25">
      <c r="K3775"/>
    </row>
    <row r="3776" spans="11:11" x14ac:dyDescent="0.25">
      <c r="K3776"/>
    </row>
    <row r="3777" spans="11:11" x14ac:dyDescent="0.25">
      <c r="K3777"/>
    </row>
    <row r="3778" spans="11:11" x14ac:dyDescent="0.25">
      <c r="K3778"/>
    </row>
    <row r="3779" spans="11:11" x14ac:dyDescent="0.25">
      <c r="K3779"/>
    </row>
    <row r="3780" spans="11:11" x14ac:dyDescent="0.25">
      <c r="K3780"/>
    </row>
    <row r="3781" spans="11:11" x14ac:dyDescent="0.25">
      <c r="K3781"/>
    </row>
    <row r="3782" spans="11:11" x14ac:dyDescent="0.25">
      <c r="K3782"/>
    </row>
    <row r="3783" spans="11:11" x14ac:dyDescent="0.25">
      <c r="K3783"/>
    </row>
    <row r="3784" spans="11:11" x14ac:dyDescent="0.25">
      <c r="K3784"/>
    </row>
    <row r="3785" spans="11:11" x14ac:dyDescent="0.25">
      <c r="K3785"/>
    </row>
    <row r="3786" spans="11:11" x14ac:dyDescent="0.25">
      <c r="K3786"/>
    </row>
    <row r="3787" spans="11:11" x14ac:dyDescent="0.25">
      <c r="K3787"/>
    </row>
    <row r="3788" spans="11:11" x14ac:dyDescent="0.25">
      <c r="K3788"/>
    </row>
    <row r="3789" spans="11:11" x14ac:dyDescent="0.25">
      <c r="K3789"/>
    </row>
    <row r="3790" spans="11:11" x14ac:dyDescent="0.25">
      <c r="K3790"/>
    </row>
    <row r="3791" spans="11:11" x14ac:dyDescent="0.25">
      <c r="K3791"/>
    </row>
    <row r="3792" spans="11:11" x14ac:dyDescent="0.25">
      <c r="K3792"/>
    </row>
    <row r="3793" spans="11:11" x14ac:dyDescent="0.25">
      <c r="K3793"/>
    </row>
    <row r="3794" spans="11:11" x14ac:dyDescent="0.25">
      <c r="K3794"/>
    </row>
    <row r="3795" spans="11:11" x14ac:dyDescent="0.25">
      <c r="K3795"/>
    </row>
    <row r="3796" spans="11:11" x14ac:dyDescent="0.25">
      <c r="K3796"/>
    </row>
    <row r="3797" spans="11:11" x14ac:dyDescent="0.25">
      <c r="K3797"/>
    </row>
    <row r="3798" spans="11:11" x14ac:dyDescent="0.25">
      <c r="K3798"/>
    </row>
    <row r="3799" spans="11:11" x14ac:dyDescent="0.25">
      <c r="K3799"/>
    </row>
    <row r="3800" spans="11:11" x14ac:dyDescent="0.25">
      <c r="K3800"/>
    </row>
    <row r="3801" spans="11:11" x14ac:dyDescent="0.25">
      <c r="K3801"/>
    </row>
    <row r="3802" spans="11:11" x14ac:dyDescent="0.25">
      <c r="K3802"/>
    </row>
    <row r="3803" spans="11:11" x14ac:dyDescent="0.25">
      <c r="K3803"/>
    </row>
    <row r="3804" spans="11:11" x14ac:dyDescent="0.25">
      <c r="K3804"/>
    </row>
    <row r="3805" spans="11:11" x14ac:dyDescent="0.25">
      <c r="K3805"/>
    </row>
    <row r="3806" spans="11:11" x14ac:dyDescent="0.25">
      <c r="K3806"/>
    </row>
    <row r="3807" spans="11:11" x14ac:dyDescent="0.25">
      <c r="K3807"/>
    </row>
    <row r="3808" spans="11:11" x14ac:dyDescent="0.25">
      <c r="K3808"/>
    </row>
    <row r="3809" spans="11:11" x14ac:dyDescent="0.25">
      <c r="K3809"/>
    </row>
    <row r="3810" spans="11:11" x14ac:dyDescent="0.25">
      <c r="K3810"/>
    </row>
    <row r="3811" spans="11:11" x14ac:dyDescent="0.25">
      <c r="K3811"/>
    </row>
    <row r="3812" spans="11:11" x14ac:dyDescent="0.25">
      <c r="K3812"/>
    </row>
    <row r="3813" spans="11:11" x14ac:dyDescent="0.25">
      <c r="K3813"/>
    </row>
    <row r="3814" spans="11:11" x14ac:dyDescent="0.25">
      <c r="K3814"/>
    </row>
    <row r="3815" spans="11:11" x14ac:dyDescent="0.25">
      <c r="K3815"/>
    </row>
    <row r="3816" spans="11:11" x14ac:dyDescent="0.25">
      <c r="K3816"/>
    </row>
    <row r="3817" spans="11:11" x14ac:dyDescent="0.25">
      <c r="K3817"/>
    </row>
    <row r="3818" spans="11:11" x14ac:dyDescent="0.25">
      <c r="K3818"/>
    </row>
    <row r="3819" spans="11:11" x14ac:dyDescent="0.25">
      <c r="K3819"/>
    </row>
    <row r="3820" spans="11:11" x14ac:dyDescent="0.25">
      <c r="K3820"/>
    </row>
    <row r="3821" spans="11:11" x14ac:dyDescent="0.25">
      <c r="K3821"/>
    </row>
    <row r="3822" spans="11:11" x14ac:dyDescent="0.25">
      <c r="K3822"/>
    </row>
    <row r="3823" spans="11:11" x14ac:dyDescent="0.25">
      <c r="K3823"/>
    </row>
    <row r="3824" spans="11:11" x14ac:dyDescent="0.25">
      <c r="K3824"/>
    </row>
    <row r="3825" spans="11:11" x14ac:dyDescent="0.25">
      <c r="K3825"/>
    </row>
    <row r="3826" spans="11:11" x14ac:dyDescent="0.25">
      <c r="K3826"/>
    </row>
    <row r="3827" spans="11:11" x14ac:dyDescent="0.25">
      <c r="K3827"/>
    </row>
    <row r="3828" spans="11:11" x14ac:dyDescent="0.25">
      <c r="K3828"/>
    </row>
    <row r="3829" spans="11:11" x14ac:dyDescent="0.25">
      <c r="K3829"/>
    </row>
    <row r="3830" spans="11:11" x14ac:dyDescent="0.25">
      <c r="K3830"/>
    </row>
    <row r="3831" spans="11:11" x14ac:dyDescent="0.25">
      <c r="K3831"/>
    </row>
    <row r="3832" spans="11:11" x14ac:dyDescent="0.25">
      <c r="K3832"/>
    </row>
    <row r="3833" spans="11:11" x14ac:dyDescent="0.25">
      <c r="K3833"/>
    </row>
    <row r="3834" spans="11:11" x14ac:dyDescent="0.25">
      <c r="K3834"/>
    </row>
    <row r="3835" spans="11:11" x14ac:dyDescent="0.25">
      <c r="K3835"/>
    </row>
    <row r="3836" spans="11:11" x14ac:dyDescent="0.25">
      <c r="K3836"/>
    </row>
    <row r="3837" spans="11:11" x14ac:dyDescent="0.25">
      <c r="K3837"/>
    </row>
    <row r="3838" spans="11:11" x14ac:dyDescent="0.25">
      <c r="K3838"/>
    </row>
    <row r="3839" spans="11:11" x14ac:dyDescent="0.25">
      <c r="K3839"/>
    </row>
    <row r="3840" spans="11:11" x14ac:dyDescent="0.25">
      <c r="K3840"/>
    </row>
    <row r="3841" spans="11:11" x14ac:dyDescent="0.25">
      <c r="K3841"/>
    </row>
    <row r="3842" spans="11:11" x14ac:dyDescent="0.25">
      <c r="K3842"/>
    </row>
    <row r="3843" spans="11:11" x14ac:dyDescent="0.25">
      <c r="K3843"/>
    </row>
    <row r="3844" spans="11:11" x14ac:dyDescent="0.25">
      <c r="K3844"/>
    </row>
    <row r="3845" spans="11:11" x14ac:dyDescent="0.25">
      <c r="K3845"/>
    </row>
    <row r="3846" spans="11:11" x14ac:dyDescent="0.25">
      <c r="K3846"/>
    </row>
    <row r="3847" spans="11:11" x14ac:dyDescent="0.25">
      <c r="K3847"/>
    </row>
    <row r="3848" spans="11:11" x14ac:dyDescent="0.25">
      <c r="K3848"/>
    </row>
    <row r="3849" spans="11:11" x14ac:dyDescent="0.25">
      <c r="K3849"/>
    </row>
    <row r="3850" spans="11:11" x14ac:dyDescent="0.25">
      <c r="K3850"/>
    </row>
    <row r="3851" spans="11:11" x14ac:dyDescent="0.25">
      <c r="K3851"/>
    </row>
    <row r="3852" spans="11:11" x14ac:dyDescent="0.25">
      <c r="K3852"/>
    </row>
    <row r="3853" spans="11:11" x14ac:dyDescent="0.25">
      <c r="K3853"/>
    </row>
    <row r="3854" spans="11:11" x14ac:dyDescent="0.25">
      <c r="K3854"/>
    </row>
    <row r="3855" spans="11:11" x14ac:dyDescent="0.25">
      <c r="K3855"/>
    </row>
    <row r="3856" spans="11:11" x14ac:dyDescent="0.25">
      <c r="K3856"/>
    </row>
    <row r="3857" spans="11:11" x14ac:dyDescent="0.25">
      <c r="K3857"/>
    </row>
    <row r="3858" spans="11:11" x14ac:dyDescent="0.25">
      <c r="K3858"/>
    </row>
    <row r="3859" spans="11:11" x14ac:dyDescent="0.25">
      <c r="K3859"/>
    </row>
    <row r="3860" spans="11:11" x14ac:dyDescent="0.25">
      <c r="K3860"/>
    </row>
    <row r="3861" spans="11:11" x14ac:dyDescent="0.25">
      <c r="K3861"/>
    </row>
    <row r="3862" spans="11:11" x14ac:dyDescent="0.25">
      <c r="K3862"/>
    </row>
    <row r="3863" spans="11:11" x14ac:dyDescent="0.25">
      <c r="K3863"/>
    </row>
    <row r="3864" spans="11:11" x14ac:dyDescent="0.25">
      <c r="K3864"/>
    </row>
    <row r="3865" spans="11:11" x14ac:dyDescent="0.25">
      <c r="K3865"/>
    </row>
    <row r="3866" spans="11:11" x14ac:dyDescent="0.25">
      <c r="K3866"/>
    </row>
    <row r="3867" spans="11:11" x14ac:dyDescent="0.25">
      <c r="K3867"/>
    </row>
    <row r="3868" spans="11:11" x14ac:dyDescent="0.25">
      <c r="K3868"/>
    </row>
    <row r="3869" spans="11:11" x14ac:dyDescent="0.25">
      <c r="K3869"/>
    </row>
    <row r="3870" spans="11:11" x14ac:dyDescent="0.25">
      <c r="K3870"/>
    </row>
    <row r="3871" spans="11:11" x14ac:dyDescent="0.25">
      <c r="K3871"/>
    </row>
    <row r="3872" spans="11:11" x14ac:dyDescent="0.25">
      <c r="K3872"/>
    </row>
    <row r="3873" spans="11:11" x14ac:dyDescent="0.25">
      <c r="K3873"/>
    </row>
    <row r="3874" spans="11:11" x14ac:dyDescent="0.25">
      <c r="K3874"/>
    </row>
    <row r="3875" spans="11:11" x14ac:dyDescent="0.25">
      <c r="K3875"/>
    </row>
    <row r="3876" spans="11:11" x14ac:dyDescent="0.25">
      <c r="K3876"/>
    </row>
    <row r="3877" spans="11:11" x14ac:dyDescent="0.25">
      <c r="K3877"/>
    </row>
    <row r="3878" spans="11:11" x14ac:dyDescent="0.25">
      <c r="K3878"/>
    </row>
    <row r="3879" spans="11:11" x14ac:dyDescent="0.25">
      <c r="K3879"/>
    </row>
    <row r="3880" spans="11:11" x14ac:dyDescent="0.25">
      <c r="K3880"/>
    </row>
    <row r="3881" spans="11:11" x14ac:dyDescent="0.25">
      <c r="K3881"/>
    </row>
    <row r="3882" spans="11:11" x14ac:dyDescent="0.25">
      <c r="K3882"/>
    </row>
    <row r="3883" spans="11:11" x14ac:dyDescent="0.25">
      <c r="K3883"/>
    </row>
    <row r="3884" spans="11:11" x14ac:dyDescent="0.25">
      <c r="K3884"/>
    </row>
    <row r="3885" spans="11:11" x14ac:dyDescent="0.25">
      <c r="K3885"/>
    </row>
    <row r="3886" spans="11:11" x14ac:dyDescent="0.25">
      <c r="K3886"/>
    </row>
    <row r="3887" spans="11:11" x14ac:dyDescent="0.25">
      <c r="K3887"/>
    </row>
    <row r="3888" spans="11:11" x14ac:dyDescent="0.25">
      <c r="K3888"/>
    </row>
    <row r="3889" spans="11:11" x14ac:dyDescent="0.25">
      <c r="K3889"/>
    </row>
    <row r="3890" spans="11:11" x14ac:dyDescent="0.25">
      <c r="K3890"/>
    </row>
    <row r="3891" spans="11:11" x14ac:dyDescent="0.25">
      <c r="K3891"/>
    </row>
    <row r="3892" spans="11:11" x14ac:dyDescent="0.25">
      <c r="K3892"/>
    </row>
    <row r="3893" spans="11:11" x14ac:dyDescent="0.25">
      <c r="K3893"/>
    </row>
    <row r="3894" spans="11:11" x14ac:dyDescent="0.25">
      <c r="K3894"/>
    </row>
    <row r="3895" spans="11:11" x14ac:dyDescent="0.25">
      <c r="K3895"/>
    </row>
    <row r="3896" spans="11:11" x14ac:dyDescent="0.25">
      <c r="K3896"/>
    </row>
    <row r="3897" spans="11:11" x14ac:dyDescent="0.25">
      <c r="K3897"/>
    </row>
    <row r="3898" spans="11:11" x14ac:dyDescent="0.25">
      <c r="K3898"/>
    </row>
    <row r="3899" spans="11:11" x14ac:dyDescent="0.25">
      <c r="K3899"/>
    </row>
    <row r="3900" spans="11:11" x14ac:dyDescent="0.25">
      <c r="K3900"/>
    </row>
    <row r="3901" spans="11:11" x14ac:dyDescent="0.25">
      <c r="K3901"/>
    </row>
    <row r="3902" spans="11:11" x14ac:dyDescent="0.25">
      <c r="K3902"/>
    </row>
    <row r="3903" spans="11:11" x14ac:dyDescent="0.25">
      <c r="K3903"/>
    </row>
    <row r="3904" spans="11:11" x14ac:dyDescent="0.25">
      <c r="K3904"/>
    </row>
    <row r="3905" spans="11:11" x14ac:dyDescent="0.25">
      <c r="K3905"/>
    </row>
    <row r="3906" spans="11:11" x14ac:dyDescent="0.25">
      <c r="K3906"/>
    </row>
    <row r="3907" spans="11:11" x14ac:dyDescent="0.25">
      <c r="K3907"/>
    </row>
    <row r="3908" spans="11:11" x14ac:dyDescent="0.25">
      <c r="K3908"/>
    </row>
    <row r="3909" spans="11:11" x14ac:dyDescent="0.25">
      <c r="K3909"/>
    </row>
    <row r="3910" spans="11:11" x14ac:dyDescent="0.25">
      <c r="K3910"/>
    </row>
    <row r="3911" spans="11:11" x14ac:dyDescent="0.25">
      <c r="K3911"/>
    </row>
    <row r="3912" spans="11:11" x14ac:dyDescent="0.25">
      <c r="K3912"/>
    </row>
    <row r="3913" spans="11:11" x14ac:dyDescent="0.25">
      <c r="K3913"/>
    </row>
    <row r="3914" spans="11:11" x14ac:dyDescent="0.25">
      <c r="K3914"/>
    </row>
    <row r="3915" spans="11:11" x14ac:dyDescent="0.25">
      <c r="K3915"/>
    </row>
    <row r="3916" spans="11:11" x14ac:dyDescent="0.25">
      <c r="K3916"/>
    </row>
    <row r="3917" spans="11:11" x14ac:dyDescent="0.25">
      <c r="K3917"/>
    </row>
    <row r="3918" spans="11:11" x14ac:dyDescent="0.25">
      <c r="K3918"/>
    </row>
    <row r="3919" spans="11:11" x14ac:dyDescent="0.25">
      <c r="K3919"/>
    </row>
    <row r="3920" spans="11:11" x14ac:dyDescent="0.25">
      <c r="K3920"/>
    </row>
    <row r="3921" spans="11:11" x14ac:dyDescent="0.25">
      <c r="K3921"/>
    </row>
    <row r="3922" spans="11:11" x14ac:dyDescent="0.25">
      <c r="K3922"/>
    </row>
    <row r="3923" spans="11:11" x14ac:dyDescent="0.25">
      <c r="K3923"/>
    </row>
    <row r="3924" spans="11:11" x14ac:dyDescent="0.25">
      <c r="K3924"/>
    </row>
    <row r="3925" spans="11:11" x14ac:dyDescent="0.25">
      <c r="K3925"/>
    </row>
    <row r="3926" spans="11:11" x14ac:dyDescent="0.25">
      <c r="K3926"/>
    </row>
    <row r="3927" spans="11:11" x14ac:dyDescent="0.25">
      <c r="K3927"/>
    </row>
    <row r="3928" spans="11:11" x14ac:dyDescent="0.25">
      <c r="K3928"/>
    </row>
    <row r="3929" spans="11:11" x14ac:dyDescent="0.25">
      <c r="K3929"/>
    </row>
    <row r="3930" spans="11:11" x14ac:dyDescent="0.25">
      <c r="K3930"/>
    </row>
    <row r="3931" spans="11:11" x14ac:dyDescent="0.25">
      <c r="K3931"/>
    </row>
    <row r="3932" spans="11:11" x14ac:dyDescent="0.25">
      <c r="K3932"/>
    </row>
    <row r="3933" spans="11:11" x14ac:dyDescent="0.25">
      <c r="K3933"/>
    </row>
    <row r="3934" spans="11:11" x14ac:dyDescent="0.25">
      <c r="K3934"/>
    </row>
    <row r="3935" spans="11:11" x14ac:dyDescent="0.25">
      <c r="K3935"/>
    </row>
    <row r="3936" spans="11:11" x14ac:dyDescent="0.25">
      <c r="K3936"/>
    </row>
    <row r="3937" spans="11:11" x14ac:dyDescent="0.25">
      <c r="K3937"/>
    </row>
    <row r="3938" spans="11:11" x14ac:dyDescent="0.25">
      <c r="K3938"/>
    </row>
    <row r="3939" spans="11:11" x14ac:dyDescent="0.25">
      <c r="K3939"/>
    </row>
    <row r="3940" spans="11:11" x14ac:dyDescent="0.25">
      <c r="K3940"/>
    </row>
    <row r="3941" spans="11:11" x14ac:dyDescent="0.25">
      <c r="K3941"/>
    </row>
    <row r="3942" spans="11:11" x14ac:dyDescent="0.25">
      <c r="K3942"/>
    </row>
    <row r="3943" spans="11:11" x14ac:dyDescent="0.25">
      <c r="K3943"/>
    </row>
    <row r="3944" spans="11:11" x14ac:dyDescent="0.25">
      <c r="K3944"/>
    </row>
    <row r="3945" spans="11:11" x14ac:dyDescent="0.25">
      <c r="K3945"/>
    </row>
    <row r="3946" spans="11:11" x14ac:dyDescent="0.25">
      <c r="K3946"/>
    </row>
    <row r="3947" spans="11:11" x14ac:dyDescent="0.25">
      <c r="K3947"/>
    </row>
    <row r="3948" spans="11:11" x14ac:dyDescent="0.25">
      <c r="K3948"/>
    </row>
    <row r="3949" spans="11:11" x14ac:dyDescent="0.25">
      <c r="K3949"/>
    </row>
    <row r="3950" spans="11:11" x14ac:dyDescent="0.25">
      <c r="K3950"/>
    </row>
    <row r="3951" spans="11:11" x14ac:dyDescent="0.25">
      <c r="K3951"/>
    </row>
    <row r="3952" spans="11:11" x14ac:dyDescent="0.25">
      <c r="K3952"/>
    </row>
    <row r="3953" spans="11:11" x14ac:dyDescent="0.25">
      <c r="K3953"/>
    </row>
    <row r="3954" spans="11:11" x14ac:dyDescent="0.25">
      <c r="K3954"/>
    </row>
    <row r="3955" spans="11:11" x14ac:dyDescent="0.25">
      <c r="K3955"/>
    </row>
    <row r="3956" spans="11:11" x14ac:dyDescent="0.25">
      <c r="K3956"/>
    </row>
    <row r="3957" spans="11:11" x14ac:dyDescent="0.25">
      <c r="K3957"/>
    </row>
    <row r="3958" spans="11:11" x14ac:dyDescent="0.25">
      <c r="K3958"/>
    </row>
    <row r="3959" spans="11:11" x14ac:dyDescent="0.25">
      <c r="K3959"/>
    </row>
    <row r="3960" spans="11:11" x14ac:dyDescent="0.25">
      <c r="K3960"/>
    </row>
    <row r="3961" spans="11:11" x14ac:dyDescent="0.25">
      <c r="K3961"/>
    </row>
    <row r="3962" spans="11:11" x14ac:dyDescent="0.25">
      <c r="K3962"/>
    </row>
    <row r="3963" spans="11:11" x14ac:dyDescent="0.25">
      <c r="K3963"/>
    </row>
    <row r="3964" spans="11:11" x14ac:dyDescent="0.25">
      <c r="K3964"/>
    </row>
    <row r="3965" spans="11:11" x14ac:dyDescent="0.25">
      <c r="K3965"/>
    </row>
    <row r="3966" spans="11:11" x14ac:dyDescent="0.25">
      <c r="K3966"/>
    </row>
    <row r="3967" spans="11:11" x14ac:dyDescent="0.25">
      <c r="K3967"/>
    </row>
    <row r="3968" spans="11:11" x14ac:dyDescent="0.25">
      <c r="K3968"/>
    </row>
    <row r="3969" spans="11:11" x14ac:dyDescent="0.25">
      <c r="K3969"/>
    </row>
    <row r="3970" spans="11:11" x14ac:dyDescent="0.25">
      <c r="K3970"/>
    </row>
    <row r="3971" spans="11:11" x14ac:dyDescent="0.25">
      <c r="K3971"/>
    </row>
    <row r="3972" spans="11:11" x14ac:dyDescent="0.25">
      <c r="K3972"/>
    </row>
    <row r="3973" spans="11:11" x14ac:dyDescent="0.25">
      <c r="K3973"/>
    </row>
    <row r="3974" spans="11:11" x14ac:dyDescent="0.25">
      <c r="K3974"/>
    </row>
    <row r="3975" spans="11:11" x14ac:dyDescent="0.25">
      <c r="K3975"/>
    </row>
    <row r="3976" spans="11:11" x14ac:dyDescent="0.25">
      <c r="K3976"/>
    </row>
    <row r="3977" spans="11:11" x14ac:dyDescent="0.25">
      <c r="K3977"/>
    </row>
    <row r="3978" spans="11:11" x14ac:dyDescent="0.25">
      <c r="K3978"/>
    </row>
    <row r="3979" spans="11:11" x14ac:dyDescent="0.25">
      <c r="K3979"/>
    </row>
    <row r="3980" spans="11:11" x14ac:dyDescent="0.25">
      <c r="K3980"/>
    </row>
    <row r="3981" spans="11:11" x14ac:dyDescent="0.25">
      <c r="K3981"/>
    </row>
    <row r="3982" spans="11:11" x14ac:dyDescent="0.25">
      <c r="K3982"/>
    </row>
    <row r="3983" spans="11:11" x14ac:dyDescent="0.25">
      <c r="K3983"/>
    </row>
    <row r="3984" spans="11:11" x14ac:dyDescent="0.25">
      <c r="K3984"/>
    </row>
    <row r="3985" spans="11:11" x14ac:dyDescent="0.25">
      <c r="K3985"/>
    </row>
    <row r="3986" spans="11:11" x14ac:dyDescent="0.25">
      <c r="K3986"/>
    </row>
    <row r="3987" spans="11:11" x14ac:dyDescent="0.25">
      <c r="K3987"/>
    </row>
    <row r="3988" spans="11:11" x14ac:dyDescent="0.25">
      <c r="K3988"/>
    </row>
    <row r="3989" spans="11:11" x14ac:dyDescent="0.25">
      <c r="K3989"/>
    </row>
    <row r="3990" spans="11:11" x14ac:dyDescent="0.25">
      <c r="K3990"/>
    </row>
    <row r="3991" spans="11:11" x14ac:dyDescent="0.25">
      <c r="K3991"/>
    </row>
    <row r="3992" spans="11:11" x14ac:dyDescent="0.25">
      <c r="K3992"/>
    </row>
    <row r="3993" spans="11:11" x14ac:dyDescent="0.25">
      <c r="K3993"/>
    </row>
    <row r="3994" spans="11:11" x14ac:dyDescent="0.25">
      <c r="K3994"/>
    </row>
    <row r="3995" spans="11:11" x14ac:dyDescent="0.25">
      <c r="K3995"/>
    </row>
    <row r="3996" spans="11:11" x14ac:dyDescent="0.25">
      <c r="K3996"/>
    </row>
    <row r="3997" spans="11:11" x14ac:dyDescent="0.25">
      <c r="K3997"/>
    </row>
    <row r="3998" spans="11:11" x14ac:dyDescent="0.25">
      <c r="K3998"/>
    </row>
    <row r="3999" spans="11:11" x14ac:dyDescent="0.25">
      <c r="K3999"/>
    </row>
    <row r="4000" spans="11:11" x14ac:dyDescent="0.25">
      <c r="K4000"/>
    </row>
    <row r="4001" spans="11:11" x14ac:dyDescent="0.25">
      <c r="K4001"/>
    </row>
    <row r="4002" spans="11:11" x14ac:dyDescent="0.25">
      <c r="K4002"/>
    </row>
    <row r="4003" spans="11:11" x14ac:dyDescent="0.25">
      <c r="K4003"/>
    </row>
    <row r="4004" spans="11:11" x14ac:dyDescent="0.25">
      <c r="K4004"/>
    </row>
    <row r="4005" spans="11:11" x14ac:dyDescent="0.25">
      <c r="K4005"/>
    </row>
    <row r="4006" spans="11:11" x14ac:dyDescent="0.25">
      <c r="K4006"/>
    </row>
    <row r="4007" spans="11:11" x14ac:dyDescent="0.25">
      <c r="K4007"/>
    </row>
    <row r="4008" spans="11:11" x14ac:dyDescent="0.25">
      <c r="K4008"/>
    </row>
    <row r="4009" spans="11:11" x14ac:dyDescent="0.25">
      <c r="K4009"/>
    </row>
    <row r="4010" spans="11:11" x14ac:dyDescent="0.25">
      <c r="K4010"/>
    </row>
    <row r="4011" spans="11:11" x14ac:dyDescent="0.25">
      <c r="K4011"/>
    </row>
    <row r="4012" spans="11:11" x14ac:dyDescent="0.25">
      <c r="K4012"/>
    </row>
    <row r="4013" spans="11:11" x14ac:dyDescent="0.25">
      <c r="K4013"/>
    </row>
    <row r="4014" spans="11:11" x14ac:dyDescent="0.25">
      <c r="K4014"/>
    </row>
    <row r="4015" spans="11:11" x14ac:dyDescent="0.25">
      <c r="K4015"/>
    </row>
    <row r="4016" spans="11:11" x14ac:dyDescent="0.25">
      <c r="K4016"/>
    </row>
    <row r="4017" spans="11:11" x14ac:dyDescent="0.25">
      <c r="K4017"/>
    </row>
    <row r="4018" spans="11:11" x14ac:dyDescent="0.25">
      <c r="K4018"/>
    </row>
    <row r="4019" spans="11:11" x14ac:dyDescent="0.25">
      <c r="K4019"/>
    </row>
    <row r="4020" spans="11:11" x14ac:dyDescent="0.25">
      <c r="K4020"/>
    </row>
    <row r="4021" spans="11:11" x14ac:dyDescent="0.25">
      <c r="K4021"/>
    </row>
    <row r="4022" spans="11:11" x14ac:dyDescent="0.25">
      <c r="K4022"/>
    </row>
    <row r="4023" spans="11:11" x14ac:dyDescent="0.25">
      <c r="K4023"/>
    </row>
    <row r="4024" spans="11:11" x14ac:dyDescent="0.25">
      <c r="K4024"/>
    </row>
    <row r="4025" spans="11:11" x14ac:dyDescent="0.25">
      <c r="K4025"/>
    </row>
    <row r="4026" spans="11:11" x14ac:dyDescent="0.25">
      <c r="K4026"/>
    </row>
    <row r="4027" spans="11:11" x14ac:dyDescent="0.25">
      <c r="K4027"/>
    </row>
    <row r="4028" spans="11:11" x14ac:dyDescent="0.25">
      <c r="K4028"/>
    </row>
    <row r="4029" spans="11:11" x14ac:dyDescent="0.25">
      <c r="K4029"/>
    </row>
    <row r="4030" spans="11:11" x14ac:dyDescent="0.25">
      <c r="K4030"/>
    </row>
    <row r="4031" spans="11:11" x14ac:dyDescent="0.25">
      <c r="K4031"/>
    </row>
    <row r="4032" spans="11:11" x14ac:dyDescent="0.25">
      <c r="K4032"/>
    </row>
    <row r="4033" spans="11:11" x14ac:dyDescent="0.25">
      <c r="K4033"/>
    </row>
    <row r="4034" spans="11:11" x14ac:dyDescent="0.25">
      <c r="K4034"/>
    </row>
    <row r="4035" spans="11:11" x14ac:dyDescent="0.25">
      <c r="K4035"/>
    </row>
    <row r="4036" spans="11:11" x14ac:dyDescent="0.25">
      <c r="K4036"/>
    </row>
    <row r="4037" spans="11:11" x14ac:dyDescent="0.25">
      <c r="K4037"/>
    </row>
    <row r="4038" spans="11:11" x14ac:dyDescent="0.25">
      <c r="K4038"/>
    </row>
    <row r="4039" spans="11:11" x14ac:dyDescent="0.25">
      <c r="K4039"/>
    </row>
    <row r="4040" spans="11:11" x14ac:dyDescent="0.25">
      <c r="K4040"/>
    </row>
    <row r="4041" spans="11:11" x14ac:dyDescent="0.25">
      <c r="K4041"/>
    </row>
    <row r="4042" spans="11:11" x14ac:dyDescent="0.25">
      <c r="K4042"/>
    </row>
    <row r="4043" spans="11:11" x14ac:dyDescent="0.25">
      <c r="K4043"/>
    </row>
    <row r="4044" spans="11:11" x14ac:dyDescent="0.25">
      <c r="K4044"/>
    </row>
    <row r="4045" spans="11:11" x14ac:dyDescent="0.25">
      <c r="K4045"/>
    </row>
    <row r="4046" spans="11:11" x14ac:dyDescent="0.25">
      <c r="K4046"/>
    </row>
    <row r="4047" spans="11:11" x14ac:dyDescent="0.25">
      <c r="K4047"/>
    </row>
    <row r="4048" spans="11:11" x14ac:dyDescent="0.25">
      <c r="K4048"/>
    </row>
    <row r="4049" spans="11:11" x14ac:dyDescent="0.25">
      <c r="K4049"/>
    </row>
    <row r="4050" spans="11:11" x14ac:dyDescent="0.25">
      <c r="K4050"/>
    </row>
    <row r="4051" spans="11:11" x14ac:dyDescent="0.25">
      <c r="K4051"/>
    </row>
    <row r="4052" spans="11:11" x14ac:dyDescent="0.25">
      <c r="K4052"/>
    </row>
    <row r="4053" spans="11:11" x14ac:dyDescent="0.25">
      <c r="K4053"/>
    </row>
    <row r="4054" spans="11:11" x14ac:dyDescent="0.25">
      <c r="K4054"/>
    </row>
    <row r="4055" spans="11:11" x14ac:dyDescent="0.25">
      <c r="K4055"/>
    </row>
    <row r="4056" spans="11:11" x14ac:dyDescent="0.25">
      <c r="K4056"/>
    </row>
    <row r="4057" spans="11:11" x14ac:dyDescent="0.25">
      <c r="K4057"/>
    </row>
    <row r="4058" spans="11:11" x14ac:dyDescent="0.25">
      <c r="K4058"/>
    </row>
    <row r="4059" spans="11:11" x14ac:dyDescent="0.25">
      <c r="K4059"/>
    </row>
    <row r="4060" spans="11:11" x14ac:dyDescent="0.25">
      <c r="K4060"/>
    </row>
    <row r="4061" spans="11:11" x14ac:dyDescent="0.25">
      <c r="K4061"/>
    </row>
    <row r="4062" spans="11:11" x14ac:dyDescent="0.25">
      <c r="K4062"/>
    </row>
    <row r="4063" spans="11:11" x14ac:dyDescent="0.25">
      <c r="K4063"/>
    </row>
    <row r="4064" spans="11:11" x14ac:dyDescent="0.25">
      <c r="K4064"/>
    </row>
    <row r="4065" spans="11:11" x14ac:dyDescent="0.25">
      <c r="K4065"/>
    </row>
    <row r="4066" spans="11:11" x14ac:dyDescent="0.25">
      <c r="K4066"/>
    </row>
    <row r="4067" spans="11:11" x14ac:dyDescent="0.25">
      <c r="K4067"/>
    </row>
    <row r="4068" spans="11:11" x14ac:dyDescent="0.25">
      <c r="K4068"/>
    </row>
    <row r="4069" spans="11:11" x14ac:dyDescent="0.25">
      <c r="K4069"/>
    </row>
    <row r="4070" spans="11:11" x14ac:dyDescent="0.25">
      <c r="K4070"/>
    </row>
    <row r="4071" spans="11:11" x14ac:dyDescent="0.25">
      <c r="K4071"/>
    </row>
    <row r="4072" spans="11:11" x14ac:dyDescent="0.25">
      <c r="K4072"/>
    </row>
    <row r="4073" spans="11:11" x14ac:dyDescent="0.25">
      <c r="K4073"/>
    </row>
    <row r="4074" spans="11:11" x14ac:dyDescent="0.25">
      <c r="K4074"/>
    </row>
    <row r="4075" spans="11:11" x14ac:dyDescent="0.25">
      <c r="K4075"/>
    </row>
    <row r="4076" spans="11:11" x14ac:dyDescent="0.25">
      <c r="K4076"/>
    </row>
    <row r="4077" spans="11:11" x14ac:dyDescent="0.25">
      <c r="K4077"/>
    </row>
    <row r="4078" spans="11:11" x14ac:dyDescent="0.25">
      <c r="K4078"/>
    </row>
    <row r="4079" spans="11:11" x14ac:dyDescent="0.25">
      <c r="K4079"/>
    </row>
    <row r="4080" spans="11:11" x14ac:dyDescent="0.25">
      <c r="K4080"/>
    </row>
    <row r="4081" spans="11:11" x14ac:dyDescent="0.25">
      <c r="K4081"/>
    </row>
    <row r="4082" spans="11:11" x14ac:dyDescent="0.25">
      <c r="K4082"/>
    </row>
    <row r="4083" spans="11:11" x14ac:dyDescent="0.25">
      <c r="K4083"/>
    </row>
    <row r="4084" spans="11:11" x14ac:dyDescent="0.25">
      <c r="K4084"/>
    </row>
    <row r="4085" spans="11:11" x14ac:dyDescent="0.25">
      <c r="K4085"/>
    </row>
    <row r="4086" spans="11:11" x14ac:dyDescent="0.25">
      <c r="K4086"/>
    </row>
    <row r="4087" spans="11:11" x14ac:dyDescent="0.25">
      <c r="K4087"/>
    </row>
    <row r="4088" spans="11:11" x14ac:dyDescent="0.25">
      <c r="K4088"/>
    </row>
    <row r="4089" spans="11:11" x14ac:dyDescent="0.25">
      <c r="K4089"/>
    </row>
    <row r="4090" spans="11:11" x14ac:dyDescent="0.25">
      <c r="K4090"/>
    </row>
    <row r="4091" spans="11:11" x14ac:dyDescent="0.25">
      <c r="K4091"/>
    </row>
    <row r="4092" spans="11:11" x14ac:dyDescent="0.25">
      <c r="K4092"/>
    </row>
    <row r="4093" spans="11:11" x14ac:dyDescent="0.25">
      <c r="K4093"/>
    </row>
    <row r="4094" spans="11:11" x14ac:dyDescent="0.25">
      <c r="K4094"/>
    </row>
    <row r="4095" spans="11:11" x14ac:dyDescent="0.25">
      <c r="K4095"/>
    </row>
    <row r="4096" spans="11:11" x14ac:dyDescent="0.25">
      <c r="K4096"/>
    </row>
    <row r="4097" spans="11:11" x14ac:dyDescent="0.25">
      <c r="K4097"/>
    </row>
    <row r="4098" spans="11:11" x14ac:dyDescent="0.25">
      <c r="K4098"/>
    </row>
    <row r="4099" spans="11:11" x14ac:dyDescent="0.25">
      <c r="K4099"/>
    </row>
    <row r="4100" spans="11:11" x14ac:dyDescent="0.25">
      <c r="K4100"/>
    </row>
    <row r="4101" spans="11:11" x14ac:dyDescent="0.25">
      <c r="K4101"/>
    </row>
    <row r="4102" spans="11:11" x14ac:dyDescent="0.25">
      <c r="K4102"/>
    </row>
    <row r="4103" spans="11:11" x14ac:dyDescent="0.25">
      <c r="K4103"/>
    </row>
    <row r="4104" spans="11:11" x14ac:dyDescent="0.25">
      <c r="K4104"/>
    </row>
    <row r="4105" spans="11:11" x14ac:dyDescent="0.25">
      <c r="K4105"/>
    </row>
    <row r="4106" spans="11:11" x14ac:dyDescent="0.25">
      <c r="K4106"/>
    </row>
    <row r="4107" spans="11:11" x14ac:dyDescent="0.25">
      <c r="K4107"/>
    </row>
    <row r="4108" spans="11:11" x14ac:dyDescent="0.25">
      <c r="K4108"/>
    </row>
    <row r="4109" spans="11:11" x14ac:dyDescent="0.25">
      <c r="K4109"/>
    </row>
    <row r="4110" spans="11:11" x14ac:dyDescent="0.25">
      <c r="K4110"/>
    </row>
    <row r="4111" spans="11:11" x14ac:dyDescent="0.25">
      <c r="K4111"/>
    </row>
    <row r="4112" spans="11:11" x14ac:dyDescent="0.25">
      <c r="K4112"/>
    </row>
    <row r="4113" spans="11:11" x14ac:dyDescent="0.25">
      <c r="K4113"/>
    </row>
    <row r="4114" spans="11:11" x14ac:dyDescent="0.25">
      <c r="K4114"/>
    </row>
    <row r="4115" spans="11:11" x14ac:dyDescent="0.25">
      <c r="K4115"/>
    </row>
    <row r="4116" spans="11:11" x14ac:dyDescent="0.25">
      <c r="K4116"/>
    </row>
    <row r="4117" spans="11:11" x14ac:dyDescent="0.25">
      <c r="K4117"/>
    </row>
    <row r="4118" spans="11:11" x14ac:dyDescent="0.25">
      <c r="K4118"/>
    </row>
    <row r="4119" spans="11:11" x14ac:dyDescent="0.25">
      <c r="K4119"/>
    </row>
    <row r="4120" spans="11:11" x14ac:dyDescent="0.25">
      <c r="K4120"/>
    </row>
    <row r="4121" spans="11:11" x14ac:dyDescent="0.25">
      <c r="K4121"/>
    </row>
    <row r="4122" spans="11:11" x14ac:dyDescent="0.25">
      <c r="K4122"/>
    </row>
    <row r="4123" spans="11:11" x14ac:dyDescent="0.25">
      <c r="K4123"/>
    </row>
    <row r="4124" spans="11:11" x14ac:dyDescent="0.25">
      <c r="K4124"/>
    </row>
    <row r="4125" spans="11:11" x14ac:dyDescent="0.25">
      <c r="K4125"/>
    </row>
    <row r="4126" spans="11:11" x14ac:dyDescent="0.25">
      <c r="K4126"/>
    </row>
    <row r="4127" spans="11:11" x14ac:dyDescent="0.25">
      <c r="K4127"/>
    </row>
    <row r="4128" spans="11:11" x14ac:dyDescent="0.25">
      <c r="K4128"/>
    </row>
    <row r="4129" spans="11:11" x14ac:dyDescent="0.25">
      <c r="K4129"/>
    </row>
    <row r="4130" spans="11:11" x14ac:dyDescent="0.25">
      <c r="K4130"/>
    </row>
    <row r="4131" spans="11:11" x14ac:dyDescent="0.25">
      <c r="K4131"/>
    </row>
    <row r="4132" spans="11:11" x14ac:dyDescent="0.25">
      <c r="K4132"/>
    </row>
    <row r="4133" spans="11:11" x14ac:dyDescent="0.25">
      <c r="K4133"/>
    </row>
    <row r="4134" spans="11:11" x14ac:dyDescent="0.25">
      <c r="K4134"/>
    </row>
    <row r="4135" spans="11:11" x14ac:dyDescent="0.25">
      <c r="K4135"/>
    </row>
    <row r="4136" spans="11:11" x14ac:dyDescent="0.25">
      <c r="K4136"/>
    </row>
    <row r="4137" spans="11:11" x14ac:dyDescent="0.25">
      <c r="K4137"/>
    </row>
    <row r="4138" spans="11:11" x14ac:dyDescent="0.25">
      <c r="K4138"/>
    </row>
    <row r="4139" spans="11:11" x14ac:dyDescent="0.25">
      <c r="K4139"/>
    </row>
    <row r="4140" spans="11:11" x14ac:dyDescent="0.25">
      <c r="K4140"/>
    </row>
    <row r="4141" spans="11:11" x14ac:dyDescent="0.25">
      <c r="K4141"/>
    </row>
    <row r="4142" spans="11:11" x14ac:dyDescent="0.25">
      <c r="K4142"/>
    </row>
    <row r="4143" spans="11:11" x14ac:dyDescent="0.25">
      <c r="K4143"/>
    </row>
    <row r="4144" spans="11:11" x14ac:dyDescent="0.25">
      <c r="K4144"/>
    </row>
    <row r="4145" spans="11:11" x14ac:dyDescent="0.25">
      <c r="K4145"/>
    </row>
    <row r="4146" spans="11:11" x14ac:dyDescent="0.25">
      <c r="K4146"/>
    </row>
    <row r="4147" spans="11:11" x14ac:dyDescent="0.25">
      <c r="K4147"/>
    </row>
    <row r="4148" spans="11:11" x14ac:dyDescent="0.25">
      <c r="K4148"/>
    </row>
    <row r="4149" spans="11:11" x14ac:dyDescent="0.25">
      <c r="K4149"/>
    </row>
    <row r="4150" spans="11:11" x14ac:dyDescent="0.25">
      <c r="K4150"/>
    </row>
    <row r="4151" spans="11:11" x14ac:dyDescent="0.25">
      <c r="K4151"/>
    </row>
    <row r="4152" spans="11:11" x14ac:dyDescent="0.25">
      <c r="K4152"/>
    </row>
    <row r="4153" spans="11:11" x14ac:dyDescent="0.25">
      <c r="K4153"/>
    </row>
    <row r="4154" spans="11:11" x14ac:dyDescent="0.25">
      <c r="K4154"/>
    </row>
    <row r="4155" spans="11:11" x14ac:dyDescent="0.25">
      <c r="K4155"/>
    </row>
    <row r="4156" spans="11:11" x14ac:dyDescent="0.25">
      <c r="K4156"/>
    </row>
    <row r="4157" spans="11:11" x14ac:dyDescent="0.25">
      <c r="K4157"/>
    </row>
    <row r="4158" spans="11:11" x14ac:dyDescent="0.25">
      <c r="K4158"/>
    </row>
    <row r="4159" spans="11:11" x14ac:dyDescent="0.25">
      <c r="K4159"/>
    </row>
    <row r="4160" spans="11:11" x14ac:dyDescent="0.25">
      <c r="K4160"/>
    </row>
    <row r="4161" spans="11:11" x14ac:dyDescent="0.25">
      <c r="K4161"/>
    </row>
    <row r="4162" spans="11:11" x14ac:dyDescent="0.25">
      <c r="K4162"/>
    </row>
    <row r="4163" spans="11:11" x14ac:dyDescent="0.25">
      <c r="K4163"/>
    </row>
    <row r="4164" spans="11:11" x14ac:dyDescent="0.25">
      <c r="K4164"/>
    </row>
    <row r="4165" spans="11:11" x14ac:dyDescent="0.25">
      <c r="K4165"/>
    </row>
    <row r="4166" spans="11:11" x14ac:dyDescent="0.25">
      <c r="K4166"/>
    </row>
    <row r="4167" spans="11:11" x14ac:dyDescent="0.25">
      <c r="K4167"/>
    </row>
    <row r="4168" spans="11:11" x14ac:dyDescent="0.25">
      <c r="K4168"/>
    </row>
    <row r="4169" spans="11:11" x14ac:dyDescent="0.25">
      <c r="K4169"/>
    </row>
    <row r="4170" spans="11:11" x14ac:dyDescent="0.25">
      <c r="K4170"/>
    </row>
    <row r="4171" spans="11:11" x14ac:dyDescent="0.25">
      <c r="K4171"/>
    </row>
    <row r="4172" spans="11:11" x14ac:dyDescent="0.25">
      <c r="K4172"/>
    </row>
    <row r="4173" spans="11:11" x14ac:dyDescent="0.25">
      <c r="K4173"/>
    </row>
    <row r="4174" spans="11:11" x14ac:dyDescent="0.25">
      <c r="K4174"/>
    </row>
    <row r="4175" spans="11:11" x14ac:dyDescent="0.25">
      <c r="K4175"/>
    </row>
    <row r="4176" spans="11:11" x14ac:dyDescent="0.25">
      <c r="K4176"/>
    </row>
    <row r="4177" spans="11:11" x14ac:dyDescent="0.25">
      <c r="K4177"/>
    </row>
    <row r="4178" spans="11:11" x14ac:dyDescent="0.25">
      <c r="K4178"/>
    </row>
    <row r="4179" spans="11:11" x14ac:dyDescent="0.25">
      <c r="K4179"/>
    </row>
    <row r="4180" spans="11:11" x14ac:dyDescent="0.25">
      <c r="K4180"/>
    </row>
    <row r="4181" spans="11:11" x14ac:dyDescent="0.25">
      <c r="K4181"/>
    </row>
    <row r="4182" spans="11:11" x14ac:dyDescent="0.25">
      <c r="K4182"/>
    </row>
    <row r="4183" spans="11:11" x14ac:dyDescent="0.25">
      <c r="K4183"/>
    </row>
    <row r="4184" spans="11:11" x14ac:dyDescent="0.25">
      <c r="K4184"/>
    </row>
    <row r="4185" spans="11:11" x14ac:dyDescent="0.25">
      <c r="K4185"/>
    </row>
    <row r="4186" spans="11:11" x14ac:dyDescent="0.25">
      <c r="K4186"/>
    </row>
    <row r="4187" spans="11:11" x14ac:dyDescent="0.25">
      <c r="K4187"/>
    </row>
    <row r="4188" spans="11:11" x14ac:dyDescent="0.25">
      <c r="K4188"/>
    </row>
    <row r="4189" spans="11:11" x14ac:dyDescent="0.25">
      <c r="K4189"/>
    </row>
    <row r="4190" spans="11:11" x14ac:dyDescent="0.25">
      <c r="K4190"/>
    </row>
    <row r="4191" spans="11:11" x14ac:dyDescent="0.25">
      <c r="K4191"/>
    </row>
    <row r="4192" spans="11:11" x14ac:dyDescent="0.25">
      <c r="K4192"/>
    </row>
    <row r="4193" spans="11:11" x14ac:dyDescent="0.25">
      <c r="K4193"/>
    </row>
    <row r="4194" spans="11:11" x14ac:dyDescent="0.25">
      <c r="K4194"/>
    </row>
    <row r="4195" spans="11:11" x14ac:dyDescent="0.25">
      <c r="K4195"/>
    </row>
    <row r="4196" spans="11:11" x14ac:dyDescent="0.25">
      <c r="K4196"/>
    </row>
    <row r="4197" spans="11:11" x14ac:dyDescent="0.25">
      <c r="K4197"/>
    </row>
    <row r="4198" spans="11:11" x14ac:dyDescent="0.25">
      <c r="K4198"/>
    </row>
    <row r="4199" spans="11:11" x14ac:dyDescent="0.25">
      <c r="K4199"/>
    </row>
    <row r="4200" spans="11:11" x14ac:dyDescent="0.25">
      <c r="K4200"/>
    </row>
    <row r="4201" spans="11:11" x14ac:dyDescent="0.25">
      <c r="K4201"/>
    </row>
    <row r="4202" spans="11:11" x14ac:dyDescent="0.25">
      <c r="K4202"/>
    </row>
    <row r="4203" spans="11:11" x14ac:dyDescent="0.25">
      <c r="K4203"/>
    </row>
    <row r="4204" spans="11:11" x14ac:dyDescent="0.25">
      <c r="K4204"/>
    </row>
    <row r="4205" spans="11:11" x14ac:dyDescent="0.25">
      <c r="K4205"/>
    </row>
    <row r="4206" spans="11:11" x14ac:dyDescent="0.25">
      <c r="K4206"/>
    </row>
    <row r="4207" spans="11:11" x14ac:dyDescent="0.25">
      <c r="K4207"/>
    </row>
    <row r="4208" spans="11:11" x14ac:dyDescent="0.25">
      <c r="K4208"/>
    </row>
    <row r="4209" spans="11:11" x14ac:dyDescent="0.25">
      <c r="K4209"/>
    </row>
    <row r="4210" spans="11:11" x14ac:dyDescent="0.25">
      <c r="K4210"/>
    </row>
    <row r="4211" spans="11:11" x14ac:dyDescent="0.25">
      <c r="K4211"/>
    </row>
    <row r="4212" spans="11:11" x14ac:dyDescent="0.25">
      <c r="K4212"/>
    </row>
    <row r="4213" spans="11:11" x14ac:dyDescent="0.25">
      <c r="K4213"/>
    </row>
    <row r="4214" spans="11:11" x14ac:dyDescent="0.25">
      <c r="K4214"/>
    </row>
    <row r="4215" spans="11:11" x14ac:dyDescent="0.25">
      <c r="K4215"/>
    </row>
    <row r="4216" spans="11:11" x14ac:dyDescent="0.25">
      <c r="K4216"/>
    </row>
    <row r="4217" spans="11:11" x14ac:dyDescent="0.25">
      <c r="K4217"/>
    </row>
    <row r="4218" spans="11:11" x14ac:dyDescent="0.25">
      <c r="K4218"/>
    </row>
    <row r="4219" spans="11:11" x14ac:dyDescent="0.25">
      <c r="K4219"/>
    </row>
    <row r="4220" spans="11:11" x14ac:dyDescent="0.25">
      <c r="K4220"/>
    </row>
    <row r="4221" spans="11:11" x14ac:dyDescent="0.25">
      <c r="K4221"/>
    </row>
    <row r="4222" spans="11:11" x14ac:dyDescent="0.25">
      <c r="K4222"/>
    </row>
    <row r="4223" spans="11:11" x14ac:dyDescent="0.25">
      <c r="K4223"/>
    </row>
    <row r="4224" spans="11:11" x14ac:dyDescent="0.25">
      <c r="K4224"/>
    </row>
    <row r="4225" spans="11:11" x14ac:dyDescent="0.25">
      <c r="K4225"/>
    </row>
    <row r="4226" spans="11:11" x14ac:dyDescent="0.25">
      <c r="K4226"/>
    </row>
    <row r="4227" spans="11:11" x14ac:dyDescent="0.25">
      <c r="K4227"/>
    </row>
    <row r="4228" spans="11:11" x14ac:dyDescent="0.25">
      <c r="K4228"/>
    </row>
    <row r="4229" spans="11:11" x14ac:dyDescent="0.25">
      <c r="K4229"/>
    </row>
    <row r="4230" spans="11:11" x14ac:dyDescent="0.25">
      <c r="K4230"/>
    </row>
    <row r="4231" spans="11:11" x14ac:dyDescent="0.25">
      <c r="K4231"/>
    </row>
    <row r="4232" spans="11:11" x14ac:dyDescent="0.25">
      <c r="K4232"/>
    </row>
    <row r="4233" spans="11:11" x14ac:dyDescent="0.25">
      <c r="K4233"/>
    </row>
    <row r="4234" spans="11:11" x14ac:dyDescent="0.25">
      <c r="K4234"/>
    </row>
    <row r="4235" spans="11:11" x14ac:dyDescent="0.25">
      <c r="K4235"/>
    </row>
    <row r="4236" spans="11:11" x14ac:dyDescent="0.25">
      <c r="K4236"/>
    </row>
    <row r="4237" spans="11:11" x14ac:dyDescent="0.25">
      <c r="K4237"/>
    </row>
    <row r="4238" spans="11:11" x14ac:dyDescent="0.25">
      <c r="K4238"/>
    </row>
    <row r="4239" spans="11:11" x14ac:dyDescent="0.25">
      <c r="K4239"/>
    </row>
    <row r="4240" spans="11:11" x14ac:dyDescent="0.25">
      <c r="K4240"/>
    </row>
    <row r="4241" spans="11:11" x14ac:dyDescent="0.25">
      <c r="K4241"/>
    </row>
    <row r="4242" spans="11:11" x14ac:dyDescent="0.25">
      <c r="K4242"/>
    </row>
    <row r="4243" spans="11:11" x14ac:dyDescent="0.25">
      <c r="K4243"/>
    </row>
    <row r="4244" spans="11:11" x14ac:dyDescent="0.25">
      <c r="K4244"/>
    </row>
    <row r="4245" spans="11:11" x14ac:dyDescent="0.25">
      <c r="K4245"/>
    </row>
    <row r="4246" spans="11:11" x14ac:dyDescent="0.25">
      <c r="K4246"/>
    </row>
    <row r="4247" spans="11:11" x14ac:dyDescent="0.25">
      <c r="K4247"/>
    </row>
    <row r="4248" spans="11:11" x14ac:dyDescent="0.25">
      <c r="K4248"/>
    </row>
    <row r="4249" spans="11:11" x14ac:dyDescent="0.25">
      <c r="K4249"/>
    </row>
    <row r="4250" spans="11:11" x14ac:dyDescent="0.25">
      <c r="K4250"/>
    </row>
    <row r="4251" spans="11:11" x14ac:dyDescent="0.25">
      <c r="K4251"/>
    </row>
    <row r="4252" spans="11:11" x14ac:dyDescent="0.25">
      <c r="K4252"/>
    </row>
    <row r="4253" spans="11:11" x14ac:dyDescent="0.25">
      <c r="K4253"/>
    </row>
    <row r="4254" spans="11:11" x14ac:dyDescent="0.25">
      <c r="K4254"/>
    </row>
    <row r="4255" spans="11:11" x14ac:dyDescent="0.25">
      <c r="K4255"/>
    </row>
    <row r="4256" spans="11:11" x14ac:dyDescent="0.25">
      <c r="K4256"/>
    </row>
    <row r="4257" spans="11:11" x14ac:dyDescent="0.25">
      <c r="K4257"/>
    </row>
    <row r="4258" spans="11:11" x14ac:dyDescent="0.25">
      <c r="K4258"/>
    </row>
    <row r="4259" spans="11:11" x14ac:dyDescent="0.25">
      <c r="K4259"/>
    </row>
    <row r="4260" spans="11:11" x14ac:dyDescent="0.25">
      <c r="K4260"/>
    </row>
    <row r="4261" spans="11:11" x14ac:dyDescent="0.25">
      <c r="K4261"/>
    </row>
    <row r="4262" spans="11:11" x14ac:dyDescent="0.25">
      <c r="K4262"/>
    </row>
    <row r="4263" spans="11:11" x14ac:dyDescent="0.25">
      <c r="K4263"/>
    </row>
    <row r="4264" spans="11:11" x14ac:dyDescent="0.25">
      <c r="K4264"/>
    </row>
    <row r="4265" spans="11:11" x14ac:dyDescent="0.25">
      <c r="K4265"/>
    </row>
    <row r="4266" spans="11:11" x14ac:dyDescent="0.25">
      <c r="K4266"/>
    </row>
    <row r="4267" spans="11:11" x14ac:dyDescent="0.25">
      <c r="K4267"/>
    </row>
    <row r="4268" spans="11:11" x14ac:dyDescent="0.25">
      <c r="K4268"/>
    </row>
    <row r="4269" spans="11:11" x14ac:dyDescent="0.25">
      <c r="K4269"/>
    </row>
    <row r="4270" spans="11:11" x14ac:dyDescent="0.25">
      <c r="K4270"/>
    </row>
    <row r="4271" spans="11:11" x14ac:dyDescent="0.25">
      <c r="K4271"/>
    </row>
    <row r="4272" spans="11:11" x14ac:dyDescent="0.25">
      <c r="K4272"/>
    </row>
    <row r="4273" spans="11:11" x14ac:dyDescent="0.25">
      <c r="K4273"/>
    </row>
    <row r="4274" spans="11:11" x14ac:dyDescent="0.25">
      <c r="K4274"/>
    </row>
    <row r="4275" spans="11:11" x14ac:dyDescent="0.25">
      <c r="K4275"/>
    </row>
    <row r="4276" spans="11:11" x14ac:dyDescent="0.25">
      <c r="K4276"/>
    </row>
    <row r="4277" spans="11:11" x14ac:dyDescent="0.25">
      <c r="K4277"/>
    </row>
    <row r="4278" spans="11:11" x14ac:dyDescent="0.25">
      <c r="K4278"/>
    </row>
    <row r="4279" spans="11:11" x14ac:dyDescent="0.25">
      <c r="K4279"/>
    </row>
    <row r="4280" spans="11:11" x14ac:dyDescent="0.25">
      <c r="K4280"/>
    </row>
    <row r="4281" spans="11:11" x14ac:dyDescent="0.25">
      <c r="K4281"/>
    </row>
    <row r="4282" spans="11:11" x14ac:dyDescent="0.25">
      <c r="K4282"/>
    </row>
    <row r="4283" spans="11:11" x14ac:dyDescent="0.25">
      <c r="K4283"/>
    </row>
    <row r="4284" spans="11:11" x14ac:dyDescent="0.25">
      <c r="K4284"/>
    </row>
    <row r="4285" spans="11:11" x14ac:dyDescent="0.25">
      <c r="K4285"/>
    </row>
    <row r="4286" spans="11:11" x14ac:dyDescent="0.25">
      <c r="K4286"/>
    </row>
    <row r="4287" spans="11:11" x14ac:dyDescent="0.25">
      <c r="K4287"/>
    </row>
    <row r="4288" spans="11:11" x14ac:dyDescent="0.25">
      <c r="K4288"/>
    </row>
    <row r="4289" spans="11:11" x14ac:dyDescent="0.25">
      <c r="K4289"/>
    </row>
    <row r="4290" spans="11:11" x14ac:dyDescent="0.25">
      <c r="K4290"/>
    </row>
    <row r="4291" spans="11:11" x14ac:dyDescent="0.25">
      <c r="K4291"/>
    </row>
    <row r="4292" spans="11:11" x14ac:dyDescent="0.25">
      <c r="K4292"/>
    </row>
    <row r="4293" spans="11:11" x14ac:dyDescent="0.25">
      <c r="K4293"/>
    </row>
    <row r="4294" spans="11:11" x14ac:dyDescent="0.25">
      <c r="K4294"/>
    </row>
    <row r="4295" spans="11:11" x14ac:dyDescent="0.25">
      <c r="K4295"/>
    </row>
    <row r="4296" spans="11:11" x14ac:dyDescent="0.25">
      <c r="K4296"/>
    </row>
    <row r="4297" spans="11:11" x14ac:dyDescent="0.25">
      <c r="K4297"/>
    </row>
    <row r="4298" spans="11:11" x14ac:dyDescent="0.25">
      <c r="K4298"/>
    </row>
    <row r="4299" spans="11:11" x14ac:dyDescent="0.25">
      <c r="K4299"/>
    </row>
    <row r="4300" spans="11:11" x14ac:dyDescent="0.25">
      <c r="K4300"/>
    </row>
    <row r="4301" spans="11:11" x14ac:dyDescent="0.25">
      <c r="K4301"/>
    </row>
    <row r="4302" spans="11:11" x14ac:dyDescent="0.25">
      <c r="K4302"/>
    </row>
    <row r="4303" spans="11:11" x14ac:dyDescent="0.25">
      <c r="K4303"/>
    </row>
    <row r="4304" spans="11:11" x14ac:dyDescent="0.25">
      <c r="K4304"/>
    </row>
    <row r="4305" spans="11:11" x14ac:dyDescent="0.25">
      <c r="K4305"/>
    </row>
    <row r="4306" spans="11:11" x14ac:dyDescent="0.25">
      <c r="K4306"/>
    </row>
    <row r="4307" spans="11:11" x14ac:dyDescent="0.25">
      <c r="K4307"/>
    </row>
    <row r="4308" spans="11:11" x14ac:dyDescent="0.25">
      <c r="K4308"/>
    </row>
    <row r="4309" spans="11:11" x14ac:dyDescent="0.25">
      <c r="K4309"/>
    </row>
    <row r="4310" spans="11:11" x14ac:dyDescent="0.25">
      <c r="K4310"/>
    </row>
    <row r="4311" spans="11:11" x14ac:dyDescent="0.25">
      <c r="K4311"/>
    </row>
    <row r="4312" spans="11:11" x14ac:dyDescent="0.25">
      <c r="K4312"/>
    </row>
    <row r="4313" spans="11:11" x14ac:dyDescent="0.25">
      <c r="K4313"/>
    </row>
    <row r="4314" spans="11:11" x14ac:dyDescent="0.25">
      <c r="K4314"/>
    </row>
    <row r="4315" spans="11:11" x14ac:dyDescent="0.25">
      <c r="K4315"/>
    </row>
    <row r="4316" spans="11:11" x14ac:dyDescent="0.25">
      <c r="K4316"/>
    </row>
    <row r="4317" spans="11:11" x14ac:dyDescent="0.25">
      <c r="K4317"/>
    </row>
    <row r="4318" spans="11:11" x14ac:dyDescent="0.25">
      <c r="K4318"/>
    </row>
    <row r="4319" spans="11:11" x14ac:dyDescent="0.25">
      <c r="K4319"/>
    </row>
    <row r="4320" spans="11:11" x14ac:dyDescent="0.25">
      <c r="K4320"/>
    </row>
    <row r="4321" spans="11:11" x14ac:dyDescent="0.25">
      <c r="K4321"/>
    </row>
    <row r="4322" spans="11:11" x14ac:dyDescent="0.25">
      <c r="K4322"/>
    </row>
    <row r="4323" spans="11:11" x14ac:dyDescent="0.25">
      <c r="K4323"/>
    </row>
    <row r="4324" spans="11:11" x14ac:dyDescent="0.25">
      <c r="K4324"/>
    </row>
    <row r="4325" spans="11:11" x14ac:dyDescent="0.25">
      <c r="K4325"/>
    </row>
    <row r="4326" spans="11:11" x14ac:dyDescent="0.25">
      <c r="K4326"/>
    </row>
    <row r="4327" spans="11:11" x14ac:dyDescent="0.25">
      <c r="K4327"/>
    </row>
    <row r="4328" spans="11:11" x14ac:dyDescent="0.25">
      <c r="K4328"/>
    </row>
    <row r="4329" spans="11:11" x14ac:dyDescent="0.25">
      <c r="K4329"/>
    </row>
    <row r="4330" spans="11:11" x14ac:dyDescent="0.25">
      <c r="K4330"/>
    </row>
    <row r="4331" spans="11:11" x14ac:dyDescent="0.25">
      <c r="K4331"/>
    </row>
    <row r="4332" spans="11:11" x14ac:dyDescent="0.25">
      <c r="K4332"/>
    </row>
    <row r="4333" spans="11:11" x14ac:dyDescent="0.25">
      <c r="K4333"/>
    </row>
    <row r="4334" spans="11:11" x14ac:dyDescent="0.25">
      <c r="K4334"/>
    </row>
    <row r="4335" spans="11:11" x14ac:dyDescent="0.25">
      <c r="K4335"/>
    </row>
    <row r="4336" spans="11:11" x14ac:dyDescent="0.25">
      <c r="K4336"/>
    </row>
    <row r="4337" spans="11:11" x14ac:dyDescent="0.25">
      <c r="K4337"/>
    </row>
    <row r="4338" spans="11:11" x14ac:dyDescent="0.25">
      <c r="K4338"/>
    </row>
    <row r="4339" spans="11:11" x14ac:dyDescent="0.25">
      <c r="K4339"/>
    </row>
    <row r="4340" spans="11:11" x14ac:dyDescent="0.25">
      <c r="K4340"/>
    </row>
    <row r="4341" spans="11:11" x14ac:dyDescent="0.25">
      <c r="K4341"/>
    </row>
    <row r="4342" spans="11:11" x14ac:dyDescent="0.25">
      <c r="K4342"/>
    </row>
    <row r="4343" spans="11:11" x14ac:dyDescent="0.25">
      <c r="K4343"/>
    </row>
    <row r="4344" spans="11:11" x14ac:dyDescent="0.25">
      <c r="K4344"/>
    </row>
    <row r="4345" spans="11:11" x14ac:dyDescent="0.25">
      <c r="K4345"/>
    </row>
    <row r="4346" spans="11:11" x14ac:dyDescent="0.25">
      <c r="K4346"/>
    </row>
    <row r="4347" spans="11:11" x14ac:dyDescent="0.25">
      <c r="K4347"/>
    </row>
    <row r="4348" spans="11:11" x14ac:dyDescent="0.25">
      <c r="K4348"/>
    </row>
    <row r="4349" spans="11:11" x14ac:dyDescent="0.25">
      <c r="K4349"/>
    </row>
    <row r="4350" spans="11:11" x14ac:dyDescent="0.25">
      <c r="K4350"/>
    </row>
    <row r="4351" spans="11:11" x14ac:dyDescent="0.25">
      <c r="K4351"/>
    </row>
    <row r="4352" spans="11:11" x14ac:dyDescent="0.25">
      <c r="K4352"/>
    </row>
    <row r="4353" spans="11:11" x14ac:dyDescent="0.25">
      <c r="K4353"/>
    </row>
    <row r="4354" spans="11:11" x14ac:dyDescent="0.25">
      <c r="K4354"/>
    </row>
    <row r="4355" spans="11:11" x14ac:dyDescent="0.25">
      <c r="K4355"/>
    </row>
    <row r="4356" spans="11:11" x14ac:dyDescent="0.25">
      <c r="K4356"/>
    </row>
    <row r="4357" spans="11:11" x14ac:dyDescent="0.25">
      <c r="K4357"/>
    </row>
    <row r="4358" spans="11:11" x14ac:dyDescent="0.25">
      <c r="K4358"/>
    </row>
    <row r="4359" spans="11:11" x14ac:dyDescent="0.25">
      <c r="K4359"/>
    </row>
    <row r="4360" spans="11:11" x14ac:dyDescent="0.25">
      <c r="K4360"/>
    </row>
    <row r="4361" spans="11:11" x14ac:dyDescent="0.25">
      <c r="K4361"/>
    </row>
    <row r="4362" spans="11:11" x14ac:dyDescent="0.25">
      <c r="K4362"/>
    </row>
    <row r="4363" spans="11:11" x14ac:dyDescent="0.25">
      <c r="K4363"/>
    </row>
    <row r="4364" spans="11:11" x14ac:dyDescent="0.25">
      <c r="K4364"/>
    </row>
    <row r="4365" spans="11:11" x14ac:dyDescent="0.25">
      <c r="K4365"/>
    </row>
    <row r="4366" spans="11:11" x14ac:dyDescent="0.25">
      <c r="K4366"/>
    </row>
    <row r="4367" spans="11:11" x14ac:dyDescent="0.25">
      <c r="K4367"/>
    </row>
    <row r="4368" spans="11:11" x14ac:dyDescent="0.25">
      <c r="K4368"/>
    </row>
    <row r="4369" spans="11:11" x14ac:dyDescent="0.25">
      <c r="K4369"/>
    </row>
    <row r="4370" spans="11:11" x14ac:dyDescent="0.25">
      <c r="K4370"/>
    </row>
    <row r="4371" spans="11:11" x14ac:dyDescent="0.25">
      <c r="K4371"/>
    </row>
    <row r="4372" spans="11:11" x14ac:dyDescent="0.25">
      <c r="K4372"/>
    </row>
    <row r="4373" spans="11:11" x14ac:dyDescent="0.25">
      <c r="K4373"/>
    </row>
    <row r="4374" spans="11:11" x14ac:dyDescent="0.25">
      <c r="K4374"/>
    </row>
    <row r="4375" spans="11:11" x14ac:dyDescent="0.25">
      <c r="K4375"/>
    </row>
    <row r="4376" spans="11:11" x14ac:dyDescent="0.25">
      <c r="K4376"/>
    </row>
    <row r="4377" spans="11:11" x14ac:dyDescent="0.25">
      <c r="K4377"/>
    </row>
    <row r="4378" spans="11:11" x14ac:dyDescent="0.25">
      <c r="K4378"/>
    </row>
    <row r="4379" spans="11:11" x14ac:dyDescent="0.25">
      <c r="K4379"/>
    </row>
    <row r="4380" spans="11:11" x14ac:dyDescent="0.25">
      <c r="K4380"/>
    </row>
    <row r="4381" spans="11:11" x14ac:dyDescent="0.25">
      <c r="K4381"/>
    </row>
    <row r="4382" spans="11:11" x14ac:dyDescent="0.25">
      <c r="K4382"/>
    </row>
    <row r="4383" spans="11:11" x14ac:dyDescent="0.25">
      <c r="K4383"/>
    </row>
    <row r="4384" spans="11:11" x14ac:dyDescent="0.25">
      <c r="K4384"/>
    </row>
    <row r="4385" spans="11:11" x14ac:dyDescent="0.25">
      <c r="K4385"/>
    </row>
    <row r="4386" spans="11:11" x14ac:dyDescent="0.25">
      <c r="K4386"/>
    </row>
    <row r="4387" spans="11:11" x14ac:dyDescent="0.25">
      <c r="K4387"/>
    </row>
    <row r="4388" spans="11:11" x14ac:dyDescent="0.25">
      <c r="K4388"/>
    </row>
    <row r="4389" spans="11:11" x14ac:dyDescent="0.25">
      <c r="K4389"/>
    </row>
    <row r="4390" spans="11:11" x14ac:dyDescent="0.25">
      <c r="K4390"/>
    </row>
    <row r="4391" spans="11:11" x14ac:dyDescent="0.25">
      <c r="K4391"/>
    </row>
    <row r="4392" spans="11:11" x14ac:dyDescent="0.25">
      <c r="K4392"/>
    </row>
    <row r="4393" spans="11:11" x14ac:dyDescent="0.25">
      <c r="K4393"/>
    </row>
    <row r="4394" spans="11:11" x14ac:dyDescent="0.25">
      <c r="K4394"/>
    </row>
    <row r="4395" spans="11:11" x14ac:dyDescent="0.25">
      <c r="K4395"/>
    </row>
    <row r="4396" spans="11:11" x14ac:dyDescent="0.25">
      <c r="K4396"/>
    </row>
    <row r="4397" spans="11:11" x14ac:dyDescent="0.25">
      <c r="K4397"/>
    </row>
    <row r="4398" spans="11:11" x14ac:dyDescent="0.25">
      <c r="K4398"/>
    </row>
    <row r="4399" spans="11:11" x14ac:dyDescent="0.25">
      <c r="K4399"/>
    </row>
    <row r="4400" spans="11:11" x14ac:dyDescent="0.25">
      <c r="K4400"/>
    </row>
    <row r="4401" spans="11:11" x14ac:dyDescent="0.25">
      <c r="K4401"/>
    </row>
    <row r="4402" spans="11:11" x14ac:dyDescent="0.25">
      <c r="K4402"/>
    </row>
    <row r="4403" spans="11:11" x14ac:dyDescent="0.25">
      <c r="K4403"/>
    </row>
    <row r="4404" spans="11:11" x14ac:dyDescent="0.25">
      <c r="K4404"/>
    </row>
    <row r="4405" spans="11:11" x14ac:dyDescent="0.25">
      <c r="K4405"/>
    </row>
    <row r="4406" spans="11:11" x14ac:dyDescent="0.25">
      <c r="K4406"/>
    </row>
    <row r="4407" spans="11:11" x14ac:dyDescent="0.25">
      <c r="K4407"/>
    </row>
    <row r="4408" spans="11:11" x14ac:dyDescent="0.25">
      <c r="K4408"/>
    </row>
    <row r="4409" spans="11:11" x14ac:dyDescent="0.25">
      <c r="K4409"/>
    </row>
    <row r="4410" spans="11:11" x14ac:dyDescent="0.25">
      <c r="K4410"/>
    </row>
    <row r="4411" spans="11:11" x14ac:dyDescent="0.25">
      <c r="K4411"/>
    </row>
    <row r="4412" spans="11:11" x14ac:dyDescent="0.25">
      <c r="K4412"/>
    </row>
    <row r="4413" spans="11:11" x14ac:dyDescent="0.25">
      <c r="K4413"/>
    </row>
    <row r="4414" spans="11:11" x14ac:dyDescent="0.25">
      <c r="K4414"/>
    </row>
    <row r="4415" spans="11:11" x14ac:dyDescent="0.25">
      <c r="K4415"/>
    </row>
    <row r="4416" spans="11:11" x14ac:dyDescent="0.25">
      <c r="K4416"/>
    </row>
    <row r="4417" spans="11:11" x14ac:dyDescent="0.25">
      <c r="K4417"/>
    </row>
    <row r="4418" spans="11:11" x14ac:dyDescent="0.25">
      <c r="K4418"/>
    </row>
    <row r="4419" spans="11:11" x14ac:dyDescent="0.25">
      <c r="K4419"/>
    </row>
    <row r="4420" spans="11:11" x14ac:dyDescent="0.25">
      <c r="K4420"/>
    </row>
    <row r="4421" spans="11:11" x14ac:dyDescent="0.25">
      <c r="K4421"/>
    </row>
    <row r="4422" spans="11:11" x14ac:dyDescent="0.25">
      <c r="K4422"/>
    </row>
    <row r="4423" spans="11:11" x14ac:dyDescent="0.25">
      <c r="K4423"/>
    </row>
    <row r="4424" spans="11:11" x14ac:dyDescent="0.25">
      <c r="K4424"/>
    </row>
    <row r="4425" spans="11:11" x14ac:dyDescent="0.25">
      <c r="K4425"/>
    </row>
    <row r="4426" spans="11:11" x14ac:dyDescent="0.25">
      <c r="K4426"/>
    </row>
    <row r="4427" spans="11:11" x14ac:dyDescent="0.25">
      <c r="K4427"/>
    </row>
    <row r="4428" spans="11:11" x14ac:dyDescent="0.25">
      <c r="K4428"/>
    </row>
    <row r="4429" spans="11:11" x14ac:dyDescent="0.25">
      <c r="K4429"/>
    </row>
    <row r="4430" spans="11:11" x14ac:dyDescent="0.25">
      <c r="K4430"/>
    </row>
    <row r="4431" spans="11:11" x14ac:dyDescent="0.25">
      <c r="K4431"/>
    </row>
    <row r="4432" spans="11:11" x14ac:dyDescent="0.25">
      <c r="K4432"/>
    </row>
    <row r="4433" spans="11:11" x14ac:dyDescent="0.25">
      <c r="K4433"/>
    </row>
    <row r="4434" spans="11:11" x14ac:dyDescent="0.25">
      <c r="K4434"/>
    </row>
    <row r="4435" spans="11:11" x14ac:dyDescent="0.25">
      <c r="K4435"/>
    </row>
    <row r="4436" spans="11:11" x14ac:dyDescent="0.25">
      <c r="K4436"/>
    </row>
    <row r="4437" spans="11:11" x14ac:dyDescent="0.25">
      <c r="K4437"/>
    </row>
    <row r="4438" spans="11:11" x14ac:dyDescent="0.25">
      <c r="K4438"/>
    </row>
    <row r="4439" spans="11:11" x14ac:dyDescent="0.25">
      <c r="K4439"/>
    </row>
    <row r="4440" spans="11:11" x14ac:dyDescent="0.25">
      <c r="K4440"/>
    </row>
    <row r="4441" spans="11:11" x14ac:dyDescent="0.25">
      <c r="K4441"/>
    </row>
    <row r="4442" spans="11:11" x14ac:dyDescent="0.25">
      <c r="K4442"/>
    </row>
    <row r="4443" spans="11:11" x14ac:dyDescent="0.25">
      <c r="K4443"/>
    </row>
    <row r="4444" spans="11:11" x14ac:dyDescent="0.25">
      <c r="K4444"/>
    </row>
    <row r="4445" spans="11:11" x14ac:dyDescent="0.25">
      <c r="K4445"/>
    </row>
    <row r="4446" spans="11:11" x14ac:dyDescent="0.25">
      <c r="K4446"/>
    </row>
    <row r="4447" spans="11:11" x14ac:dyDescent="0.25">
      <c r="K4447"/>
    </row>
    <row r="4448" spans="11:11" x14ac:dyDescent="0.25">
      <c r="K4448"/>
    </row>
    <row r="4449" spans="11:11" x14ac:dyDescent="0.25">
      <c r="K4449"/>
    </row>
    <row r="4450" spans="11:11" x14ac:dyDescent="0.25">
      <c r="K4450"/>
    </row>
    <row r="4451" spans="11:11" x14ac:dyDescent="0.25">
      <c r="K4451"/>
    </row>
    <row r="4452" spans="11:11" x14ac:dyDescent="0.25">
      <c r="K4452"/>
    </row>
    <row r="4453" spans="11:11" x14ac:dyDescent="0.25">
      <c r="K4453"/>
    </row>
    <row r="4454" spans="11:11" x14ac:dyDescent="0.25">
      <c r="K4454"/>
    </row>
    <row r="4455" spans="11:11" x14ac:dyDescent="0.25">
      <c r="K4455"/>
    </row>
    <row r="4456" spans="11:11" x14ac:dyDescent="0.25">
      <c r="K4456"/>
    </row>
    <row r="4457" spans="11:11" x14ac:dyDescent="0.25">
      <c r="K4457"/>
    </row>
    <row r="4458" spans="11:11" x14ac:dyDescent="0.25">
      <c r="K4458"/>
    </row>
    <row r="4459" spans="11:11" x14ac:dyDescent="0.25">
      <c r="K4459"/>
    </row>
    <row r="4460" spans="11:11" x14ac:dyDescent="0.25">
      <c r="K4460"/>
    </row>
    <row r="4461" spans="11:11" x14ac:dyDescent="0.25">
      <c r="K4461"/>
    </row>
    <row r="4462" spans="11:11" x14ac:dyDescent="0.25">
      <c r="K4462"/>
    </row>
    <row r="4463" spans="11:11" x14ac:dyDescent="0.25">
      <c r="K4463"/>
    </row>
    <row r="4464" spans="11:11" x14ac:dyDescent="0.25">
      <c r="K4464"/>
    </row>
    <row r="4465" spans="11:11" x14ac:dyDescent="0.25">
      <c r="K4465"/>
    </row>
    <row r="4466" spans="11:11" x14ac:dyDescent="0.25">
      <c r="K4466"/>
    </row>
    <row r="4467" spans="11:11" x14ac:dyDescent="0.25">
      <c r="K4467"/>
    </row>
    <row r="4468" spans="11:11" x14ac:dyDescent="0.25">
      <c r="K4468"/>
    </row>
    <row r="4469" spans="11:11" x14ac:dyDescent="0.25">
      <c r="K4469"/>
    </row>
    <row r="4470" spans="11:11" x14ac:dyDescent="0.25">
      <c r="K4470"/>
    </row>
    <row r="4471" spans="11:11" x14ac:dyDescent="0.25">
      <c r="K4471"/>
    </row>
    <row r="4472" spans="11:11" x14ac:dyDescent="0.25">
      <c r="K4472"/>
    </row>
    <row r="4473" spans="11:11" x14ac:dyDescent="0.25">
      <c r="K4473"/>
    </row>
    <row r="4474" spans="11:11" x14ac:dyDescent="0.25">
      <c r="K4474"/>
    </row>
    <row r="4475" spans="11:11" x14ac:dyDescent="0.25">
      <c r="K4475"/>
    </row>
    <row r="4476" spans="11:11" x14ac:dyDescent="0.25">
      <c r="K4476"/>
    </row>
    <row r="4477" spans="11:11" x14ac:dyDescent="0.25">
      <c r="K4477"/>
    </row>
    <row r="4478" spans="11:11" x14ac:dyDescent="0.25">
      <c r="K4478"/>
    </row>
    <row r="4479" spans="11:11" x14ac:dyDescent="0.25">
      <c r="K4479"/>
    </row>
    <row r="4480" spans="11:11" x14ac:dyDescent="0.25">
      <c r="K4480"/>
    </row>
    <row r="4481" spans="11:11" x14ac:dyDescent="0.25">
      <c r="K4481"/>
    </row>
    <row r="4482" spans="11:11" x14ac:dyDescent="0.25">
      <c r="K4482"/>
    </row>
    <row r="4483" spans="11:11" x14ac:dyDescent="0.25">
      <c r="K4483"/>
    </row>
    <row r="4484" spans="11:11" x14ac:dyDescent="0.25">
      <c r="K4484"/>
    </row>
    <row r="4485" spans="11:11" x14ac:dyDescent="0.25">
      <c r="K4485"/>
    </row>
    <row r="4486" spans="11:11" x14ac:dyDescent="0.25">
      <c r="K4486"/>
    </row>
    <row r="4487" spans="11:11" x14ac:dyDescent="0.25">
      <c r="K4487"/>
    </row>
    <row r="4488" spans="11:11" x14ac:dyDescent="0.25">
      <c r="K4488"/>
    </row>
    <row r="4489" spans="11:11" x14ac:dyDescent="0.25">
      <c r="K4489"/>
    </row>
    <row r="4490" spans="11:11" x14ac:dyDescent="0.25">
      <c r="K4490"/>
    </row>
    <row r="4491" spans="11:11" x14ac:dyDescent="0.25">
      <c r="K4491"/>
    </row>
    <row r="4492" spans="11:11" x14ac:dyDescent="0.25">
      <c r="K4492"/>
    </row>
    <row r="4493" spans="11:11" x14ac:dyDescent="0.25">
      <c r="K4493"/>
    </row>
    <row r="4494" spans="11:11" x14ac:dyDescent="0.25">
      <c r="K4494"/>
    </row>
    <row r="4495" spans="11:11" x14ac:dyDescent="0.25">
      <c r="K4495"/>
    </row>
    <row r="4496" spans="11:11" x14ac:dyDescent="0.25">
      <c r="K4496"/>
    </row>
    <row r="4497" spans="11:11" x14ac:dyDescent="0.25">
      <c r="K4497"/>
    </row>
    <row r="4498" spans="11:11" x14ac:dyDescent="0.25">
      <c r="K4498"/>
    </row>
    <row r="4499" spans="11:11" x14ac:dyDescent="0.25">
      <c r="K4499"/>
    </row>
    <row r="4500" spans="11:11" x14ac:dyDescent="0.25">
      <c r="K4500"/>
    </row>
    <row r="4501" spans="11:11" x14ac:dyDescent="0.25">
      <c r="K4501"/>
    </row>
    <row r="4502" spans="11:11" x14ac:dyDescent="0.25">
      <c r="K4502"/>
    </row>
    <row r="4503" spans="11:11" x14ac:dyDescent="0.25">
      <c r="K4503"/>
    </row>
    <row r="4504" spans="11:11" x14ac:dyDescent="0.25">
      <c r="K4504"/>
    </row>
    <row r="4505" spans="11:11" x14ac:dyDescent="0.25">
      <c r="K4505"/>
    </row>
    <row r="4506" spans="11:11" x14ac:dyDescent="0.25">
      <c r="K4506"/>
    </row>
    <row r="4507" spans="11:11" x14ac:dyDescent="0.25">
      <c r="K4507"/>
    </row>
    <row r="4508" spans="11:11" x14ac:dyDescent="0.25">
      <c r="K4508"/>
    </row>
    <row r="4509" spans="11:11" x14ac:dyDescent="0.25">
      <c r="K4509"/>
    </row>
    <row r="4510" spans="11:11" x14ac:dyDescent="0.25">
      <c r="K4510"/>
    </row>
    <row r="4511" spans="11:11" x14ac:dyDescent="0.25">
      <c r="K4511"/>
    </row>
    <row r="4512" spans="11:11" x14ac:dyDescent="0.25">
      <c r="K4512"/>
    </row>
    <row r="4513" spans="11:11" x14ac:dyDescent="0.25">
      <c r="K4513"/>
    </row>
    <row r="4514" spans="11:11" x14ac:dyDescent="0.25">
      <c r="K4514"/>
    </row>
    <row r="4515" spans="11:11" x14ac:dyDescent="0.25">
      <c r="K4515"/>
    </row>
    <row r="4516" spans="11:11" x14ac:dyDescent="0.25">
      <c r="K4516"/>
    </row>
    <row r="4517" spans="11:11" x14ac:dyDescent="0.25">
      <c r="K4517"/>
    </row>
    <row r="4518" spans="11:11" x14ac:dyDescent="0.25">
      <c r="K4518"/>
    </row>
    <row r="4519" spans="11:11" x14ac:dyDescent="0.25">
      <c r="K4519"/>
    </row>
    <row r="4520" spans="11:11" x14ac:dyDescent="0.25">
      <c r="K4520"/>
    </row>
    <row r="4521" spans="11:11" x14ac:dyDescent="0.25">
      <c r="K4521"/>
    </row>
    <row r="4522" spans="11:11" x14ac:dyDescent="0.25">
      <c r="K4522"/>
    </row>
    <row r="4523" spans="11:11" x14ac:dyDescent="0.25">
      <c r="K4523"/>
    </row>
    <row r="4524" spans="11:11" x14ac:dyDescent="0.25">
      <c r="K4524"/>
    </row>
    <row r="4525" spans="11:11" x14ac:dyDescent="0.25">
      <c r="K4525"/>
    </row>
    <row r="4526" spans="11:11" x14ac:dyDescent="0.25">
      <c r="K4526"/>
    </row>
    <row r="4527" spans="11:11" x14ac:dyDescent="0.25">
      <c r="K4527"/>
    </row>
    <row r="4528" spans="11:11" x14ac:dyDescent="0.25">
      <c r="K4528"/>
    </row>
    <row r="4529" spans="11:11" x14ac:dyDescent="0.25">
      <c r="K4529"/>
    </row>
    <row r="4530" spans="11:11" x14ac:dyDescent="0.25">
      <c r="K4530"/>
    </row>
    <row r="4531" spans="11:11" x14ac:dyDescent="0.25">
      <c r="K4531"/>
    </row>
    <row r="4532" spans="11:11" x14ac:dyDescent="0.25">
      <c r="K4532"/>
    </row>
    <row r="4533" spans="11:11" x14ac:dyDescent="0.25">
      <c r="K4533"/>
    </row>
    <row r="4534" spans="11:11" x14ac:dyDescent="0.25">
      <c r="K4534"/>
    </row>
    <row r="4535" spans="11:11" x14ac:dyDescent="0.25">
      <c r="K4535"/>
    </row>
    <row r="4536" spans="11:11" x14ac:dyDescent="0.25">
      <c r="K4536"/>
    </row>
    <row r="4537" spans="11:11" x14ac:dyDescent="0.25">
      <c r="K4537"/>
    </row>
    <row r="4538" spans="11:11" x14ac:dyDescent="0.25">
      <c r="K4538"/>
    </row>
    <row r="4539" spans="11:11" x14ac:dyDescent="0.25">
      <c r="K4539"/>
    </row>
    <row r="4540" spans="11:11" x14ac:dyDescent="0.25">
      <c r="K4540"/>
    </row>
    <row r="4541" spans="11:11" x14ac:dyDescent="0.25">
      <c r="K4541"/>
    </row>
    <row r="4542" spans="11:11" x14ac:dyDescent="0.25">
      <c r="K4542"/>
    </row>
    <row r="4543" spans="11:11" x14ac:dyDescent="0.25">
      <c r="K4543"/>
    </row>
    <row r="4544" spans="11:11" x14ac:dyDescent="0.25">
      <c r="K4544"/>
    </row>
    <row r="4545" spans="11:11" x14ac:dyDescent="0.25">
      <c r="K4545"/>
    </row>
    <row r="4546" spans="11:11" x14ac:dyDescent="0.25">
      <c r="K4546"/>
    </row>
    <row r="4547" spans="11:11" x14ac:dyDescent="0.25">
      <c r="K4547"/>
    </row>
    <row r="4548" spans="11:11" x14ac:dyDescent="0.25">
      <c r="K4548"/>
    </row>
    <row r="4549" spans="11:11" x14ac:dyDescent="0.25">
      <c r="K4549"/>
    </row>
    <row r="4550" spans="11:11" x14ac:dyDescent="0.25">
      <c r="K4550"/>
    </row>
    <row r="4551" spans="11:11" x14ac:dyDescent="0.25">
      <c r="K4551"/>
    </row>
    <row r="4552" spans="11:11" x14ac:dyDescent="0.25">
      <c r="K4552"/>
    </row>
    <row r="4553" spans="11:11" x14ac:dyDescent="0.25">
      <c r="K4553"/>
    </row>
    <row r="4554" spans="11:11" x14ac:dyDescent="0.25">
      <c r="K4554"/>
    </row>
    <row r="4555" spans="11:11" x14ac:dyDescent="0.25">
      <c r="K4555"/>
    </row>
    <row r="4556" spans="11:11" x14ac:dyDescent="0.25">
      <c r="K4556"/>
    </row>
    <row r="4557" spans="11:11" x14ac:dyDescent="0.25">
      <c r="K4557"/>
    </row>
    <row r="4558" spans="11:11" x14ac:dyDescent="0.25">
      <c r="K4558"/>
    </row>
    <row r="4559" spans="11:11" x14ac:dyDescent="0.25">
      <c r="K4559"/>
    </row>
    <row r="4560" spans="11:11" x14ac:dyDescent="0.25">
      <c r="K4560"/>
    </row>
    <row r="4561" spans="11:11" x14ac:dyDescent="0.25">
      <c r="K4561"/>
    </row>
    <row r="4562" spans="11:11" x14ac:dyDescent="0.25">
      <c r="K4562"/>
    </row>
    <row r="4563" spans="11:11" x14ac:dyDescent="0.25">
      <c r="K4563"/>
    </row>
    <row r="4564" spans="11:11" x14ac:dyDescent="0.25">
      <c r="K4564"/>
    </row>
    <row r="4565" spans="11:11" x14ac:dyDescent="0.25">
      <c r="K4565"/>
    </row>
    <row r="4566" spans="11:11" x14ac:dyDescent="0.25">
      <c r="K4566"/>
    </row>
    <row r="4567" spans="11:11" x14ac:dyDescent="0.25">
      <c r="K4567"/>
    </row>
    <row r="4568" spans="11:11" x14ac:dyDescent="0.25">
      <c r="K4568"/>
    </row>
    <row r="4569" spans="11:11" x14ac:dyDescent="0.25">
      <c r="K4569"/>
    </row>
    <row r="4570" spans="11:11" x14ac:dyDescent="0.25">
      <c r="K4570"/>
    </row>
    <row r="4571" spans="11:11" x14ac:dyDescent="0.25">
      <c r="K4571"/>
    </row>
    <row r="4572" spans="11:11" x14ac:dyDescent="0.25">
      <c r="K4572"/>
    </row>
    <row r="4573" spans="11:11" x14ac:dyDescent="0.25">
      <c r="K4573"/>
    </row>
    <row r="4574" spans="11:11" x14ac:dyDescent="0.25">
      <c r="K4574"/>
    </row>
    <row r="4575" spans="11:11" x14ac:dyDescent="0.25">
      <c r="K4575"/>
    </row>
    <row r="4576" spans="11:11" x14ac:dyDescent="0.25">
      <c r="K4576"/>
    </row>
    <row r="4577" spans="11:11" x14ac:dyDescent="0.25">
      <c r="K4577"/>
    </row>
    <row r="4578" spans="11:11" x14ac:dyDescent="0.25">
      <c r="K4578"/>
    </row>
    <row r="4579" spans="11:11" x14ac:dyDescent="0.25">
      <c r="K4579"/>
    </row>
    <row r="4580" spans="11:11" x14ac:dyDescent="0.25">
      <c r="K4580"/>
    </row>
    <row r="4581" spans="11:11" x14ac:dyDescent="0.25">
      <c r="K4581"/>
    </row>
    <row r="4582" spans="11:11" x14ac:dyDescent="0.25">
      <c r="K4582"/>
    </row>
    <row r="4583" spans="11:11" x14ac:dyDescent="0.25">
      <c r="K4583"/>
    </row>
    <row r="4584" spans="11:11" x14ac:dyDescent="0.25">
      <c r="K4584"/>
    </row>
    <row r="4585" spans="11:11" x14ac:dyDescent="0.25">
      <c r="K4585"/>
    </row>
    <row r="4586" spans="11:11" x14ac:dyDescent="0.25">
      <c r="K4586"/>
    </row>
    <row r="4587" spans="11:11" x14ac:dyDescent="0.25">
      <c r="K4587"/>
    </row>
    <row r="4588" spans="11:11" x14ac:dyDescent="0.25">
      <c r="K4588"/>
    </row>
    <row r="4589" spans="11:11" x14ac:dyDescent="0.25">
      <c r="K4589"/>
    </row>
    <row r="4590" spans="11:11" x14ac:dyDescent="0.25">
      <c r="K4590"/>
    </row>
    <row r="4591" spans="11:11" x14ac:dyDescent="0.25">
      <c r="K4591"/>
    </row>
    <row r="4592" spans="11:11" x14ac:dyDescent="0.25">
      <c r="K4592"/>
    </row>
    <row r="4593" spans="11:11" x14ac:dyDescent="0.25">
      <c r="K4593"/>
    </row>
    <row r="4594" spans="11:11" x14ac:dyDescent="0.25">
      <c r="K4594"/>
    </row>
    <row r="4595" spans="11:11" x14ac:dyDescent="0.25">
      <c r="K4595"/>
    </row>
    <row r="4596" spans="11:11" x14ac:dyDescent="0.25">
      <c r="K4596"/>
    </row>
    <row r="4597" spans="11:11" x14ac:dyDescent="0.25">
      <c r="K4597"/>
    </row>
    <row r="4598" spans="11:11" x14ac:dyDescent="0.25">
      <c r="K4598"/>
    </row>
    <row r="4599" spans="11:11" x14ac:dyDescent="0.25">
      <c r="K4599"/>
    </row>
    <row r="4600" spans="11:11" x14ac:dyDescent="0.25">
      <c r="K4600"/>
    </row>
    <row r="4601" spans="11:11" x14ac:dyDescent="0.25">
      <c r="K4601"/>
    </row>
    <row r="4602" spans="11:11" x14ac:dyDescent="0.25">
      <c r="K4602"/>
    </row>
    <row r="4603" spans="11:11" x14ac:dyDescent="0.25">
      <c r="K4603"/>
    </row>
    <row r="4604" spans="11:11" x14ac:dyDescent="0.25">
      <c r="K4604"/>
    </row>
    <row r="4605" spans="11:11" x14ac:dyDescent="0.25">
      <c r="K4605"/>
    </row>
    <row r="4606" spans="11:11" x14ac:dyDescent="0.25">
      <c r="K4606"/>
    </row>
    <row r="4607" spans="11:11" x14ac:dyDescent="0.25">
      <c r="K4607"/>
    </row>
    <row r="4608" spans="11:11" x14ac:dyDescent="0.25">
      <c r="K4608"/>
    </row>
    <row r="4609" spans="11:11" x14ac:dyDescent="0.25">
      <c r="K4609"/>
    </row>
    <row r="4610" spans="11:11" x14ac:dyDescent="0.25">
      <c r="K4610"/>
    </row>
    <row r="4611" spans="11:11" x14ac:dyDescent="0.25">
      <c r="K4611"/>
    </row>
    <row r="4612" spans="11:11" x14ac:dyDescent="0.25">
      <c r="K4612"/>
    </row>
    <row r="4613" spans="11:11" x14ac:dyDescent="0.25">
      <c r="K4613"/>
    </row>
    <row r="4614" spans="11:11" x14ac:dyDescent="0.25">
      <c r="K4614"/>
    </row>
    <row r="4615" spans="11:11" x14ac:dyDescent="0.25">
      <c r="K4615"/>
    </row>
    <row r="4616" spans="11:11" x14ac:dyDescent="0.25">
      <c r="K4616"/>
    </row>
    <row r="4617" spans="11:11" x14ac:dyDescent="0.25">
      <c r="K4617"/>
    </row>
    <row r="4618" spans="11:11" x14ac:dyDescent="0.25">
      <c r="K4618"/>
    </row>
    <row r="4619" spans="11:11" x14ac:dyDescent="0.25">
      <c r="K4619"/>
    </row>
    <row r="4620" spans="11:11" x14ac:dyDescent="0.25">
      <c r="K4620"/>
    </row>
    <row r="4621" spans="11:11" x14ac:dyDescent="0.25">
      <c r="K4621"/>
    </row>
    <row r="4622" spans="11:11" x14ac:dyDescent="0.25">
      <c r="K4622"/>
    </row>
    <row r="4623" spans="11:11" x14ac:dyDescent="0.25">
      <c r="K4623"/>
    </row>
    <row r="4624" spans="11:11" x14ac:dyDescent="0.25">
      <c r="K4624"/>
    </row>
    <row r="4625" spans="11:11" x14ac:dyDescent="0.25">
      <c r="K4625"/>
    </row>
    <row r="4626" spans="11:11" x14ac:dyDescent="0.25">
      <c r="K4626"/>
    </row>
    <row r="4627" spans="11:11" x14ac:dyDescent="0.25">
      <c r="K4627"/>
    </row>
    <row r="4628" spans="11:11" x14ac:dyDescent="0.25">
      <c r="K4628"/>
    </row>
    <row r="4629" spans="11:11" x14ac:dyDescent="0.25">
      <c r="K4629"/>
    </row>
    <row r="4630" spans="11:11" x14ac:dyDescent="0.25">
      <c r="K4630"/>
    </row>
    <row r="4631" spans="11:11" x14ac:dyDescent="0.25">
      <c r="K4631"/>
    </row>
    <row r="4632" spans="11:11" x14ac:dyDescent="0.25">
      <c r="K4632"/>
    </row>
    <row r="4633" spans="11:11" x14ac:dyDescent="0.25">
      <c r="K4633"/>
    </row>
    <row r="4634" spans="11:11" x14ac:dyDescent="0.25">
      <c r="K4634"/>
    </row>
    <row r="4635" spans="11:11" x14ac:dyDescent="0.25">
      <c r="K4635"/>
    </row>
    <row r="4636" spans="11:11" x14ac:dyDescent="0.25">
      <c r="K4636"/>
    </row>
    <row r="4637" spans="11:11" x14ac:dyDescent="0.25">
      <c r="K4637"/>
    </row>
    <row r="4638" spans="11:11" x14ac:dyDescent="0.25">
      <c r="K4638"/>
    </row>
    <row r="4639" spans="11:11" x14ac:dyDescent="0.25">
      <c r="K4639"/>
    </row>
    <row r="4640" spans="11:11" x14ac:dyDescent="0.25">
      <c r="K4640"/>
    </row>
    <row r="4641" spans="11:11" x14ac:dyDescent="0.25">
      <c r="K4641"/>
    </row>
    <row r="4642" spans="11:11" x14ac:dyDescent="0.25">
      <c r="K4642"/>
    </row>
    <row r="4643" spans="11:11" x14ac:dyDescent="0.25">
      <c r="K4643"/>
    </row>
    <row r="4644" spans="11:11" x14ac:dyDescent="0.25">
      <c r="K4644"/>
    </row>
    <row r="4645" spans="11:11" x14ac:dyDescent="0.25">
      <c r="K4645"/>
    </row>
    <row r="4646" spans="11:11" x14ac:dyDescent="0.25">
      <c r="K4646"/>
    </row>
    <row r="4647" spans="11:11" x14ac:dyDescent="0.25">
      <c r="K4647"/>
    </row>
    <row r="4648" spans="11:11" x14ac:dyDescent="0.25">
      <c r="K4648"/>
    </row>
    <row r="4649" spans="11:11" x14ac:dyDescent="0.25">
      <c r="K4649"/>
    </row>
    <row r="4650" spans="11:11" x14ac:dyDescent="0.25">
      <c r="K4650"/>
    </row>
    <row r="4651" spans="11:11" x14ac:dyDescent="0.25">
      <c r="K4651"/>
    </row>
    <row r="4652" spans="11:11" x14ac:dyDescent="0.25">
      <c r="K4652"/>
    </row>
    <row r="4653" spans="11:11" x14ac:dyDescent="0.25">
      <c r="K4653"/>
    </row>
    <row r="4654" spans="11:11" x14ac:dyDescent="0.25">
      <c r="K4654"/>
    </row>
    <row r="4655" spans="11:11" x14ac:dyDescent="0.25">
      <c r="K4655"/>
    </row>
    <row r="4656" spans="11:11" x14ac:dyDescent="0.25">
      <c r="K4656"/>
    </row>
    <row r="4657" spans="11:11" x14ac:dyDescent="0.25">
      <c r="K4657"/>
    </row>
    <row r="4658" spans="11:11" x14ac:dyDescent="0.25">
      <c r="K4658"/>
    </row>
    <row r="4659" spans="11:11" x14ac:dyDescent="0.25">
      <c r="K4659"/>
    </row>
    <row r="4660" spans="11:11" x14ac:dyDescent="0.25">
      <c r="K4660"/>
    </row>
    <row r="4661" spans="11:11" x14ac:dyDescent="0.25">
      <c r="K4661"/>
    </row>
    <row r="4662" spans="11:11" x14ac:dyDescent="0.25">
      <c r="K4662"/>
    </row>
    <row r="4663" spans="11:11" x14ac:dyDescent="0.25">
      <c r="K4663"/>
    </row>
    <row r="4664" spans="11:11" x14ac:dyDescent="0.25">
      <c r="K4664"/>
    </row>
    <row r="4665" spans="11:11" x14ac:dyDescent="0.25">
      <c r="K4665"/>
    </row>
    <row r="4666" spans="11:11" x14ac:dyDescent="0.25">
      <c r="K4666"/>
    </row>
    <row r="4667" spans="11:11" x14ac:dyDescent="0.25">
      <c r="K4667"/>
    </row>
    <row r="4668" spans="11:11" x14ac:dyDescent="0.25">
      <c r="K4668"/>
    </row>
    <row r="4669" spans="11:11" x14ac:dyDescent="0.25">
      <c r="K4669"/>
    </row>
    <row r="4670" spans="11:11" x14ac:dyDescent="0.25">
      <c r="K4670"/>
    </row>
    <row r="4671" spans="11:11" x14ac:dyDescent="0.25">
      <c r="K4671"/>
    </row>
    <row r="4672" spans="11:11" x14ac:dyDescent="0.25">
      <c r="K4672"/>
    </row>
    <row r="4673" spans="11:11" x14ac:dyDescent="0.25">
      <c r="K4673"/>
    </row>
    <row r="4674" spans="11:11" x14ac:dyDescent="0.25">
      <c r="K4674"/>
    </row>
    <row r="4675" spans="11:11" x14ac:dyDescent="0.25">
      <c r="K4675"/>
    </row>
    <row r="4676" spans="11:11" x14ac:dyDescent="0.25">
      <c r="K4676"/>
    </row>
    <row r="4677" spans="11:11" x14ac:dyDescent="0.25">
      <c r="K4677"/>
    </row>
    <row r="4678" spans="11:11" x14ac:dyDescent="0.25">
      <c r="K4678"/>
    </row>
    <row r="4679" spans="11:11" x14ac:dyDescent="0.25">
      <c r="K4679"/>
    </row>
    <row r="4680" spans="11:11" x14ac:dyDescent="0.25">
      <c r="K4680"/>
    </row>
    <row r="4681" spans="11:11" x14ac:dyDescent="0.25">
      <c r="K4681"/>
    </row>
    <row r="4682" spans="11:11" x14ac:dyDescent="0.25">
      <c r="K4682"/>
    </row>
    <row r="4683" spans="11:11" x14ac:dyDescent="0.25">
      <c r="K4683"/>
    </row>
    <row r="4684" spans="11:11" x14ac:dyDescent="0.25">
      <c r="K4684"/>
    </row>
    <row r="4685" spans="11:11" x14ac:dyDescent="0.25">
      <c r="K4685"/>
    </row>
    <row r="4686" spans="11:11" x14ac:dyDescent="0.25">
      <c r="K4686"/>
    </row>
    <row r="4687" spans="11:11" x14ac:dyDescent="0.25">
      <c r="K4687"/>
    </row>
    <row r="4688" spans="11:11" x14ac:dyDescent="0.25">
      <c r="K4688"/>
    </row>
    <row r="4689" spans="11:11" x14ac:dyDescent="0.25">
      <c r="K4689"/>
    </row>
    <row r="4690" spans="11:11" x14ac:dyDescent="0.25">
      <c r="K4690"/>
    </row>
    <row r="4691" spans="11:11" x14ac:dyDescent="0.25">
      <c r="K4691"/>
    </row>
    <row r="4692" spans="11:11" x14ac:dyDescent="0.25">
      <c r="K4692"/>
    </row>
    <row r="4693" spans="11:11" x14ac:dyDescent="0.25">
      <c r="K4693"/>
    </row>
    <row r="4694" spans="11:11" x14ac:dyDescent="0.25">
      <c r="K4694"/>
    </row>
    <row r="4695" spans="11:11" x14ac:dyDescent="0.25">
      <c r="K4695"/>
    </row>
    <row r="4696" spans="11:11" x14ac:dyDescent="0.25">
      <c r="K4696"/>
    </row>
    <row r="4697" spans="11:11" x14ac:dyDescent="0.25">
      <c r="K4697"/>
    </row>
    <row r="4698" spans="11:11" x14ac:dyDescent="0.25">
      <c r="K4698"/>
    </row>
    <row r="4699" spans="11:11" x14ac:dyDescent="0.25">
      <c r="K4699"/>
    </row>
    <row r="4700" spans="11:11" x14ac:dyDescent="0.25">
      <c r="K4700"/>
    </row>
    <row r="4701" spans="11:11" x14ac:dyDescent="0.25">
      <c r="K4701"/>
    </row>
    <row r="4702" spans="11:11" x14ac:dyDescent="0.25">
      <c r="K4702"/>
    </row>
    <row r="4703" spans="11:11" x14ac:dyDescent="0.25">
      <c r="K4703"/>
    </row>
    <row r="4704" spans="11:11" x14ac:dyDescent="0.25">
      <c r="K4704"/>
    </row>
    <row r="4705" spans="11:11" x14ac:dyDescent="0.25">
      <c r="K4705"/>
    </row>
    <row r="4706" spans="11:11" x14ac:dyDescent="0.25">
      <c r="K4706"/>
    </row>
    <row r="4707" spans="11:11" x14ac:dyDescent="0.25">
      <c r="K4707"/>
    </row>
    <row r="4708" spans="11:11" x14ac:dyDescent="0.25">
      <c r="K4708"/>
    </row>
    <row r="4709" spans="11:11" x14ac:dyDescent="0.25">
      <c r="K4709"/>
    </row>
    <row r="4710" spans="11:11" x14ac:dyDescent="0.25">
      <c r="K4710"/>
    </row>
    <row r="4711" spans="11:11" x14ac:dyDescent="0.25">
      <c r="K4711"/>
    </row>
    <row r="4712" spans="11:11" x14ac:dyDescent="0.25">
      <c r="K4712"/>
    </row>
    <row r="4713" spans="11:11" x14ac:dyDescent="0.25">
      <c r="K4713"/>
    </row>
    <row r="4714" spans="11:11" x14ac:dyDescent="0.25">
      <c r="K4714"/>
    </row>
    <row r="4715" spans="11:11" x14ac:dyDescent="0.25">
      <c r="K4715"/>
    </row>
    <row r="4716" spans="11:11" x14ac:dyDescent="0.25">
      <c r="K4716"/>
    </row>
    <row r="4717" spans="11:11" x14ac:dyDescent="0.25">
      <c r="K4717"/>
    </row>
    <row r="4718" spans="11:11" x14ac:dyDescent="0.25">
      <c r="K4718"/>
    </row>
    <row r="4719" spans="11:11" x14ac:dyDescent="0.25">
      <c r="K4719"/>
    </row>
    <row r="4720" spans="11:11" x14ac:dyDescent="0.25">
      <c r="K4720"/>
    </row>
    <row r="4721" spans="11:11" x14ac:dyDescent="0.25">
      <c r="K4721"/>
    </row>
    <row r="4722" spans="11:11" x14ac:dyDescent="0.25">
      <c r="K4722"/>
    </row>
    <row r="4723" spans="11:11" x14ac:dyDescent="0.25">
      <c r="K4723"/>
    </row>
    <row r="4724" spans="11:11" x14ac:dyDescent="0.25">
      <c r="K4724"/>
    </row>
    <row r="4725" spans="11:11" x14ac:dyDescent="0.25">
      <c r="K4725"/>
    </row>
    <row r="4726" spans="11:11" x14ac:dyDescent="0.25">
      <c r="K4726"/>
    </row>
    <row r="4727" spans="11:11" x14ac:dyDescent="0.25">
      <c r="K4727"/>
    </row>
    <row r="4728" spans="11:11" x14ac:dyDescent="0.25">
      <c r="K4728"/>
    </row>
    <row r="4729" spans="11:11" x14ac:dyDescent="0.25">
      <c r="K4729"/>
    </row>
    <row r="4730" spans="11:11" x14ac:dyDescent="0.25">
      <c r="K4730"/>
    </row>
    <row r="4731" spans="11:11" x14ac:dyDescent="0.25">
      <c r="K4731"/>
    </row>
    <row r="4732" spans="11:11" x14ac:dyDescent="0.25">
      <c r="K4732"/>
    </row>
    <row r="4733" spans="11:11" x14ac:dyDescent="0.25">
      <c r="K4733"/>
    </row>
    <row r="4734" spans="11:11" x14ac:dyDescent="0.25">
      <c r="K4734"/>
    </row>
    <row r="4735" spans="11:11" x14ac:dyDescent="0.25">
      <c r="K4735"/>
    </row>
    <row r="4736" spans="11:11" x14ac:dyDescent="0.25">
      <c r="K4736"/>
    </row>
    <row r="4737" spans="11:11" x14ac:dyDescent="0.25">
      <c r="K4737"/>
    </row>
    <row r="4738" spans="11:11" x14ac:dyDescent="0.25">
      <c r="K4738"/>
    </row>
    <row r="4739" spans="11:11" x14ac:dyDescent="0.25">
      <c r="K4739"/>
    </row>
    <row r="4740" spans="11:11" x14ac:dyDescent="0.25">
      <c r="K4740"/>
    </row>
    <row r="4741" spans="11:11" x14ac:dyDescent="0.25">
      <c r="K4741"/>
    </row>
    <row r="4742" spans="11:11" x14ac:dyDescent="0.25">
      <c r="K4742"/>
    </row>
    <row r="4743" spans="11:11" x14ac:dyDescent="0.25">
      <c r="K4743"/>
    </row>
    <row r="4744" spans="11:11" x14ac:dyDescent="0.25">
      <c r="K4744"/>
    </row>
    <row r="4745" spans="11:11" x14ac:dyDescent="0.25">
      <c r="K4745"/>
    </row>
    <row r="4746" spans="11:11" x14ac:dyDescent="0.25">
      <c r="K4746"/>
    </row>
    <row r="4747" spans="11:11" x14ac:dyDescent="0.25">
      <c r="K4747"/>
    </row>
    <row r="4748" spans="11:11" x14ac:dyDescent="0.25">
      <c r="K4748"/>
    </row>
    <row r="4749" spans="11:11" x14ac:dyDescent="0.25">
      <c r="K4749"/>
    </row>
    <row r="4750" spans="11:11" x14ac:dyDescent="0.25">
      <c r="K4750"/>
    </row>
    <row r="4751" spans="11:11" x14ac:dyDescent="0.25">
      <c r="K4751"/>
    </row>
    <row r="4752" spans="11:11" x14ac:dyDescent="0.25">
      <c r="K4752"/>
    </row>
    <row r="4753" spans="11:11" x14ac:dyDescent="0.25">
      <c r="K4753"/>
    </row>
    <row r="4754" spans="11:11" x14ac:dyDescent="0.25">
      <c r="K4754"/>
    </row>
    <row r="4755" spans="11:11" x14ac:dyDescent="0.25">
      <c r="K4755"/>
    </row>
    <row r="4756" spans="11:11" x14ac:dyDescent="0.25">
      <c r="K4756"/>
    </row>
    <row r="4757" spans="11:11" x14ac:dyDescent="0.25">
      <c r="K4757"/>
    </row>
    <row r="4758" spans="11:11" x14ac:dyDescent="0.25">
      <c r="K4758"/>
    </row>
    <row r="4759" spans="11:11" x14ac:dyDescent="0.25">
      <c r="K4759"/>
    </row>
    <row r="4760" spans="11:11" x14ac:dyDescent="0.25">
      <c r="K4760"/>
    </row>
    <row r="4761" spans="11:11" x14ac:dyDescent="0.25">
      <c r="K4761"/>
    </row>
    <row r="4762" spans="11:11" x14ac:dyDescent="0.25">
      <c r="K4762"/>
    </row>
    <row r="4763" spans="11:11" x14ac:dyDescent="0.25">
      <c r="K4763"/>
    </row>
    <row r="4764" spans="11:11" x14ac:dyDescent="0.25">
      <c r="K4764"/>
    </row>
    <row r="4765" spans="11:11" x14ac:dyDescent="0.25">
      <c r="K4765"/>
    </row>
    <row r="4766" spans="11:11" x14ac:dyDescent="0.25">
      <c r="K4766"/>
    </row>
    <row r="4767" spans="11:11" x14ac:dyDescent="0.25">
      <c r="K4767"/>
    </row>
    <row r="4768" spans="11:11" x14ac:dyDescent="0.25">
      <c r="K4768"/>
    </row>
    <row r="4769" spans="11:11" x14ac:dyDescent="0.25">
      <c r="K4769"/>
    </row>
    <row r="4770" spans="11:11" x14ac:dyDescent="0.25">
      <c r="K4770"/>
    </row>
    <row r="4771" spans="11:11" x14ac:dyDescent="0.25">
      <c r="K4771"/>
    </row>
    <row r="4772" spans="11:11" x14ac:dyDescent="0.25">
      <c r="K4772"/>
    </row>
    <row r="4773" spans="11:11" x14ac:dyDescent="0.25">
      <c r="K4773"/>
    </row>
    <row r="4774" spans="11:11" x14ac:dyDescent="0.25">
      <c r="K4774"/>
    </row>
    <row r="4775" spans="11:11" x14ac:dyDescent="0.25">
      <c r="K4775"/>
    </row>
    <row r="4776" spans="11:11" x14ac:dyDescent="0.25">
      <c r="K4776"/>
    </row>
    <row r="4777" spans="11:11" x14ac:dyDescent="0.25">
      <c r="K4777"/>
    </row>
    <row r="4778" spans="11:11" x14ac:dyDescent="0.25">
      <c r="K4778"/>
    </row>
    <row r="4779" spans="11:11" x14ac:dyDescent="0.25">
      <c r="K4779"/>
    </row>
    <row r="4780" spans="11:11" x14ac:dyDescent="0.25">
      <c r="K4780"/>
    </row>
    <row r="4781" spans="11:11" x14ac:dyDescent="0.25">
      <c r="K4781"/>
    </row>
    <row r="4782" spans="11:11" x14ac:dyDescent="0.25">
      <c r="K4782"/>
    </row>
    <row r="4783" spans="11:11" x14ac:dyDescent="0.25">
      <c r="K4783"/>
    </row>
    <row r="4784" spans="11:11" x14ac:dyDescent="0.25">
      <c r="K4784"/>
    </row>
    <row r="4785" spans="11:11" x14ac:dyDescent="0.25">
      <c r="K4785"/>
    </row>
    <row r="4786" spans="11:11" x14ac:dyDescent="0.25">
      <c r="K4786"/>
    </row>
    <row r="4787" spans="11:11" x14ac:dyDescent="0.25">
      <c r="K4787"/>
    </row>
    <row r="4788" spans="11:11" x14ac:dyDescent="0.25">
      <c r="K4788"/>
    </row>
    <row r="4789" spans="11:11" x14ac:dyDescent="0.25">
      <c r="K4789"/>
    </row>
    <row r="4790" spans="11:11" x14ac:dyDescent="0.25">
      <c r="K4790"/>
    </row>
    <row r="4791" spans="11:11" x14ac:dyDescent="0.25">
      <c r="K4791"/>
    </row>
    <row r="4792" spans="11:11" x14ac:dyDescent="0.25">
      <c r="K4792"/>
    </row>
    <row r="4793" spans="11:11" x14ac:dyDescent="0.25">
      <c r="K4793"/>
    </row>
    <row r="4794" spans="11:11" x14ac:dyDescent="0.25">
      <c r="K4794"/>
    </row>
    <row r="4795" spans="11:11" x14ac:dyDescent="0.25">
      <c r="K4795"/>
    </row>
    <row r="4796" spans="11:11" x14ac:dyDescent="0.25">
      <c r="K4796"/>
    </row>
    <row r="4797" spans="11:11" x14ac:dyDescent="0.25">
      <c r="K4797"/>
    </row>
    <row r="4798" spans="11:11" x14ac:dyDescent="0.25">
      <c r="K4798"/>
    </row>
    <row r="4799" spans="11:11" x14ac:dyDescent="0.25">
      <c r="K4799"/>
    </row>
    <row r="4800" spans="11:11" x14ac:dyDescent="0.25">
      <c r="K4800"/>
    </row>
    <row r="4801" spans="11:11" x14ac:dyDescent="0.25">
      <c r="K4801"/>
    </row>
    <row r="4802" spans="11:11" x14ac:dyDescent="0.25">
      <c r="K4802"/>
    </row>
    <row r="4803" spans="11:11" x14ac:dyDescent="0.25">
      <c r="K4803"/>
    </row>
    <row r="4804" spans="11:11" x14ac:dyDescent="0.25">
      <c r="K4804"/>
    </row>
    <row r="4805" spans="11:11" x14ac:dyDescent="0.25">
      <c r="K4805"/>
    </row>
    <row r="4806" spans="11:11" x14ac:dyDescent="0.25">
      <c r="K4806"/>
    </row>
    <row r="4807" spans="11:11" x14ac:dyDescent="0.25">
      <c r="K4807"/>
    </row>
    <row r="4808" spans="11:11" x14ac:dyDescent="0.25">
      <c r="K4808"/>
    </row>
    <row r="4809" spans="11:11" x14ac:dyDescent="0.25">
      <c r="K4809"/>
    </row>
    <row r="4810" spans="11:11" x14ac:dyDescent="0.25">
      <c r="K4810"/>
    </row>
    <row r="4811" spans="11:11" x14ac:dyDescent="0.25">
      <c r="K4811"/>
    </row>
    <row r="4812" spans="11:11" x14ac:dyDescent="0.25">
      <c r="K4812"/>
    </row>
    <row r="4813" spans="11:11" x14ac:dyDescent="0.25">
      <c r="K4813"/>
    </row>
    <row r="4814" spans="11:11" x14ac:dyDescent="0.25">
      <c r="K4814"/>
    </row>
    <row r="4815" spans="11:11" x14ac:dyDescent="0.25">
      <c r="K4815"/>
    </row>
    <row r="4816" spans="11:11" x14ac:dyDescent="0.25">
      <c r="K4816"/>
    </row>
    <row r="4817" spans="11:11" x14ac:dyDescent="0.25">
      <c r="K4817"/>
    </row>
    <row r="4818" spans="11:11" x14ac:dyDescent="0.25">
      <c r="K4818"/>
    </row>
    <row r="4819" spans="11:11" x14ac:dyDescent="0.25">
      <c r="K4819"/>
    </row>
    <row r="4820" spans="11:11" x14ac:dyDescent="0.25">
      <c r="K4820"/>
    </row>
    <row r="4821" spans="11:11" x14ac:dyDescent="0.25">
      <c r="K4821"/>
    </row>
    <row r="4822" spans="11:11" x14ac:dyDescent="0.25">
      <c r="K4822"/>
    </row>
    <row r="4823" spans="11:11" x14ac:dyDescent="0.25">
      <c r="K4823"/>
    </row>
    <row r="4824" spans="11:11" x14ac:dyDescent="0.25">
      <c r="K4824"/>
    </row>
    <row r="4825" spans="11:11" x14ac:dyDescent="0.25">
      <c r="K4825"/>
    </row>
    <row r="4826" spans="11:11" x14ac:dyDescent="0.25">
      <c r="K4826"/>
    </row>
    <row r="4827" spans="11:11" x14ac:dyDescent="0.25">
      <c r="K4827"/>
    </row>
    <row r="4828" spans="11:11" x14ac:dyDescent="0.25">
      <c r="K4828"/>
    </row>
    <row r="4829" spans="11:11" x14ac:dyDescent="0.25">
      <c r="K4829"/>
    </row>
    <row r="4830" spans="11:11" x14ac:dyDescent="0.25">
      <c r="K4830"/>
    </row>
    <row r="4831" spans="11:11" x14ac:dyDescent="0.25">
      <c r="K4831"/>
    </row>
    <row r="4832" spans="11:11" x14ac:dyDescent="0.25">
      <c r="K4832"/>
    </row>
    <row r="4833" spans="11:11" x14ac:dyDescent="0.25">
      <c r="K4833"/>
    </row>
    <row r="4834" spans="11:11" x14ac:dyDescent="0.25">
      <c r="K4834"/>
    </row>
    <row r="4835" spans="11:11" x14ac:dyDescent="0.25">
      <c r="K4835"/>
    </row>
    <row r="4836" spans="11:11" x14ac:dyDescent="0.25">
      <c r="K4836"/>
    </row>
    <row r="4837" spans="11:11" x14ac:dyDescent="0.25">
      <c r="K4837"/>
    </row>
    <row r="4838" spans="11:11" x14ac:dyDescent="0.25">
      <c r="K4838"/>
    </row>
    <row r="4839" spans="11:11" x14ac:dyDescent="0.25">
      <c r="K4839"/>
    </row>
    <row r="4840" spans="11:11" x14ac:dyDescent="0.25">
      <c r="K4840"/>
    </row>
    <row r="4841" spans="11:11" x14ac:dyDescent="0.25">
      <c r="K4841"/>
    </row>
    <row r="4842" spans="11:11" x14ac:dyDescent="0.25">
      <c r="K4842"/>
    </row>
    <row r="4843" spans="11:11" x14ac:dyDescent="0.25">
      <c r="K4843"/>
    </row>
    <row r="4844" spans="11:11" x14ac:dyDescent="0.25">
      <c r="K4844"/>
    </row>
    <row r="4845" spans="11:11" x14ac:dyDescent="0.25">
      <c r="K4845"/>
    </row>
    <row r="4846" spans="11:11" x14ac:dyDescent="0.25">
      <c r="K4846"/>
    </row>
    <row r="4847" spans="11:11" x14ac:dyDescent="0.25">
      <c r="K4847"/>
    </row>
    <row r="4848" spans="11:11" x14ac:dyDescent="0.25">
      <c r="K4848"/>
    </row>
    <row r="4849" spans="11:11" x14ac:dyDescent="0.25">
      <c r="K4849"/>
    </row>
    <row r="4850" spans="11:11" x14ac:dyDescent="0.25">
      <c r="K4850"/>
    </row>
    <row r="4851" spans="11:11" x14ac:dyDescent="0.25">
      <c r="K4851"/>
    </row>
    <row r="4852" spans="11:11" x14ac:dyDescent="0.25">
      <c r="K4852"/>
    </row>
    <row r="4853" spans="11:11" x14ac:dyDescent="0.25">
      <c r="K4853"/>
    </row>
    <row r="4854" spans="11:11" x14ac:dyDescent="0.25">
      <c r="K4854"/>
    </row>
    <row r="4855" spans="11:11" x14ac:dyDescent="0.25">
      <c r="K4855"/>
    </row>
    <row r="4856" spans="11:11" x14ac:dyDescent="0.25">
      <c r="K4856"/>
    </row>
    <row r="4857" spans="11:11" x14ac:dyDescent="0.25">
      <c r="K4857"/>
    </row>
    <row r="4858" spans="11:11" x14ac:dyDescent="0.25">
      <c r="K4858"/>
    </row>
    <row r="4859" spans="11:11" x14ac:dyDescent="0.25">
      <c r="K4859"/>
    </row>
    <row r="4860" spans="11:11" x14ac:dyDescent="0.25">
      <c r="K4860"/>
    </row>
    <row r="4861" spans="11:11" x14ac:dyDescent="0.25">
      <c r="K4861"/>
    </row>
    <row r="4862" spans="11:11" x14ac:dyDescent="0.25">
      <c r="K4862"/>
    </row>
    <row r="4863" spans="11:11" x14ac:dyDescent="0.25">
      <c r="K4863"/>
    </row>
    <row r="4864" spans="11:11" x14ac:dyDescent="0.25">
      <c r="K4864"/>
    </row>
    <row r="4865" spans="11:11" x14ac:dyDescent="0.25">
      <c r="K4865"/>
    </row>
    <row r="4866" spans="11:11" x14ac:dyDescent="0.25">
      <c r="K4866"/>
    </row>
    <row r="4867" spans="11:11" x14ac:dyDescent="0.25">
      <c r="K4867"/>
    </row>
    <row r="4868" spans="11:11" x14ac:dyDescent="0.25">
      <c r="K4868"/>
    </row>
    <row r="4869" spans="11:11" x14ac:dyDescent="0.25">
      <c r="K4869"/>
    </row>
    <row r="4870" spans="11:11" x14ac:dyDescent="0.25">
      <c r="K4870"/>
    </row>
    <row r="4871" spans="11:11" x14ac:dyDescent="0.25">
      <c r="K4871"/>
    </row>
    <row r="4872" spans="11:11" x14ac:dyDescent="0.25">
      <c r="K4872"/>
    </row>
    <row r="4873" spans="11:11" x14ac:dyDescent="0.25">
      <c r="K4873"/>
    </row>
    <row r="4874" spans="11:11" x14ac:dyDescent="0.25">
      <c r="K4874"/>
    </row>
    <row r="4875" spans="11:11" x14ac:dyDescent="0.25">
      <c r="K4875"/>
    </row>
    <row r="4876" spans="11:11" x14ac:dyDescent="0.25">
      <c r="K4876"/>
    </row>
    <row r="4877" spans="11:11" x14ac:dyDescent="0.25">
      <c r="K4877"/>
    </row>
    <row r="4878" spans="11:11" x14ac:dyDescent="0.25">
      <c r="K4878"/>
    </row>
    <row r="4879" spans="11:11" x14ac:dyDescent="0.25">
      <c r="K4879"/>
    </row>
    <row r="4880" spans="11:11" x14ac:dyDescent="0.25">
      <c r="K4880"/>
    </row>
    <row r="4881" spans="11:11" x14ac:dyDescent="0.25">
      <c r="K4881"/>
    </row>
    <row r="4882" spans="11:11" x14ac:dyDescent="0.25">
      <c r="K4882"/>
    </row>
    <row r="4883" spans="11:11" x14ac:dyDescent="0.25">
      <c r="K4883"/>
    </row>
    <row r="4884" spans="11:11" x14ac:dyDescent="0.25">
      <c r="K4884"/>
    </row>
    <row r="4885" spans="11:11" x14ac:dyDescent="0.25">
      <c r="K4885"/>
    </row>
    <row r="4886" spans="11:11" x14ac:dyDescent="0.25">
      <c r="K4886"/>
    </row>
    <row r="4887" spans="11:11" x14ac:dyDescent="0.25">
      <c r="K4887"/>
    </row>
    <row r="4888" spans="11:11" x14ac:dyDescent="0.25">
      <c r="K4888"/>
    </row>
    <row r="4889" spans="11:11" x14ac:dyDescent="0.25">
      <c r="K4889"/>
    </row>
    <row r="4890" spans="11:11" x14ac:dyDescent="0.25">
      <c r="K4890"/>
    </row>
    <row r="4891" spans="11:11" x14ac:dyDescent="0.25">
      <c r="K4891"/>
    </row>
    <row r="4892" spans="11:11" x14ac:dyDescent="0.25">
      <c r="K4892"/>
    </row>
    <row r="4893" spans="11:11" x14ac:dyDescent="0.25">
      <c r="K4893"/>
    </row>
    <row r="4894" spans="11:11" x14ac:dyDescent="0.25">
      <c r="K4894"/>
    </row>
    <row r="4895" spans="11:11" x14ac:dyDescent="0.25">
      <c r="K4895"/>
    </row>
    <row r="4896" spans="11:11" x14ac:dyDescent="0.25">
      <c r="K4896"/>
    </row>
    <row r="4897" spans="11:11" x14ac:dyDescent="0.25">
      <c r="K4897"/>
    </row>
    <row r="4898" spans="11:11" x14ac:dyDescent="0.25">
      <c r="K4898"/>
    </row>
    <row r="4899" spans="11:11" x14ac:dyDescent="0.25">
      <c r="K4899"/>
    </row>
    <row r="4900" spans="11:11" x14ac:dyDescent="0.25">
      <c r="K4900"/>
    </row>
    <row r="4901" spans="11:11" x14ac:dyDescent="0.25">
      <c r="K4901"/>
    </row>
    <row r="4902" spans="11:11" x14ac:dyDescent="0.25">
      <c r="K4902"/>
    </row>
    <row r="4903" spans="11:11" x14ac:dyDescent="0.25">
      <c r="K4903"/>
    </row>
    <row r="4904" spans="11:11" x14ac:dyDescent="0.25">
      <c r="K4904"/>
    </row>
    <row r="4905" spans="11:11" x14ac:dyDescent="0.25">
      <c r="K4905"/>
    </row>
    <row r="4906" spans="11:11" x14ac:dyDescent="0.25">
      <c r="K4906"/>
    </row>
    <row r="4907" spans="11:11" x14ac:dyDescent="0.25">
      <c r="K4907"/>
    </row>
    <row r="4908" spans="11:11" x14ac:dyDescent="0.25">
      <c r="K4908"/>
    </row>
    <row r="4909" spans="11:11" x14ac:dyDescent="0.25">
      <c r="K4909"/>
    </row>
    <row r="4910" spans="11:11" x14ac:dyDescent="0.25">
      <c r="K4910"/>
    </row>
    <row r="4911" spans="11:11" x14ac:dyDescent="0.25">
      <c r="K4911"/>
    </row>
    <row r="4912" spans="11:11" x14ac:dyDescent="0.25">
      <c r="K4912"/>
    </row>
    <row r="4913" spans="11:11" x14ac:dyDescent="0.25">
      <c r="K4913"/>
    </row>
    <row r="4914" spans="11:11" x14ac:dyDescent="0.25">
      <c r="K4914"/>
    </row>
    <row r="4915" spans="11:11" x14ac:dyDescent="0.25">
      <c r="K4915"/>
    </row>
    <row r="4916" spans="11:11" x14ac:dyDescent="0.25">
      <c r="K4916"/>
    </row>
    <row r="4917" spans="11:11" x14ac:dyDescent="0.25">
      <c r="K4917"/>
    </row>
    <row r="4918" spans="11:11" x14ac:dyDescent="0.25">
      <c r="K4918"/>
    </row>
    <row r="4919" spans="11:11" x14ac:dyDescent="0.25">
      <c r="K4919"/>
    </row>
    <row r="4920" spans="11:11" x14ac:dyDescent="0.25">
      <c r="K4920"/>
    </row>
    <row r="4921" spans="11:11" x14ac:dyDescent="0.25">
      <c r="K4921"/>
    </row>
    <row r="4922" spans="11:11" x14ac:dyDescent="0.25">
      <c r="K4922"/>
    </row>
    <row r="4923" spans="11:11" x14ac:dyDescent="0.25">
      <c r="K4923"/>
    </row>
    <row r="4924" spans="11:11" x14ac:dyDescent="0.25">
      <c r="K4924"/>
    </row>
    <row r="4925" spans="11:11" x14ac:dyDescent="0.25">
      <c r="K4925"/>
    </row>
    <row r="4926" spans="11:11" x14ac:dyDescent="0.25">
      <c r="K4926"/>
    </row>
    <row r="4927" spans="11:11" x14ac:dyDescent="0.25">
      <c r="K4927"/>
    </row>
    <row r="4928" spans="11:11" x14ac:dyDescent="0.25">
      <c r="K4928"/>
    </row>
    <row r="4929" spans="11:11" x14ac:dyDescent="0.25">
      <c r="K4929"/>
    </row>
    <row r="4930" spans="11:11" x14ac:dyDescent="0.25">
      <c r="K4930"/>
    </row>
    <row r="4931" spans="11:11" x14ac:dyDescent="0.25">
      <c r="K4931"/>
    </row>
    <row r="4932" spans="11:11" x14ac:dyDescent="0.25">
      <c r="K4932"/>
    </row>
    <row r="4933" spans="11:11" x14ac:dyDescent="0.25">
      <c r="K4933"/>
    </row>
    <row r="4934" spans="11:11" x14ac:dyDescent="0.25">
      <c r="K4934"/>
    </row>
    <row r="4935" spans="11:11" x14ac:dyDescent="0.25">
      <c r="K4935"/>
    </row>
    <row r="4936" spans="11:11" x14ac:dyDescent="0.25">
      <c r="K4936"/>
    </row>
    <row r="4937" spans="11:11" x14ac:dyDescent="0.25">
      <c r="K4937"/>
    </row>
    <row r="4938" spans="11:11" x14ac:dyDescent="0.25">
      <c r="K4938"/>
    </row>
    <row r="4939" spans="11:11" x14ac:dyDescent="0.25">
      <c r="K4939"/>
    </row>
    <row r="4940" spans="11:11" x14ac:dyDescent="0.25">
      <c r="K4940"/>
    </row>
    <row r="4941" spans="11:11" x14ac:dyDescent="0.25">
      <c r="K4941"/>
    </row>
    <row r="4942" spans="11:11" x14ac:dyDescent="0.25">
      <c r="K4942"/>
    </row>
    <row r="4943" spans="11:11" x14ac:dyDescent="0.25">
      <c r="K4943"/>
    </row>
    <row r="4944" spans="11:11" x14ac:dyDescent="0.25">
      <c r="K4944"/>
    </row>
    <row r="4945" spans="11:11" x14ac:dyDescent="0.25">
      <c r="K4945"/>
    </row>
    <row r="4946" spans="11:11" x14ac:dyDescent="0.25">
      <c r="K4946"/>
    </row>
    <row r="4947" spans="11:11" x14ac:dyDescent="0.25">
      <c r="K4947"/>
    </row>
    <row r="4948" spans="11:11" x14ac:dyDescent="0.25">
      <c r="K4948"/>
    </row>
    <row r="4949" spans="11:11" x14ac:dyDescent="0.25">
      <c r="K4949"/>
    </row>
    <row r="4950" spans="11:11" x14ac:dyDescent="0.25">
      <c r="K4950"/>
    </row>
    <row r="4951" spans="11:11" x14ac:dyDescent="0.25">
      <c r="K4951"/>
    </row>
    <row r="4952" spans="11:11" x14ac:dyDescent="0.25">
      <c r="K4952"/>
    </row>
    <row r="4953" spans="11:11" x14ac:dyDescent="0.25">
      <c r="K4953"/>
    </row>
    <row r="4954" spans="11:11" x14ac:dyDescent="0.25">
      <c r="K4954"/>
    </row>
    <row r="4955" spans="11:11" x14ac:dyDescent="0.25">
      <c r="K4955"/>
    </row>
    <row r="4956" spans="11:11" x14ac:dyDescent="0.25">
      <c r="K4956"/>
    </row>
    <row r="4957" spans="11:11" x14ac:dyDescent="0.25">
      <c r="K4957"/>
    </row>
    <row r="4958" spans="11:11" x14ac:dyDescent="0.25">
      <c r="K4958"/>
    </row>
    <row r="4959" spans="11:11" x14ac:dyDescent="0.25">
      <c r="K4959"/>
    </row>
    <row r="4960" spans="11:11" x14ac:dyDescent="0.25">
      <c r="K4960"/>
    </row>
    <row r="4961" spans="11:11" x14ac:dyDescent="0.25">
      <c r="K4961"/>
    </row>
    <row r="4962" spans="11:11" x14ac:dyDescent="0.25">
      <c r="K4962"/>
    </row>
    <row r="4963" spans="11:11" x14ac:dyDescent="0.25">
      <c r="K4963"/>
    </row>
    <row r="4964" spans="11:11" x14ac:dyDescent="0.25">
      <c r="K4964"/>
    </row>
    <row r="4965" spans="11:11" x14ac:dyDescent="0.25">
      <c r="K4965"/>
    </row>
    <row r="4966" spans="11:11" x14ac:dyDescent="0.25">
      <c r="K4966"/>
    </row>
    <row r="4967" spans="11:11" x14ac:dyDescent="0.25">
      <c r="K4967"/>
    </row>
    <row r="4968" spans="11:11" x14ac:dyDescent="0.25">
      <c r="K4968"/>
    </row>
    <row r="4969" spans="11:11" x14ac:dyDescent="0.25">
      <c r="K4969"/>
    </row>
    <row r="4970" spans="11:11" x14ac:dyDescent="0.25">
      <c r="K4970"/>
    </row>
    <row r="4971" spans="11:11" x14ac:dyDescent="0.25">
      <c r="K4971"/>
    </row>
    <row r="4972" spans="11:11" x14ac:dyDescent="0.25">
      <c r="K4972"/>
    </row>
    <row r="4973" spans="11:11" x14ac:dyDescent="0.25">
      <c r="K4973"/>
    </row>
    <row r="4974" spans="11:11" x14ac:dyDescent="0.25">
      <c r="K4974"/>
    </row>
    <row r="4975" spans="11:11" x14ac:dyDescent="0.25">
      <c r="K4975"/>
    </row>
    <row r="4976" spans="11:11" x14ac:dyDescent="0.25">
      <c r="K4976"/>
    </row>
    <row r="4977" spans="11:11" x14ac:dyDescent="0.25">
      <c r="K4977"/>
    </row>
    <row r="4978" spans="11:11" x14ac:dyDescent="0.25">
      <c r="K4978"/>
    </row>
    <row r="4979" spans="11:11" x14ac:dyDescent="0.25">
      <c r="K4979"/>
    </row>
    <row r="4980" spans="11:11" x14ac:dyDescent="0.25">
      <c r="K4980"/>
    </row>
    <row r="4981" spans="11:11" x14ac:dyDescent="0.25">
      <c r="K4981"/>
    </row>
    <row r="4982" spans="11:11" x14ac:dyDescent="0.25">
      <c r="K4982"/>
    </row>
    <row r="4983" spans="11:11" x14ac:dyDescent="0.25">
      <c r="K4983"/>
    </row>
    <row r="4984" spans="11:11" x14ac:dyDescent="0.25">
      <c r="K4984"/>
    </row>
    <row r="4985" spans="11:11" x14ac:dyDescent="0.25">
      <c r="K4985"/>
    </row>
    <row r="4986" spans="11:11" x14ac:dyDescent="0.25">
      <c r="K4986"/>
    </row>
    <row r="4987" spans="11:11" x14ac:dyDescent="0.25">
      <c r="K4987"/>
    </row>
    <row r="4988" spans="11:11" x14ac:dyDescent="0.25">
      <c r="K4988"/>
    </row>
    <row r="4989" spans="11:11" x14ac:dyDescent="0.25">
      <c r="K4989"/>
    </row>
    <row r="4990" spans="11:11" x14ac:dyDescent="0.25">
      <c r="K4990"/>
    </row>
    <row r="4991" spans="11:11" x14ac:dyDescent="0.25">
      <c r="K4991"/>
    </row>
    <row r="4992" spans="11:11" x14ac:dyDescent="0.25">
      <c r="K4992"/>
    </row>
    <row r="4993" spans="11:11" x14ac:dyDescent="0.25">
      <c r="K4993"/>
    </row>
    <row r="4994" spans="11:11" x14ac:dyDescent="0.25">
      <c r="K4994"/>
    </row>
    <row r="4995" spans="11:11" x14ac:dyDescent="0.25">
      <c r="K4995"/>
    </row>
    <row r="4996" spans="11:11" x14ac:dyDescent="0.25">
      <c r="K4996"/>
    </row>
    <row r="4997" spans="11:11" x14ac:dyDescent="0.25">
      <c r="K4997"/>
    </row>
    <row r="4998" spans="11:11" x14ac:dyDescent="0.25">
      <c r="K4998"/>
    </row>
    <row r="4999" spans="11:11" x14ac:dyDescent="0.25">
      <c r="K4999"/>
    </row>
    <row r="5000" spans="11:11" x14ac:dyDescent="0.25">
      <c r="K5000"/>
    </row>
    <row r="5001" spans="11:11" x14ac:dyDescent="0.25">
      <c r="K5001"/>
    </row>
    <row r="5002" spans="11:11" x14ac:dyDescent="0.25">
      <c r="K5002"/>
    </row>
    <row r="5003" spans="11:11" x14ac:dyDescent="0.25">
      <c r="K5003"/>
    </row>
    <row r="5004" spans="11:11" x14ac:dyDescent="0.25">
      <c r="K5004"/>
    </row>
    <row r="5005" spans="11:11" x14ac:dyDescent="0.25">
      <c r="K5005"/>
    </row>
    <row r="5006" spans="11:11" x14ac:dyDescent="0.25">
      <c r="K5006"/>
    </row>
    <row r="5007" spans="11:11" x14ac:dyDescent="0.25">
      <c r="K5007"/>
    </row>
    <row r="5008" spans="11:11" x14ac:dyDescent="0.25">
      <c r="K5008"/>
    </row>
    <row r="5009" spans="11:11" x14ac:dyDescent="0.25">
      <c r="K5009"/>
    </row>
    <row r="5010" spans="11:11" x14ac:dyDescent="0.25">
      <c r="K5010"/>
    </row>
    <row r="5011" spans="11:11" x14ac:dyDescent="0.25">
      <c r="K5011"/>
    </row>
    <row r="5012" spans="11:11" x14ac:dyDescent="0.25">
      <c r="K5012"/>
    </row>
    <row r="5013" spans="11:11" x14ac:dyDescent="0.25">
      <c r="K5013"/>
    </row>
    <row r="5014" spans="11:11" x14ac:dyDescent="0.25">
      <c r="K5014"/>
    </row>
    <row r="5015" spans="11:11" x14ac:dyDescent="0.25">
      <c r="K5015"/>
    </row>
    <row r="5016" spans="11:11" x14ac:dyDescent="0.25">
      <c r="K5016"/>
    </row>
    <row r="5017" spans="11:11" x14ac:dyDescent="0.25">
      <c r="K5017"/>
    </row>
    <row r="5018" spans="11:11" x14ac:dyDescent="0.25">
      <c r="K5018"/>
    </row>
    <row r="5019" spans="11:11" x14ac:dyDescent="0.25">
      <c r="K5019"/>
    </row>
    <row r="5020" spans="11:11" x14ac:dyDescent="0.25">
      <c r="K5020"/>
    </row>
    <row r="5021" spans="11:11" x14ac:dyDescent="0.25">
      <c r="K5021"/>
    </row>
    <row r="5022" spans="11:11" x14ac:dyDescent="0.25">
      <c r="K5022"/>
    </row>
    <row r="5023" spans="11:11" x14ac:dyDescent="0.25">
      <c r="K5023"/>
    </row>
    <row r="5024" spans="11:11" x14ac:dyDescent="0.25">
      <c r="K5024"/>
    </row>
    <row r="5025" spans="11:11" x14ac:dyDescent="0.25">
      <c r="K5025"/>
    </row>
    <row r="5026" spans="11:11" x14ac:dyDescent="0.25">
      <c r="K5026"/>
    </row>
    <row r="5027" spans="11:11" x14ac:dyDescent="0.25">
      <c r="K5027"/>
    </row>
    <row r="5028" spans="11:11" x14ac:dyDescent="0.25">
      <c r="K5028"/>
    </row>
    <row r="5029" spans="11:11" x14ac:dyDescent="0.25">
      <c r="K5029"/>
    </row>
    <row r="5030" spans="11:11" x14ac:dyDescent="0.25">
      <c r="K5030"/>
    </row>
    <row r="5031" spans="11:11" x14ac:dyDescent="0.25">
      <c r="K5031"/>
    </row>
    <row r="5032" spans="11:11" x14ac:dyDescent="0.25">
      <c r="K5032"/>
    </row>
    <row r="5033" spans="11:11" x14ac:dyDescent="0.25">
      <c r="K5033"/>
    </row>
    <row r="5034" spans="11:11" x14ac:dyDescent="0.25">
      <c r="K5034"/>
    </row>
    <row r="5035" spans="11:11" x14ac:dyDescent="0.25">
      <c r="K5035"/>
    </row>
    <row r="5036" spans="11:11" x14ac:dyDescent="0.25">
      <c r="K5036"/>
    </row>
    <row r="5037" spans="11:11" x14ac:dyDescent="0.25">
      <c r="K5037"/>
    </row>
    <row r="5038" spans="11:11" x14ac:dyDescent="0.25">
      <c r="K5038"/>
    </row>
    <row r="5039" spans="11:11" x14ac:dyDescent="0.25">
      <c r="K5039"/>
    </row>
    <row r="5040" spans="11:11" x14ac:dyDescent="0.25">
      <c r="K5040"/>
    </row>
    <row r="5041" spans="11:11" x14ac:dyDescent="0.25">
      <c r="K5041"/>
    </row>
    <row r="5042" spans="11:11" x14ac:dyDescent="0.25">
      <c r="K5042"/>
    </row>
    <row r="5043" spans="11:11" x14ac:dyDescent="0.25">
      <c r="K5043"/>
    </row>
    <row r="5044" spans="11:11" x14ac:dyDescent="0.25">
      <c r="K5044"/>
    </row>
    <row r="5045" spans="11:11" x14ac:dyDescent="0.25">
      <c r="K5045"/>
    </row>
    <row r="5046" spans="11:11" x14ac:dyDescent="0.25">
      <c r="K5046"/>
    </row>
    <row r="5047" spans="11:11" x14ac:dyDescent="0.25">
      <c r="K5047"/>
    </row>
    <row r="5048" spans="11:11" x14ac:dyDescent="0.25">
      <c r="K5048"/>
    </row>
    <row r="5049" spans="11:11" x14ac:dyDescent="0.25">
      <c r="K5049"/>
    </row>
    <row r="5050" spans="11:11" x14ac:dyDescent="0.25">
      <c r="K5050"/>
    </row>
    <row r="5051" spans="11:11" x14ac:dyDescent="0.25">
      <c r="K5051"/>
    </row>
    <row r="5052" spans="11:11" x14ac:dyDescent="0.25">
      <c r="K5052"/>
    </row>
    <row r="5053" spans="11:11" x14ac:dyDescent="0.25">
      <c r="K5053"/>
    </row>
    <row r="5054" spans="11:11" x14ac:dyDescent="0.25">
      <c r="K5054"/>
    </row>
    <row r="5055" spans="11:11" x14ac:dyDescent="0.25">
      <c r="K5055"/>
    </row>
    <row r="5056" spans="11:11" x14ac:dyDescent="0.25">
      <c r="K5056"/>
    </row>
    <row r="5057" spans="11:11" x14ac:dyDescent="0.25">
      <c r="K5057"/>
    </row>
    <row r="5058" spans="11:11" x14ac:dyDescent="0.25">
      <c r="K5058"/>
    </row>
    <row r="5059" spans="11:11" x14ac:dyDescent="0.25">
      <c r="K5059"/>
    </row>
    <row r="5060" spans="11:11" x14ac:dyDescent="0.25">
      <c r="K5060"/>
    </row>
    <row r="5061" spans="11:11" x14ac:dyDescent="0.25">
      <c r="K5061"/>
    </row>
    <row r="5062" spans="11:11" x14ac:dyDescent="0.25">
      <c r="K5062"/>
    </row>
    <row r="5063" spans="11:11" x14ac:dyDescent="0.25">
      <c r="K5063"/>
    </row>
    <row r="5064" spans="11:11" x14ac:dyDescent="0.25">
      <c r="K5064"/>
    </row>
    <row r="5065" spans="11:11" x14ac:dyDescent="0.25">
      <c r="K5065"/>
    </row>
    <row r="5066" spans="11:11" x14ac:dyDescent="0.25">
      <c r="K5066"/>
    </row>
    <row r="5067" spans="11:11" x14ac:dyDescent="0.25">
      <c r="K5067"/>
    </row>
    <row r="5068" spans="11:11" x14ac:dyDescent="0.25">
      <c r="K5068"/>
    </row>
    <row r="5069" spans="11:11" x14ac:dyDescent="0.25">
      <c r="K5069"/>
    </row>
    <row r="5070" spans="11:11" x14ac:dyDescent="0.25">
      <c r="K5070"/>
    </row>
    <row r="5071" spans="11:11" x14ac:dyDescent="0.25">
      <c r="K5071"/>
    </row>
    <row r="5072" spans="11:11" x14ac:dyDescent="0.25">
      <c r="K5072"/>
    </row>
    <row r="5073" spans="11:11" x14ac:dyDescent="0.25">
      <c r="K5073"/>
    </row>
    <row r="5074" spans="11:11" x14ac:dyDescent="0.25">
      <c r="K5074"/>
    </row>
    <row r="5075" spans="11:11" x14ac:dyDescent="0.25">
      <c r="K5075"/>
    </row>
    <row r="5076" spans="11:11" x14ac:dyDescent="0.25">
      <c r="K5076"/>
    </row>
    <row r="5077" spans="11:11" x14ac:dyDescent="0.25">
      <c r="K5077"/>
    </row>
    <row r="5078" spans="11:11" x14ac:dyDescent="0.25">
      <c r="K5078"/>
    </row>
    <row r="5079" spans="11:11" x14ac:dyDescent="0.25">
      <c r="K5079"/>
    </row>
    <row r="5080" spans="11:11" x14ac:dyDescent="0.25">
      <c r="K5080"/>
    </row>
    <row r="5081" spans="11:11" x14ac:dyDescent="0.25">
      <c r="K5081"/>
    </row>
    <row r="5082" spans="11:11" x14ac:dyDescent="0.25">
      <c r="K5082"/>
    </row>
    <row r="5083" spans="11:11" x14ac:dyDescent="0.25">
      <c r="K5083"/>
    </row>
    <row r="5084" spans="11:11" x14ac:dyDescent="0.25">
      <c r="K5084"/>
    </row>
    <row r="5085" spans="11:11" x14ac:dyDescent="0.25">
      <c r="K5085"/>
    </row>
    <row r="5086" spans="11:11" x14ac:dyDescent="0.25">
      <c r="K5086"/>
    </row>
    <row r="5087" spans="11:11" x14ac:dyDescent="0.25">
      <c r="K5087"/>
    </row>
    <row r="5088" spans="11:11" x14ac:dyDescent="0.25">
      <c r="K5088"/>
    </row>
    <row r="5089" spans="11:11" x14ac:dyDescent="0.25">
      <c r="K5089"/>
    </row>
    <row r="5090" spans="11:11" x14ac:dyDescent="0.25">
      <c r="K5090"/>
    </row>
    <row r="5091" spans="11:11" x14ac:dyDescent="0.25">
      <c r="K5091"/>
    </row>
    <row r="5092" spans="11:11" x14ac:dyDescent="0.25">
      <c r="K5092"/>
    </row>
    <row r="5093" spans="11:11" x14ac:dyDescent="0.25">
      <c r="K5093"/>
    </row>
    <row r="5094" spans="11:11" x14ac:dyDescent="0.25">
      <c r="K5094"/>
    </row>
    <row r="5095" spans="11:11" x14ac:dyDescent="0.25">
      <c r="K5095"/>
    </row>
    <row r="5096" spans="11:11" x14ac:dyDescent="0.25">
      <c r="K5096"/>
    </row>
    <row r="5097" spans="11:11" x14ac:dyDescent="0.25">
      <c r="K5097"/>
    </row>
    <row r="5098" spans="11:11" x14ac:dyDescent="0.25">
      <c r="K5098"/>
    </row>
    <row r="5099" spans="11:11" x14ac:dyDescent="0.25">
      <c r="K5099"/>
    </row>
    <row r="5100" spans="11:11" x14ac:dyDescent="0.25">
      <c r="K5100"/>
    </row>
    <row r="5101" spans="11:11" x14ac:dyDescent="0.25">
      <c r="K5101"/>
    </row>
    <row r="5102" spans="11:11" x14ac:dyDescent="0.25">
      <c r="K5102"/>
    </row>
    <row r="5103" spans="11:11" x14ac:dyDescent="0.25">
      <c r="K5103"/>
    </row>
    <row r="5104" spans="11:11" x14ac:dyDescent="0.25">
      <c r="K5104"/>
    </row>
    <row r="5105" spans="11:11" x14ac:dyDescent="0.25">
      <c r="K5105"/>
    </row>
    <row r="5106" spans="11:11" x14ac:dyDescent="0.25">
      <c r="K5106"/>
    </row>
    <row r="5107" spans="11:11" x14ac:dyDescent="0.25">
      <c r="K5107"/>
    </row>
    <row r="5108" spans="11:11" x14ac:dyDescent="0.25">
      <c r="K5108"/>
    </row>
    <row r="5109" spans="11:11" x14ac:dyDescent="0.25">
      <c r="K5109"/>
    </row>
    <row r="5110" spans="11:11" x14ac:dyDescent="0.25">
      <c r="K5110"/>
    </row>
    <row r="5111" spans="11:11" x14ac:dyDescent="0.25">
      <c r="K5111"/>
    </row>
    <row r="5112" spans="11:11" x14ac:dyDescent="0.25">
      <c r="K5112"/>
    </row>
    <row r="5113" spans="11:11" x14ac:dyDescent="0.25">
      <c r="K5113"/>
    </row>
    <row r="5114" spans="11:11" x14ac:dyDescent="0.25">
      <c r="K5114"/>
    </row>
    <row r="5115" spans="11:11" x14ac:dyDescent="0.25">
      <c r="K5115"/>
    </row>
    <row r="5116" spans="11:11" x14ac:dyDescent="0.25">
      <c r="K5116"/>
    </row>
    <row r="5117" spans="11:11" x14ac:dyDescent="0.25">
      <c r="K5117"/>
    </row>
    <row r="5118" spans="11:11" x14ac:dyDescent="0.25">
      <c r="K5118"/>
    </row>
    <row r="5119" spans="11:11" x14ac:dyDescent="0.25">
      <c r="K5119"/>
    </row>
    <row r="5120" spans="11:11" x14ac:dyDescent="0.25">
      <c r="K5120"/>
    </row>
    <row r="5121" spans="11:11" x14ac:dyDescent="0.25">
      <c r="K5121"/>
    </row>
    <row r="5122" spans="11:11" x14ac:dyDescent="0.25">
      <c r="K5122"/>
    </row>
    <row r="5123" spans="11:11" x14ac:dyDescent="0.25">
      <c r="K5123"/>
    </row>
    <row r="5124" spans="11:11" x14ac:dyDescent="0.25">
      <c r="K5124"/>
    </row>
    <row r="5125" spans="11:11" x14ac:dyDescent="0.25">
      <c r="K5125"/>
    </row>
    <row r="5126" spans="11:11" x14ac:dyDescent="0.25">
      <c r="K5126"/>
    </row>
    <row r="5127" spans="11:11" x14ac:dyDescent="0.25">
      <c r="K5127"/>
    </row>
    <row r="5128" spans="11:11" x14ac:dyDescent="0.25">
      <c r="K5128"/>
    </row>
    <row r="5129" spans="11:11" x14ac:dyDescent="0.25">
      <c r="K5129"/>
    </row>
    <row r="5130" spans="11:11" x14ac:dyDescent="0.25">
      <c r="K5130"/>
    </row>
    <row r="5131" spans="11:11" x14ac:dyDescent="0.25">
      <c r="K5131"/>
    </row>
    <row r="5132" spans="11:11" x14ac:dyDescent="0.25">
      <c r="K5132"/>
    </row>
    <row r="5133" spans="11:11" x14ac:dyDescent="0.25">
      <c r="K5133"/>
    </row>
    <row r="5134" spans="11:11" x14ac:dyDescent="0.25">
      <c r="K5134"/>
    </row>
    <row r="5135" spans="11:11" x14ac:dyDescent="0.25">
      <c r="K5135"/>
    </row>
    <row r="5136" spans="11:11" x14ac:dyDescent="0.25">
      <c r="K5136"/>
    </row>
    <row r="5137" spans="11:11" x14ac:dyDescent="0.25">
      <c r="K5137"/>
    </row>
    <row r="5138" spans="11:11" x14ac:dyDescent="0.25">
      <c r="K5138"/>
    </row>
    <row r="5139" spans="11:11" x14ac:dyDescent="0.25">
      <c r="K5139"/>
    </row>
    <row r="5140" spans="11:11" x14ac:dyDescent="0.25">
      <c r="K5140"/>
    </row>
    <row r="5141" spans="11:11" x14ac:dyDescent="0.25">
      <c r="K5141"/>
    </row>
    <row r="5142" spans="11:11" x14ac:dyDescent="0.25">
      <c r="K5142"/>
    </row>
    <row r="5143" spans="11:11" x14ac:dyDescent="0.25">
      <c r="K5143"/>
    </row>
    <row r="5144" spans="11:11" x14ac:dyDescent="0.25">
      <c r="K5144"/>
    </row>
    <row r="5145" spans="11:11" x14ac:dyDescent="0.25">
      <c r="K5145"/>
    </row>
    <row r="5146" spans="11:11" x14ac:dyDescent="0.25">
      <c r="K5146"/>
    </row>
    <row r="5147" spans="11:11" x14ac:dyDescent="0.25">
      <c r="K5147"/>
    </row>
    <row r="5148" spans="11:11" x14ac:dyDescent="0.25">
      <c r="K5148"/>
    </row>
    <row r="5149" spans="11:11" x14ac:dyDescent="0.25">
      <c r="K5149"/>
    </row>
    <row r="5150" spans="11:11" x14ac:dyDescent="0.25">
      <c r="K5150"/>
    </row>
    <row r="5151" spans="11:11" x14ac:dyDescent="0.25">
      <c r="K5151"/>
    </row>
    <row r="5152" spans="11:11" x14ac:dyDescent="0.25">
      <c r="K5152"/>
    </row>
    <row r="5153" spans="11:11" x14ac:dyDescent="0.25">
      <c r="K5153"/>
    </row>
    <row r="5154" spans="11:11" x14ac:dyDescent="0.25">
      <c r="K5154"/>
    </row>
    <row r="5155" spans="11:11" x14ac:dyDescent="0.25">
      <c r="K5155"/>
    </row>
    <row r="5156" spans="11:11" x14ac:dyDescent="0.25">
      <c r="K5156"/>
    </row>
    <row r="5157" spans="11:11" x14ac:dyDescent="0.25">
      <c r="K5157"/>
    </row>
    <row r="5158" spans="11:11" x14ac:dyDescent="0.25">
      <c r="K5158"/>
    </row>
    <row r="5159" spans="11:11" x14ac:dyDescent="0.25">
      <c r="K5159"/>
    </row>
    <row r="5160" spans="11:11" x14ac:dyDescent="0.25">
      <c r="K5160"/>
    </row>
    <row r="5161" spans="11:11" x14ac:dyDescent="0.25">
      <c r="K5161"/>
    </row>
    <row r="5162" spans="11:11" x14ac:dyDescent="0.25">
      <c r="K5162"/>
    </row>
    <row r="5163" spans="11:11" x14ac:dyDescent="0.25">
      <c r="K5163"/>
    </row>
    <row r="5164" spans="11:11" x14ac:dyDescent="0.25">
      <c r="K5164"/>
    </row>
    <row r="5165" spans="11:11" x14ac:dyDescent="0.25">
      <c r="K5165"/>
    </row>
    <row r="5166" spans="11:11" x14ac:dyDescent="0.25">
      <c r="K5166"/>
    </row>
    <row r="5167" spans="11:11" x14ac:dyDescent="0.25">
      <c r="K5167"/>
    </row>
    <row r="5168" spans="11:11" x14ac:dyDescent="0.25">
      <c r="K5168"/>
    </row>
    <row r="5169" spans="11:11" x14ac:dyDescent="0.25">
      <c r="K5169"/>
    </row>
    <row r="5170" spans="11:11" x14ac:dyDescent="0.25">
      <c r="K5170"/>
    </row>
    <row r="5171" spans="11:11" x14ac:dyDescent="0.25">
      <c r="K5171"/>
    </row>
    <row r="5172" spans="11:11" x14ac:dyDescent="0.25">
      <c r="K5172"/>
    </row>
    <row r="5173" spans="11:11" x14ac:dyDescent="0.25">
      <c r="K5173"/>
    </row>
    <row r="5174" spans="11:11" x14ac:dyDescent="0.25">
      <c r="K5174"/>
    </row>
    <row r="5175" spans="11:11" x14ac:dyDescent="0.25">
      <c r="K5175"/>
    </row>
    <row r="5176" spans="11:11" x14ac:dyDescent="0.25">
      <c r="K5176"/>
    </row>
    <row r="5177" spans="11:11" x14ac:dyDescent="0.25">
      <c r="K5177"/>
    </row>
    <row r="5178" spans="11:11" x14ac:dyDescent="0.25">
      <c r="K5178"/>
    </row>
    <row r="5179" spans="11:11" x14ac:dyDescent="0.25">
      <c r="K5179"/>
    </row>
    <row r="5180" spans="11:11" x14ac:dyDescent="0.25">
      <c r="K5180"/>
    </row>
    <row r="5181" spans="11:11" x14ac:dyDescent="0.25">
      <c r="K5181"/>
    </row>
    <row r="5182" spans="11:11" x14ac:dyDescent="0.25">
      <c r="K5182"/>
    </row>
    <row r="5183" spans="11:11" x14ac:dyDescent="0.25">
      <c r="K5183"/>
    </row>
    <row r="5184" spans="11:11" x14ac:dyDescent="0.25">
      <c r="K5184"/>
    </row>
    <row r="5185" spans="11:11" x14ac:dyDescent="0.25">
      <c r="K5185"/>
    </row>
    <row r="5186" spans="11:11" x14ac:dyDescent="0.25">
      <c r="K5186"/>
    </row>
    <row r="5187" spans="11:11" x14ac:dyDescent="0.25">
      <c r="K5187"/>
    </row>
    <row r="5188" spans="11:11" x14ac:dyDescent="0.25">
      <c r="K5188"/>
    </row>
    <row r="5189" spans="11:11" x14ac:dyDescent="0.25">
      <c r="K5189"/>
    </row>
    <row r="5190" spans="11:11" x14ac:dyDescent="0.25">
      <c r="K5190"/>
    </row>
    <row r="5191" spans="11:11" x14ac:dyDescent="0.25">
      <c r="K5191"/>
    </row>
    <row r="5192" spans="11:11" x14ac:dyDescent="0.25">
      <c r="K5192"/>
    </row>
    <row r="5193" spans="11:11" x14ac:dyDescent="0.25">
      <c r="K5193"/>
    </row>
    <row r="5194" spans="11:11" x14ac:dyDescent="0.25">
      <c r="K5194"/>
    </row>
    <row r="5195" spans="11:11" x14ac:dyDescent="0.25">
      <c r="K5195"/>
    </row>
    <row r="5196" spans="11:11" x14ac:dyDescent="0.25">
      <c r="K5196"/>
    </row>
    <row r="5197" spans="11:11" x14ac:dyDescent="0.25">
      <c r="K5197"/>
    </row>
    <row r="5198" spans="11:11" x14ac:dyDescent="0.25">
      <c r="K5198"/>
    </row>
    <row r="5199" spans="11:11" x14ac:dyDescent="0.25">
      <c r="K5199"/>
    </row>
    <row r="5200" spans="11:11" x14ac:dyDescent="0.25">
      <c r="K5200"/>
    </row>
    <row r="5201" spans="11:11" x14ac:dyDescent="0.25">
      <c r="K5201"/>
    </row>
    <row r="5202" spans="11:11" x14ac:dyDescent="0.25">
      <c r="K5202"/>
    </row>
    <row r="5203" spans="11:11" x14ac:dyDescent="0.25">
      <c r="K5203"/>
    </row>
    <row r="5204" spans="11:11" x14ac:dyDescent="0.25">
      <c r="K5204"/>
    </row>
    <row r="5205" spans="11:11" x14ac:dyDescent="0.25">
      <c r="K5205"/>
    </row>
    <row r="5206" spans="11:11" x14ac:dyDescent="0.25">
      <c r="K5206"/>
    </row>
    <row r="5207" spans="11:11" x14ac:dyDescent="0.25">
      <c r="K5207"/>
    </row>
    <row r="5208" spans="11:11" x14ac:dyDescent="0.25">
      <c r="K5208"/>
    </row>
    <row r="5209" spans="11:11" x14ac:dyDescent="0.25">
      <c r="K5209"/>
    </row>
    <row r="5210" spans="11:11" x14ac:dyDescent="0.25">
      <c r="K5210"/>
    </row>
    <row r="5211" spans="11:11" x14ac:dyDescent="0.25">
      <c r="K5211"/>
    </row>
    <row r="5212" spans="11:11" x14ac:dyDescent="0.25">
      <c r="K5212"/>
    </row>
    <row r="5213" spans="11:11" x14ac:dyDescent="0.25">
      <c r="K5213"/>
    </row>
    <row r="5214" spans="11:11" x14ac:dyDescent="0.25">
      <c r="K5214"/>
    </row>
    <row r="5215" spans="11:11" x14ac:dyDescent="0.25">
      <c r="K5215"/>
    </row>
    <row r="5216" spans="11:11" x14ac:dyDescent="0.25">
      <c r="K5216"/>
    </row>
    <row r="5217" spans="11:11" x14ac:dyDescent="0.25">
      <c r="K5217"/>
    </row>
    <row r="5218" spans="11:11" x14ac:dyDescent="0.25">
      <c r="K5218"/>
    </row>
    <row r="5219" spans="11:11" x14ac:dyDescent="0.25">
      <c r="K5219"/>
    </row>
    <row r="5220" spans="11:11" x14ac:dyDescent="0.25">
      <c r="K5220"/>
    </row>
    <row r="5221" spans="11:11" x14ac:dyDescent="0.25">
      <c r="K5221"/>
    </row>
    <row r="5222" spans="11:11" x14ac:dyDescent="0.25">
      <c r="K5222"/>
    </row>
    <row r="5223" spans="11:11" x14ac:dyDescent="0.25">
      <c r="K5223"/>
    </row>
    <row r="5224" spans="11:11" x14ac:dyDescent="0.25">
      <c r="K5224"/>
    </row>
    <row r="5225" spans="11:11" x14ac:dyDescent="0.25">
      <c r="K5225"/>
    </row>
    <row r="5226" spans="11:11" x14ac:dyDescent="0.25">
      <c r="K5226"/>
    </row>
    <row r="5227" spans="11:11" x14ac:dyDescent="0.25">
      <c r="K5227"/>
    </row>
    <row r="5228" spans="11:11" x14ac:dyDescent="0.25">
      <c r="K5228"/>
    </row>
    <row r="5229" spans="11:11" x14ac:dyDescent="0.25">
      <c r="K5229"/>
    </row>
    <row r="5230" spans="11:11" x14ac:dyDescent="0.25">
      <c r="K5230"/>
    </row>
    <row r="5231" spans="11:11" x14ac:dyDescent="0.25">
      <c r="K5231"/>
    </row>
    <row r="5232" spans="11:11" x14ac:dyDescent="0.25">
      <c r="K5232"/>
    </row>
    <row r="5233" spans="11:11" x14ac:dyDescent="0.25">
      <c r="K5233"/>
    </row>
    <row r="5234" spans="11:11" x14ac:dyDescent="0.25">
      <c r="K5234"/>
    </row>
    <row r="5235" spans="11:11" x14ac:dyDescent="0.25">
      <c r="K5235"/>
    </row>
    <row r="5236" spans="11:11" x14ac:dyDescent="0.25">
      <c r="K5236"/>
    </row>
    <row r="5237" spans="11:11" x14ac:dyDescent="0.25">
      <c r="K5237"/>
    </row>
    <row r="5238" spans="11:11" x14ac:dyDescent="0.25">
      <c r="K5238"/>
    </row>
    <row r="5239" spans="11:11" x14ac:dyDescent="0.25">
      <c r="K5239"/>
    </row>
    <row r="5240" spans="11:11" x14ac:dyDescent="0.25">
      <c r="K5240"/>
    </row>
    <row r="5241" spans="11:11" x14ac:dyDescent="0.25">
      <c r="K5241"/>
    </row>
    <row r="5242" spans="11:11" x14ac:dyDescent="0.25">
      <c r="K5242"/>
    </row>
    <row r="5243" spans="11:11" x14ac:dyDescent="0.25">
      <c r="K5243"/>
    </row>
    <row r="5244" spans="11:11" x14ac:dyDescent="0.25">
      <c r="K5244"/>
    </row>
    <row r="5245" spans="11:11" x14ac:dyDescent="0.25">
      <c r="K5245"/>
    </row>
    <row r="5246" spans="11:11" x14ac:dyDescent="0.25">
      <c r="K5246"/>
    </row>
    <row r="5247" spans="11:11" x14ac:dyDescent="0.25">
      <c r="K5247"/>
    </row>
    <row r="5248" spans="11:11" x14ac:dyDescent="0.25">
      <c r="K5248"/>
    </row>
    <row r="5249" spans="11:11" x14ac:dyDescent="0.25">
      <c r="K5249"/>
    </row>
    <row r="5250" spans="11:11" x14ac:dyDescent="0.25">
      <c r="K5250"/>
    </row>
    <row r="5251" spans="11:11" x14ac:dyDescent="0.25">
      <c r="K5251"/>
    </row>
    <row r="5252" spans="11:11" x14ac:dyDescent="0.25">
      <c r="K5252"/>
    </row>
    <row r="5253" spans="11:11" x14ac:dyDescent="0.25">
      <c r="K5253"/>
    </row>
    <row r="5254" spans="11:11" x14ac:dyDescent="0.25">
      <c r="K5254"/>
    </row>
    <row r="5255" spans="11:11" x14ac:dyDescent="0.25">
      <c r="K5255"/>
    </row>
    <row r="5256" spans="11:11" x14ac:dyDescent="0.25">
      <c r="K5256"/>
    </row>
    <row r="5257" spans="11:11" x14ac:dyDescent="0.25">
      <c r="K5257"/>
    </row>
    <row r="5258" spans="11:11" x14ac:dyDescent="0.25">
      <c r="K5258"/>
    </row>
    <row r="5259" spans="11:11" x14ac:dyDescent="0.25">
      <c r="K5259"/>
    </row>
    <row r="5260" spans="11:11" x14ac:dyDescent="0.25">
      <c r="K5260"/>
    </row>
    <row r="5261" spans="11:11" x14ac:dyDescent="0.25">
      <c r="K5261"/>
    </row>
    <row r="5262" spans="11:11" x14ac:dyDescent="0.25">
      <c r="K5262"/>
    </row>
    <row r="5263" spans="11:11" x14ac:dyDescent="0.25">
      <c r="K5263"/>
    </row>
    <row r="5264" spans="11:11" x14ac:dyDescent="0.25">
      <c r="K5264"/>
    </row>
    <row r="5265" spans="11:11" x14ac:dyDescent="0.25">
      <c r="K5265"/>
    </row>
    <row r="5266" spans="11:11" x14ac:dyDescent="0.25">
      <c r="K5266"/>
    </row>
    <row r="5267" spans="11:11" x14ac:dyDescent="0.25">
      <c r="K5267"/>
    </row>
    <row r="5268" spans="11:11" x14ac:dyDescent="0.25">
      <c r="K5268"/>
    </row>
    <row r="5269" spans="11:11" x14ac:dyDescent="0.25">
      <c r="K5269"/>
    </row>
    <row r="5270" spans="11:11" x14ac:dyDescent="0.25">
      <c r="K5270"/>
    </row>
    <row r="5271" spans="11:11" x14ac:dyDescent="0.25">
      <c r="K5271"/>
    </row>
    <row r="5272" spans="11:11" x14ac:dyDescent="0.25">
      <c r="K5272"/>
    </row>
    <row r="5273" spans="11:11" x14ac:dyDescent="0.25">
      <c r="K5273"/>
    </row>
    <row r="5274" spans="11:11" x14ac:dyDescent="0.25">
      <c r="K5274"/>
    </row>
    <row r="5275" spans="11:11" x14ac:dyDescent="0.25">
      <c r="K5275"/>
    </row>
    <row r="5276" spans="11:11" x14ac:dyDescent="0.25">
      <c r="K5276"/>
    </row>
    <row r="5277" spans="11:11" x14ac:dyDescent="0.25">
      <c r="K5277"/>
    </row>
    <row r="5278" spans="11:11" x14ac:dyDescent="0.25">
      <c r="K5278"/>
    </row>
    <row r="5279" spans="11:11" x14ac:dyDescent="0.25">
      <c r="K5279"/>
    </row>
    <row r="5280" spans="11:11" x14ac:dyDescent="0.25">
      <c r="K5280"/>
    </row>
    <row r="5281" spans="11:11" x14ac:dyDescent="0.25">
      <c r="K5281"/>
    </row>
    <row r="5282" spans="11:11" x14ac:dyDescent="0.25">
      <c r="K5282"/>
    </row>
    <row r="5283" spans="11:11" x14ac:dyDescent="0.25">
      <c r="K5283"/>
    </row>
    <row r="5284" spans="11:11" x14ac:dyDescent="0.25">
      <c r="K5284"/>
    </row>
    <row r="5285" spans="11:11" x14ac:dyDescent="0.25">
      <c r="K5285"/>
    </row>
    <row r="5286" spans="11:11" x14ac:dyDescent="0.25">
      <c r="K5286"/>
    </row>
    <row r="5287" spans="11:11" x14ac:dyDescent="0.25">
      <c r="K5287"/>
    </row>
    <row r="5288" spans="11:11" x14ac:dyDescent="0.25">
      <c r="K5288"/>
    </row>
    <row r="5289" spans="11:11" x14ac:dyDescent="0.25">
      <c r="K5289"/>
    </row>
    <row r="5290" spans="11:11" x14ac:dyDescent="0.25">
      <c r="K5290"/>
    </row>
    <row r="5291" spans="11:11" x14ac:dyDescent="0.25">
      <c r="K5291"/>
    </row>
    <row r="5292" spans="11:11" x14ac:dyDescent="0.25">
      <c r="K5292"/>
    </row>
    <row r="5293" spans="11:11" x14ac:dyDescent="0.25">
      <c r="K5293"/>
    </row>
    <row r="5294" spans="11:11" x14ac:dyDescent="0.25">
      <c r="K5294"/>
    </row>
    <row r="5295" spans="11:11" x14ac:dyDescent="0.25">
      <c r="K5295"/>
    </row>
    <row r="5296" spans="11:11" x14ac:dyDescent="0.25">
      <c r="K5296"/>
    </row>
    <row r="5297" spans="11:11" x14ac:dyDescent="0.25">
      <c r="K5297"/>
    </row>
    <row r="5298" spans="11:11" x14ac:dyDescent="0.25">
      <c r="K5298"/>
    </row>
    <row r="5299" spans="11:11" x14ac:dyDescent="0.25">
      <c r="K5299"/>
    </row>
    <row r="5300" spans="11:11" x14ac:dyDescent="0.25">
      <c r="K5300"/>
    </row>
    <row r="5301" spans="11:11" x14ac:dyDescent="0.25">
      <c r="K5301"/>
    </row>
    <row r="5302" spans="11:11" x14ac:dyDescent="0.25">
      <c r="K5302"/>
    </row>
    <row r="5303" spans="11:11" x14ac:dyDescent="0.25">
      <c r="K5303"/>
    </row>
    <row r="5304" spans="11:11" x14ac:dyDescent="0.25">
      <c r="K5304"/>
    </row>
    <row r="5305" spans="11:11" x14ac:dyDescent="0.25">
      <c r="K5305"/>
    </row>
    <row r="5306" spans="11:11" x14ac:dyDescent="0.25">
      <c r="K5306"/>
    </row>
    <row r="5307" spans="11:11" x14ac:dyDescent="0.25">
      <c r="K5307"/>
    </row>
    <row r="5308" spans="11:11" x14ac:dyDescent="0.25">
      <c r="K5308"/>
    </row>
    <row r="5309" spans="11:11" x14ac:dyDescent="0.25">
      <c r="K5309"/>
    </row>
    <row r="5310" spans="11:11" x14ac:dyDescent="0.25">
      <c r="K5310"/>
    </row>
    <row r="5311" spans="11:11" x14ac:dyDescent="0.25">
      <c r="K5311"/>
    </row>
    <row r="5312" spans="11:11" x14ac:dyDescent="0.25">
      <c r="K5312"/>
    </row>
    <row r="5313" spans="11:11" x14ac:dyDescent="0.25">
      <c r="K5313"/>
    </row>
    <row r="5314" spans="11:11" x14ac:dyDescent="0.25">
      <c r="K5314"/>
    </row>
    <row r="5315" spans="11:11" x14ac:dyDescent="0.25">
      <c r="K5315"/>
    </row>
    <row r="5316" spans="11:11" x14ac:dyDescent="0.25">
      <c r="K5316"/>
    </row>
    <row r="5317" spans="11:11" x14ac:dyDescent="0.25">
      <c r="K5317"/>
    </row>
    <row r="5318" spans="11:11" x14ac:dyDescent="0.25">
      <c r="K5318"/>
    </row>
    <row r="5319" spans="11:11" x14ac:dyDescent="0.25">
      <c r="K5319"/>
    </row>
    <row r="5320" spans="11:11" x14ac:dyDescent="0.25">
      <c r="K5320"/>
    </row>
    <row r="5321" spans="11:11" x14ac:dyDescent="0.25">
      <c r="K5321"/>
    </row>
    <row r="5322" spans="11:11" x14ac:dyDescent="0.25">
      <c r="K5322"/>
    </row>
    <row r="5323" spans="11:11" x14ac:dyDescent="0.25">
      <c r="K5323"/>
    </row>
    <row r="5324" spans="11:11" x14ac:dyDescent="0.25">
      <c r="K5324"/>
    </row>
    <row r="5325" spans="11:11" x14ac:dyDescent="0.25">
      <c r="K5325"/>
    </row>
    <row r="5326" spans="11:11" x14ac:dyDescent="0.25">
      <c r="K5326"/>
    </row>
    <row r="5327" spans="11:11" x14ac:dyDescent="0.25">
      <c r="K5327"/>
    </row>
    <row r="5328" spans="11:11" x14ac:dyDescent="0.25">
      <c r="K5328"/>
    </row>
    <row r="5329" spans="11:11" x14ac:dyDescent="0.25">
      <c r="K5329"/>
    </row>
    <row r="5330" spans="11:11" x14ac:dyDescent="0.25">
      <c r="K5330"/>
    </row>
    <row r="5331" spans="11:11" x14ac:dyDescent="0.25">
      <c r="K5331"/>
    </row>
    <row r="5332" spans="11:11" x14ac:dyDescent="0.25">
      <c r="K5332"/>
    </row>
    <row r="5333" spans="11:11" x14ac:dyDescent="0.25">
      <c r="K5333"/>
    </row>
    <row r="5334" spans="11:11" x14ac:dyDescent="0.25">
      <c r="K5334"/>
    </row>
    <row r="5335" spans="11:11" x14ac:dyDescent="0.25">
      <c r="K5335"/>
    </row>
    <row r="5336" spans="11:11" x14ac:dyDescent="0.25">
      <c r="K5336"/>
    </row>
    <row r="5337" spans="11:11" x14ac:dyDescent="0.25">
      <c r="K5337"/>
    </row>
    <row r="5338" spans="11:11" x14ac:dyDescent="0.25">
      <c r="K5338"/>
    </row>
    <row r="5339" spans="11:11" x14ac:dyDescent="0.25">
      <c r="K5339"/>
    </row>
    <row r="5340" spans="11:11" x14ac:dyDescent="0.25">
      <c r="K5340"/>
    </row>
    <row r="5341" spans="11:11" x14ac:dyDescent="0.25">
      <c r="K5341"/>
    </row>
    <row r="5342" spans="11:11" x14ac:dyDescent="0.25">
      <c r="K5342"/>
    </row>
    <row r="5343" spans="11:11" x14ac:dyDescent="0.25">
      <c r="K5343"/>
    </row>
    <row r="5344" spans="11:11" x14ac:dyDescent="0.25">
      <c r="K5344"/>
    </row>
    <row r="5345" spans="11:11" x14ac:dyDescent="0.25">
      <c r="K5345"/>
    </row>
    <row r="5346" spans="11:11" x14ac:dyDescent="0.25">
      <c r="K5346"/>
    </row>
    <row r="5347" spans="11:11" x14ac:dyDescent="0.25">
      <c r="K5347"/>
    </row>
    <row r="5348" spans="11:11" x14ac:dyDescent="0.25">
      <c r="K5348"/>
    </row>
    <row r="5349" spans="11:11" x14ac:dyDescent="0.25">
      <c r="K5349"/>
    </row>
    <row r="5350" spans="11:11" x14ac:dyDescent="0.25">
      <c r="K5350"/>
    </row>
    <row r="5351" spans="11:11" x14ac:dyDescent="0.25">
      <c r="K5351"/>
    </row>
    <row r="5352" spans="11:11" x14ac:dyDescent="0.25">
      <c r="K5352"/>
    </row>
    <row r="5353" spans="11:11" x14ac:dyDescent="0.25">
      <c r="K5353"/>
    </row>
    <row r="5354" spans="11:11" x14ac:dyDescent="0.25">
      <c r="K5354"/>
    </row>
    <row r="5355" spans="11:11" x14ac:dyDescent="0.25">
      <c r="K5355"/>
    </row>
    <row r="5356" spans="11:11" x14ac:dyDescent="0.25">
      <c r="K5356"/>
    </row>
    <row r="5357" spans="11:11" x14ac:dyDescent="0.25">
      <c r="K5357"/>
    </row>
    <row r="5358" spans="11:11" x14ac:dyDescent="0.25">
      <c r="K5358"/>
    </row>
    <row r="5359" spans="11:11" x14ac:dyDescent="0.25">
      <c r="K5359"/>
    </row>
    <row r="5360" spans="11:11" x14ac:dyDescent="0.25">
      <c r="K5360"/>
    </row>
    <row r="5361" spans="11:11" x14ac:dyDescent="0.25">
      <c r="K5361"/>
    </row>
    <row r="5362" spans="11:11" x14ac:dyDescent="0.25">
      <c r="K5362"/>
    </row>
    <row r="5363" spans="11:11" x14ac:dyDescent="0.25">
      <c r="K5363"/>
    </row>
    <row r="5364" spans="11:11" x14ac:dyDescent="0.25">
      <c r="K5364"/>
    </row>
    <row r="5365" spans="11:11" x14ac:dyDescent="0.25">
      <c r="K5365"/>
    </row>
    <row r="5366" spans="11:11" x14ac:dyDescent="0.25">
      <c r="K5366"/>
    </row>
    <row r="5367" spans="11:11" x14ac:dyDescent="0.25">
      <c r="K5367"/>
    </row>
    <row r="5368" spans="11:11" x14ac:dyDescent="0.25">
      <c r="K5368"/>
    </row>
    <row r="5369" spans="11:11" x14ac:dyDescent="0.25">
      <c r="K5369"/>
    </row>
    <row r="5370" spans="11:11" x14ac:dyDescent="0.25">
      <c r="K5370"/>
    </row>
    <row r="5371" spans="11:11" x14ac:dyDescent="0.25">
      <c r="K5371"/>
    </row>
    <row r="5372" spans="11:11" x14ac:dyDescent="0.25">
      <c r="K5372"/>
    </row>
    <row r="5373" spans="11:11" x14ac:dyDescent="0.25">
      <c r="K5373"/>
    </row>
    <row r="5374" spans="11:11" x14ac:dyDescent="0.25">
      <c r="K5374"/>
    </row>
    <row r="5375" spans="11:11" x14ac:dyDescent="0.25">
      <c r="K5375"/>
    </row>
    <row r="5376" spans="11:11" x14ac:dyDescent="0.25">
      <c r="K5376"/>
    </row>
    <row r="5377" spans="11:11" x14ac:dyDescent="0.25">
      <c r="K5377"/>
    </row>
    <row r="5378" spans="11:11" x14ac:dyDescent="0.25">
      <c r="K5378"/>
    </row>
    <row r="5379" spans="11:11" x14ac:dyDescent="0.25">
      <c r="K5379"/>
    </row>
    <row r="5380" spans="11:11" x14ac:dyDescent="0.25">
      <c r="K5380"/>
    </row>
    <row r="5381" spans="11:11" x14ac:dyDescent="0.25">
      <c r="K5381"/>
    </row>
    <row r="5382" spans="11:11" x14ac:dyDescent="0.25">
      <c r="K5382"/>
    </row>
    <row r="5383" spans="11:11" x14ac:dyDescent="0.25">
      <c r="K5383"/>
    </row>
    <row r="5384" spans="11:11" x14ac:dyDescent="0.25">
      <c r="K5384"/>
    </row>
    <row r="5385" spans="11:11" x14ac:dyDescent="0.25">
      <c r="K5385"/>
    </row>
    <row r="5386" spans="11:11" x14ac:dyDescent="0.25">
      <c r="K5386"/>
    </row>
    <row r="5387" spans="11:11" x14ac:dyDescent="0.25">
      <c r="K5387"/>
    </row>
    <row r="5388" spans="11:11" x14ac:dyDescent="0.25">
      <c r="K5388"/>
    </row>
    <row r="5389" spans="11:11" x14ac:dyDescent="0.25">
      <c r="K5389"/>
    </row>
    <row r="5390" spans="11:11" x14ac:dyDescent="0.25">
      <c r="K5390"/>
    </row>
    <row r="5391" spans="11:11" x14ac:dyDescent="0.25">
      <c r="K5391"/>
    </row>
    <row r="5392" spans="11:11" x14ac:dyDescent="0.25">
      <c r="K5392"/>
    </row>
    <row r="5393" spans="11:11" x14ac:dyDescent="0.25">
      <c r="K5393"/>
    </row>
    <row r="5394" spans="11:11" x14ac:dyDescent="0.25">
      <c r="K5394"/>
    </row>
    <row r="5395" spans="11:11" x14ac:dyDescent="0.25">
      <c r="K5395"/>
    </row>
    <row r="5396" spans="11:11" x14ac:dyDescent="0.25">
      <c r="K5396"/>
    </row>
    <row r="5397" spans="11:11" x14ac:dyDescent="0.25">
      <c r="K5397"/>
    </row>
    <row r="5398" spans="11:11" x14ac:dyDescent="0.25">
      <c r="K5398"/>
    </row>
    <row r="5399" spans="11:11" x14ac:dyDescent="0.25">
      <c r="K5399"/>
    </row>
    <row r="5400" spans="11:11" x14ac:dyDescent="0.25">
      <c r="K5400"/>
    </row>
    <row r="5401" spans="11:11" x14ac:dyDescent="0.25">
      <c r="K5401"/>
    </row>
    <row r="5402" spans="11:11" x14ac:dyDescent="0.25">
      <c r="K5402"/>
    </row>
    <row r="5403" spans="11:11" x14ac:dyDescent="0.25">
      <c r="K5403"/>
    </row>
    <row r="5404" spans="11:11" x14ac:dyDescent="0.25">
      <c r="K5404"/>
    </row>
    <row r="5405" spans="11:11" x14ac:dyDescent="0.25">
      <c r="K5405"/>
    </row>
    <row r="5406" spans="11:11" x14ac:dyDescent="0.25">
      <c r="K5406"/>
    </row>
    <row r="5407" spans="11:11" x14ac:dyDescent="0.25">
      <c r="K5407"/>
    </row>
    <row r="5408" spans="11:11" x14ac:dyDescent="0.25">
      <c r="K5408"/>
    </row>
    <row r="5409" spans="11:11" x14ac:dyDescent="0.25">
      <c r="K5409"/>
    </row>
    <row r="5410" spans="11:11" x14ac:dyDescent="0.25">
      <c r="K5410"/>
    </row>
    <row r="5411" spans="11:11" x14ac:dyDescent="0.25">
      <c r="K5411"/>
    </row>
    <row r="5412" spans="11:11" x14ac:dyDescent="0.25">
      <c r="K5412"/>
    </row>
    <row r="5413" spans="11:11" x14ac:dyDescent="0.25">
      <c r="K5413"/>
    </row>
    <row r="5414" spans="11:11" x14ac:dyDescent="0.25">
      <c r="K5414"/>
    </row>
    <row r="5415" spans="11:11" x14ac:dyDescent="0.25">
      <c r="K5415"/>
    </row>
    <row r="5416" spans="11:11" x14ac:dyDescent="0.25">
      <c r="K5416"/>
    </row>
    <row r="5417" spans="11:11" x14ac:dyDescent="0.25">
      <c r="K5417"/>
    </row>
    <row r="5418" spans="11:11" x14ac:dyDescent="0.25">
      <c r="K5418"/>
    </row>
    <row r="5419" spans="11:11" x14ac:dyDescent="0.25">
      <c r="K5419"/>
    </row>
    <row r="5420" spans="11:11" x14ac:dyDescent="0.25">
      <c r="K5420"/>
    </row>
    <row r="5421" spans="11:11" x14ac:dyDescent="0.25">
      <c r="K5421"/>
    </row>
    <row r="5422" spans="11:11" x14ac:dyDescent="0.25">
      <c r="K5422"/>
    </row>
    <row r="5423" spans="11:11" x14ac:dyDescent="0.25">
      <c r="K5423"/>
    </row>
    <row r="5424" spans="11:11" x14ac:dyDescent="0.25">
      <c r="K5424"/>
    </row>
    <row r="5425" spans="11:11" x14ac:dyDescent="0.25">
      <c r="K5425"/>
    </row>
    <row r="5426" spans="11:11" x14ac:dyDescent="0.25">
      <c r="K5426"/>
    </row>
    <row r="5427" spans="11:11" x14ac:dyDescent="0.25">
      <c r="K5427"/>
    </row>
    <row r="5428" spans="11:11" x14ac:dyDescent="0.25">
      <c r="K5428"/>
    </row>
    <row r="5429" spans="11:11" x14ac:dyDescent="0.25">
      <c r="K5429"/>
    </row>
    <row r="5430" spans="11:11" x14ac:dyDescent="0.25">
      <c r="K5430"/>
    </row>
    <row r="5431" spans="11:11" x14ac:dyDescent="0.25">
      <c r="K5431"/>
    </row>
    <row r="5432" spans="11:11" x14ac:dyDescent="0.25">
      <c r="K5432"/>
    </row>
    <row r="5433" spans="11:11" x14ac:dyDescent="0.25">
      <c r="K5433"/>
    </row>
    <row r="5434" spans="11:11" x14ac:dyDescent="0.25">
      <c r="K5434"/>
    </row>
    <row r="5435" spans="11:11" x14ac:dyDescent="0.25">
      <c r="K5435"/>
    </row>
    <row r="5436" spans="11:11" x14ac:dyDescent="0.25">
      <c r="K5436"/>
    </row>
    <row r="5437" spans="11:11" x14ac:dyDescent="0.25">
      <c r="K5437"/>
    </row>
    <row r="5438" spans="11:11" x14ac:dyDescent="0.25">
      <c r="K5438"/>
    </row>
    <row r="5439" spans="11:11" x14ac:dyDescent="0.25">
      <c r="K5439"/>
    </row>
    <row r="5440" spans="11:11" x14ac:dyDescent="0.25">
      <c r="K5440"/>
    </row>
    <row r="5441" spans="11:11" x14ac:dyDescent="0.25">
      <c r="K5441"/>
    </row>
    <row r="5442" spans="11:11" x14ac:dyDescent="0.25">
      <c r="K5442"/>
    </row>
    <row r="5443" spans="11:11" x14ac:dyDescent="0.25">
      <c r="K5443"/>
    </row>
    <row r="5444" spans="11:11" x14ac:dyDescent="0.25">
      <c r="K5444"/>
    </row>
    <row r="5445" spans="11:11" x14ac:dyDescent="0.25">
      <c r="K5445"/>
    </row>
    <row r="5446" spans="11:11" x14ac:dyDescent="0.25">
      <c r="K5446"/>
    </row>
    <row r="5447" spans="11:11" x14ac:dyDescent="0.25">
      <c r="K5447"/>
    </row>
    <row r="5448" spans="11:11" x14ac:dyDescent="0.25">
      <c r="K5448"/>
    </row>
    <row r="5449" spans="11:11" x14ac:dyDescent="0.25">
      <c r="K5449"/>
    </row>
    <row r="5450" spans="11:11" x14ac:dyDescent="0.25">
      <c r="K5450"/>
    </row>
    <row r="5451" spans="11:11" x14ac:dyDescent="0.25">
      <c r="K5451"/>
    </row>
    <row r="5452" spans="11:11" x14ac:dyDescent="0.25">
      <c r="K5452"/>
    </row>
    <row r="5453" spans="11:11" x14ac:dyDescent="0.25">
      <c r="K5453"/>
    </row>
    <row r="5454" spans="11:11" x14ac:dyDescent="0.25">
      <c r="K5454"/>
    </row>
    <row r="5455" spans="11:11" x14ac:dyDescent="0.25">
      <c r="K5455"/>
    </row>
    <row r="5456" spans="11:11" x14ac:dyDescent="0.25">
      <c r="K5456"/>
    </row>
    <row r="5457" spans="11:11" x14ac:dyDescent="0.25">
      <c r="K5457"/>
    </row>
    <row r="5458" spans="11:11" x14ac:dyDescent="0.25">
      <c r="K5458"/>
    </row>
    <row r="5459" spans="11:11" x14ac:dyDescent="0.25">
      <c r="K5459"/>
    </row>
    <row r="5460" spans="11:11" x14ac:dyDescent="0.25">
      <c r="K5460"/>
    </row>
    <row r="5461" spans="11:11" x14ac:dyDescent="0.25">
      <c r="K5461"/>
    </row>
    <row r="5462" spans="11:11" x14ac:dyDescent="0.25">
      <c r="K5462"/>
    </row>
    <row r="5463" spans="11:11" x14ac:dyDescent="0.25">
      <c r="K5463"/>
    </row>
    <row r="5464" spans="11:11" x14ac:dyDescent="0.25">
      <c r="K5464"/>
    </row>
    <row r="5465" spans="11:11" x14ac:dyDescent="0.25">
      <c r="K5465"/>
    </row>
    <row r="5466" spans="11:11" x14ac:dyDescent="0.25">
      <c r="K5466"/>
    </row>
    <row r="5467" spans="11:11" x14ac:dyDescent="0.25">
      <c r="K5467"/>
    </row>
    <row r="5468" spans="11:11" x14ac:dyDescent="0.25">
      <c r="K5468"/>
    </row>
    <row r="5469" spans="11:11" x14ac:dyDescent="0.25">
      <c r="K5469"/>
    </row>
    <row r="5470" spans="11:11" x14ac:dyDescent="0.25">
      <c r="K5470"/>
    </row>
    <row r="5471" spans="11:11" x14ac:dyDescent="0.25">
      <c r="K5471"/>
    </row>
    <row r="5472" spans="11:11" x14ac:dyDescent="0.25">
      <c r="K5472"/>
    </row>
    <row r="5473" spans="11:11" x14ac:dyDescent="0.25">
      <c r="K5473"/>
    </row>
    <row r="5474" spans="11:11" x14ac:dyDescent="0.25">
      <c r="K5474"/>
    </row>
    <row r="5475" spans="11:11" x14ac:dyDescent="0.25">
      <c r="K5475"/>
    </row>
    <row r="5476" spans="11:11" x14ac:dyDescent="0.25">
      <c r="K5476"/>
    </row>
    <row r="5477" spans="11:11" x14ac:dyDescent="0.25">
      <c r="K5477"/>
    </row>
    <row r="5478" spans="11:11" x14ac:dyDescent="0.25">
      <c r="K5478"/>
    </row>
    <row r="5479" spans="11:11" x14ac:dyDescent="0.25">
      <c r="K5479"/>
    </row>
    <row r="5480" spans="11:11" x14ac:dyDescent="0.25">
      <c r="K5480"/>
    </row>
    <row r="5481" spans="11:11" x14ac:dyDescent="0.25">
      <c r="K5481"/>
    </row>
    <row r="5482" spans="11:11" x14ac:dyDescent="0.25">
      <c r="K5482"/>
    </row>
    <row r="5483" spans="11:11" x14ac:dyDescent="0.25">
      <c r="K5483"/>
    </row>
    <row r="5484" spans="11:11" x14ac:dyDescent="0.25">
      <c r="K5484"/>
    </row>
    <row r="5485" spans="11:11" x14ac:dyDescent="0.25">
      <c r="K5485"/>
    </row>
    <row r="5486" spans="11:11" x14ac:dyDescent="0.25">
      <c r="K5486"/>
    </row>
    <row r="5487" spans="11:11" x14ac:dyDescent="0.25">
      <c r="K5487"/>
    </row>
    <row r="5488" spans="11:11" x14ac:dyDescent="0.25">
      <c r="K5488"/>
    </row>
    <row r="5489" spans="11:11" x14ac:dyDescent="0.25">
      <c r="K5489"/>
    </row>
    <row r="5490" spans="11:11" x14ac:dyDescent="0.25">
      <c r="K5490"/>
    </row>
    <row r="5491" spans="11:11" x14ac:dyDescent="0.25">
      <c r="K5491"/>
    </row>
    <row r="5492" spans="11:11" x14ac:dyDescent="0.25">
      <c r="K5492"/>
    </row>
    <row r="5493" spans="11:11" x14ac:dyDescent="0.25">
      <c r="K5493"/>
    </row>
    <row r="5494" spans="11:11" x14ac:dyDescent="0.25">
      <c r="K5494"/>
    </row>
    <row r="5495" spans="11:11" x14ac:dyDescent="0.25">
      <c r="K5495"/>
    </row>
    <row r="5496" spans="11:11" x14ac:dyDescent="0.25">
      <c r="K5496"/>
    </row>
    <row r="5497" spans="11:11" x14ac:dyDescent="0.25">
      <c r="K5497"/>
    </row>
    <row r="5498" spans="11:11" x14ac:dyDescent="0.25">
      <c r="K5498"/>
    </row>
    <row r="5499" spans="11:11" x14ac:dyDescent="0.25">
      <c r="K5499"/>
    </row>
    <row r="5500" spans="11:11" x14ac:dyDescent="0.25">
      <c r="K5500"/>
    </row>
    <row r="5501" spans="11:11" x14ac:dyDescent="0.25">
      <c r="K5501"/>
    </row>
    <row r="5502" spans="11:11" x14ac:dyDescent="0.25">
      <c r="K5502"/>
    </row>
    <row r="5503" spans="11:11" x14ac:dyDescent="0.25">
      <c r="K5503"/>
    </row>
    <row r="5504" spans="11:11" x14ac:dyDescent="0.25">
      <c r="K5504"/>
    </row>
    <row r="5505" spans="11:11" x14ac:dyDescent="0.25">
      <c r="K5505"/>
    </row>
    <row r="5506" spans="11:11" x14ac:dyDescent="0.25">
      <c r="K5506"/>
    </row>
    <row r="5507" spans="11:11" x14ac:dyDescent="0.25">
      <c r="K5507"/>
    </row>
    <row r="5508" spans="11:11" x14ac:dyDescent="0.25">
      <c r="K5508"/>
    </row>
    <row r="5509" spans="11:11" x14ac:dyDescent="0.25">
      <c r="K5509"/>
    </row>
    <row r="5510" spans="11:11" x14ac:dyDescent="0.25">
      <c r="K5510"/>
    </row>
    <row r="5511" spans="11:11" x14ac:dyDescent="0.25">
      <c r="K5511"/>
    </row>
    <row r="5512" spans="11:11" x14ac:dyDescent="0.25">
      <c r="K5512"/>
    </row>
    <row r="5513" spans="11:11" x14ac:dyDescent="0.25">
      <c r="K5513"/>
    </row>
    <row r="5514" spans="11:11" x14ac:dyDescent="0.25">
      <c r="K5514"/>
    </row>
    <row r="5515" spans="11:11" x14ac:dyDescent="0.25">
      <c r="K5515"/>
    </row>
    <row r="5516" spans="11:11" x14ac:dyDescent="0.25">
      <c r="K5516"/>
    </row>
    <row r="5517" spans="11:11" x14ac:dyDescent="0.25">
      <c r="K5517"/>
    </row>
    <row r="5518" spans="11:11" x14ac:dyDescent="0.25">
      <c r="K5518"/>
    </row>
    <row r="5519" spans="11:11" x14ac:dyDescent="0.25">
      <c r="K5519"/>
    </row>
    <row r="5520" spans="11:11" x14ac:dyDescent="0.25">
      <c r="K5520"/>
    </row>
    <row r="5521" spans="11:11" x14ac:dyDescent="0.25">
      <c r="K5521"/>
    </row>
    <row r="5522" spans="11:11" x14ac:dyDescent="0.25">
      <c r="K5522"/>
    </row>
    <row r="5523" spans="11:11" x14ac:dyDescent="0.25">
      <c r="K5523"/>
    </row>
    <row r="5524" spans="11:11" x14ac:dyDescent="0.25">
      <c r="K5524"/>
    </row>
    <row r="5525" spans="11:11" x14ac:dyDescent="0.25">
      <c r="K5525"/>
    </row>
    <row r="5526" spans="11:11" x14ac:dyDescent="0.25">
      <c r="K5526"/>
    </row>
    <row r="5527" spans="11:11" x14ac:dyDescent="0.25">
      <c r="K5527"/>
    </row>
    <row r="5528" spans="11:11" x14ac:dyDescent="0.25">
      <c r="K5528"/>
    </row>
    <row r="5529" spans="11:11" x14ac:dyDescent="0.25">
      <c r="K5529"/>
    </row>
    <row r="5530" spans="11:11" x14ac:dyDescent="0.25">
      <c r="K5530"/>
    </row>
    <row r="5531" spans="11:11" x14ac:dyDescent="0.25">
      <c r="K5531"/>
    </row>
    <row r="5532" spans="11:11" x14ac:dyDescent="0.25">
      <c r="K5532"/>
    </row>
    <row r="5533" spans="11:11" x14ac:dyDescent="0.25">
      <c r="K5533"/>
    </row>
    <row r="5534" spans="11:11" x14ac:dyDescent="0.25">
      <c r="K5534"/>
    </row>
    <row r="5535" spans="11:11" x14ac:dyDescent="0.25">
      <c r="K5535"/>
    </row>
    <row r="5536" spans="11:11" x14ac:dyDescent="0.25">
      <c r="K5536"/>
    </row>
    <row r="5537" spans="11:11" x14ac:dyDescent="0.25">
      <c r="K5537"/>
    </row>
    <row r="5538" spans="11:11" x14ac:dyDescent="0.25">
      <c r="K5538"/>
    </row>
    <row r="5539" spans="11:11" x14ac:dyDescent="0.25">
      <c r="K5539"/>
    </row>
    <row r="5540" spans="11:11" x14ac:dyDescent="0.25">
      <c r="K5540"/>
    </row>
    <row r="5541" spans="11:11" x14ac:dyDescent="0.25">
      <c r="K5541"/>
    </row>
    <row r="5542" spans="11:11" x14ac:dyDescent="0.25">
      <c r="K5542"/>
    </row>
    <row r="5543" spans="11:11" x14ac:dyDescent="0.25">
      <c r="K5543"/>
    </row>
    <row r="5544" spans="11:11" x14ac:dyDescent="0.25">
      <c r="K5544"/>
    </row>
    <row r="5545" spans="11:11" x14ac:dyDescent="0.25">
      <c r="K5545"/>
    </row>
    <row r="5546" spans="11:11" x14ac:dyDescent="0.25">
      <c r="K5546"/>
    </row>
    <row r="5547" spans="11:11" x14ac:dyDescent="0.25">
      <c r="K5547"/>
    </row>
    <row r="5548" spans="11:11" x14ac:dyDescent="0.25">
      <c r="K5548"/>
    </row>
    <row r="5549" spans="11:11" x14ac:dyDescent="0.25">
      <c r="K5549"/>
    </row>
    <row r="5550" spans="11:11" x14ac:dyDescent="0.25">
      <c r="K5550"/>
    </row>
    <row r="5551" spans="11:11" x14ac:dyDescent="0.25">
      <c r="K5551"/>
    </row>
    <row r="5552" spans="11:11" x14ac:dyDescent="0.25">
      <c r="K5552"/>
    </row>
    <row r="5553" spans="11:11" x14ac:dyDescent="0.25">
      <c r="K5553"/>
    </row>
    <row r="5554" spans="11:11" x14ac:dyDescent="0.25">
      <c r="K5554"/>
    </row>
    <row r="5555" spans="11:11" x14ac:dyDescent="0.25">
      <c r="K5555"/>
    </row>
    <row r="5556" spans="11:11" x14ac:dyDescent="0.25">
      <c r="K5556"/>
    </row>
    <row r="5557" spans="11:11" x14ac:dyDescent="0.25">
      <c r="K5557"/>
    </row>
    <row r="5558" spans="11:11" x14ac:dyDescent="0.25">
      <c r="K5558"/>
    </row>
    <row r="5559" spans="11:11" x14ac:dyDescent="0.25">
      <c r="K5559"/>
    </row>
    <row r="5560" spans="11:11" x14ac:dyDescent="0.25">
      <c r="K5560"/>
    </row>
    <row r="5561" spans="11:11" x14ac:dyDescent="0.25">
      <c r="K5561"/>
    </row>
    <row r="5562" spans="11:11" x14ac:dyDescent="0.25">
      <c r="K5562"/>
    </row>
    <row r="5563" spans="11:11" x14ac:dyDescent="0.25">
      <c r="K5563"/>
    </row>
    <row r="5564" spans="11:11" x14ac:dyDescent="0.25">
      <c r="K5564"/>
    </row>
    <row r="5565" spans="11:11" x14ac:dyDescent="0.25">
      <c r="K5565"/>
    </row>
    <row r="5566" spans="11:11" x14ac:dyDescent="0.25">
      <c r="K5566"/>
    </row>
    <row r="5567" spans="11:11" x14ac:dyDescent="0.25">
      <c r="K5567"/>
    </row>
    <row r="5568" spans="11:11" x14ac:dyDescent="0.25">
      <c r="K5568"/>
    </row>
    <row r="5569" spans="11:11" x14ac:dyDescent="0.25">
      <c r="K5569"/>
    </row>
    <row r="5570" spans="11:11" x14ac:dyDescent="0.25">
      <c r="K5570"/>
    </row>
    <row r="5571" spans="11:11" x14ac:dyDescent="0.25">
      <c r="K5571"/>
    </row>
    <row r="5572" spans="11:11" x14ac:dyDescent="0.25">
      <c r="K5572"/>
    </row>
    <row r="5573" spans="11:11" x14ac:dyDescent="0.25">
      <c r="K5573"/>
    </row>
    <row r="5574" spans="11:11" x14ac:dyDescent="0.25">
      <c r="K5574"/>
    </row>
    <row r="5575" spans="11:11" x14ac:dyDescent="0.25">
      <c r="K5575"/>
    </row>
    <row r="5576" spans="11:11" x14ac:dyDescent="0.25">
      <c r="K5576"/>
    </row>
    <row r="5577" spans="11:11" x14ac:dyDescent="0.25">
      <c r="K5577"/>
    </row>
    <row r="5578" spans="11:11" x14ac:dyDescent="0.25">
      <c r="K5578"/>
    </row>
    <row r="5579" spans="11:11" x14ac:dyDescent="0.25">
      <c r="K5579"/>
    </row>
    <row r="5580" spans="11:11" x14ac:dyDescent="0.25">
      <c r="K5580"/>
    </row>
    <row r="5581" spans="11:11" x14ac:dyDescent="0.25">
      <c r="K5581"/>
    </row>
    <row r="5582" spans="11:11" x14ac:dyDescent="0.25">
      <c r="K5582"/>
    </row>
    <row r="5583" spans="11:11" x14ac:dyDescent="0.25">
      <c r="K5583"/>
    </row>
    <row r="5584" spans="11:11" x14ac:dyDescent="0.25">
      <c r="K5584"/>
    </row>
    <row r="5585" spans="11:11" x14ac:dyDescent="0.25">
      <c r="K5585"/>
    </row>
    <row r="5586" spans="11:11" x14ac:dyDescent="0.25">
      <c r="K5586"/>
    </row>
    <row r="5587" spans="11:11" x14ac:dyDescent="0.25">
      <c r="K5587"/>
    </row>
    <row r="5588" spans="11:11" x14ac:dyDescent="0.25">
      <c r="K5588"/>
    </row>
    <row r="5589" spans="11:11" x14ac:dyDescent="0.25">
      <c r="K5589"/>
    </row>
    <row r="5590" spans="11:11" x14ac:dyDescent="0.25">
      <c r="K5590"/>
    </row>
    <row r="5591" spans="11:11" x14ac:dyDescent="0.25">
      <c r="K5591"/>
    </row>
    <row r="5592" spans="11:11" x14ac:dyDescent="0.25">
      <c r="K5592"/>
    </row>
    <row r="5593" spans="11:11" x14ac:dyDescent="0.25">
      <c r="K5593"/>
    </row>
    <row r="5594" spans="11:11" x14ac:dyDescent="0.25">
      <c r="K5594"/>
    </row>
    <row r="5595" spans="11:11" x14ac:dyDescent="0.25">
      <c r="K5595"/>
    </row>
    <row r="5596" spans="11:11" x14ac:dyDescent="0.25">
      <c r="K5596"/>
    </row>
    <row r="5597" spans="11:11" x14ac:dyDescent="0.25">
      <c r="K5597"/>
    </row>
    <row r="5598" spans="11:11" x14ac:dyDescent="0.25">
      <c r="K5598"/>
    </row>
    <row r="5599" spans="11:11" x14ac:dyDescent="0.25">
      <c r="K5599"/>
    </row>
    <row r="5600" spans="11:11" x14ac:dyDescent="0.25">
      <c r="K5600"/>
    </row>
    <row r="5601" spans="11:11" x14ac:dyDescent="0.25">
      <c r="K5601"/>
    </row>
    <row r="5602" spans="11:11" x14ac:dyDescent="0.25">
      <c r="K5602"/>
    </row>
    <row r="5603" spans="11:11" x14ac:dyDescent="0.25">
      <c r="K5603"/>
    </row>
    <row r="5604" spans="11:11" x14ac:dyDescent="0.25">
      <c r="K5604"/>
    </row>
    <row r="5605" spans="11:11" x14ac:dyDescent="0.25">
      <c r="K5605"/>
    </row>
    <row r="5606" spans="11:11" x14ac:dyDescent="0.25">
      <c r="K5606"/>
    </row>
    <row r="5607" spans="11:11" x14ac:dyDescent="0.25">
      <c r="K5607"/>
    </row>
    <row r="5608" spans="11:11" x14ac:dyDescent="0.25">
      <c r="K5608"/>
    </row>
    <row r="5609" spans="11:11" x14ac:dyDescent="0.25">
      <c r="K5609"/>
    </row>
    <row r="5610" spans="11:11" x14ac:dyDescent="0.25">
      <c r="K5610"/>
    </row>
    <row r="5611" spans="11:11" x14ac:dyDescent="0.25">
      <c r="K5611"/>
    </row>
    <row r="5612" spans="11:11" x14ac:dyDescent="0.25">
      <c r="K5612"/>
    </row>
    <row r="5613" spans="11:11" x14ac:dyDescent="0.25">
      <c r="K5613"/>
    </row>
    <row r="5614" spans="11:11" x14ac:dyDescent="0.25">
      <c r="K5614"/>
    </row>
    <row r="5615" spans="11:11" x14ac:dyDescent="0.25">
      <c r="K5615"/>
    </row>
    <row r="5616" spans="11:11" x14ac:dyDescent="0.25">
      <c r="K5616"/>
    </row>
    <row r="5617" spans="11:11" x14ac:dyDescent="0.25">
      <c r="K5617"/>
    </row>
    <row r="5618" spans="11:11" x14ac:dyDescent="0.25">
      <c r="K5618"/>
    </row>
    <row r="5619" spans="11:11" x14ac:dyDescent="0.25">
      <c r="K5619"/>
    </row>
    <row r="5620" spans="11:11" x14ac:dyDescent="0.25">
      <c r="K5620"/>
    </row>
    <row r="5621" spans="11:11" x14ac:dyDescent="0.25">
      <c r="K5621"/>
    </row>
    <row r="5622" spans="11:11" x14ac:dyDescent="0.25">
      <c r="K5622"/>
    </row>
    <row r="5623" spans="11:11" x14ac:dyDescent="0.25">
      <c r="K5623"/>
    </row>
    <row r="5624" spans="11:11" x14ac:dyDescent="0.25">
      <c r="K5624"/>
    </row>
    <row r="5625" spans="11:11" x14ac:dyDescent="0.25">
      <c r="K5625"/>
    </row>
    <row r="5626" spans="11:11" x14ac:dyDescent="0.25">
      <c r="K5626"/>
    </row>
    <row r="5627" spans="11:11" x14ac:dyDescent="0.25">
      <c r="K5627"/>
    </row>
    <row r="5628" spans="11:11" x14ac:dyDescent="0.25">
      <c r="K5628"/>
    </row>
    <row r="5629" spans="11:11" x14ac:dyDescent="0.25">
      <c r="K5629"/>
    </row>
    <row r="5630" spans="11:11" x14ac:dyDescent="0.25">
      <c r="K5630"/>
    </row>
    <row r="5631" spans="11:11" x14ac:dyDescent="0.25">
      <c r="K5631"/>
    </row>
    <row r="5632" spans="11:11" x14ac:dyDescent="0.25">
      <c r="K5632"/>
    </row>
    <row r="5633" spans="11:11" x14ac:dyDescent="0.25">
      <c r="K5633"/>
    </row>
    <row r="5634" spans="11:11" x14ac:dyDescent="0.25">
      <c r="K5634"/>
    </row>
    <row r="5635" spans="11:11" x14ac:dyDescent="0.25">
      <c r="K5635"/>
    </row>
    <row r="5636" spans="11:11" x14ac:dyDescent="0.25">
      <c r="K5636"/>
    </row>
    <row r="5637" spans="11:11" x14ac:dyDescent="0.25">
      <c r="K5637"/>
    </row>
    <row r="5638" spans="11:11" x14ac:dyDescent="0.25">
      <c r="K5638"/>
    </row>
    <row r="5639" spans="11:11" x14ac:dyDescent="0.25">
      <c r="K5639"/>
    </row>
    <row r="5640" spans="11:11" x14ac:dyDescent="0.25">
      <c r="K5640"/>
    </row>
    <row r="5641" spans="11:11" x14ac:dyDescent="0.25">
      <c r="K5641"/>
    </row>
    <row r="5642" spans="11:11" x14ac:dyDescent="0.25">
      <c r="K5642"/>
    </row>
    <row r="5643" spans="11:11" x14ac:dyDescent="0.25">
      <c r="K5643"/>
    </row>
    <row r="5644" spans="11:11" x14ac:dyDescent="0.25">
      <c r="K5644"/>
    </row>
    <row r="5645" spans="11:11" x14ac:dyDescent="0.25">
      <c r="K5645"/>
    </row>
    <row r="5646" spans="11:11" x14ac:dyDescent="0.25">
      <c r="K5646"/>
    </row>
    <row r="5647" spans="11:11" x14ac:dyDescent="0.25">
      <c r="K5647"/>
    </row>
    <row r="5648" spans="11:11" x14ac:dyDescent="0.25">
      <c r="K5648"/>
    </row>
    <row r="5649" spans="11:11" x14ac:dyDescent="0.25">
      <c r="K5649"/>
    </row>
    <row r="5650" spans="11:11" x14ac:dyDescent="0.25">
      <c r="K5650"/>
    </row>
    <row r="5651" spans="11:11" x14ac:dyDescent="0.25">
      <c r="K5651"/>
    </row>
    <row r="5652" spans="11:11" x14ac:dyDescent="0.25">
      <c r="K5652"/>
    </row>
    <row r="5653" spans="11:11" x14ac:dyDescent="0.25">
      <c r="K5653"/>
    </row>
    <row r="5654" spans="11:11" x14ac:dyDescent="0.25">
      <c r="K5654"/>
    </row>
    <row r="5655" spans="11:11" x14ac:dyDescent="0.25">
      <c r="K5655"/>
    </row>
    <row r="5656" spans="11:11" x14ac:dyDescent="0.25">
      <c r="K5656"/>
    </row>
    <row r="5657" spans="11:11" x14ac:dyDescent="0.25">
      <c r="K5657"/>
    </row>
    <row r="5658" spans="11:11" x14ac:dyDescent="0.25">
      <c r="K5658"/>
    </row>
    <row r="5659" spans="11:11" x14ac:dyDescent="0.25">
      <c r="K5659"/>
    </row>
    <row r="5660" spans="11:11" x14ac:dyDescent="0.25">
      <c r="K5660"/>
    </row>
    <row r="5661" spans="11:11" x14ac:dyDescent="0.25">
      <c r="K5661"/>
    </row>
    <row r="5662" spans="11:11" x14ac:dyDescent="0.25">
      <c r="K5662"/>
    </row>
    <row r="5663" spans="11:11" x14ac:dyDescent="0.25">
      <c r="K5663"/>
    </row>
    <row r="5664" spans="11:11" x14ac:dyDescent="0.25">
      <c r="K5664"/>
    </row>
    <row r="5665" spans="11:11" x14ac:dyDescent="0.25">
      <c r="K5665"/>
    </row>
    <row r="5666" spans="11:11" x14ac:dyDescent="0.25">
      <c r="K5666"/>
    </row>
    <row r="5667" spans="11:11" x14ac:dyDescent="0.25">
      <c r="K5667"/>
    </row>
    <row r="5668" spans="11:11" x14ac:dyDescent="0.25">
      <c r="K5668"/>
    </row>
    <row r="5669" spans="11:11" x14ac:dyDescent="0.25">
      <c r="K5669"/>
    </row>
    <row r="5670" spans="11:11" x14ac:dyDescent="0.25">
      <c r="K5670"/>
    </row>
    <row r="5671" spans="11:11" x14ac:dyDescent="0.25">
      <c r="K5671"/>
    </row>
    <row r="5672" spans="11:11" x14ac:dyDescent="0.25">
      <c r="K5672"/>
    </row>
    <row r="5673" spans="11:11" x14ac:dyDescent="0.25">
      <c r="K5673"/>
    </row>
    <row r="5674" spans="11:11" x14ac:dyDescent="0.25">
      <c r="K5674"/>
    </row>
    <row r="5675" spans="11:11" x14ac:dyDescent="0.25">
      <c r="K5675"/>
    </row>
    <row r="5676" spans="11:11" x14ac:dyDescent="0.25">
      <c r="K5676"/>
    </row>
    <row r="5677" spans="11:11" x14ac:dyDescent="0.25">
      <c r="K5677"/>
    </row>
    <row r="5678" spans="11:11" x14ac:dyDescent="0.25">
      <c r="K5678"/>
    </row>
    <row r="5679" spans="11:11" x14ac:dyDescent="0.25">
      <c r="K5679"/>
    </row>
    <row r="5680" spans="11:11" x14ac:dyDescent="0.25">
      <c r="K5680"/>
    </row>
    <row r="5681" spans="11:11" x14ac:dyDescent="0.25">
      <c r="K5681"/>
    </row>
    <row r="5682" spans="11:11" x14ac:dyDescent="0.25">
      <c r="K5682"/>
    </row>
    <row r="5683" spans="11:11" x14ac:dyDescent="0.25">
      <c r="K5683"/>
    </row>
    <row r="5684" spans="11:11" x14ac:dyDescent="0.25">
      <c r="K5684"/>
    </row>
    <row r="5685" spans="11:11" x14ac:dyDescent="0.25">
      <c r="K5685"/>
    </row>
    <row r="5686" spans="11:11" x14ac:dyDescent="0.25">
      <c r="K5686"/>
    </row>
    <row r="5687" spans="11:11" x14ac:dyDescent="0.25">
      <c r="K5687"/>
    </row>
    <row r="5688" spans="11:11" x14ac:dyDescent="0.25">
      <c r="K5688"/>
    </row>
    <row r="5689" spans="11:11" x14ac:dyDescent="0.25">
      <c r="K5689"/>
    </row>
    <row r="5690" spans="11:11" x14ac:dyDescent="0.25">
      <c r="K5690"/>
    </row>
    <row r="5691" spans="11:11" x14ac:dyDescent="0.25">
      <c r="K5691"/>
    </row>
    <row r="5692" spans="11:11" x14ac:dyDescent="0.25">
      <c r="K5692"/>
    </row>
    <row r="5693" spans="11:11" x14ac:dyDescent="0.25">
      <c r="K5693"/>
    </row>
    <row r="5694" spans="11:11" x14ac:dyDescent="0.25">
      <c r="K5694"/>
    </row>
    <row r="5695" spans="11:11" x14ac:dyDescent="0.25">
      <c r="K5695"/>
    </row>
    <row r="5696" spans="11:11" x14ac:dyDescent="0.25">
      <c r="K5696"/>
    </row>
    <row r="5697" spans="11:11" x14ac:dyDescent="0.25">
      <c r="K5697"/>
    </row>
    <row r="5698" spans="11:11" x14ac:dyDescent="0.25">
      <c r="K5698"/>
    </row>
    <row r="5699" spans="11:11" x14ac:dyDescent="0.25">
      <c r="K5699"/>
    </row>
    <row r="5700" spans="11:11" x14ac:dyDescent="0.25">
      <c r="K5700"/>
    </row>
    <row r="5701" spans="11:11" x14ac:dyDescent="0.25">
      <c r="K5701"/>
    </row>
    <row r="5702" spans="11:11" x14ac:dyDescent="0.25">
      <c r="K5702"/>
    </row>
    <row r="5703" spans="11:11" x14ac:dyDescent="0.25">
      <c r="K5703"/>
    </row>
    <row r="5704" spans="11:11" x14ac:dyDescent="0.25">
      <c r="K5704"/>
    </row>
    <row r="5705" spans="11:11" x14ac:dyDescent="0.25">
      <c r="K5705"/>
    </row>
    <row r="5706" spans="11:11" x14ac:dyDescent="0.25">
      <c r="K5706"/>
    </row>
    <row r="5707" spans="11:11" x14ac:dyDescent="0.25">
      <c r="K5707"/>
    </row>
    <row r="5708" spans="11:11" x14ac:dyDescent="0.25">
      <c r="K5708"/>
    </row>
    <row r="5709" spans="11:11" x14ac:dyDescent="0.25">
      <c r="K5709"/>
    </row>
    <row r="5710" spans="11:11" x14ac:dyDescent="0.25">
      <c r="K5710"/>
    </row>
    <row r="5711" spans="11:11" x14ac:dyDescent="0.25">
      <c r="K5711"/>
    </row>
    <row r="5712" spans="11:11" x14ac:dyDescent="0.25">
      <c r="K5712"/>
    </row>
    <row r="5713" spans="11:11" x14ac:dyDescent="0.25">
      <c r="K5713"/>
    </row>
    <row r="5714" spans="11:11" x14ac:dyDescent="0.25">
      <c r="K5714"/>
    </row>
    <row r="5715" spans="11:11" x14ac:dyDescent="0.25">
      <c r="K5715"/>
    </row>
    <row r="5716" spans="11:11" x14ac:dyDescent="0.25">
      <c r="K5716"/>
    </row>
    <row r="5717" spans="11:11" x14ac:dyDescent="0.25">
      <c r="K5717"/>
    </row>
    <row r="5718" spans="11:11" x14ac:dyDescent="0.25">
      <c r="K5718"/>
    </row>
    <row r="5719" spans="11:11" x14ac:dyDescent="0.25">
      <c r="K5719"/>
    </row>
    <row r="5720" spans="11:11" x14ac:dyDescent="0.25">
      <c r="K5720"/>
    </row>
    <row r="5721" spans="11:11" x14ac:dyDescent="0.25">
      <c r="K5721"/>
    </row>
    <row r="5722" spans="11:11" x14ac:dyDescent="0.25">
      <c r="K5722"/>
    </row>
    <row r="5723" spans="11:11" x14ac:dyDescent="0.25">
      <c r="K5723"/>
    </row>
    <row r="5724" spans="11:11" x14ac:dyDescent="0.25">
      <c r="K5724"/>
    </row>
    <row r="5725" spans="11:11" x14ac:dyDescent="0.25">
      <c r="K5725"/>
    </row>
    <row r="5726" spans="11:11" x14ac:dyDescent="0.25">
      <c r="K5726"/>
    </row>
    <row r="5727" spans="11:11" x14ac:dyDescent="0.25">
      <c r="K5727"/>
    </row>
    <row r="5728" spans="11:11" x14ac:dyDescent="0.25">
      <c r="K5728"/>
    </row>
    <row r="5729" spans="11:11" x14ac:dyDescent="0.25">
      <c r="K5729"/>
    </row>
    <row r="5730" spans="11:11" x14ac:dyDescent="0.25">
      <c r="K5730"/>
    </row>
    <row r="5731" spans="11:11" x14ac:dyDescent="0.25">
      <c r="K5731"/>
    </row>
    <row r="5732" spans="11:11" x14ac:dyDescent="0.25">
      <c r="K5732"/>
    </row>
    <row r="5733" spans="11:11" x14ac:dyDescent="0.25">
      <c r="K5733"/>
    </row>
    <row r="5734" spans="11:11" x14ac:dyDescent="0.25">
      <c r="K5734"/>
    </row>
    <row r="5735" spans="11:11" x14ac:dyDescent="0.25">
      <c r="K5735"/>
    </row>
    <row r="5736" spans="11:11" x14ac:dyDescent="0.25">
      <c r="K5736"/>
    </row>
    <row r="5737" spans="11:11" x14ac:dyDescent="0.25">
      <c r="K5737"/>
    </row>
    <row r="5738" spans="11:11" x14ac:dyDescent="0.25">
      <c r="K5738"/>
    </row>
    <row r="5739" spans="11:11" x14ac:dyDescent="0.25">
      <c r="K5739"/>
    </row>
    <row r="5740" spans="11:11" x14ac:dyDescent="0.25">
      <c r="K5740"/>
    </row>
    <row r="5741" spans="11:11" x14ac:dyDescent="0.25">
      <c r="K5741"/>
    </row>
    <row r="5742" spans="11:11" x14ac:dyDescent="0.25">
      <c r="K5742"/>
    </row>
    <row r="5743" spans="11:11" x14ac:dyDescent="0.25">
      <c r="K5743"/>
    </row>
    <row r="5744" spans="11:11" x14ac:dyDescent="0.25">
      <c r="K5744"/>
    </row>
    <row r="5745" spans="11:11" x14ac:dyDescent="0.25">
      <c r="K5745"/>
    </row>
    <row r="5746" spans="11:11" x14ac:dyDescent="0.25">
      <c r="K5746"/>
    </row>
    <row r="5747" spans="11:11" x14ac:dyDescent="0.25">
      <c r="K5747"/>
    </row>
    <row r="5748" spans="11:11" x14ac:dyDescent="0.25">
      <c r="K5748"/>
    </row>
    <row r="5749" spans="11:11" x14ac:dyDescent="0.25">
      <c r="K5749"/>
    </row>
    <row r="5750" spans="11:11" x14ac:dyDescent="0.25">
      <c r="K5750"/>
    </row>
    <row r="5751" spans="11:11" x14ac:dyDescent="0.25">
      <c r="K5751"/>
    </row>
    <row r="5752" spans="11:11" x14ac:dyDescent="0.25">
      <c r="K5752"/>
    </row>
    <row r="5753" spans="11:11" x14ac:dyDescent="0.25">
      <c r="K5753"/>
    </row>
    <row r="5754" spans="11:11" x14ac:dyDescent="0.25">
      <c r="K5754"/>
    </row>
    <row r="5755" spans="11:11" x14ac:dyDescent="0.25">
      <c r="K5755"/>
    </row>
    <row r="5756" spans="11:11" x14ac:dyDescent="0.25">
      <c r="K5756"/>
    </row>
    <row r="5757" spans="11:11" x14ac:dyDescent="0.25">
      <c r="K5757"/>
    </row>
    <row r="5758" spans="11:11" x14ac:dyDescent="0.25">
      <c r="K5758"/>
    </row>
    <row r="5759" spans="11:11" x14ac:dyDescent="0.25">
      <c r="K5759"/>
    </row>
    <row r="5760" spans="11:11" x14ac:dyDescent="0.25">
      <c r="K5760"/>
    </row>
    <row r="5761" spans="11:11" x14ac:dyDescent="0.25">
      <c r="K5761"/>
    </row>
    <row r="5762" spans="11:11" x14ac:dyDescent="0.25">
      <c r="K5762"/>
    </row>
    <row r="5763" spans="11:11" x14ac:dyDescent="0.25">
      <c r="K5763"/>
    </row>
    <row r="5764" spans="11:11" x14ac:dyDescent="0.25">
      <c r="K5764"/>
    </row>
    <row r="5765" spans="11:11" x14ac:dyDescent="0.25">
      <c r="K5765"/>
    </row>
    <row r="5766" spans="11:11" x14ac:dyDescent="0.25">
      <c r="K5766"/>
    </row>
    <row r="5767" spans="11:11" x14ac:dyDescent="0.25">
      <c r="K5767"/>
    </row>
    <row r="5768" spans="11:11" x14ac:dyDescent="0.25">
      <c r="K5768"/>
    </row>
    <row r="5769" spans="11:11" x14ac:dyDescent="0.25">
      <c r="K5769"/>
    </row>
    <row r="5770" spans="11:11" x14ac:dyDescent="0.25">
      <c r="K5770"/>
    </row>
    <row r="5771" spans="11:11" x14ac:dyDescent="0.25">
      <c r="K5771"/>
    </row>
    <row r="5772" spans="11:11" x14ac:dyDescent="0.25">
      <c r="K5772"/>
    </row>
    <row r="5773" spans="11:11" x14ac:dyDescent="0.25">
      <c r="K5773"/>
    </row>
    <row r="5774" spans="11:11" x14ac:dyDescent="0.25">
      <c r="K5774"/>
    </row>
    <row r="5775" spans="11:11" x14ac:dyDescent="0.25">
      <c r="K5775"/>
    </row>
    <row r="5776" spans="11:11" x14ac:dyDescent="0.25">
      <c r="K5776"/>
    </row>
    <row r="5777" spans="11:11" x14ac:dyDescent="0.25">
      <c r="K5777"/>
    </row>
    <row r="5778" spans="11:11" x14ac:dyDescent="0.25">
      <c r="K5778"/>
    </row>
    <row r="5779" spans="11:11" x14ac:dyDescent="0.25">
      <c r="K5779"/>
    </row>
    <row r="5780" spans="11:11" x14ac:dyDescent="0.25">
      <c r="K5780"/>
    </row>
    <row r="5781" spans="11:11" x14ac:dyDescent="0.25">
      <c r="K5781"/>
    </row>
    <row r="5782" spans="11:11" x14ac:dyDescent="0.25">
      <c r="K5782"/>
    </row>
    <row r="5783" spans="11:11" x14ac:dyDescent="0.25">
      <c r="K5783"/>
    </row>
    <row r="5784" spans="11:11" x14ac:dyDescent="0.25">
      <c r="K5784"/>
    </row>
    <row r="5785" spans="11:11" x14ac:dyDescent="0.25">
      <c r="K5785"/>
    </row>
    <row r="5786" spans="11:11" x14ac:dyDescent="0.25">
      <c r="K5786"/>
    </row>
    <row r="5787" spans="11:11" x14ac:dyDescent="0.25">
      <c r="K5787"/>
    </row>
    <row r="5788" spans="11:11" x14ac:dyDescent="0.25">
      <c r="K5788"/>
    </row>
    <row r="5789" spans="11:11" x14ac:dyDescent="0.25">
      <c r="K5789"/>
    </row>
    <row r="5790" spans="11:11" x14ac:dyDescent="0.25">
      <c r="K5790"/>
    </row>
    <row r="5791" spans="11:11" x14ac:dyDescent="0.25">
      <c r="K5791"/>
    </row>
    <row r="5792" spans="11:11" x14ac:dyDescent="0.25">
      <c r="K5792"/>
    </row>
    <row r="5793" spans="11:11" x14ac:dyDescent="0.25">
      <c r="K5793"/>
    </row>
    <row r="5794" spans="11:11" x14ac:dyDescent="0.25">
      <c r="K5794"/>
    </row>
    <row r="5795" spans="11:11" x14ac:dyDescent="0.25">
      <c r="K5795"/>
    </row>
    <row r="5796" spans="11:11" x14ac:dyDescent="0.25">
      <c r="K5796"/>
    </row>
    <row r="5797" spans="11:11" x14ac:dyDescent="0.25">
      <c r="K5797"/>
    </row>
    <row r="5798" spans="11:11" x14ac:dyDescent="0.25">
      <c r="K5798"/>
    </row>
    <row r="5799" spans="11:11" x14ac:dyDescent="0.25">
      <c r="K5799"/>
    </row>
    <row r="5800" spans="11:11" x14ac:dyDescent="0.25">
      <c r="K5800"/>
    </row>
    <row r="5801" spans="11:11" x14ac:dyDescent="0.25">
      <c r="K5801"/>
    </row>
    <row r="5802" spans="11:11" x14ac:dyDescent="0.25">
      <c r="K5802"/>
    </row>
    <row r="5803" spans="11:11" x14ac:dyDescent="0.25">
      <c r="K5803"/>
    </row>
    <row r="5804" spans="11:11" x14ac:dyDescent="0.25">
      <c r="K5804"/>
    </row>
    <row r="5805" spans="11:11" x14ac:dyDescent="0.25">
      <c r="K5805"/>
    </row>
    <row r="5806" spans="11:11" x14ac:dyDescent="0.25">
      <c r="K5806"/>
    </row>
    <row r="5807" spans="11:11" x14ac:dyDescent="0.25">
      <c r="K5807"/>
    </row>
    <row r="5808" spans="11:11" x14ac:dyDescent="0.25">
      <c r="K5808"/>
    </row>
    <row r="5809" spans="11:11" x14ac:dyDescent="0.25">
      <c r="K5809"/>
    </row>
    <row r="5810" spans="11:11" x14ac:dyDescent="0.25">
      <c r="K5810"/>
    </row>
    <row r="5811" spans="11:11" x14ac:dyDescent="0.25">
      <c r="K5811"/>
    </row>
    <row r="5812" spans="11:11" x14ac:dyDescent="0.25">
      <c r="K5812"/>
    </row>
    <row r="5813" spans="11:11" x14ac:dyDescent="0.25">
      <c r="K5813"/>
    </row>
    <row r="5814" spans="11:11" x14ac:dyDescent="0.25">
      <c r="K5814"/>
    </row>
    <row r="5815" spans="11:11" x14ac:dyDescent="0.25">
      <c r="K5815"/>
    </row>
    <row r="5816" spans="11:11" x14ac:dyDescent="0.25">
      <c r="K5816"/>
    </row>
    <row r="5817" spans="11:11" x14ac:dyDescent="0.25">
      <c r="K5817"/>
    </row>
    <row r="5818" spans="11:11" x14ac:dyDescent="0.25">
      <c r="K5818"/>
    </row>
    <row r="5819" spans="11:11" x14ac:dyDescent="0.25">
      <c r="K5819"/>
    </row>
    <row r="5820" spans="11:11" x14ac:dyDescent="0.25">
      <c r="K5820"/>
    </row>
    <row r="5821" spans="11:11" x14ac:dyDescent="0.25">
      <c r="K5821"/>
    </row>
    <row r="5822" spans="11:11" x14ac:dyDescent="0.25">
      <c r="K5822"/>
    </row>
    <row r="5823" spans="11:11" x14ac:dyDescent="0.25">
      <c r="K5823"/>
    </row>
    <row r="5824" spans="11:11" x14ac:dyDescent="0.25">
      <c r="K5824"/>
    </row>
    <row r="5825" spans="11:11" x14ac:dyDescent="0.25">
      <c r="K5825"/>
    </row>
    <row r="5826" spans="11:11" x14ac:dyDescent="0.25">
      <c r="K5826"/>
    </row>
    <row r="5827" spans="11:11" x14ac:dyDescent="0.25">
      <c r="K5827"/>
    </row>
    <row r="5828" spans="11:11" x14ac:dyDescent="0.25">
      <c r="K5828"/>
    </row>
    <row r="5829" spans="11:11" x14ac:dyDescent="0.25">
      <c r="K5829"/>
    </row>
    <row r="5830" spans="11:11" x14ac:dyDescent="0.25">
      <c r="K5830"/>
    </row>
    <row r="5831" spans="11:11" x14ac:dyDescent="0.25">
      <c r="K5831"/>
    </row>
    <row r="5832" spans="11:11" x14ac:dyDescent="0.25">
      <c r="K5832"/>
    </row>
    <row r="5833" spans="11:11" x14ac:dyDescent="0.25">
      <c r="K5833"/>
    </row>
    <row r="5834" spans="11:11" x14ac:dyDescent="0.25">
      <c r="K5834"/>
    </row>
    <row r="5835" spans="11:11" x14ac:dyDescent="0.25">
      <c r="K5835"/>
    </row>
    <row r="5836" spans="11:11" x14ac:dyDescent="0.25">
      <c r="K5836"/>
    </row>
    <row r="5837" spans="11:11" x14ac:dyDescent="0.25">
      <c r="K5837"/>
    </row>
    <row r="5838" spans="11:11" x14ac:dyDescent="0.25">
      <c r="K5838"/>
    </row>
    <row r="5839" spans="11:11" x14ac:dyDescent="0.25">
      <c r="K5839"/>
    </row>
    <row r="5840" spans="11:11" x14ac:dyDescent="0.25">
      <c r="K5840"/>
    </row>
    <row r="5841" spans="11:11" x14ac:dyDescent="0.25">
      <c r="K5841"/>
    </row>
    <row r="5842" spans="11:11" x14ac:dyDescent="0.25">
      <c r="K5842"/>
    </row>
    <row r="5843" spans="11:11" x14ac:dyDescent="0.25">
      <c r="K5843"/>
    </row>
    <row r="5844" spans="11:11" x14ac:dyDescent="0.25">
      <c r="K5844"/>
    </row>
    <row r="5845" spans="11:11" x14ac:dyDescent="0.25">
      <c r="K5845"/>
    </row>
    <row r="5846" spans="11:11" x14ac:dyDescent="0.25">
      <c r="K5846"/>
    </row>
    <row r="5847" spans="11:11" x14ac:dyDescent="0.25">
      <c r="K5847"/>
    </row>
    <row r="5848" spans="11:11" x14ac:dyDescent="0.25">
      <c r="K5848"/>
    </row>
    <row r="5849" spans="11:11" x14ac:dyDescent="0.25">
      <c r="K5849"/>
    </row>
    <row r="5850" spans="11:11" x14ac:dyDescent="0.25">
      <c r="K5850"/>
    </row>
    <row r="5851" spans="11:11" x14ac:dyDescent="0.25">
      <c r="K5851"/>
    </row>
    <row r="5852" spans="11:11" x14ac:dyDescent="0.25">
      <c r="K5852"/>
    </row>
    <row r="5853" spans="11:11" x14ac:dyDescent="0.25">
      <c r="K5853"/>
    </row>
    <row r="5854" spans="11:11" x14ac:dyDescent="0.25">
      <c r="K5854"/>
    </row>
    <row r="5855" spans="11:11" x14ac:dyDescent="0.25">
      <c r="K5855"/>
    </row>
    <row r="5856" spans="11:11" x14ac:dyDescent="0.25">
      <c r="K5856"/>
    </row>
    <row r="5857" spans="11:11" x14ac:dyDescent="0.25">
      <c r="K5857"/>
    </row>
    <row r="5858" spans="11:11" x14ac:dyDescent="0.25">
      <c r="K5858"/>
    </row>
    <row r="5859" spans="11:11" x14ac:dyDescent="0.25">
      <c r="K5859"/>
    </row>
    <row r="5860" spans="11:11" x14ac:dyDescent="0.25">
      <c r="K5860"/>
    </row>
    <row r="5861" spans="11:11" x14ac:dyDescent="0.25">
      <c r="K5861"/>
    </row>
    <row r="5862" spans="11:11" x14ac:dyDescent="0.25">
      <c r="K5862"/>
    </row>
    <row r="5863" spans="11:11" x14ac:dyDescent="0.25">
      <c r="K5863"/>
    </row>
    <row r="5864" spans="11:11" x14ac:dyDescent="0.25">
      <c r="K5864"/>
    </row>
    <row r="5865" spans="11:11" x14ac:dyDescent="0.25">
      <c r="K5865"/>
    </row>
    <row r="5866" spans="11:11" x14ac:dyDescent="0.25">
      <c r="K5866"/>
    </row>
    <row r="5867" spans="11:11" x14ac:dyDescent="0.25">
      <c r="K5867"/>
    </row>
    <row r="5868" spans="11:11" x14ac:dyDescent="0.25">
      <c r="K5868"/>
    </row>
    <row r="5869" spans="11:11" x14ac:dyDescent="0.25">
      <c r="K5869"/>
    </row>
    <row r="5870" spans="11:11" x14ac:dyDescent="0.25">
      <c r="K5870"/>
    </row>
    <row r="5871" spans="11:11" x14ac:dyDescent="0.25">
      <c r="K5871"/>
    </row>
    <row r="5872" spans="11:11" x14ac:dyDescent="0.25">
      <c r="K5872"/>
    </row>
    <row r="5873" spans="11:11" x14ac:dyDescent="0.25">
      <c r="K5873"/>
    </row>
    <row r="5874" spans="11:11" x14ac:dyDescent="0.25">
      <c r="K5874"/>
    </row>
    <row r="5875" spans="11:11" x14ac:dyDescent="0.25">
      <c r="K5875"/>
    </row>
    <row r="5876" spans="11:11" x14ac:dyDescent="0.25">
      <c r="K5876"/>
    </row>
    <row r="5877" spans="11:11" x14ac:dyDescent="0.25">
      <c r="K5877"/>
    </row>
    <row r="5878" spans="11:11" x14ac:dyDescent="0.25">
      <c r="K5878"/>
    </row>
    <row r="5879" spans="11:11" x14ac:dyDescent="0.25">
      <c r="K5879"/>
    </row>
    <row r="5880" spans="11:11" x14ac:dyDescent="0.25">
      <c r="K5880"/>
    </row>
    <row r="5881" spans="11:11" x14ac:dyDescent="0.25">
      <c r="K5881"/>
    </row>
    <row r="5882" spans="11:11" x14ac:dyDescent="0.25">
      <c r="K5882"/>
    </row>
    <row r="5883" spans="11:11" x14ac:dyDescent="0.25">
      <c r="K5883"/>
    </row>
    <row r="5884" spans="11:11" x14ac:dyDescent="0.25">
      <c r="K5884"/>
    </row>
    <row r="5885" spans="11:11" x14ac:dyDescent="0.25">
      <c r="K5885"/>
    </row>
    <row r="5886" spans="11:11" x14ac:dyDescent="0.25">
      <c r="K5886"/>
    </row>
    <row r="5887" spans="11:11" x14ac:dyDescent="0.25">
      <c r="K5887"/>
    </row>
    <row r="5888" spans="11:11" x14ac:dyDescent="0.25">
      <c r="K5888"/>
    </row>
    <row r="5889" spans="11:11" x14ac:dyDescent="0.25">
      <c r="K5889"/>
    </row>
    <row r="5890" spans="11:11" x14ac:dyDescent="0.25">
      <c r="K5890"/>
    </row>
    <row r="5891" spans="11:11" x14ac:dyDescent="0.25">
      <c r="K5891"/>
    </row>
    <row r="5892" spans="11:11" x14ac:dyDescent="0.25">
      <c r="K5892"/>
    </row>
    <row r="5893" spans="11:11" x14ac:dyDescent="0.25">
      <c r="K5893"/>
    </row>
    <row r="5894" spans="11:11" x14ac:dyDescent="0.25">
      <c r="K5894"/>
    </row>
    <row r="5895" spans="11:11" x14ac:dyDescent="0.25">
      <c r="K5895"/>
    </row>
    <row r="5896" spans="11:11" x14ac:dyDescent="0.25">
      <c r="K5896"/>
    </row>
    <row r="5897" spans="11:11" x14ac:dyDescent="0.25">
      <c r="K5897"/>
    </row>
    <row r="5898" spans="11:11" x14ac:dyDescent="0.25">
      <c r="K5898"/>
    </row>
    <row r="5899" spans="11:11" x14ac:dyDescent="0.25">
      <c r="K5899"/>
    </row>
    <row r="5900" spans="11:11" x14ac:dyDescent="0.25">
      <c r="K5900"/>
    </row>
    <row r="5901" spans="11:11" x14ac:dyDescent="0.25">
      <c r="K5901"/>
    </row>
    <row r="5902" spans="11:11" x14ac:dyDescent="0.25">
      <c r="K5902"/>
    </row>
    <row r="5903" spans="11:11" x14ac:dyDescent="0.25">
      <c r="K5903"/>
    </row>
    <row r="5904" spans="11:11" x14ac:dyDescent="0.25">
      <c r="K5904"/>
    </row>
    <row r="5905" spans="11:11" x14ac:dyDescent="0.25">
      <c r="K5905"/>
    </row>
    <row r="5906" spans="11:11" x14ac:dyDescent="0.25">
      <c r="K5906"/>
    </row>
    <row r="5907" spans="11:11" x14ac:dyDescent="0.25">
      <c r="K5907"/>
    </row>
    <row r="5908" spans="11:11" x14ac:dyDescent="0.25">
      <c r="K5908"/>
    </row>
    <row r="5909" spans="11:11" x14ac:dyDescent="0.25">
      <c r="K5909"/>
    </row>
    <row r="5910" spans="11:11" x14ac:dyDescent="0.25">
      <c r="K5910"/>
    </row>
    <row r="5911" spans="11:11" x14ac:dyDescent="0.25">
      <c r="K5911"/>
    </row>
    <row r="5912" spans="11:11" x14ac:dyDescent="0.25">
      <c r="K5912"/>
    </row>
    <row r="5913" spans="11:11" x14ac:dyDescent="0.25">
      <c r="K5913"/>
    </row>
    <row r="5914" spans="11:11" x14ac:dyDescent="0.25">
      <c r="K5914"/>
    </row>
    <row r="5915" spans="11:11" x14ac:dyDescent="0.25">
      <c r="K5915"/>
    </row>
    <row r="5916" spans="11:11" x14ac:dyDescent="0.25">
      <c r="K5916"/>
    </row>
    <row r="5917" spans="11:11" x14ac:dyDescent="0.25">
      <c r="K5917"/>
    </row>
    <row r="5918" spans="11:11" x14ac:dyDescent="0.25">
      <c r="K5918"/>
    </row>
    <row r="5919" spans="11:11" x14ac:dyDescent="0.25">
      <c r="K5919"/>
    </row>
    <row r="5920" spans="11:11" x14ac:dyDescent="0.25">
      <c r="K5920"/>
    </row>
    <row r="5921" spans="11:11" x14ac:dyDescent="0.25">
      <c r="K5921"/>
    </row>
    <row r="5922" spans="11:11" x14ac:dyDescent="0.25">
      <c r="K5922"/>
    </row>
    <row r="5923" spans="11:11" x14ac:dyDescent="0.25">
      <c r="K5923"/>
    </row>
    <row r="5924" spans="11:11" x14ac:dyDescent="0.25">
      <c r="K5924"/>
    </row>
    <row r="5925" spans="11:11" x14ac:dyDescent="0.25">
      <c r="K5925"/>
    </row>
    <row r="5926" spans="11:11" x14ac:dyDescent="0.25">
      <c r="K5926"/>
    </row>
    <row r="5927" spans="11:11" x14ac:dyDescent="0.25">
      <c r="K5927"/>
    </row>
    <row r="5928" spans="11:11" x14ac:dyDescent="0.25">
      <c r="K5928"/>
    </row>
    <row r="5929" spans="11:11" x14ac:dyDescent="0.25">
      <c r="K5929"/>
    </row>
    <row r="5930" spans="11:11" x14ac:dyDescent="0.25">
      <c r="K5930"/>
    </row>
    <row r="5931" spans="11:11" x14ac:dyDescent="0.25">
      <c r="K5931"/>
    </row>
    <row r="5932" spans="11:11" x14ac:dyDescent="0.25">
      <c r="K5932"/>
    </row>
    <row r="5933" spans="11:11" x14ac:dyDescent="0.25">
      <c r="K5933"/>
    </row>
    <row r="5934" spans="11:11" x14ac:dyDescent="0.25">
      <c r="K5934"/>
    </row>
    <row r="5935" spans="11:11" x14ac:dyDescent="0.25">
      <c r="K5935"/>
    </row>
    <row r="5936" spans="11:11" x14ac:dyDescent="0.25">
      <c r="K5936"/>
    </row>
    <row r="5937" spans="11:11" x14ac:dyDescent="0.25">
      <c r="K5937"/>
    </row>
    <row r="5938" spans="11:11" x14ac:dyDescent="0.25">
      <c r="K5938"/>
    </row>
    <row r="5939" spans="11:11" x14ac:dyDescent="0.25">
      <c r="K5939"/>
    </row>
    <row r="5940" spans="11:11" x14ac:dyDescent="0.25">
      <c r="K5940"/>
    </row>
    <row r="5941" spans="11:11" x14ac:dyDescent="0.25">
      <c r="K5941"/>
    </row>
    <row r="5942" spans="11:11" x14ac:dyDescent="0.25">
      <c r="K5942"/>
    </row>
    <row r="5943" spans="11:11" x14ac:dyDescent="0.25">
      <c r="K5943"/>
    </row>
    <row r="5944" spans="11:11" x14ac:dyDescent="0.25">
      <c r="K5944"/>
    </row>
    <row r="5945" spans="11:11" x14ac:dyDescent="0.25">
      <c r="K5945"/>
    </row>
    <row r="5946" spans="11:11" x14ac:dyDescent="0.25">
      <c r="K5946"/>
    </row>
    <row r="5947" spans="11:11" x14ac:dyDescent="0.25">
      <c r="K5947"/>
    </row>
    <row r="5948" spans="11:11" x14ac:dyDescent="0.25">
      <c r="K5948"/>
    </row>
    <row r="5949" spans="11:11" x14ac:dyDescent="0.25">
      <c r="K5949"/>
    </row>
    <row r="5950" spans="11:11" x14ac:dyDescent="0.25">
      <c r="K5950"/>
    </row>
    <row r="5951" spans="11:11" x14ac:dyDescent="0.25">
      <c r="K5951"/>
    </row>
    <row r="5952" spans="11:11" x14ac:dyDescent="0.25">
      <c r="K5952"/>
    </row>
    <row r="5953" spans="11:11" x14ac:dyDescent="0.25">
      <c r="K5953"/>
    </row>
    <row r="5954" spans="11:11" x14ac:dyDescent="0.25">
      <c r="K5954"/>
    </row>
    <row r="5955" spans="11:11" x14ac:dyDescent="0.25">
      <c r="K5955"/>
    </row>
    <row r="5956" spans="11:11" x14ac:dyDescent="0.25">
      <c r="K5956"/>
    </row>
    <row r="5957" spans="11:11" x14ac:dyDescent="0.25">
      <c r="K5957"/>
    </row>
    <row r="5958" spans="11:11" x14ac:dyDescent="0.25">
      <c r="K5958"/>
    </row>
    <row r="5959" spans="11:11" x14ac:dyDescent="0.25">
      <c r="K5959"/>
    </row>
    <row r="5960" spans="11:11" x14ac:dyDescent="0.25">
      <c r="K5960"/>
    </row>
    <row r="5961" spans="11:11" x14ac:dyDescent="0.25">
      <c r="K5961"/>
    </row>
    <row r="5962" spans="11:11" x14ac:dyDescent="0.25">
      <c r="K5962"/>
    </row>
    <row r="5963" spans="11:11" x14ac:dyDescent="0.25">
      <c r="K5963"/>
    </row>
    <row r="5964" spans="11:11" x14ac:dyDescent="0.25">
      <c r="K5964"/>
    </row>
    <row r="5965" spans="11:11" x14ac:dyDescent="0.25">
      <c r="K5965"/>
    </row>
    <row r="5966" spans="11:11" x14ac:dyDescent="0.25">
      <c r="K5966"/>
    </row>
    <row r="5967" spans="11:11" x14ac:dyDescent="0.25">
      <c r="K5967"/>
    </row>
    <row r="5968" spans="11:11" x14ac:dyDescent="0.25">
      <c r="K5968"/>
    </row>
    <row r="5969" spans="11:11" x14ac:dyDescent="0.25">
      <c r="K5969"/>
    </row>
    <row r="5970" spans="11:11" x14ac:dyDescent="0.25">
      <c r="K5970"/>
    </row>
    <row r="5971" spans="11:11" x14ac:dyDescent="0.25">
      <c r="K5971"/>
    </row>
    <row r="5972" spans="11:11" x14ac:dyDescent="0.25">
      <c r="K5972"/>
    </row>
    <row r="5973" spans="11:11" x14ac:dyDescent="0.25">
      <c r="K5973"/>
    </row>
    <row r="5974" spans="11:11" x14ac:dyDescent="0.25">
      <c r="K5974"/>
    </row>
    <row r="5975" spans="11:11" x14ac:dyDescent="0.25">
      <c r="K5975"/>
    </row>
    <row r="5976" spans="11:11" x14ac:dyDescent="0.25">
      <c r="K5976"/>
    </row>
    <row r="5977" spans="11:11" x14ac:dyDescent="0.25">
      <c r="K5977"/>
    </row>
    <row r="5978" spans="11:11" x14ac:dyDescent="0.25">
      <c r="K5978"/>
    </row>
    <row r="5979" spans="11:11" x14ac:dyDescent="0.25">
      <c r="K5979"/>
    </row>
    <row r="5980" spans="11:11" x14ac:dyDescent="0.25">
      <c r="K5980"/>
    </row>
    <row r="5981" spans="11:11" x14ac:dyDescent="0.25">
      <c r="K5981"/>
    </row>
    <row r="5982" spans="11:11" x14ac:dyDescent="0.25">
      <c r="K5982"/>
    </row>
    <row r="5983" spans="11:11" x14ac:dyDescent="0.25">
      <c r="K5983"/>
    </row>
    <row r="5984" spans="11:11" x14ac:dyDescent="0.25">
      <c r="K5984"/>
    </row>
    <row r="5985" spans="11:11" x14ac:dyDescent="0.25">
      <c r="K5985"/>
    </row>
    <row r="5986" spans="11:11" x14ac:dyDescent="0.25">
      <c r="K5986"/>
    </row>
    <row r="5987" spans="11:11" x14ac:dyDescent="0.25">
      <c r="K5987"/>
    </row>
    <row r="5988" spans="11:11" x14ac:dyDescent="0.25">
      <c r="K5988"/>
    </row>
    <row r="5989" spans="11:11" x14ac:dyDescent="0.25">
      <c r="K5989"/>
    </row>
    <row r="5990" spans="11:11" x14ac:dyDescent="0.25">
      <c r="K5990"/>
    </row>
    <row r="5991" spans="11:11" x14ac:dyDescent="0.25">
      <c r="K5991"/>
    </row>
    <row r="5992" spans="11:11" x14ac:dyDescent="0.25">
      <c r="K5992"/>
    </row>
    <row r="5993" spans="11:11" x14ac:dyDescent="0.25">
      <c r="K5993"/>
    </row>
    <row r="5994" spans="11:11" x14ac:dyDescent="0.25">
      <c r="K5994"/>
    </row>
    <row r="5995" spans="11:11" x14ac:dyDescent="0.25">
      <c r="K5995"/>
    </row>
    <row r="5996" spans="11:11" x14ac:dyDescent="0.25">
      <c r="K5996"/>
    </row>
    <row r="5997" spans="11:11" x14ac:dyDescent="0.25">
      <c r="K5997"/>
    </row>
    <row r="5998" spans="11:11" x14ac:dyDescent="0.25">
      <c r="K5998"/>
    </row>
    <row r="5999" spans="11:11" x14ac:dyDescent="0.25">
      <c r="K5999"/>
    </row>
    <row r="6000" spans="11:11" x14ac:dyDescent="0.25">
      <c r="K6000"/>
    </row>
    <row r="6001" spans="11:11" x14ac:dyDescent="0.25">
      <c r="K6001"/>
    </row>
    <row r="6002" spans="11:11" x14ac:dyDescent="0.25">
      <c r="K6002"/>
    </row>
    <row r="6003" spans="11:11" x14ac:dyDescent="0.25">
      <c r="K6003"/>
    </row>
    <row r="6004" spans="11:11" x14ac:dyDescent="0.25">
      <c r="K6004"/>
    </row>
    <row r="6005" spans="11:11" x14ac:dyDescent="0.25">
      <c r="K6005"/>
    </row>
    <row r="6006" spans="11:11" x14ac:dyDescent="0.25">
      <c r="K6006"/>
    </row>
    <row r="6007" spans="11:11" x14ac:dyDescent="0.25">
      <c r="K6007"/>
    </row>
    <row r="6008" spans="11:11" x14ac:dyDescent="0.25">
      <c r="K6008"/>
    </row>
    <row r="6009" spans="11:11" x14ac:dyDescent="0.25">
      <c r="K6009"/>
    </row>
    <row r="6010" spans="11:11" x14ac:dyDescent="0.25">
      <c r="K6010"/>
    </row>
    <row r="6011" spans="11:11" x14ac:dyDescent="0.25">
      <c r="K6011"/>
    </row>
    <row r="6012" spans="11:11" x14ac:dyDescent="0.25">
      <c r="K6012"/>
    </row>
    <row r="6013" spans="11:11" x14ac:dyDescent="0.25">
      <c r="K6013"/>
    </row>
    <row r="6014" spans="11:11" x14ac:dyDescent="0.25">
      <c r="K6014"/>
    </row>
    <row r="6015" spans="11:11" x14ac:dyDescent="0.25">
      <c r="K6015"/>
    </row>
    <row r="6016" spans="11:11" x14ac:dyDescent="0.25">
      <c r="K6016"/>
    </row>
    <row r="6017" spans="11:11" x14ac:dyDescent="0.25">
      <c r="K6017"/>
    </row>
    <row r="6018" spans="11:11" x14ac:dyDescent="0.25">
      <c r="K6018"/>
    </row>
    <row r="6019" spans="11:11" x14ac:dyDescent="0.25">
      <c r="K6019"/>
    </row>
    <row r="6020" spans="11:11" x14ac:dyDescent="0.25">
      <c r="K6020"/>
    </row>
    <row r="6021" spans="11:11" x14ac:dyDescent="0.25">
      <c r="K6021"/>
    </row>
    <row r="6022" spans="11:11" x14ac:dyDescent="0.25">
      <c r="K6022"/>
    </row>
    <row r="6023" spans="11:11" x14ac:dyDescent="0.25">
      <c r="K6023"/>
    </row>
    <row r="6024" spans="11:11" x14ac:dyDescent="0.25">
      <c r="K6024"/>
    </row>
    <row r="6025" spans="11:11" x14ac:dyDescent="0.25">
      <c r="K6025"/>
    </row>
    <row r="6026" spans="11:11" x14ac:dyDescent="0.25">
      <c r="K6026"/>
    </row>
    <row r="6027" spans="11:11" x14ac:dyDescent="0.25">
      <c r="K6027"/>
    </row>
    <row r="6028" spans="11:11" x14ac:dyDescent="0.25">
      <c r="K6028"/>
    </row>
    <row r="6029" spans="11:11" x14ac:dyDescent="0.25">
      <c r="K6029"/>
    </row>
    <row r="6030" spans="11:11" x14ac:dyDescent="0.25">
      <c r="K6030"/>
    </row>
    <row r="6031" spans="11:11" x14ac:dyDescent="0.25">
      <c r="K6031"/>
    </row>
    <row r="6032" spans="11:11" x14ac:dyDescent="0.25">
      <c r="K6032"/>
    </row>
    <row r="6033" spans="11:11" x14ac:dyDescent="0.25">
      <c r="K6033"/>
    </row>
    <row r="6034" spans="11:11" x14ac:dyDescent="0.25">
      <c r="K6034"/>
    </row>
    <row r="6035" spans="11:11" x14ac:dyDescent="0.25">
      <c r="K6035"/>
    </row>
    <row r="6036" spans="11:11" x14ac:dyDescent="0.25">
      <c r="K6036"/>
    </row>
    <row r="6037" spans="11:11" x14ac:dyDescent="0.25">
      <c r="K6037"/>
    </row>
    <row r="6038" spans="11:11" x14ac:dyDescent="0.25">
      <c r="K6038"/>
    </row>
    <row r="6039" spans="11:11" x14ac:dyDescent="0.25">
      <c r="K6039"/>
    </row>
    <row r="6040" spans="11:11" x14ac:dyDescent="0.25">
      <c r="K6040"/>
    </row>
    <row r="6041" spans="11:11" x14ac:dyDescent="0.25">
      <c r="K6041"/>
    </row>
    <row r="6042" spans="11:11" x14ac:dyDescent="0.25">
      <c r="K6042"/>
    </row>
    <row r="6043" spans="11:11" x14ac:dyDescent="0.25">
      <c r="K6043"/>
    </row>
    <row r="6044" spans="11:11" x14ac:dyDescent="0.25">
      <c r="K6044"/>
    </row>
    <row r="6045" spans="11:11" x14ac:dyDescent="0.25">
      <c r="K6045"/>
    </row>
    <row r="6046" spans="11:11" x14ac:dyDescent="0.25">
      <c r="K6046"/>
    </row>
    <row r="6047" spans="11:11" x14ac:dyDescent="0.25">
      <c r="K6047"/>
    </row>
    <row r="6048" spans="11:11" x14ac:dyDescent="0.25">
      <c r="K6048"/>
    </row>
    <row r="6049" spans="11:11" x14ac:dyDescent="0.25">
      <c r="K6049"/>
    </row>
    <row r="6050" spans="11:11" x14ac:dyDescent="0.25">
      <c r="K6050"/>
    </row>
    <row r="6051" spans="11:11" x14ac:dyDescent="0.25">
      <c r="K6051"/>
    </row>
    <row r="6052" spans="11:11" x14ac:dyDescent="0.25">
      <c r="K6052"/>
    </row>
    <row r="6053" spans="11:11" x14ac:dyDescent="0.25">
      <c r="K6053"/>
    </row>
    <row r="6054" spans="11:11" x14ac:dyDescent="0.25">
      <c r="K6054"/>
    </row>
    <row r="6055" spans="11:11" x14ac:dyDescent="0.25">
      <c r="K6055"/>
    </row>
    <row r="6056" spans="11:11" x14ac:dyDescent="0.25">
      <c r="K6056"/>
    </row>
    <row r="6057" spans="11:11" x14ac:dyDescent="0.25">
      <c r="K6057"/>
    </row>
    <row r="6058" spans="11:11" x14ac:dyDescent="0.25">
      <c r="K6058"/>
    </row>
    <row r="6059" spans="11:11" x14ac:dyDescent="0.25">
      <c r="K6059"/>
    </row>
    <row r="6060" spans="11:11" x14ac:dyDescent="0.25">
      <c r="K6060"/>
    </row>
    <row r="6061" spans="11:11" x14ac:dyDescent="0.25">
      <c r="K6061"/>
    </row>
    <row r="6062" spans="11:11" x14ac:dyDescent="0.25">
      <c r="K6062"/>
    </row>
    <row r="6063" spans="11:11" x14ac:dyDescent="0.25">
      <c r="K6063"/>
    </row>
    <row r="6064" spans="11:11" x14ac:dyDescent="0.25">
      <c r="K6064"/>
    </row>
    <row r="6065" spans="11:11" x14ac:dyDescent="0.25">
      <c r="K6065"/>
    </row>
    <row r="6066" spans="11:11" x14ac:dyDescent="0.25">
      <c r="K6066"/>
    </row>
    <row r="6067" spans="11:11" x14ac:dyDescent="0.25">
      <c r="K6067"/>
    </row>
    <row r="6068" spans="11:11" x14ac:dyDescent="0.25">
      <c r="K6068"/>
    </row>
    <row r="6069" spans="11:11" x14ac:dyDescent="0.25">
      <c r="K6069"/>
    </row>
    <row r="6070" spans="11:11" x14ac:dyDescent="0.25">
      <c r="K6070"/>
    </row>
    <row r="6071" spans="11:11" x14ac:dyDescent="0.25">
      <c r="K6071"/>
    </row>
    <row r="6072" spans="11:11" x14ac:dyDescent="0.25">
      <c r="K6072"/>
    </row>
    <row r="6073" spans="11:11" x14ac:dyDescent="0.25">
      <c r="K6073"/>
    </row>
    <row r="6074" spans="11:11" x14ac:dyDescent="0.25">
      <c r="K6074"/>
    </row>
    <row r="6075" spans="11:11" x14ac:dyDescent="0.25">
      <c r="K6075"/>
    </row>
    <row r="6076" spans="11:11" x14ac:dyDescent="0.25">
      <c r="K6076"/>
    </row>
    <row r="6077" spans="11:11" x14ac:dyDescent="0.25">
      <c r="K6077"/>
    </row>
    <row r="6078" spans="11:11" x14ac:dyDescent="0.25">
      <c r="K6078"/>
    </row>
    <row r="6079" spans="11:11" x14ac:dyDescent="0.25">
      <c r="K6079"/>
    </row>
    <row r="6080" spans="11:11" x14ac:dyDescent="0.25">
      <c r="K6080"/>
    </row>
    <row r="6081" spans="11:11" x14ac:dyDescent="0.25">
      <c r="K6081"/>
    </row>
    <row r="6082" spans="11:11" x14ac:dyDescent="0.25">
      <c r="K6082"/>
    </row>
    <row r="6083" spans="11:11" x14ac:dyDescent="0.25">
      <c r="K6083"/>
    </row>
    <row r="6084" spans="11:11" x14ac:dyDescent="0.25">
      <c r="K6084"/>
    </row>
    <row r="6085" spans="11:11" x14ac:dyDescent="0.25">
      <c r="K6085"/>
    </row>
    <row r="6086" spans="11:11" x14ac:dyDescent="0.25">
      <c r="K6086"/>
    </row>
    <row r="6087" spans="11:11" x14ac:dyDescent="0.25">
      <c r="K6087"/>
    </row>
    <row r="6088" spans="11:11" x14ac:dyDescent="0.25">
      <c r="K6088"/>
    </row>
    <row r="6089" spans="11:11" x14ac:dyDescent="0.25">
      <c r="K6089"/>
    </row>
    <row r="6090" spans="11:11" x14ac:dyDescent="0.25">
      <c r="K6090"/>
    </row>
    <row r="6091" spans="11:11" x14ac:dyDescent="0.25">
      <c r="K6091"/>
    </row>
    <row r="6092" spans="11:11" x14ac:dyDescent="0.25">
      <c r="K6092"/>
    </row>
    <row r="6093" spans="11:11" x14ac:dyDescent="0.25">
      <c r="K6093"/>
    </row>
    <row r="6094" spans="11:11" x14ac:dyDescent="0.25">
      <c r="K6094"/>
    </row>
    <row r="6095" spans="11:11" x14ac:dyDescent="0.25">
      <c r="K6095"/>
    </row>
    <row r="6096" spans="11:11" x14ac:dyDescent="0.25">
      <c r="K6096"/>
    </row>
    <row r="6097" spans="11:11" x14ac:dyDescent="0.25">
      <c r="K6097"/>
    </row>
    <row r="6098" spans="11:11" x14ac:dyDescent="0.25">
      <c r="K6098"/>
    </row>
    <row r="6099" spans="11:11" x14ac:dyDescent="0.25">
      <c r="K6099"/>
    </row>
    <row r="6100" spans="11:11" x14ac:dyDescent="0.25">
      <c r="K6100"/>
    </row>
    <row r="6101" spans="11:11" x14ac:dyDescent="0.25">
      <c r="K6101"/>
    </row>
    <row r="6102" spans="11:11" x14ac:dyDescent="0.25">
      <c r="K6102"/>
    </row>
    <row r="6103" spans="11:11" x14ac:dyDescent="0.25">
      <c r="K6103"/>
    </row>
    <row r="6104" spans="11:11" x14ac:dyDescent="0.25">
      <c r="K6104"/>
    </row>
    <row r="6105" spans="11:11" x14ac:dyDescent="0.25">
      <c r="K6105"/>
    </row>
    <row r="6106" spans="11:11" x14ac:dyDescent="0.25">
      <c r="K6106"/>
    </row>
    <row r="6107" spans="11:11" x14ac:dyDescent="0.25">
      <c r="K6107"/>
    </row>
    <row r="6108" spans="11:11" x14ac:dyDescent="0.25">
      <c r="K6108"/>
    </row>
    <row r="6109" spans="11:11" x14ac:dyDescent="0.25">
      <c r="K6109"/>
    </row>
    <row r="6110" spans="11:11" x14ac:dyDescent="0.25">
      <c r="K6110"/>
    </row>
    <row r="6111" spans="11:11" x14ac:dyDescent="0.25">
      <c r="K6111"/>
    </row>
    <row r="6112" spans="11:11" x14ac:dyDescent="0.25">
      <c r="K6112"/>
    </row>
    <row r="6113" spans="11:11" x14ac:dyDescent="0.25">
      <c r="K6113"/>
    </row>
    <row r="6114" spans="11:11" x14ac:dyDescent="0.25">
      <c r="K6114"/>
    </row>
    <row r="6115" spans="11:11" x14ac:dyDescent="0.25">
      <c r="K6115"/>
    </row>
    <row r="6116" spans="11:11" x14ac:dyDescent="0.25">
      <c r="K6116"/>
    </row>
    <row r="6117" spans="11:11" x14ac:dyDescent="0.25">
      <c r="K6117"/>
    </row>
    <row r="6118" spans="11:11" x14ac:dyDescent="0.25">
      <c r="K6118"/>
    </row>
    <row r="6119" spans="11:11" x14ac:dyDescent="0.25">
      <c r="K6119"/>
    </row>
    <row r="6120" spans="11:11" x14ac:dyDescent="0.25">
      <c r="K6120"/>
    </row>
    <row r="6121" spans="11:11" x14ac:dyDescent="0.25">
      <c r="K6121"/>
    </row>
    <row r="6122" spans="11:11" x14ac:dyDescent="0.25">
      <c r="K6122"/>
    </row>
    <row r="6123" spans="11:11" x14ac:dyDescent="0.25">
      <c r="K6123"/>
    </row>
    <row r="6124" spans="11:11" x14ac:dyDescent="0.25">
      <c r="K6124"/>
    </row>
    <row r="6125" spans="11:11" x14ac:dyDescent="0.25">
      <c r="K6125"/>
    </row>
    <row r="6126" spans="11:11" x14ac:dyDescent="0.25">
      <c r="K6126"/>
    </row>
    <row r="6127" spans="11:11" x14ac:dyDescent="0.25">
      <c r="K6127"/>
    </row>
    <row r="6128" spans="11:11" x14ac:dyDescent="0.25">
      <c r="K6128"/>
    </row>
    <row r="6129" spans="11:11" x14ac:dyDescent="0.25">
      <c r="K6129"/>
    </row>
    <row r="6130" spans="11:11" x14ac:dyDescent="0.25">
      <c r="K6130"/>
    </row>
    <row r="6131" spans="11:11" x14ac:dyDescent="0.25">
      <c r="K6131"/>
    </row>
    <row r="6132" spans="11:11" x14ac:dyDescent="0.25">
      <c r="K6132"/>
    </row>
    <row r="6133" spans="11:11" x14ac:dyDescent="0.25">
      <c r="K6133"/>
    </row>
    <row r="6134" spans="11:11" x14ac:dyDescent="0.25">
      <c r="K6134"/>
    </row>
    <row r="6135" spans="11:11" x14ac:dyDescent="0.25">
      <c r="K6135"/>
    </row>
    <row r="6136" spans="11:11" x14ac:dyDescent="0.25">
      <c r="K6136"/>
    </row>
    <row r="6137" spans="11:11" x14ac:dyDescent="0.25">
      <c r="K6137"/>
    </row>
    <row r="6138" spans="11:11" x14ac:dyDescent="0.25">
      <c r="K6138"/>
    </row>
    <row r="6139" spans="11:11" x14ac:dyDescent="0.25">
      <c r="K6139"/>
    </row>
    <row r="6140" spans="11:11" x14ac:dyDescent="0.25">
      <c r="K6140"/>
    </row>
    <row r="6141" spans="11:11" x14ac:dyDescent="0.25">
      <c r="K6141"/>
    </row>
    <row r="6142" spans="11:11" x14ac:dyDescent="0.25">
      <c r="K6142"/>
    </row>
    <row r="6143" spans="11:11" x14ac:dyDescent="0.25">
      <c r="K6143"/>
    </row>
    <row r="6144" spans="11:11" x14ac:dyDescent="0.25">
      <c r="K6144"/>
    </row>
    <row r="6145" spans="11:11" x14ac:dyDescent="0.25">
      <c r="K6145"/>
    </row>
    <row r="6146" spans="11:11" x14ac:dyDescent="0.25">
      <c r="K6146"/>
    </row>
    <row r="6147" spans="11:11" x14ac:dyDescent="0.25">
      <c r="K6147"/>
    </row>
    <row r="6148" spans="11:11" x14ac:dyDescent="0.25">
      <c r="K6148"/>
    </row>
    <row r="6149" spans="11:11" x14ac:dyDescent="0.25">
      <c r="K6149"/>
    </row>
    <row r="6150" spans="11:11" x14ac:dyDescent="0.25">
      <c r="K6150"/>
    </row>
    <row r="6151" spans="11:11" x14ac:dyDescent="0.25">
      <c r="K6151"/>
    </row>
    <row r="6152" spans="11:11" x14ac:dyDescent="0.25">
      <c r="K6152"/>
    </row>
    <row r="6153" spans="11:11" x14ac:dyDescent="0.25">
      <c r="K6153"/>
    </row>
    <row r="6154" spans="11:11" x14ac:dyDescent="0.25">
      <c r="K6154"/>
    </row>
    <row r="6155" spans="11:11" x14ac:dyDescent="0.25">
      <c r="K6155"/>
    </row>
    <row r="6156" spans="11:11" x14ac:dyDescent="0.25">
      <c r="K6156"/>
    </row>
    <row r="6157" spans="11:11" x14ac:dyDescent="0.25">
      <c r="K6157"/>
    </row>
    <row r="6158" spans="11:11" x14ac:dyDescent="0.25">
      <c r="K6158"/>
    </row>
    <row r="6159" spans="11:11" x14ac:dyDescent="0.25">
      <c r="K6159"/>
    </row>
    <row r="6160" spans="11:11" x14ac:dyDescent="0.25">
      <c r="K6160"/>
    </row>
    <row r="6161" spans="11:11" x14ac:dyDescent="0.25">
      <c r="K6161"/>
    </row>
    <row r="6162" spans="11:11" x14ac:dyDescent="0.25">
      <c r="K6162"/>
    </row>
    <row r="6163" spans="11:11" x14ac:dyDescent="0.25">
      <c r="K6163"/>
    </row>
    <row r="6164" spans="11:11" x14ac:dyDescent="0.25">
      <c r="K6164"/>
    </row>
    <row r="6165" spans="11:11" x14ac:dyDescent="0.25">
      <c r="K6165"/>
    </row>
    <row r="6166" spans="11:11" x14ac:dyDescent="0.25">
      <c r="K6166"/>
    </row>
    <row r="6167" spans="11:11" x14ac:dyDescent="0.25">
      <c r="K6167"/>
    </row>
    <row r="6168" spans="11:11" x14ac:dyDescent="0.25">
      <c r="K6168"/>
    </row>
    <row r="6169" spans="11:11" x14ac:dyDescent="0.25">
      <c r="K6169"/>
    </row>
    <row r="6170" spans="11:11" x14ac:dyDescent="0.25">
      <c r="K6170"/>
    </row>
    <row r="6171" spans="11:11" x14ac:dyDescent="0.25">
      <c r="K6171"/>
    </row>
    <row r="6172" spans="11:11" x14ac:dyDescent="0.25">
      <c r="K6172"/>
    </row>
    <row r="6173" spans="11:11" x14ac:dyDescent="0.25">
      <c r="K6173"/>
    </row>
    <row r="6174" spans="11:11" x14ac:dyDescent="0.25">
      <c r="K6174"/>
    </row>
    <row r="6175" spans="11:11" x14ac:dyDescent="0.25">
      <c r="K6175"/>
    </row>
    <row r="6176" spans="11:11" x14ac:dyDescent="0.25">
      <c r="K6176"/>
    </row>
    <row r="6177" spans="11:11" x14ac:dyDescent="0.25">
      <c r="K6177"/>
    </row>
    <row r="6178" spans="11:11" x14ac:dyDescent="0.25">
      <c r="K6178"/>
    </row>
    <row r="6179" spans="11:11" x14ac:dyDescent="0.25">
      <c r="K6179"/>
    </row>
    <row r="6180" spans="11:11" x14ac:dyDescent="0.25">
      <c r="K6180"/>
    </row>
    <row r="6181" spans="11:11" x14ac:dyDescent="0.25">
      <c r="K6181"/>
    </row>
    <row r="6182" spans="11:11" x14ac:dyDescent="0.25">
      <c r="K6182"/>
    </row>
    <row r="6183" spans="11:11" x14ac:dyDescent="0.25">
      <c r="K6183"/>
    </row>
    <row r="6184" spans="11:11" x14ac:dyDescent="0.25">
      <c r="K6184"/>
    </row>
    <row r="6185" spans="11:11" x14ac:dyDescent="0.25">
      <c r="K6185"/>
    </row>
    <row r="6186" spans="11:11" x14ac:dyDescent="0.25">
      <c r="K6186"/>
    </row>
    <row r="6187" spans="11:11" x14ac:dyDescent="0.25">
      <c r="K6187"/>
    </row>
    <row r="6188" spans="11:11" x14ac:dyDescent="0.25">
      <c r="K6188"/>
    </row>
    <row r="6189" spans="11:11" x14ac:dyDescent="0.25">
      <c r="K6189"/>
    </row>
    <row r="6190" spans="11:11" x14ac:dyDescent="0.25">
      <c r="K6190"/>
    </row>
    <row r="6191" spans="11:11" x14ac:dyDescent="0.25">
      <c r="K6191"/>
    </row>
    <row r="6192" spans="11:11" x14ac:dyDescent="0.25">
      <c r="K6192"/>
    </row>
    <row r="6193" spans="11:11" x14ac:dyDescent="0.25">
      <c r="K6193"/>
    </row>
    <row r="6194" spans="11:11" x14ac:dyDescent="0.25">
      <c r="K6194"/>
    </row>
    <row r="6195" spans="11:11" x14ac:dyDescent="0.25">
      <c r="K6195"/>
    </row>
    <row r="6196" spans="11:11" x14ac:dyDescent="0.25">
      <c r="K6196"/>
    </row>
    <row r="6197" spans="11:11" x14ac:dyDescent="0.25">
      <c r="K6197"/>
    </row>
    <row r="6198" spans="11:11" x14ac:dyDescent="0.25">
      <c r="K6198"/>
    </row>
    <row r="6199" spans="11:11" x14ac:dyDescent="0.25">
      <c r="K6199"/>
    </row>
    <row r="6200" spans="11:11" x14ac:dyDescent="0.25">
      <c r="K6200"/>
    </row>
    <row r="6201" spans="11:11" x14ac:dyDescent="0.25">
      <c r="K6201"/>
    </row>
    <row r="6202" spans="11:11" x14ac:dyDescent="0.25">
      <c r="K6202"/>
    </row>
    <row r="6203" spans="11:11" x14ac:dyDescent="0.25">
      <c r="K6203"/>
    </row>
    <row r="6204" spans="11:11" x14ac:dyDescent="0.25">
      <c r="K6204"/>
    </row>
    <row r="6205" spans="11:11" x14ac:dyDescent="0.25">
      <c r="K6205"/>
    </row>
    <row r="6206" spans="11:11" x14ac:dyDescent="0.25">
      <c r="K6206"/>
    </row>
    <row r="6207" spans="11:11" x14ac:dyDescent="0.25">
      <c r="K6207"/>
    </row>
    <row r="6208" spans="11:11" x14ac:dyDescent="0.25">
      <c r="K6208"/>
    </row>
    <row r="6209" spans="11:11" x14ac:dyDescent="0.25">
      <c r="K6209"/>
    </row>
    <row r="6210" spans="11:11" x14ac:dyDescent="0.25">
      <c r="K6210"/>
    </row>
    <row r="6211" spans="11:11" x14ac:dyDescent="0.25">
      <c r="K6211"/>
    </row>
    <row r="6212" spans="11:11" x14ac:dyDescent="0.25">
      <c r="K6212"/>
    </row>
    <row r="6213" spans="11:11" x14ac:dyDescent="0.25">
      <c r="K6213"/>
    </row>
    <row r="6214" spans="11:11" x14ac:dyDescent="0.25">
      <c r="K6214"/>
    </row>
    <row r="6215" spans="11:11" x14ac:dyDescent="0.25">
      <c r="K6215"/>
    </row>
    <row r="6216" spans="11:11" x14ac:dyDescent="0.25">
      <c r="K6216"/>
    </row>
    <row r="6217" spans="11:11" x14ac:dyDescent="0.25">
      <c r="K6217"/>
    </row>
    <row r="6218" spans="11:11" x14ac:dyDescent="0.25">
      <c r="K6218"/>
    </row>
    <row r="6219" spans="11:11" x14ac:dyDescent="0.25">
      <c r="K6219"/>
    </row>
    <row r="6220" spans="11:11" x14ac:dyDescent="0.25">
      <c r="K6220"/>
    </row>
    <row r="6221" spans="11:11" x14ac:dyDescent="0.25">
      <c r="K6221"/>
    </row>
    <row r="6222" spans="11:11" x14ac:dyDescent="0.25">
      <c r="K6222"/>
    </row>
    <row r="6223" spans="11:11" x14ac:dyDescent="0.25">
      <c r="K6223"/>
    </row>
    <row r="6224" spans="11:11" x14ac:dyDescent="0.25">
      <c r="K6224"/>
    </row>
    <row r="6225" spans="11:11" x14ac:dyDescent="0.25">
      <c r="K6225"/>
    </row>
    <row r="6226" spans="11:11" x14ac:dyDescent="0.25">
      <c r="K6226"/>
    </row>
    <row r="6227" spans="11:11" x14ac:dyDescent="0.25">
      <c r="K6227"/>
    </row>
    <row r="6228" spans="11:11" x14ac:dyDescent="0.25">
      <c r="K6228"/>
    </row>
    <row r="6229" spans="11:11" x14ac:dyDescent="0.25">
      <c r="K6229"/>
    </row>
    <row r="6230" spans="11:11" x14ac:dyDescent="0.25">
      <c r="K6230"/>
    </row>
    <row r="6231" spans="11:11" x14ac:dyDescent="0.25">
      <c r="K6231"/>
    </row>
    <row r="6232" spans="11:11" x14ac:dyDescent="0.25">
      <c r="K6232"/>
    </row>
    <row r="6233" spans="11:11" x14ac:dyDescent="0.25">
      <c r="K6233"/>
    </row>
    <row r="6234" spans="11:11" x14ac:dyDescent="0.25">
      <c r="K6234"/>
    </row>
    <row r="6235" spans="11:11" x14ac:dyDescent="0.25">
      <c r="K6235"/>
    </row>
    <row r="6236" spans="11:11" x14ac:dyDescent="0.25">
      <c r="K6236"/>
    </row>
    <row r="6237" spans="11:11" x14ac:dyDescent="0.25">
      <c r="K6237"/>
    </row>
    <row r="6238" spans="11:11" x14ac:dyDescent="0.25">
      <c r="K6238"/>
    </row>
    <row r="6239" spans="11:11" x14ac:dyDescent="0.25">
      <c r="K6239"/>
    </row>
    <row r="6240" spans="11:11" x14ac:dyDescent="0.25">
      <c r="K6240"/>
    </row>
    <row r="6241" spans="11:11" x14ac:dyDescent="0.25">
      <c r="K6241"/>
    </row>
    <row r="6242" spans="11:11" x14ac:dyDescent="0.25">
      <c r="K6242"/>
    </row>
    <row r="6243" spans="11:11" x14ac:dyDescent="0.25">
      <c r="K6243"/>
    </row>
    <row r="6244" spans="11:11" x14ac:dyDescent="0.25">
      <c r="K6244"/>
    </row>
    <row r="6245" spans="11:11" x14ac:dyDescent="0.25">
      <c r="K6245"/>
    </row>
    <row r="6246" spans="11:11" x14ac:dyDescent="0.25">
      <c r="K6246"/>
    </row>
    <row r="6247" spans="11:11" x14ac:dyDescent="0.25">
      <c r="K6247"/>
    </row>
    <row r="6248" spans="11:11" x14ac:dyDescent="0.25">
      <c r="K6248"/>
    </row>
    <row r="6249" spans="11:11" x14ac:dyDescent="0.25">
      <c r="K6249"/>
    </row>
    <row r="6250" spans="11:11" x14ac:dyDescent="0.25">
      <c r="K6250"/>
    </row>
    <row r="6251" spans="11:11" x14ac:dyDescent="0.25">
      <c r="K6251"/>
    </row>
    <row r="6252" spans="11:11" x14ac:dyDescent="0.25">
      <c r="K6252"/>
    </row>
    <row r="6253" spans="11:11" x14ac:dyDescent="0.25">
      <c r="K6253"/>
    </row>
    <row r="6254" spans="11:11" x14ac:dyDescent="0.25">
      <c r="K6254"/>
    </row>
    <row r="6255" spans="11:11" x14ac:dyDescent="0.25">
      <c r="K6255"/>
    </row>
    <row r="6256" spans="11:11" x14ac:dyDescent="0.25">
      <c r="K6256"/>
    </row>
    <row r="6257" spans="11:11" x14ac:dyDescent="0.25">
      <c r="K6257"/>
    </row>
    <row r="6258" spans="11:11" x14ac:dyDescent="0.25">
      <c r="K6258"/>
    </row>
    <row r="6259" spans="11:11" x14ac:dyDescent="0.25">
      <c r="K6259"/>
    </row>
    <row r="6260" spans="11:11" x14ac:dyDescent="0.25">
      <c r="K6260"/>
    </row>
    <row r="6261" spans="11:11" x14ac:dyDescent="0.25">
      <c r="K6261"/>
    </row>
    <row r="6262" spans="11:11" x14ac:dyDescent="0.25">
      <c r="K6262"/>
    </row>
    <row r="6263" spans="11:11" x14ac:dyDescent="0.25">
      <c r="K6263"/>
    </row>
    <row r="6264" spans="11:11" x14ac:dyDescent="0.25">
      <c r="K6264"/>
    </row>
    <row r="6265" spans="11:11" x14ac:dyDescent="0.25">
      <c r="K6265"/>
    </row>
    <row r="6266" spans="11:11" x14ac:dyDescent="0.25">
      <c r="K6266"/>
    </row>
    <row r="6267" spans="11:11" x14ac:dyDescent="0.25">
      <c r="K6267"/>
    </row>
    <row r="6268" spans="11:11" x14ac:dyDescent="0.25">
      <c r="K6268"/>
    </row>
    <row r="6269" spans="11:11" x14ac:dyDescent="0.25">
      <c r="K6269"/>
    </row>
    <row r="6270" spans="11:11" x14ac:dyDescent="0.25">
      <c r="K6270"/>
    </row>
    <row r="6271" spans="11:11" x14ac:dyDescent="0.25">
      <c r="K6271"/>
    </row>
    <row r="6272" spans="11:11" x14ac:dyDescent="0.25">
      <c r="K6272"/>
    </row>
    <row r="6273" spans="11:11" x14ac:dyDescent="0.25">
      <c r="K6273"/>
    </row>
    <row r="6274" spans="11:11" x14ac:dyDescent="0.25">
      <c r="K6274"/>
    </row>
    <row r="6275" spans="11:11" x14ac:dyDescent="0.25">
      <c r="K6275"/>
    </row>
    <row r="6276" spans="11:11" x14ac:dyDescent="0.25">
      <c r="K6276"/>
    </row>
    <row r="6277" spans="11:11" x14ac:dyDescent="0.25">
      <c r="K6277"/>
    </row>
    <row r="6278" spans="11:11" x14ac:dyDescent="0.25">
      <c r="K6278"/>
    </row>
    <row r="6279" spans="11:11" x14ac:dyDescent="0.25">
      <c r="K6279"/>
    </row>
    <row r="6280" spans="11:11" x14ac:dyDescent="0.25">
      <c r="K6280"/>
    </row>
    <row r="6281" spans="11:11" x14ac:dyDescent="0.25">
      <c r="K6281"/>
    </row>
    <row r="6282" spans="11:11" x14ac:dyDescent="0.25">
      <c r="K6282"/>
    </row>
    <row r="6283" spans="11:11" x14ac:dyDescent="0.25">
      <c r="K6283"/>
    </row>
    <row r="6284" spans="11:11" x14ac:dyDescent="0.25">
      <c r="K6284"/>
    </row>
    <row r="6285" spans="11:11" x14ac:dyDescent="0.25">
      <c r="K6285"/>
    </row>
    <row r="6286" spans="11:11" x14ac:dyDescent="0.25">
      <c r="K6286"/>
    </row>
    <row r="6287" spans="11:11" x14ac:dyDescent="0.25">
      <c r="K6287"/>
    </row>
    <row r="6288" spans="11:11" x14ac:dyDescent="0.25">
      <c r="K6288"/>
    </row>
    <row r="6289" spans="11:11" x14ac:dyDescent="0.25">
      <c r="K6289"/>
    </row>
    <row r="6290" spans="11:11" x14ac:dyDescent="0.25">
      <c r="K6290"/>
    </row>
    <row r="6291" spans="11:11" x14ac:dyDescent="0.25">
      <c r="K6291"/>
    </row>
    <row r="6292" spans="11:11" x14ac:dyDescent="0.25">
      <c r="K6292"/>
    </row>
    <row r="6293" spans="11:11" x14ac:dyDescent="0.25">
      <c r="K6293"/>
    </row>
    <row r="6294" spans="11:11" x14ac:dyDescent="0.25">
      <c r="K6294"/>
    </row>
    <row r="6295" spans="11:11" x14ac:dyDescent="0.25">
      <c r="K6295"/>
    </row>
    <row r="6296" spans="11:11" x14ac:dyDescent="0.25">
      <c r="K6296"/>
    </row>
    <row r="6297" spans="11:11" x14ac:dyDescent="0.25">
      <c r="K6297"/>
    </row>
    <row r="6298" spans="11:11" x14ac:dyDescent="0.25">
      <c r="K6298"/>
    </row>
    <row r="6299" spans="11:11" x14ac:dyDescent="0.25">
      <c r="K6299"/>
    </row>
    <row r="6300" spans="11:11" x14ac:dyDescent="0.25">
      <c r="K6300"/>
    </row>
    <row r="6301" spans="11:11" x14ac:dyDescent="0.25">
      <c r="K6301"/>
    </row>
    <row r="6302" spans="11:11" x14ac:dyDescent="0.25">
      <c r="K6302"/>
    </row>
    <row r="6303" spans="11:11" x14ac:dyDescent="0.25">
      <c r="K6303"/>
    </row>
    <row r="6304" spans="11:11" x14ac:dyDescent="0.25">
      <c r="K6304"/>
    </row>
    <row r="6305" spans="11:11" x14ac:dyDescent="0.25">
      <c r="K6305"/>
    </row>
    <row r="6306" spans="11:11" x14ac:dyDescent="0.25">
      <c r="K6306"/>
    </row>
    <row r="6307" spans="11:11" x14ac:dyDescent="0.25">
      <c r="K6307"/>
    </row>
    <row r="6308" spans="11:11" x14ac:dyDescent="0.25">
      <c r="K6308"/>
    </row>
    <row r="6309" spans="11:11" x14ac:dyDescent="0.25">
      <c r="K6309"/>
    </row>
    <row r="6310" spans="11:11" x14ac:dyDescent="0.25">
      <c r="K6310"/>
    </row>
    <row r="6311" spans="11:11" x14ac:dyDescent="0.25">
      <c r="K6311"/>
    </row>
    <row r="6312" spans="11:11" x14ac:dyDescent="0.25">
      <c r="K6312"/>
    </row>
    <row r="6313" spans="11:11" x14ac:dyDescent="0.25">
      <c r="K6313"/>
    </row>
    <row r="6314" spans="11:11" x14ac:dyDescent="0.25">
      <c r="K6314"/>
    </row>
    <row r="6315" spans="11:11" x14ac:dyDescent="0.25">
      <c r="K6315"/>
    </row>
    <row r="6316" spans="11:11" x14ac:dyDescent="0.25">
      <c r="K6316"/>
    </row>
    <row r="6317" spans="11:11" x14ac:dyDescent="0.25">
      <c r="K6317"/>
    </row>
    <row r="6318" spans="11:11" x14ac:dyDescent="0.25">
      <c r="K6318"/>
    </row>
    <row r="6319" spans="11:11" x14ac:dyDescent="0.25">
      <c r="K6319"/>
    </row>
    <row r="6320" spans="11:11" x14ac:dyDescent="0.25">
      <c r="K6320"/>
    </row>
    <row r="6321" spans="11:11" x14ac:dyDescent="0.25">
      <c r="K6321"/>
    </row>
    <row r="6322" spans="11:11" x14ac:dyDescent="0.25">
      <c r="K6322"/>
    </row>
    <row r="6323" spans="11:11" x14ac:dyDescent="0.25">
      <c r="K6323"/>
    </row>
    <row r="6324" spans="11:11" x14ac:dyDescent="0.25">
      <c r="K6324"/>
    </row>
    <row r="6325" spans="11:11" x14ac:dyDescent="0.25">
      <c r="K6325"/>
    </row>
    <row r="6326" spans="11:11" x14ac:dyDescent="0.25">
      <c r="K6326"/>
    </row>
    <row r="6327" spans="11:11" x14ac:dyDescent="0.25">
      <c r="K6327"/>
    </row>
    <row r="6328" spans="11:11" x14ac:dyDescent="0.25">
      <c r="K6328"/>
    </row>
    <row r="6329" spans="11:11" x14ac:dyDescent="0.25">
      <c r="K6329"/>
    </row>
    <row r="6330" spans="11:11" x14ac:dyDescent="0.25">
      <c r="K6330"/>
    </row>
    <row r="6331" spans="11:11" x14ac:dyDescent="0.25">
      <c r="K6331"/>
    </row>
    <row r="6332" spans="11:11" x14ac:dyDescent="0.25">
      <c r="K6332"/>
    </row>
    <row r="6333" spans="11:11" x14ac:dyDescent="0.25">
      <c r="K6333"/>
    </row>
    <row r="6334" spans="11:11" x14ac:dyDescent="0.25">
      <c r="K6334"/>
    </row>
    <row r="6335" spans="11:11" x14ac:dyDescent="0.25">
      <c r="K6335"/>
    </row>
    <row r="6336" spans="11:11" x14ac:dyDescent="0.25">
      <c r="K6336"/>
    </row>
    <row r="6337" spans="11:11" x14ac:dyDescent="0.25">
      <c r="K6337"/>
    </row>
    <row r="6338" spans="11:11" x14ac:dyDescent="0.25">
      <c r="K6338"/>
    </row>
    <row r="6339" spans="11:11" x14ac:dyDescent="0.25">
      <c r="K6339"/>
    </row>
    <row r="6340" spans="11:11" x14ac:dyDescent="0.25">
      <c r="K6340"/>
    </row>
    <row r="6341" spans="11:11" x14ac:dyDescent="0.25">
      <c r="K6341"/>
    </row>
    <row r="6342" spans="11:11" x14ac:dyDescent="0.25">
      <c r="K6342"/>
    </row>
    <row r="6343" spans="11:11" x14ac:dyDescent="0.25">
      <c r="K6343"/>
    </row>
    <row r="6344" spans="11:11" x14ac:dyDescent="0.25">
      <c r="K6344"/>
    </row>
    <row r="6345" spans="11:11" x14ac:dyDescent="0.25">
      <c r="K6345"/>
    </row>
    <row r="6346" spans="11:11" x14ac:dyDescent="0.25">
      <c r="K6346"/>
    </row>
    <row r="6347" spans="11:11" x14ac:dyDescent="0.25">
      <c r="K6347"/>
    </row>
    <row r="6348" spans="11:11" x14ac:dyDescent="0.25">
      <c r="K6348"/>
    </row>
    <row r="6349" spans="11:11" x14ac:dyDescent="0.25">
      <c r="K6349"/>
    </row>
    <row r="6350" spans="11:11" x14ac:dyDescent="0.25">
      <c r="K6350"/>
    </row>
    <row r="6351" spans="11:11" x14ac:dyDescent="0.25">
      <c r="K6351"/>
    </row>
    <row r="6352" spans="11:11" x14ac:dyDescent="0.25">
      <c r="K6352"/>
    </row>
    <row r="6353" spans="11:11" x14ac:dyDescent="0.25">
      <c r="K6353"/>
    </row>
    <row r="6354" spans="11:11" x14ac:dyDescent="0.25">
      <c r="K6354"/>
    </row>
    <row r="6355" spans="11:11" x14ac:dyDescent="0.25">
      <c r="K6355"/>
    </row>
    <row r="6356" spans="11:11" x14ac:dyDescent="0.25">
      <c r="K6356"/>
    </row>
    <row r="6357" spans="11:11" x14ac:dyDescent="0.25">
      <c r="K6357"/>
    </row>
    <row r="6358" spans="11:11" x14ac:dyDescent="0.25">
      <c r="K6358"/>
    </row>
    <row r="6359" spans="11:11" x14ac:dyDescent="0.25">
      <c r="K6359"/>
    </row>
    <row r="6360" spans="11:11" x14ac:dyDescent="0.25">
      <c r="K6360"/>
    </row>
    <row r="6361" spans="11:11" x14ac:dyDescent="0.25">
      <c r="K6361"/>
    </row>
    <row r="6362" spans="11:11" x14ac:dyDescent="0.25">
      <c r="K6362"/>
    </row>
    <row r="6363" spans="11:11" x14ac:dyDescent="0.25">
      <c r="K6363"/>
    </row>
    <row r="6364" spans="11:11" x14ac:dyDescent="0.25">
      <c r="K6364"/>
    </row>
    <row r="6365" spans="11:11" x14ac:dyDescent="0.25">
      <c r="K6365"/>
    </row>
    <row r="6366" spans="11:11" x14ac:dyDescent="0.25">
      <c r="K6366"/>
    </row>
    <row r="6367" spans="11:11" x14ac:dyDescent="0.25">
      <c r="K6367"/>
    </row>
    <row r="6368" spans="11:11" x14ac:dyDescent="0.25">
      <c r="K6368"/>
    </row>
    <row r="6369" spans="11:11" x14ac:dyDescent="0.25">
      <c r="K6369"/>
    </row>
    <row r="6370" spans="11:11" x14ac:dyDescent="0.25">
      <c r="K6370"/>
    </row>
    <row r="6371" spans="11:11" x14ac:dyDescent="0.25">
      <c r="K6371"/>
    </row>
    <row r="6372" spans="11:11" x14ac:dyDescent="0.25">
      <c r="K6372"/>
    </row>
    <row r="6373" spans="11:11" x14ac:dyDescent="0.25">
      <c r="K6373"/>
    </row>
    <row r="6374" spans="11:11" x14ac:dyDescent="0.25">
      <c r="K6374"/>
    </row>
    <row r="6375" spans="11:11" x14ac:dyDescent="0.25">
      <c r="K6375"/>
    </row>
    <row r="6376" spans="11:11" x14ac:dyDescent="0.25">
      <c r="K6376"/>
    </row>
    <row r="6377" spans="11:11" x14ac:dyDescent="0.25">
      <c r="K6377"/>
    </row>
    <row r="6378" spans="11:11" x14ac:dyDescent="0.25">
      <c r="K6378"/>
    </row>
    <row r="6379" spans="11:11" x14ac:dyDescent="0.25">
      <c r="K6379"/>
    </row>
    <row r="6380" spans="11:11" x14ac:dyDescent="0.25">
      <c r="K6380"/>
    </row>
    <row r="6381" spans="11:11" x14ac:dyDescent="0.25">
      <c r="K6381"/>
    </row>
    <row r="6382" spans="11:11" x14ac:dyDescent="0.25">
      <c r="K6382"/>
    </row>
    <row r="6383" spans="11:11" x14ac:dyDescent="0.25">
      <c r="K6383"/>
    </row>
    <row r="6384" spans="11:11" x14ac:dyDescent="0.25">
      <c r="K6384"/>
    </row>
    <row r="6385" spans="11:11" x14ac:dyDescent="0.25">
      <c r="K6385"/>
    </row>
    <row r="6386" spans="11:11" x14ac:dyDescent="0.25">
      <c r="K6386"/>
    </row>
    <row r="6387" spans="11:11" x14ac:dyDescent="0.25">
      <c r="K6387"/>
    </row>
    <row r="6388" spans="11:11" x14ac:dyDescent="0.25">
      <c r="K6388"/>
    </row>
    <row r="6389" spans="11:11" x14ac:dyDescent="0.25">
      <c r="K6389"/>
    </row>
    <row r="6390" spans="11:11" x14ac:dyDescent="0.25">
      <c r="K6390"/>
    </row>
    <row r="6391" spans="11:11" x14ac:dyDescent="0.25">
      <c r="K6391"/>
    </row>
    <row r="6392" spans="11:11" x14ac:dyDescent="0.25">
      <c r="K6392"/>
    </row>
    <row r="6393" spans="11:11" x14ac:dyDescent="0.25">
      <c r="K6393"/>
    </row>
    <row r="6394" spans="11:11" x14ac:dyDescent="0.25">
      <c r="K6394"/>
    </row>
    <row r="6395" spans="11:11" x14ac:dyDescent="0.25">
      <c r="K6395"/>
    </row>
    <row r="6396" spans="11:11" x14ac:dyDescent="0.25">
      <c r="K6396"/>
    </row>
    <row r="6397" spans="11:11" x14ac:dyDescent="0.25">
      <c r="K6397"/>
    </row>
    <row r="6398" spans="11:11" x14ac:dyDescent="0.25">
      <c r="K6398"/>
    </row>
    <row r="6399" spans="11:11" x14ac:dyDescent="0.25">
      <c r="K6399"/>
    </row>
    <row r="6400" spans="11:11" x14ac:dyDescent="0.25">
      <c r="K6400"/>
    </row>
    <row r="6401" spans="11:11" x14ac:dyDescent="0.25">
      <c r="K6401"/>
    </row>
    <row r="6402" spans="11:11" x14ac:dyDescent="0.25">
      <c r="K6402"/>
    </row>
    <row r="6403" spans="11:11" x14ac:dyDescent="0.25">
      <c r="K6403"/>
    </row>
    <row r="6404" spans="11:11" x14ac:dyDescent="0.25">
      <c r="K6404"/>
    </row>
    <row r="6405" spans="11:11" x14ac:dyDescent="0.25">
      <c r="K6405"/>
    </row>
    <row r="6406" spans="11:11" x14ac:dyDescent="0.25">
      <c r="K6406"/>
    </row>
    <row r="6407" spans="11:11" x14ac:dyDescent="0.25">
      <c r="K6407"/>
    </row>
    <row r="6408" spans="11:11" x14ac:dyDescent="0.25">
      <c r="K6408"/>
    </row>
    <row r="6409" spans="11:11" x14ac:dyDescent="0.25">
      <c r="K6409"/>
    </row>
    <row r="6410" spans="11:11" x14ac:dyDescent="0.25">
      <c r="K6410"/>
    </row>
    <row r="6411" spans="11:11" x14ac:dyDescent="0.25">
      <c r="K6411"/>
    </row>
    <row r="6412" spans="11:11" x14ac:dyDescent="0.25">
      <c r="K6412"/>
    </row>
    <row r="6413" spans="11:11" x14ac:dyDescent="0.25">
      <c r="K6413"/>
    </row>
    <row r="6414" spans="11:11" x14ac:dyDescent="0.25">
      <c r="K6414"/>
    </row>
    <row r="6415" spans="11:11" x14ac:dyDescent="0.25">
      <c r="K6415"/>
    </row>
    <row r="6416" spans="11:11" x14ac:dyDescent="0.25">
      <c r="K6416"/>
    </row>
    <row r="6417" spans="11:11" x14ac:dyDescent="0.25">
      <c r="K6417"/>
    </row>
    <row r="6418" spans="11:11" x14ac:dyDescent="0.25">
      <c r="K6418"/>
    </row>
    <row r="6419" spans="11:11" x14ac:dyDescent="0.25">
      <c r="K6419"/>
    </row>
    <row r="6420" spans="11:11" x14ac:dyDescent="0.25">
      <c r="K6420"/>
    </row>
    <row r="6421" spans="11:11" x14ac:dyDescent="0.25">
      <c r="K6421"/>
    </row>
    <row r="6422" spans="11:11" x14ac:dyDescent="0.25">
      <c r="K6422"/>
    </row>
    <row r="6423" spans="11:11" x14ac:dyDescent="0.25">
      <c r="K6423"/>
    </row>
    <row r="6424" spans="11:11" x14ac:dyDescent="0.25">
      <c r="K6424"/>
    </row>
    <row r="6425" spans="11:11" x14ac:dyDescent="0.25">
      <c r="K6425"/>
    </row>
    <row r="6426" spans="11:11" x14ac:dyDescent="0.25">
      <c r="K6426"/>
    </row>
    <row r="6427" spans="11:11" x14ac:dyDescent="0.25">
      <c r="K6427"/>
    </row>
    <row r="6428" spans="11:11" x14ac:dyDescent="0.25">
      <c r="K6428"/>
    </row>
    <row r="6429" spans="11:11" x14ac:dyDescent="0.25">
      <c r="K6429"/>
    </row>
    <row r="6430" spans="11:11" x14ac:dyDescent="0.25">
      <c r="K6430"/>
    </row>
    <row r="6431" spans="11:11" x14ac:dyDescent="0.25">
      <c r="K6431"/>
    </row>
    <row r="6432" spans="11:11" x14ac:dyDescent="0.25">
      <c r="K6432"/>
    </row>
    <row r="6433" spans="11:11" x14ac:dyDescent="0.25">
      <c r="K6433"/>
    </row>
    <row r="6434" spans="11:11" x14ac:dyDescent="0.25">
      <c r="K6434"/>
    </row>
    <row r="6435" spans="11:11" x14ac:dyDescent="0.25">
      <c r="K6435"/>
    </row>
    <row r="6436" spans="11:11" x14ac:dyDescent="0.25">
      <c r="K6436"/>
    </row>
    <row r="6437" spans="11:11" x14ac:dyDescent="0.25">
      <c r="K6437"/>
    </row>
    <row r="6438" spans="11:11" x14ac:dyDescent="0.25">
      <c r="K6438"/>
    </row>
    <row r="6439" spans="11:11" x14ac:dyDescent="0.25">
      <c r="K6439"/>
    </row>
    <row r="6440" spans="11:11" x14ac:dyDescent="0.25">
      <c r="K6440"/>
    </row>
    <row r="6441" spans="11:11" x14ac:dyDescent="0.25">
      <c r="K6441"/>
    </row>
    <row r="6442" spans="11:11" x14ac:dyDescent="0.25">
      <c r="K6442"/>
    </row>
    <row r="6443" spans="11:11" x14ac:dyDescent="0.25">
      <c r="K6443"/>
    </row>
    <row r="6444" spans="11:11" x14ac:dyDescent="0.25">
      <c r="K6444"/>
    </row>
    <row r="6445" spans="11:11" x14ac:dyDescent="0.25">
      <c r="K6445"/>
    </row>
    <row r="6446" spans="11:11" x14ac:dyDescent="0.25">
      <c r="K6446"/>
    </row>
    <row r="6447" spans="11:11" x14ac:dyDescent="0.25">
      <c r="K6447"/>
    </row>
    <row r="6448" spans="11:11" x14ac:dyDescent="0.25">
      <c r="K6448"/>
    </row>
    <row r="6449" spans="11:11" x14ac:dyDescent="0.25">
      <c r="K6449"/>
    </row>
    <row r="6450" spans="11:11" x14ac:dyDescent="0.25">
      <c r="K6450"/>
    </row>
    <row r="6451" spans="11:11" x14ac:dyDescent="0.25">
      <c r="K6451"/>
    </row>
    <row r="6452" spans="11:11" x14ac:dyDescent="0.25">
      <c r="K6452"/>
    </row>
    <row r="6453" spans="11:11" x14ac:dyDescent="0.25">
      <c r="K6453"/>
    </row>
    <row r="6454" spans="11:11" x14ac:dyDescent="0.25">
      <c r="K6454"/>
    </row>
    <row r="6455" spans="11:11" x14ac:dyDescent="0.25">
      <c r="K6455"/>
    </row>
    <row r="6456" spans="11:11" x14ac:dyDescent="0.25">
      <c r="K6456"/>
    </row>
    <row r="6457" spans="11:11" x14ac:dyDescent="0.25">
      <c r="K6457"/>
    </row>
    <row r="6458" spans="11:11" x14ac:dyDescent="0.25">
      <c r="K6458"/>
    </row>
    <row r="6459" spans="11:11" x14ac:dyDescent="0.25">
      <c r="K6459"/>
    </row>
    <row r="6460" spans="11:11" x14ac:dyDescent="0.25">
      <c r="K6460"/>
    </row>
    <row r="6461" spans="11:11" x14ac:dyDescent="0.25">
      <c r="K6461"/>
    </row>
    <row r="6462" spans="11:11" x14ac:dyDescent="0.25">
      <c r="K6462"/>
    </row>
    <row r="6463" spans="11:11" x14ac:dyDescent="0.25">
      <c r="K6463"/>
    </row>
    <row r="6464" spans="11:11" x14ac:dyDescent="0.25">
      <c r="K6464"/>
    </row>
    <row r="6465" spans="11:11" x14ac:dyDescent="0.25">
      <c r="K6465"/>
    </row>
    <row r="6466" spans="11:11" x14ac:dyDescent="0.25">
      <c r="K6466"/>
    </row>
    <row r="6467" spans="11:11" x14ac:dyDescent="0.25">
      <c r="K6467"/>
    </row>
    <row r="6468" spans="11:11" x14ac:dyDescent="0.25">
      <c r="K6468"/>
    </row>
    <row r="6469" spans="11:11" x14ac:dyDescent="0.25">
      <c r="K6469"/>
    </row>
    <row r="6470" spans="11:11" x14ac:dyDescent="0.25">
      <c r="K6470"/>
    </row>
    <row r="6471" spans="11:11" x14ac:dyDescent="0.25">
      <c r="K6471"/>
    </row>
    <row r="6472" spans="11:11" x14ac:dyDescent="0.25">
      <c r="K6472"/>
    </row>
    <row r="6473" spans="11:11" x14ac:dyDescent="0.25">
      <c r="K6473"/>
    </row>
    <row r="6474" spans="11:11" x14ac:dyDescent="0.25">
      <c r="K6474"/>
    </row>
    <row r="6475" spans="11:11" x14ac:dyDescent="0.25">
      <c r="K6475"/>
    </row>
    <row r="6476" spans="11:11" x14ac:dyDescent="0.25">
      <c r="K6476"/>
    </row>
    <row r="6477" spans="11:11" x14ac:dyDescent="0.25">
      <c r="K6477"/>
    </row>
    <row r="6478" spans="11:11" x14ac:dyDescent="0.25">
      <c r="K6478"/>
    </row>
    <row r="6479" spans="11:11" x14ac:dyDescent="0.25">
      <c r="K6479"/>
    </row>
    <row r="6480" spans="11:11" x14ac:dyDescent="0.25">
      <c r="K6480"/>
    </row>
    <row r="6481" spans="11:11" x14ac:dyDescent="0.25">
      <c r="K6481"/>
    </row>
    <row r="6482" spans="11:11" x14ac:dyDescent="0.25">
      <c r="K6482"/>
    </row>
    <row r="6483" spans="11:11" x14ac:dyDescent="0.25">
      <c r="K6483"/>
    </row>
    <row r="6484" spans="11:11" x14ac:dyDescent="0.25">
      <c r="K6484"/>
    </row>
    <row r="6485" spans="11:11" x14ac:dyDescent="0.25">
      <c r="K6485"/>
    </row>
    <row r="6486" spans="11:11" x14ac:dyDescent="0.25">
      <c r="K6486"/>
    </row>
    <row r="6487" spans="11:11" x14ac:dyDescent="0.25">
      <c r="K6487"/>
    </row>
    <row r="6488" spans="11:11" x14ac:dyDescent="0.25">
      <c r="K6488"/>
    </row>
    <row r="6489" spans="11:11" x14ac:dyDescent="0.25">
      <c r="K6489"/>
    </row>
    <row r="6490" spans="11:11" x14ac:dyDescent="0.25">
      <c r="K6490"/>
    </row>
    <row r="6491" spans="11:11" x14ac:dyDescent="0.25">
      <c r="K6491"/>
    </row>
    <row r="6492" spans="11:11" x14ac:dyDescent="0.25">
      <c r="K6492"/>
    </row>
    <row r="6493" spans="11:11" x14ac:dyDescent="0.25">
      <c r="K6493"/>
    </row>
    <row r="6494" spans="11:11" x14ac:dyDescent="0.25">
      <c r="K6494"/>
    </row>
    <row r="6495" spans="11:11" x14ac:dyDescent="0.25">
      <c r="K6495"/>
    </row>
    <row r="6496" spans="11:11" x14ac:dyDescent="0.25">
      <c r="K6496"/>
    </row>
    <row r="6497" spans="11:11" x14ac:dyDescent="0.25">
      <c r="K6497"/>
    </row>
    <row r="6498" spans="11:11" x14ac:dyDescent="0.25">
      <c r="K6498"/>
    </row>
    <row r="6499" spans="11:11" x14ac:dyDescent="0.25">
      <c r="K6499"/>
    </row>
    <row r="6500" spans="11:11" x14ac:dyDescent="0.25">
      <c r="K6500"/>
    </row>
    <row r="6501" spans="11:11" x14ac:dyDescent="0.25">
      <c r="K6501"/>
    </row>
    <row r="6502" spans="11:11" x14ac:dyDescent="0.25">
      <c r="K6502"/>
    </row>
    <row r="6503" spans="11:11" x14ac:dyDescent="0.25">
      <c r="K6503"/>
    </row>
    <row r="6504" spans="11:11" x14ac:dyDescent="0.25">
      <c r="K6504"/>
    </row>
    <row r="6505" spans="11:11" x14ac:dyDescent="0.25">
      <c r="K6505"/>
    </row>
    <row r="6506" spans="11:11" x14ac:dyDescent="0.25">
      <c r="K6506"/>
    </row>
    <row r="6507" spans="11:11" x14ac:dyDescent="0.25">
      <c r="K6507"/>
    </row>
    <row r="6508" spans="11:11" x14ac:dyDescent="0.25">
      <c r="K6508"/>
    </row>
    <row r="6509" spans="11:11" x14ac:dyDescent="0.25">
      <c r="K6509"/>
    </row>
    <row r="6510" spans="11:11" x14ac:dyDescent="0.25">
      <c r="K6510"/>
    </row>
    <row r="6511" spans="11:11" x14ac:dyDescent="0.25">
      <c r="K6511"/>
    </row>
    <row r="6512" spans="11:11" x14ac:dyDescent="0.25">
      <c r="K6512"/>
    </row>
    <row r="6513" spans="11:11" x14ac:dyDescent="0.25">
      <c r="K6513"/>
    </row>
    <row r="6514" spans="11:11" x14ac:dyDescent="0.25">
      <c r="K6514"/>
    </row>
    <row r="6515" spans="11:11" x14ac:dyDescent="0.25">
      <c r="K6515"/>
    </row>
    <row r="6516" spans="11:11" x14ac:dyDescent="0.25">
      <c r="K6516"/>
    </row>
    <row r="6517" spans="11:11" x14ac:dyDescent="0.25">
      <c r="K6517"/>
    </row>
    <row r="6518" spans="11:11" x14ac:dyDescent="0.25">
      <c r="K6518"/>
    </row>
    <row r="6519" spans="11:11" x14ac:dyDescent="0.25">
      <c r="K6519"/>
    </row>
    <row r="6520" spans="11:11" x14ac:dyDescent="0.25">
      <c r="K6520"/>
    </row>
    <row r="6521" spans="11:11" x14ac:dyDescent="0.25">
      <c r="K6521"/>
    </row>
    <row r="6522" spans="11:11" x14ac:dyDescent="0.25">
      <c r="K6522"/>
    </row>
    <row r="6523" spans="11:11" x14ac:dyDescent="0.25">
      <c r="K6523"/>
    </row>
    <row r="6524" spans="11:11" x14ac:dyDescent="0.25">
      <c r="K6524"/>
    </row>
    <row r="6525" spans="11:11" x14ac:dyDescent="0.25">
      <c r="K6525"/>
    </row>
    <row r="6526" spans="11:11" x14ac:dyDescent="0.25">
      <c r="K6526"/>
    </row>
    <row r="6527" spans="11:11" x14ac:dyDescent="0.25">
      <c r="K6527"/>
    </row>
    <row r="6528" spans="11:11" x14ac:dyDescent="0.25">
      <c r="K6528"/>
    </row>
    <row r="6529" spans="11:11" x14ac:dyDescent="0.25">
      <c r="K6529"/>
    </row>
    <row r="6530" spans="11:11" x14ac:dyDescent="0.25">
      <c r="K6530"/>
    </row>
    <row r="6531" spans="11:11" x14ac:dyDescent="0.25">
      <c r="K6531"/>
    </row>
    <row r="6532" spans="11:11" x14ac:dyDescent="0.25">
      <c r="K6532"/>
    </row>
    <row r="6533" spans="11:11" x14ac:dyDescent="0.25">
      <c r="K6533"/>
    </row>
    <row r="6534" spans="11:11" x14ac:dyDescent="0.25">
      <c r="K6534"/>
    </row>
    <row r="6535" spans="11:11" x14ac:dyDescent="0.25">
      <c r="K6535"/>
    </row>
    <row r="6536" spans="11:11" x14ac:dyDescent="0.25">
      <c r="K6536"/>
    </row>
    <row r="6537" spans="11:11" x14ac:dyDescent="0.25">
      <c r="K6537"/>
    </row>
    <row r="6538" spans="11:11" x14ac:dyDescent="0.25">
      <c r="K6538"/>
    </row>
    <row r="6539" spans="11:11" x14ac:dyDescent="0.25">
      <c r="K6539"/>
    </row>
    <row r="6540" spans="11:11" x14ac:dyDescent="0.25">
      <c r="K6540"/>
    </row>
    <row r="6541" spans="11:11" x14ac:dyDescent="0.25">
      <c r="K6541"/>
    </row>
    <row r="6542" spans="11:11" x14ac:dyDescent="0.25">
      <c r="K6542"/>
    </row>
    <row r="6543" spans="11:11" x14ac:dyDescent="0.25">
      <c r="K6543"/>
    </row>
    <row r="6544" spans="11:11" x14ac:dyDescent="0.25">
      <c r="K6544"/>
    </row>
    <row r="6545" spans="11:11" x14ac:dyDescent="0.25">
      <c r="K6545"/>
    </row>
    <row r="6546" spans="11:11" x14ac:dyDescent="0.25">
      <c r="K6546"/>
    </row>
    <row r="6547" spans="11:11" x14ac:dyDescent="0.25">
      <c r="K6547"/>
    </row>
    <row r="6548" spans="11:11" x14ac:dyDescent="0.25">
      <c r="K6548"/>
    </row>
    <row r="6549" spans="11:11" x14ac:dyDescent="0.25">
      <c r="K6549"/>
    </row>
    <row r="6550" spans="11:11" x14ac:dyDescent="0.25">
      <c r="K6550"/>
    </row>
    <row r="6551" spans="11:11" x14ac:dyDescent="0.25">
      <c r="K6551"/>
    </row>
    <row r="6552" spans="11:11" x14ac:dyDescent="0.25">
      <c r="K6552"/>
    </row>
    <row r="6553" spans="11:11" x14ac:dyDescent="0.25">
      <c r="K6553"/>
    </row>
    <row r="6554" spans="11:11" x14ac:dyDescent="0.25">
      <c r="K6554"/>
    </row>
    <row r="6555" spans="11:11" x14ac:dyDescent="0.25">
      <c r="K6555"/>
    </row>
    <row r="6556" spans="11:11" x14ac:dyDescent="0.25">
      <c r="K6556"/>
    </row>
    <row r="6557" spans="11:11" x14ac:dyDescent="0.25">
      <c r="K6557"/>
    </row>
    <row r="6558" spans="11:11" x14ac:dyDescent="0.25">
      <c r="K6558"/>
    </row>
    <row r="6559" spans="11:11" x14ac:dyDescent="0.25">
      <c r="K6559"/>
    </row>
    <row r="6560" spans="11:11" x14ac:dyDescent="0.25">
      <c r="K6560"/>
    </row>
    <row r="6561" spans="11:11" x14ac:dyDescent="0.25">
      <c r="K6561"/>
    </row>
    <row r="6562" spans="11:11" x14ac:dyDescent="0.25">
      <c r="K6562"/>
    </row>
    <row r="6563" spans="11:11" x14ac:dyDescent="0.25">
      <c r="K6563"/>
    </row>
    <row r="6564" spans="11:11" x14ac:dyDescent="0.25">
      <c r="K6564"/>
    </row>
    <row r="6565" spans="11:11" x14ac:dyDescent="0.25">
      <c r="K6565"/>
    </row>
    <row r="6566" spans="11:11" x14ac:dyDescent="0.25">
      <c r="K6566"/>
    </row>
    <row r="6567" spans="11:11" x14ac:dyDescent="0.25">
      <c r="K6567"/>
    </row>
    <row r="6568" spans="11:11" x14ac:dyDescent="0.25">
      <c r="K6568"/>
    </row>
    <row r="6569" spans="11:11" x14ac:dyDescent="0.25">
      <c r="K6569"/>
    </row>
    <row r="6570" spans="11:11" x14ac:dyDescent="0.25">
      <c r="K6570"/>
    </row>
    <row r="6571" spans="11:11" x14ac:dyDescent="0.25">
      <c r="K6571"/>
    </row>
    <row r="6572" spans="11:11" x14ac:dyDescent="0.25">
      <c r="K6572"/>
    </row>
    <row r="6573" spans="11:11" x14ac:dyDescent="0.25">
      <c r="K6573"/>
    </row>
    <row r="6574" spans="11:11" x14ac:dyDescent="0.25">
      <c r="K6574"/>
    </row>
    <row r="6575" spans="11:11" x14ac:dyDescent="0.25">
      <c r="K6575"/>
    </row>
    <row r="6576" spans="11:11" x14ac:dyDescent="0.25">
      <c r="K6576"/>
    </row>
    <row r="6577" spans="11:11" x14ac:dyDescent="0.25">
      <c r="K6577"/>
    </row>
    <row r="6578" spans="11:11" x14ac:dyDescent="0.25">
      <c r="K6578"/>
    </row>
    <row r="6579" spans="11:11" x14ac:dyDescent="0.25">
      <c r="K6579"/>
    </row>
    <row r="6580" spans="11:11" x14ac:dyDescent="0.25">
      <c r="K6580"/>
    </row>
    <row r="6581" spans="11:11" x14ac:dyDescent="0.25">
      <c r="K6581"/>
    </row>
    <row r="6582" spans="11:11" x14ac:dyDescent="0.25">
      <c r="K6582"/>
    </row>
    <row r="6583" spans="11:11" x14ac:dyDescent="0.25">
      <c r="K6583"/>
    </row>
    <row r="6584" spans="11:11" x14ac:dyDescent="0.25">
      <c r="K6584"/>
    </row>
    <row r="6585" spans="11:11" x14ac:dyDescent="0.25">
      <c r="K6585"/>
    </row>
    <row r="6586" spans="11:11" x14ac:dyDescent="0.25">
      <c r="K6586"/>
    </row>
    <row r="6587" spans="11:11" x14ac:dyDescent="0.25">
      <c r="K6587"/>
    </row>
    <row r="6588" spans="11:11" x14ac:dyDescent="0.25">
      <c r="K6588"/>
    </row>
    <row r="6589" spans="11:11" x14ac:dyDescent="0.25">
      <c r="K6589"/>
    </row>
    <row r="6590" spans="11:11" x14ac:dyDescent="0.25">
      <c r="K6590"/>
    </row>
    <row r="6591" spans="11:11" x14ac:dyDescent="0.25">
      <c r="K6591"/>
    </row>
    <row r="6592" spans="11:11" x14ac:dyDescent="0.25">
      <c r="K6592"/>
    </row>
    <row r="6593" spans="11:11" x14ac:dyDescent="0.25">
      <c r="K6593"/>
    </row>
    <row r="6594" spans="11:11" x14ac:dyDescent="0.25">
      <c r="K6594"/>
    </row>
    <row r="6595" spans="11:11" x14ac:dyDescent="0.25">
      <c r="K6595"/>
    </row>
    <row r="6596" spans="11:11" x14ac:dyDescent="0.25">
      <c r="K6596"/>
    </row>
    <row r="6597" spans="11:11" x14ac:dyDescent="0.25">
      <c r="K6597"/>
    </row>
    <row r="6598" spans="11:11" x14ac:dyDescent="0.25">
      <c r="K6598"/>
    </row>
    <row r="6599" spans="11:11" x14ac:dyDescent="0.25">
      <c r="K6599"/>
    </row>
    <row r="6600" spans="11:11" x14ac:dyDescent="0.25">
      <c r="K6600"/>
    </row>
    <row r="6601" spans="11:11" x14ac:dyDescent="0.25">
      <c r="K6601"/>
    </row>
    <row r="6602" spans="11:11" x14ac:dyDescent="0.25">
      <c r="K6602"/>
    </row>
    <row r="6603" spans="11:11" x14ac:dyDescent="0.25">
      <c r="K6603"/>
    </row>
    <row r="6604" spans="11:11" x14ac:dyDescent="0.25">
      <c r="K6604"/>
    </row>
    <row r="6605" spans="11:11" x14ac:dyDescent="0.25">
      <c r="K6605"/>
    </row>
    <row r="6606" spans="11:11" x14ac:dyDescent="0.25">
      <c r="K6606"/>
    </row>
    <row r="6607" spans="11:11" x14ac:dyDescent="0.25">
      <c r="K6607"/>
    </row>
    <row r="6608" spans="11:11" x14ac:dyDescent="0.25">
      <c r="K6608"/>
    </row>
    <row r="6609" spans="11:11" x14ac:dyDescent="0.25">
      <c r="K6609"/>
    </row>
    <row r="6610" spans="11:11" x14ac:dyDescent="0.25">
      <c r="K6610"/>
    </row>
    <row r="6611" spans="11:11" x14ac:dyDescent="0.25">
      <c r="K6611"/>
    </row>
    <row r="6612" spans="11:11" x14ac:dyDescent="0.25">
      <c r="K6612"/>
    </row>
    <row r="6613" spans="11:11" x14ac:dyDescent="0.25">
      <c r="K6613"/>
    </row>
    <row r="6614" spans="11:11" x14ac:dyDescent="0.25">
      <c r="K6614"/>
    </row>
    <row r="6615" spans="11:11" x14ac:dyDescent="0.25">
      <c r="K6615"/>
    </row>
    <row r="6616" spans="11:11" x14ac:dyDescent="0.25">
      <c r="K6616"/>
    </row>
    <row r="6617" spans="11:11" x14ac:dyDescent="0.25">
      <c r="K6617"/>
    </row>
    <row r="6618" spans="11:11" x14ac:dyDescent="0.25">
      <c r="K6618"/>
    </row>
    <row r="6619" spans="11:11" x14ac:dyDescent="0.25">
      <c r="K6619"/>
    </row>
    <row r="6620" spans="11:11" x14ac:dyDescent="0.25">
      <c r="K6620"/>
    </row>
    <row r="6621" spans="11:11" x14ac:dyDescent="0.25">
      <c r="K6621"/>
    </row>
    <row r="6622" spans="11:11" x14ac:dyDescent="0.25">
      <c r="K6622"/>
    </row>
    <row r="6623" spans="11:11" x14ac:dyDescent="0.25">
      <c r="K6623"/>
    </row>
    <row r="6624" spans="11:11" x14ac:dyDescent="0.25">
      <c r="K6624"/>
    </row>
    <row r="6625" spans="11:11" x14ac:dyDescent="0.25">
      <c r="K6625"/>
    </row>
    <row r="6626" spans="11:11" x14ac:dyDescent="0.25">
      <c r="K6626"/>
    </row>
    <row r="6627" spans="11:11" x14ac:dyDescent="0.25">
      <c r="K6627"/>
    </row>
    <row r="6628" spans="11:11" x14ac:dyDescent="0.25">
      <c r="K6628"/>
    </row>
    <row r="6629" spans="11:11" x14ac:dyDescent="0.25">
      <c r="K6629"/>
    </row>
    <row r="6630" spans="11:11" x14ac:dyDescent="0.25">
      <c r="K6630"/>
    </row>
    <row r="6631" spans="11:11" x14ac:dyDescent="0.25">
      <c r="K6631"/>
    </row>
    <row r="6632" spans="11:11" x14ac:dyDescent="0.25">
      <c r="K6632"/>
    </row>
    <row r="6633" spans="11:11" x14ac:dyDescent="0.25">
      <c r="K6633"/>
    </row>
    <row r="6634" spans="11:11" x14ac:dyDescent="0.25">
      <c r="K6634"/>
    </row>
    <row r="6635" spans="11:11" x14ac:dyDescent="0.25">
      <c r="K6635"/>
    </row>
    <row r="6636" spans="11:11" x14ac:dyDescent="0.25">
      <c r="K6636"/>
    </row>
    <row r="6637" spans="11:11" x14ac:dyDescent="0.25">
      <c r="K6637"/>
    </row>
    <row r="6638" spans="11:11" x14ac:dyDescent="0.25">
      <c r="K6638"/>
    </row>
    <row r="6639" spans="11:11" x14ac:dyDescent="0.25">
      <c r="K6639"/>
    </row>
    <row r="6640" spans="11:11" x14ac:dyDescent="0.25">
      <c r="K6640"/>
    </row>
    <row r="6641" spans="11:11" x14ac:dyDescent="0.25">
      <c r="K6641"/>
    </row>
    <row r="6642" spans="11:11" x14ac:dyDescent="0.25">
      <c r="K6642"/>
    </row>
    <row r="6643" spans="11:11" x14ac:dyDescent="0.25">
      <c r="K6643"/>
    </row>
    <row r="6644" spans="11:11" x14ac:dyDescent="0.25">
      <c r="K6644"/>
    </row>
    <row r="6645" spans="11:11" x14ac:dyDescent="0.25">
      <c r="K6645"/>
    </row>
    <row r="6646" spans="11:11" x14ac:dyDescent="0.25">
      <c r="K6646"/>
    </row>
    <row r="6647" spans="11:11" x14ac:dyDescent="0.25">
      <c r="K6647"/>
    </row>
    <row r="6648" spans="11:11" x14ac:dyDescent="0.25">
      <c r="K6648"/>
    </row>
    <row r="6649" spans="11:11" x14ac:dyDescent="0.25">
      <c r="K6649"/>
    </row>
    <row r="6650" spans="11:11" x14ac:dyDescent="0.25">
      <c r="K6650"/>
    </row>
    <row r="6651" spans="11:11" x14ac:dyDescent="0.25">
      <c r="K6651"/>
    </row>
    <row r="6652" spans="11:11" x14ac:dyDescent="0.25">
      <c r="K6652"/>
    </row>
    <row r="6653" spans="11:11" x14ac:dyDescent="0.25">
      <c r="K6653"/>
    </row>
    <row r="6654" spans="11:11" x14ac:dyDescent="0.25">
      <c r="K6654"/>
    </row>
    <row r="6655" spans="11:11" x14ac:dyDescent="0.25">
      <c r="K6655"/>
    </row>
    <row r="6656" spans="11:11" x14ac:dyDescent="0.25">
      <c r="K6656"/>
    </row>
    <row r="6657" spans="11:11" x14ac:dyDescent="0.25">
      <c r="K6657"/>
    </row>
    <row r="6658" spans="11:11" x14ac:dyDescent="0.25">
      <c r="K6658"/>
    </row>
    <row r="6659" spans="11:11" x14ac:dyDescent="0.25">
      <c r="K6659"/>
    </row>
    <row r="6660" spans="11:11" x14ac:dyDescent="0.25">
      <c r="K6660"/>
    </row>
    <row r="6661" spans="11:11" x14ac:dyDescent="0.25">
      <c r="K6661"/>
    </row>
    <row r="6662" spans="11:11" x14ac:dyDescent="0.25">
      <c r="K6662"/>
    </row>
    <row r="6663" spans="11:11" x14ac:dyDescent="0.25">
      <c r="K6663"/>
    </row>
    <row r="6664" spans="11:11" x14ac:dyDescent="0.25">
      <c r="K6664"/>
    </row>
    <row r="6665" spans="11:11" x14ac:dyDescent="0.25">
      <c r="K6665"/>
    </row>
    <row r="6666" spans="11:11" x14ac:dyDescent="0.25">
      <c r="K6666"/>
    </row>
    <row r="6667" spans="11:11" x14ac:dyDescent="0.25">
      <c r="K6667"/>
    </row>
    <row r="6668" spans="11:11" x14ac:dyDescent="0.25">
      <c r="K6668"/>
    </row>
    <row r="6669" spans="11:11" x14ac:dyDescent="0.25">
      <c r="K6669"/>
    </row>
    <row r="6670" spans="11:11" x14ac:dyDescent="0.25">
      <c r="K6670"/>
    </row>
    <row r="6671" spans="11:11" x14ac:dyDescent="0.25">
      <c r="K6671"/>
    </row>
    <row r="6672" spans="11:11" x14ac:dyDescent="0.25">
      <c r="K6672"/>
    </row>
    <row r="6673" spans="11:11" x14ac:dyDescent="0.25">
      <c r="K6673"/>
    </row>
    <row r="6674" spans="11:11" x14ac:dyDescent="0.25">
      <c r="K6674"/>
    </row>
    <row r="6675" spans="11:11" x14ac:dyDescent="0.25">
      <c r="K6675"/>
    </row>
    <row r="6676" spans="11:11" x14ac:dyDescent="0.25">
      <c r="K6676"/>
    </row>
    <row r="6677" spans="11:11" x14ac:dyDescent="0.25">
      <c r="K6677"/>
    </row>
    <row r="6678" spans="11:11" x14ac:dyDescent="0.25">
      <c r="K6678"/>
    </row>
    <row r="6679" spans="11:11" x14ac:dyDescent="0.25">
      <c r="K6679"/>
    </row>
    <row r="6680" spans="11:11" x14ac:dyDescent="0.25">
      <c r="K6680"/>
    </row>
    <row r="6681" spans="11:11" x14ac:dyDescent="0.25">
      <c r="K6681"/>
    </row>
    <row r="6682" spans="11:11" x14ac:dyDescent="0.25">
      <c r="K6682"/>
    </row>
    <row r="6683" spans="11:11" x14ac:dyDescent="0.25">
      <c r="K6683"/>
    </row>
    <row r="6684" spans="11:11" x14ac:dyDescent="0.25">
      <c r="K6684"/>
    </row>
    <row r="6685" spans="11:11" x14ac:dyDescent="0.25">
      <c r="K6685"/>
    </row>
    <row r="6686" spans="11:11" x14ac:dyDescent="0.25">
      <c r="K6686"/>
    </row>
    <row r="6687" spans="11:11" x14ac:dyDescent="0.25">
      <c r="K6687"/>
    </row>
    <row r="6688" spans="11:11" x14ac:dyDescent="0.25">
      <c r="K6688"/>
    </row>
    <row r="6689" spans="11:11" x14ac:dyDescent="0.25">
      <c r="K6689"/>
    </row>
    <row r="6690" spans="11:11" x14ac:dyDescent="0.25">
      <c r="K6690"/>
    </row>
    <row r="6691" spans="11:11" x14ac:dyDescent="0.25">
      <c r="K6691"/>
    </row>
    <row r="6692" spans="11:11" x14ac:dyDescent="0.25">
      <c r="K6692"/>
    </row>
    <row r="6693" spans="11:11" x14ac:dyDescent="0.25">
      <c r="K6693"/>
    </row>
    <row r="6694" spans="11:11" x14ac:dyDescent="0.25">
      <c r="K6694"/>
    </row>
    <row r="6695" spans="11:11" x14ac:dyDescent="0.25">
      <c r="K6695"/>
    </row>
    <row r="6696" spans="11:11" x14ac:dyDescent="0.25">
      <c r="K6696"/>
    </row>
    <row r="6697" spans="11:11" x14ac:dyDescent="0.25">
      <c r="K6697"/>
    </row>
    <row r="6698" spans="11:11" x14ac:dyDescent="0.25">
      <c r="K6698"/>
    </row>
    <row r="6699" spans="11:11" x14ac:dyDescent="0.25">
      <c r="K6699"/>
    </row>
    <row r="6700" spans="11:11" x14ac:dyDescent="0.25">
      <c r="K6700"/>
    </row>
    <row r="6701" spans="11:11" x14ac:dyDescent="0.25">
      <c r="K6701"/>
    </row>
    <row r="6702" spans="11:11" x14ac:dyDescent="0.25">
      <c r="K6702"/>
    </row>
    <row r="6703" spans="11:11" x14ac:dyDescent="0.25">
      <c r="K6703"/>
    </row>
    <row r="6704" spans="11:11" x14ac:dyDescent="0.25">
      <c r="K6704"/>
    </row>
    <row r="6705" spans="11:11" x14ac:dyDescent="0.25">
      <c r="K6705"/>
    </row>
    <row r="6706" spans="11:11" x14ac:dyDescent="0.25">
      <c r="K6706"/>
    </row>
    <row r="6707" spans="11:11" x14ac:dyDescent="0.25">
      <c r="K6707"/>
    </row>
    <row r="6708" spans="11:11" x14ac:dyDescent="0.25">
      <c r="K6708"/>
    </row>
    <row r="6709" spans="11:11" x14ac:dyDescent="0.25">
      <c r="K6709"/>
    </row>
    <row r="6710" spans="11:11" x14ac:dyDescent="0.25">
      <c r="K6710"/>
    </row>
    <row r="6711" spans="11:11" x14ac:dyDescent="0.25">
      <c r="K6711"/>
    </row>
    <row r="6712" spans="11:11" x14ac:dyDescent="0.25">
      <c r="K6712"/>
    </row>
    <row r="6713" spans="11:11" x14ac:dyDescent="0.25">
      <c r="K6713"/>
    </row>
    <row r="6714" spans="11:11" x14ac:dyDescent="0.25">
      <c r="K6714"/>
    </row>
    <row r="6715" spans="11:11" x14ac:dyDescent="0.25">
      <c r="K6715"/>
    </row>
    <row r="6716" spans="11:11" x14ac:dyDescent="0.25">
      <c r="K6716"/>
    </row>
    <row r="6717" spans="11:11" x14ac:dyDescent="0.25">
      <c r="K6717"/>
    </row>
    <row r="6718" spans="11:11" x14ac:dyDescent="0.25">
      <c r="K6718"/>
    </row>
    <row r="6719" spans="11:11" x14ac:dyDescent="0.25">
      <c r="K6719"/>
    </row>
    <row r="6720" spans="11:11" x14ac:dyDescent="0.25">
      <c r="K6720"/>
    </row>
    <row r="6721" spans="11:11" x14ac:dyDescent="0.25">
      <c r="K6721"/>
    </row>
    <row r="6722" spans="11:11" x14ac:dyDescent="0.25">
      <c r="K6722"/>
    </row>
    <row r="6723" spans="11:11" x14ac:dyDescent="0.25">
      <c r="K6723"/>
    </row>
    <row r="6724" spans="11:11" x14ac:dyDescent="0.25">
      <c r="K6724"/>
    </row>
    <row r="6725" spans="11:11" x14ac:dyDescent="0.25">
      <c r="K6725"/>
    </row>
    <row r="6726" spans="11:11" x14ac:dyDescent="0.25">
      <c r="K6726"/>
    </row>
    <row r="6727" spans="11:11" x14ac:dyDescent="0.25">
      <c r="K6727"/>
    </row>
    <row r="6728" spans="11:11" x14ac:dyDescent="0.25">
      <c r="K6728"/>
    </row>
    <row r="6729" spans="11:11" x14ac:dyDescent="0.25">
      <c r="K6729"/>
    </row>
    <row r="6730" spans="11:11" x14ac:dyDescent="0.25">
      <c r="K6730"/>
    </row>
    <row r="6731" spans="11:11" x14ac:dyDescent="0.25">
      <c r="K6731"/>
    </row>
    <row r="6732" spans="11:11" x14ac:dyDescent="0.25">
      <c r="K6732"/>
    </row>
    <row r="6733" spans="11:11" x14ac:dyDescent="0.25">
      <c r="K6733"/>
    </row>
    <row r="6734" spans="11:11" x14ac:dyDescent="0.25">
      <c r="K6734"/>
    </row>
    <row r="6735" spans="11:11" x14ac:dyDescent="0.25">
      <c r="K6735"/>
    </row>
    <row r="6736" spans="11:11" x14ac:dyDescent="0.25">
      <c r="K6736"/>
    </row>
    <row r="6737" spans="11:11" x14ac:dyDescent="0.25">
      <c r="K6737"/>
    </row>
    <row r="6738" spans="11:11" x14ac:dyDescent="0.25">
      <c r="K6738"/>
    </row>
    <row r="6739" spans="11:11" x14ac:dyDescent="0.25">
      <c r="K6739"/>
    </row>
    <row r="6740" spans="11:11" x14ac:dyDescent="0.25">
      <c r="K6740"/>
    </row>
    <row r="6741" spans="11:11" x14ac:dyDescent="0.25">
      <c r="K6741"/>
    </row>
    <row r="6742" spans="11:11" x14ac:dyDescent="0.25">
      <c r="K6742"/>
    </row>
    <row r="6743" spans="11:11" x14ac:dyDescent="0.25">
      <c r="K6743"/>
    </row>
    <row r="6744" spans="11:11" x14ac:dyDescent="0.25">
      <c r="K6744"/>
    </row>
    <row r="6745" spans="11:11" x14ac:dyDescent="0.25">
      <c r="K6745"/>
    </row>
    <row r="6746" spans="11:11" x14ac:dyDescent="0.25">
      <c r="K6746"/>
    </row>
    <row r="6747" spans="11:11" x14ac:dyDescent="0.25">
      <c r="K6747"/>
    </row>
    <row r="6748" spans="11:11" x14ac:dyDescent="0.25">
      <c r="K6748"/>
    </row>
    <row r="6749" spans="11:11" x14ac:dyDescent="0.25">
      <c r="K6749"/>
    </row>
    <row r="6750" spans="11:11" x14ac:dyDescent="0.25">
      <c r="K6750"/>
    </row>
    <row r="6751" spans="11:11" x14ac:dyDescent="0.25">
      <c r="K6751"/>
    </row>
    <row r="6752" spans="11:11" x14ac:dyDescent="0.25">
      <c r="K6752"/>
    </row>
    <row r="6753" spans="11:11" x14ac:dyDescent="0.25">
      <c r="K6753"/>
    </row>
    <row r="6754" spans="11:11" x14ac:dyDescent="0.25">
      <c r="K6754"/>
    </row>
    <row r="6755" spans="11:11" x14ac:dyDescent="0.25">
      <c r="K6755"/>
    </row>
    <row r="6756" spans="11:11" x14ac:dyDescent="0.25">
      <c r="K6756"/>
    </row>
    <row r="6757" spans="11:11" x14ac:dyDescent="0.25">
      <c r="K6757"/>
    </row>
    <row r="6758" spans="11:11" x14ac:dyDescent="0.25">
      <c r="K6758"/>
    </row>
    <row r="6759" spans="11:11" x14ac:dyDescent="0.25">
      <c r="K6759"/>
    </row>
    <row r="6760" spans="11:11" x14ac:dyDescent="0.25">
      <c r="K6760"/>
    </row>
    <row r="6761" spans="11:11" x14ac:dyDescent="0.25">
      <c r="K6761"/>
    </row>
    <row r="6762" spans="11:11" x14ac:dyDescent="0.25">
      <c r="K6762"/>
    </row>
    <row r="6763" spans="11:11" x14ac:dyDescent="0.25">
      <c r="K6763"/>
    </row>
    <row r="6764" spans="11:11" x14ac:dyDescent="0.25">
      <c r="K6764"/>
    </row>
    <row r="6765" spans="11:11" x14ac:dyDescent="0.25">
      <c r="K6765"/>
    </row>
    <row r="6766" spans="11:11" x14ac:dyDescent="0.25">
      <c r="K6766"/>
    </row>
    <row r="6767" spans="11:11" x14ac:dyDescent="0.25">
      <c r="K6767"/>
    </row>
    <row r="6768" spans="11:11" x14ac:dyDescent="0.25">
      <c r="K6768"/>
    </row>
    <row r="6769" spans="11:11" x14ac:dyDescent="0.25">
      <c r="K6769"/>
    </row>
    <row r="6770" spans="11:11" x14ac:dyDescent="0.25">
      <c r="K6770"/>
    </row>
    <row r="6771" spans="11:11" x14ac:dyDescent="0.25">
      <c r="K6771"/>
    </row>
    <row r="6772" spans="11:11" x14ac:dyDescent="0.25">
      <c r="K6772"/>
    </row>
    <row r="6773" spans="11:11" x14ac:dyDescent="0.25">
      <c r="K6773"/>
    </row>
    <row r="6774" spans="11:11" x14ac:dyDescent="0.25">
      <c r="K6774"/>
    </row>
    <row r="6775" spans="11:11" x14ac:dyDescent="0.25">
      <c r="K6775"/>
    </row>
    <row r="6776" spans="11:11" x14ac:dyDescent="0.25">
      <c r="K6776"/>
    </row>
    <row r="6777" spans="11:11" x14ac:dyDescent="0.25">
      <c r="K6777"/>
    </row>
    <row r="6778" spans="11:11" x14ac:dyDescent="0.25">
      <c r="K6778"/>
    </row>
    <row r="6779" spans="11:11" x14ac:dyDescent="0.25">
      <c r="K6779"/>
    </row>
    <row r="6780" spans="11:11" x14ac:dyDescent="0.25">
      <c r="K6780"/>
    </row>
    <row r="6781" spans="11:11" x14ac:dyDescent="0.25">
      <c r="K6781"/>
    </row>
    <row r="6782" spans="11:11" x14ac:dyDescent="0.25">
      <c r="K6782"/>
    </row>
    <row r="6783" spans="11:11" x14ac:dyDescent="0.25">
      <c r="K6783"/>
    </row>
    <row r="6784" spans="11:11" x14ac:dyDescent="0.25">
      <c r="K6784"/>
    </row>
    <row r="6785" spans="11:11" x14ac:dyDescent="0.25">
      <c r="K6785"/>
    </row>
    <row r="6786" spans="11:11" x14ac:dyDescent="0.25">
      <c r="K6786"/>
    </row>
    <row r="6787" spans="11:11" x14ac:dyDescent="0.25">
      <c r="K6787"/>
    </row>
    <row r="6788" spans="11:11" x14ac:dyDescent="0.25">
      <c r="K6788"/>
    </row>
    <row r="6789" spans="11:11" x14ac:dyDescent="0.25">
      <c r="K6789"/>
    </row>
    <row r="6790" spans="11:11" x14ac:dyDescent="0.25">
      <c r="K6790"/>
    </row>
    <row r="6791" spans="11:11" x14ac:dyDescent="0.25">
      <c r="K6791"/>
    </row>
    <row r="6792" spans="11:11" x14ac:dyDescent="0.25">
      <c r="K6792"/>
    </row>
    <row r="6793" spans="11:11" x14ac:dyDescent="0.25">
      <c r="K6793"/>
    </row>
    <row r="6794" spans="11:11" x14ac:dyDescent="0.25">
      <c r="K6794"/>
    </row>
    <row r="6795" spans="11:11" x14ac:dyDescent="0.25">
      <c r="K6795"/>
    </row>
    <row r="6796" spans="11:11" x14ac:dyDescent="0.25">
      <c r="K6796"/>
    </row>
    <row r="6797" spans="11:11" x14ac:dyDescent="0.25">
      <c r="K6797"/>
    </row>
    <row r="6798" spans="11:11" x14ac:dyDescent="0.25">
      <c r="K6798"/>
    </row>
    <row r="6799" spans="11:11" x14ac:dyDescent="0.25">
      <c r="K6799"/>
    </row>
    <row r="6800" spans="11:11" x14ac:dyDescent="0.25">
      <c r="K6800"/>
    </row>
    <row r="6801" spans="11:11" x14ac:dyDescent="0.25">
      <c r="K6801"/>
    </row>
    <row r="6802" spans="11:11" x14ac:dyDescent="0.25">
      <c r="K6802"/>
    </row>
    <row r="6803" spans="11:11" x14ac:dyDescent="0.25">
      <c r="K6803"/>
    </row>
    <row r="6804" spans="11:11" x14ac:dyDescent="0.25">
      <c r="K6804"/>
    </row>
    <row r="6805" spans="11:11" x14ac:dyDescent="0.25">
      <c r="K6805"/>
    </row>
    <row r="6806" spans="11:11" x14ac:dyDescent="0.25">
      <c r="K6806"/>
    </row>
    <row r="6807" spans="11:11" x14ac:dyDescent="0.25">
      <c r="K6807"/>
    </row>
    <row r="6808" spans="11:11" x14ac:dyDescent="0.25">
      <c r="K6808"/>
    </row>
    <row r="6809" spans="11:11" x14ac:dyDescent="0.25">
      <c r="K6809"/>
    </row>
    <row r="6810" spans="11:11" x14ac:dyDescent="0.25">
      <c r="K6810"/>
    </row>
    <row r="6811" spans="11:11" x14ac:dyDescent="0.25">
      <c r="K6811"/>
    </row>
    <row r="6812" spans="11:11" x14ac:dyDescent="0.25">
      <c r="K6812"/>
    </row>
    <row r="6813" spans="11:11" x14ac:dyDescent="0.25">
      <c r="K6813"/>
    </row>
    <row r="6814" spans="11:11" x14ac:dyDescent="0.25">
      <c r="K6814"/>
    </row>
    <row r="6815" spans="11:11" x14ac:dyDescent="0.25">
      <c r="K6815"/>
    </row>
    <row r="6816" spans="11:11" x14ac:dyDescent="0.25">
      <c r="K6816"/>
    </row>
    <row r="6817" spans="11:11" x14ac:dyDescent="0.25">
      <c r="K6817"/>
    </row>
    <row r="6818" spans="11:11" x14ac:dyDescent="0.25">
      <c r="K6818"/>
    </row>
    <row r="6819" spans="11:11" x14ac:dyDescent="0.25">
      <c r="K6819"/>
    </row>
    <row r="6820" spans="11:11" x14ac:dyDescent="0.25">
      <c r="K6820"/>
    </row>
    <row r="6821" spans="11:11" x14ac:dyDescent="0.25">
      <c r="K6821"/>
    </row>
    <row r="6822" spans="11:11" x14ac:dyDescent="0.25">
      <c r="K6822"/>
    </row>
    <row r="6823" spans="11:11" x14ac:dyDescent="0.25">
      <c r="K6823"/>
    </row>
    <row r="6824" spans="11:11" x14ac:dyDescent="0.25">
      <c r="K6824"/>
    </row>
    <row r="6825" spans="11:11" x14ac:dyDescent="0.25">
      <c r="K6825"/>
    </row>
    <row r="6826" spans="11:11" x14ac:dyDescent="0.25">
      <c r="K6826"/>
    </row>
    <row r="6827" spans="11:11" x14ac:dyDescent="0.25">
      <c r="K6827"/>
    </row>
    <row r="6828" spans="11:11" x14ac:dyDescent="0.25">
      <c r="K6828"/>
    </row>
    <row r="6829" spans="11:11" x14ac:dyDescent="0.25">
      <c r="K6829"/>
    </row>
    <row r="6830" spans="11:11" x14ac:dyDescent="0.25">
      <c r="K6830"/>
    </row>
    <row r="6831" spans="11:11" x14ac:dyDescent="0.25">
      <c r="K6831"/>
    </row>
    <row r="6832" spans="11:11" x14ac:dyDescent="0.25">
      <c r="K6832"/>
    </row>
    <row r="6833" spans="11:11" x14ac:dyDescent="0.25">
      <c r="K6833"/>
    </row>
    <row r="6834" spans="11:11" x14ac:dyDescent="0.25">
      <c r="K6834"/>
    </row>
    <row r="6835" spans="11:11" x14ac:dyDescent="0.25">
      <c r="K6835"/>
    </row>
    <row r="6836" spans="11:11" x14ac:dyDescent="0.25">
      <c r="K6836"/>
    </row>
    <row r="6837" spans="11:11" x14ac:dyDescent="0.25">
      <c r="K6837"/>
    </row>
    <row r="6838" spans="11:11" x14ac:dyDescent="0.25">
      <c r="K6838"/>
    </row>
    <row r="6839" spans="11:11" x14ac:dyDescent="0.25">
      <c r="K6839"/>
    </row>
    <row r="6840" spans="11:11" x14ac:dyDescent="0.25">
      <c r="K6840"/>
    </row>
    <row r="6841" spans="11:11" x14ac:dyDescent="0.25">
      <c r="K6841"/>
    </row>
    <row r="6842" spans="11:11" x14ac:dyDescent="0.25">
      <c r="K6842"/>
    </row>
    <row r="6843" spans="11:11" x14ac:dyDescent="0.25">
      <c r="K6843"/>
    </row>
    <row r="6844" spans="11:11" x14ac:dyDescent="0.25">
      <c r="K6844"/>
    </row>
    <row r="6845" spans="11:11" x14ac:dyDescent="0.25">
      <c r="K6845"/>
    </row>
    <row r="6846" spans="11:11" x14ac:dyDescent="0.25">
      <c r="K6846"/>
    </row>
    <row r="6847" spans="11:11" x14ac:dyDescent="0.25">
      <c r="K6847"/>
    </row>
    <row r="6848" spans="11:11" x14ac:dyDescent="0.25">
      <c r="K6848"/>
    </row>
    <row r="6849" spans="11:11" x14ac:dyDescent="0.25">
      <c r="K6849"/>
    </row>
    <row r="6850" spans="11:11" x14ac:dyDescent="0.25">
      <c r="K6850"/>
    </row>
    <row r="6851" spans="11:11" x14ac:dyDescent="0.25">
      <c r="K6851"/>
    </row>
    <row r="6852" spans="11:11" x14ac:dyDescent="0.25">
      <c r="K6852"/>
    </row>
    <row r="6853" spans="11:11" x14ac:dyDescent="0.25">
      <c r="K6853"/>
    </row>
    <row r="6854" spans="11:11" x14ac:dyDescent="0.25">
      <c r="K6854"/>
    </row>
    <row r="6855" spans="11:11" x14ac:dyDescent="0.25">
      <c r="K6855"/>
    </row>
    <row r="6856" spans="11:11" x14ac:dyDescent="0.25">
      <c r="K6856"/>
    </row>
    <row r="6857" spans="11:11" x14ac:dyDescent="0.25">
      <c r="K6857"/>
    </row>
    <row r="6858" spans="11:11" x14ac:dyDescent="0.25">
      <c r="K6858"/>
    </row>
    <row r="6859" spans="11:11" x14ac:dyDescent="0.25">
      <c r="K6859"/>
    </row>
    <row r="6860" spans="11:11" x14ac:dyDescent="0.25">
      <c r="K6860"/>
    </row>
    <row r="6861" spans="11:11" x14ac:dyDescent="0.25">
      <c r="K6861"/>
    </row>
    <row r="6862" spans="11:11" x14ac:dyDescent="0.25">
      <c r="K6862"/>
    </row>
    <row r="6863" spans="11:11" x14ac:dyDescent="0.25">
      <c r="K6863"/>
    </row>
    <row r="6864" spans="11:11" x14ac:dyDescent="0.25">
      <c r="K6864"/>
    </row>
    <row r="6865" spans="11:11" x14ac:dyDescent="0.25">
      <c r="K6865"/>
    </row>
    <row r="6866" spans="11:11" x14ac:dyDescent="0.25">
      <c r="K6866"/>
    </row>
    <row r="6867" spans="11:11" x14ac:dyDescent="0.25">
      <c r="K6867"/>
    </row>
    <row r="6868" spans="11:11" x14ac:dyDescent="0.25">
      <c r="K6868"/>
    </row>
    <row r="6869" spans="11:11" x14ac:dyDescent="0.25">
      <c r="K6869"/>
    </row>
    <row r="6870" spans="11:11" x14ac:dyDescent="0.25">
      <c r="K6870"/>
    </row>
    <row r="6871" spans="11:11" x14ac:dyDescent="0.25">
      <c r="K6871"/>
    </row>
    <row r="6872" spans="11:11" x14ac:dyDescent="0.25">
      <c r="K6872"/>
    </row>
    <row r="6873" spans="11:11" x14ac:dyDescent="0.25">
      <c r="K6873"/>
    </row>
    <row r="6874" spans="11:11" x14ac:dyDescent="0.25">
      <c r="K6874"/>
    </row>
    <row r="6875" spans="11:11" x14ac:dyDescent="0.25">
      <c r="K6875"/>
    </row>
    <row r="6876" spans="11:11" x14ac:dyDescent="0.25">
      <c r="K6876"/>
    </row>
    <row r="6877" spans="11:11" x14ac:dyDescent="0.25">
      <c r="K6877"/>
    </row>
    <row r="6878" spans="11:11" x14ac:dyDescent="0.25">
      <c r="K6878"/>
    </row>
    <row r="6879" spans="11:11" x14ac:dyDescent="0.25">
      <c r="K6879"/>
    </row>
    <row r="6880" spans="11:11" x14ac:dyDescent="0.25">
      <c r="K6880"/>
    </row>
    <row r="6881" spans="11:11" x14ac:dyDescent="0.25">
      <c r="K6881"/>
    </row>
    <row r="6882" spans="11:11" x14ac:dyDescent="0.25">
      <c r="K6882"/>
    </row>
    <row r="6883" spans="11:11" x14ac:dyDescent="0.25">
      <c r="K6883"/>
    </row>
    <row r="6884" spans="11:11" x14ac:dyDescent="0.25">
      <c r="K6884"/>
    </row>
    <row r="6885" spans="11:11" x14ac:dyDescent="0.25">
      <c r="K6885"/>
    </row>
    <row r="6886" spans="11:11" x14ac:dyDescent="0.25">
      <c r="K6886"/>
    </row>
    <row r="6887" spans="11:11" x14ac:dyDescent="0.25">
      <c r="K6887"/>
    </row>
    <row r="6888" spans="11:11" x14ac:dyDescent="0.25">
      <c r="K6888"/>
    </row>
    <row r="6889" spans="11:11" x14ac:dyDescent="0.25">
      <c r="K6889"/>
    </row>
    <row r="6890" spans="11:11" x14ac:dyDescent="0.25">
      <c r="K6890"/>
    </row>
    <row r="6891" spans="11:11" x14ac:dyDescent="0.25">
      <c r="K6891"/>
    </row>
    <row r="6892" spans="11:11" x14ac:dyDescent="0.25">
      <c r="K6892"/>
    </row>
    <row r="6893" spans="11:11" x14ac:dyDescent="0.25">
      <c r="K6893"/>
    </row>
    <row r="6894" spans="11:11" x14ac:dyDescent="0.25">
      <c r="K6894"/>
    </row>
    <row r="6895" spans="11:11" x14ac:dyDescent="0.25">
      <c r="K6895"/>
    </row>
    <row r="6896" spans="11:11" x14ac:dyDescent="0.25">
      <c r="K6896"/>
    </row>
    <row r="6897" spans="11:11" x14ac:dyDescent="0.25">
      <c r="K6897"/>
    </row>
    <row r="6898" spans="11:11" x14ac:dyDescent="0.25">
      <c r="K6898"/>
    </row>
    <row r="6899" spans="11:11" x14ac:dyDescent="0.25">
      <c r="K6899"/>
    </row>
    <row r="6900" spans="11:11" x14ac:dyDescent="0.25">
      <c r="K6900"/>
    </row>
    <row r="6901" spans="11:11" x14ac:dyDescent="0.25">
      <c r="K6901"/>
    </row>
    <row r="6902" spans="11:11" x14ac:dyDescent="0.25">
      <c r="K6902"/>
    </row>
    <row r="6903" spans="11:11" x14ac:dyDescent="0.25">
      <c r="K6903"/>
    </row>
    <row r="6904" spans="11:11" x14ac:dyDescent="0.25">
      <c r="K6904"/>
    </row>
    <row r="6905" spans="11:11" x14ac:dyDescent="0.25">
      <c r="K6905"/>
    </row>
    <row r="6906" spans="11:11" x14ac:dyDescent="0.25">
      <c r="K6906"/>
    </row>
    <row r="6907" spans="11:11" x14ac:dyDescent="0.25">
      <c r="K6907"/>
    </row>
    <row r="6908" spans="11:11" x14ac:dyDescent="0.25">
      <c r="K6908"/>
    </row>
    <row r="6909" spans="11:11" x14ac:dyDescent="0.25">
      <c r="K6909"/>
    </row>
    <row r="6910" spans="11:11" x14ac:dyDescent="0.25">
      <c r="K6910"/>
    </row>
    <row r="6911" spans="11:11" x14ac:dyDescent="0.25">
      <c r="K6911"/>
    </row>
    <row r="6912" spans="11:11" x14ac:dyDescent="0.25">
      <c r="K6912"/>
    </row>
    <row r="6913" spans="11:11" x14ac:dyDescent="0.25">
      <c r="K6913"/>
    </row>
    <row r="6914" spans="11:11" x14ac:dyDescent="0.25">
      <c r="K6914"/>
    </row>
    <row r="6915" spans="11:11" x14ac:dyDescent="0.25">
      <c r="K6915"/>
    </row>
    <row r="6916" spans="11:11" x14ac:dyDescent="0.25">
      <c r="K6916"/>
    </row>
    <row r="6917" spans="11:11" x14ac:dyDescent="0.25">
      <c r="K6917"/>
    </row>
    <row r="6918" spans="11:11" x14ac:dyDescent="0.25">
      <c r="K6918"/>
    </row>
    <row r="6919" spans="11:11" x14ac:dyDescent="0.25">
      <c r="K6919"/>
    </row>
    <row r="6920" spans="11:11" x14ac:dyDescent="0.25">
      <c r="K6920"/>
    </row>
    <row r="6921" spans="11:11" x14ac:dyDescent="0.25">
      <c r="K6921"/>
    </row>
    <row r="6922" spans="11:11" x14ac:dyDescent="0.25">
      <c r="K6922"/>
    </row>
    <row r="6923" spans="11:11" x14ac:dyDescent="0.25">
      <c r="K6923"/>
    </row>
    <row r="6924" spans="11:11" x14ac:dyDescent="0.25">
      <c r="K6924"/>
    </row>
    <row r="6925" spans="11:11" x14ac:dyDescent="0.25">
      <c r="K6925"/>
    </row>
    <row r="6926" spans="11:11" x14ac:dyDescent="0.25">
      <c r="K6926"/>
    </row>
    <row r="6927" spans="11:11" x14ac:dyDescent="0.25">
      <c r="K6927"/>
    </row>
    <row r="6928" spans="11:11" x14ac:dyDescent="0.25">
      <c r="K6928"/>
    </row>
    <row r="6929" spans="11:11" x14ac:dyDescent="0.25">
      <c r="K6929"/>
    </row>
    <row r="6930" spans="11:11" x14ac:dyDescent="0.25">
      <c r="K6930"/>
    </row>
    <row r="6931" spans="11:11" x14ac:dyDescent="0.25">
      <c r="K6931"/>
    </row>
    <row r="6932" spans="11:11" x14ac:dyDescent="0.25">
      <c r="K6932"/>
    </row>
    <row r="6933" spans="11:11" x14ac:dyDescent="0.25">
      <c r="K6933"/>
    </row>
    <row r="6934" spans="11:11" x14ac:dyDescent="0.25">
      <c r="K6934"/>
    </row>
    <row r="6935" spans="11:11" x14ac:dyDescent="0.25">
      <c r="K6935"/>
    </row>
    <row r="6936" spans="11:11" x14ac:dyDescent="0.25">
      <c r="K6936"/>
    </row>
    <row r="6937" spans="11:11" x14ac:dyDescent="0.25">
      <c r="K6937"/>
    </row>
    <row r="6938" spans="11:11" x14ac:dyDescent="0.25">
      <c r="K6938"/>
    </row>
    <row r="6939" spans="11:11" x14ac:dyDescent="0.25">
      <c r="K6939"/>
    </row>
    <row r="6940" spans="11:11" x14ac:dyDescent="0.25">
      <c r="K6940"/>
    </row>
    <row r="6941" spans="11:11" x14ac:dyDescent="0.25">
      <c r="K6941"/>
    </row>
    <row r="6942" spans="11:11" x14ac:dyDescent="0.25">
      <c r="K6942"/>
    </row>
    <row r="6943" spans="11:11" x14ac:dyDescent="0.25">
      <c r="K6943"/>
    </row>
    <row r="6944" spans="11:11" x14ac:dyDescent="0.25">
      <c r="K6944"/>
    </row>
    <row r="6945" spans="11:11" x14ac:dyDescent="0.25">
      <c r="K6945"/>
    </row>
    <row r="6946" spans="11:11" x14ac:dyDescent="0.25">
      <c r="K6946"/>
    </row>
    <row r="6947" spans="11:11" x14ac:dyDescent="0.25">
      <c r="K6947"/>
    </row>
    <row r="6948" spans="11:11" x14ac:dyDescent="0.25">
      <c r="K6948"/>
    </row>
    <row r="6949" spans="11:11" x14ac:dyDescent="0.25">
      <c r="K6949"/>
    </row>
    <row r="6950" spans="11:11" x14ac:dyDescent="0.25">
      <c r="K6950"/>
    </row>
    <row r="6951" spans="11:11" x14ac:dyDescent="0.25">
      <c r="K6951"/>
    </row>
    <row r="6952" spans="11:11" x14ac:dyDescent="0.25">
      <c r="K6952"/>
    </row>
    <row r="6953" spans="11:11" x14ac:dyDescent="0.25">
      <c r="K6953"/>
    </row>
    <row r="6954" spans="11:11" x14ac:dyDescent="0.25">
      <c r="K6954"/>
    </row>
    <row r="6955" spans="11:11" x14ac:dyDescent="0.25">
      <c r="K6955"/>
    </row>
    <row r="6956" spans="11:11" x14ac:dyDescent="0.25">
      <c r="K6956"/>
    </row>
    <row r="6957" spans="11:11" x14ac:dyDescent="0.25">
      <c r="K6957"/>
    </row>
    <row r="6958" spans="11:11" x14ac:dyDescent="0.25">
      <c r="K6958"/>
    </row>
    <row r="6959" spans="11:11" x14ac:dyDescent="0.25">
      <c r="K6959"/>
    </row>
    <row r="6960" spans="11:11" x14ac:dyDescent="0.25">
      <c r="K6960"/>
    </row>
    <row r="6961" spans="11:11" x14ac:dyDescent="0.25">
      <c r="K6961"/>
    </row>
    <row r="6962" spans="11:11" x14ac:dyDescent="0.25">
      <c r="K6962"/>
    </row>
    <row r="6963" spans="11:11" x14ac:dyDescent="0.25">
      <c r="K6963"/>
    </row>
    <row r="6964" spans="11:11" x14ac:dyDescent="0.25">
      <c r="K6964"/>
    </row>
    <row r="6965" spans="11:11" x14ac:dyDescent="0.25">
      <c r="K6965"/>
    </row>
    <row r="6966" spans="11:11" x14ac:dyDescent="0.25">
      <c r="K6966"/>
    </row>
    <row r="6967" spans="11:11" x14ac:dyDescent="0.25">
      <c r="K6967"/>
    </row>
    <row r="6968" spans="11:11" x14ac:dyDescent="0.25">
      <c r="K6968"/>
    </row>
    <row r="6969" spans="11:11" x14ac:dyDescent="0.25">
      <c r="K6969"/>
    </row>
    <row r="6970" spans="11:11" x14ac:dyDescent="0.25">
      <c r="K6970"/>
    </row>
    <row r="6971" spans="11:11" x14ac:dyDescent="0.25">
      <c r="K6971"/>
    </row>
    <row r="6972" spans="11:11" x14ac:dyDescent="0.25">
      <c r="K6972"/>
    </row>
    <row r="6973" spans="11:11" x14ac:dyDescent="0.25">
      <c r="K6973"/>
    </row>
    <row r="6974" spans="11:11" x14ac:dyDescent="0.25">
      <c r="K6974"/>
    </row>
    <row r="6975" spans="11:11" x14ac:dyDescent="0.25">
      <c r="K6975"/>
    </row>
    <row r="6976" spans="11:11" x14ac:dyDescent="0.25">
      <c r="K6976"/>
    </row>
    <row r="6977" spans="11:11" x14ac:dyDescent="0.25">
      <c r="K6977"/>
    </row>
    <row r="6978" spans="11:11" x14ac:dyDescent="0.25">
      <c r="K6978"/>
    </row>
    <row r="6979" spans="11:11" x14ac:dyDescent="0.25">
      <c r="K6979"/>
    </row>
    <row r="6980" spans="11:11" x14ac:dyDescent="0.25">
      <c r="K6980"/>
    </row>
    <row r="6981" spans="11:11" x14ac:dyDescent="0.25">
      <c r="K6981"/>
    </row>
    <row r="6982" spans="11:11" x14ac:dyDescent="0.25">
      <c r="K6982"/>
    </row>
    <row r="6983" spans="11:11" x14ac:dyDescent="0.25">
      <c r="K6983"/>
    </row>
    <row r="6984" spans="11:11" x14ac:dyDescent="0.25">
      <c r="K6984"/>
    </row>
    <row r="6985" spans="11:11" x14ac:dyDescent="0.25">
      <c r="K6985"/>
    </row>
    <row r="6986" spans="11:11" x14ac:dyDescent="0.25">
      <c r="K6986"/>
    </row>
    <row r="6987" spans="11:11" x14ac:dyDescent="0.25">
      <c r="K6987"/>
    </row>
    <row r="6988" spans="11:11" x14ac:dyDescent="0.25">
      <c r="K6988"/>
    </row>
    <row r="6989" spans="11:11" x14ac:dyDescent="0.25">
      <c r="K6989"/>
    </row>
    <row r="6990" spans="11:11" x14ac:dyDescent="0.25">
      <c r="K6990"/>
    </row>
    <row r="6991" spans="11:11" x14ac:dyDescent="0.25">
      <c r="K6991"/>
    </row>
    <row r="6992" spans="11:11" x14ac:dyDescent="0.25">
      <c r="K6992"/>
    </row>
    <row r="6993" spans="11:11" x14ac:dyDescent="0.25">
      <c r="K6993"/>
    </row>
    <row r="6994" spans="11:11" x14ac:dyDescent="0.25">
      <c r="K6994"/>
    </row>
    <row r="6995" spans="11:11" x14ac:dyDescent="0.25">
      <c r="K6995"/>
    </row>
    <row r="6996" spans="11:11" x14ac:dyDescent="0.25">
      <c r="K6996"/>
    </row>
    <row r="6997" spans="11:11" x14ac:dyDescent="0.25">
      <c r="K6997"/>
    </row>
    <row r="6998" spans="11:11" x14ac:dyDescent="0.25">
      <c r="K6998"/>
    </row>
    <row r="6999" spans="11:11" x14ac:dyDescent="0.25">
      <c r="K6999"/>
    </row>
    <row r="7000" spans="11:11" x14ac:dyDescent="0.25">
      <c r="K7000"/>
    </row>
    <row r="7001" spans="11:11" x14ac:dyDescent="0.25">
      <c r="K7001"/>
    </row>
    <row r="7002" spans="11:11" x14ac:dyDescent="0.25">
      <c r="K7002"/>
    </row>
    <row r="7003" spans="11:11" x14ac:dyDescent="0.25">
      <c r="K7003"/>
    </row>
    <row r="7004" spans="11:11" x14ac:dyDescent="0.25">
      <c r="K7004"/>
    </row>
    <row r="7005" spans="11:11" x14ac:dyDescent="0.25">
      <c r="K7005"/>
    </row>
    <row r="7006" spans="11:11" x14ac:dyDescent="0.25">
      <c r="K7006"/>
    </row>
    <row r="7007" spans="11:11" x14ac:dyDescent="0.25">
      <c r="K7007"/>
    </row>
    <row r="7008" spans="11:11" x14ac:dyDescent="0.25">
      <c r="K7008"/>
    </row>
    <row r="7009" spans="11:11" x14ac:dyDescent="0.25">
      <c r="K7009"/>
    </row>
    <row r="7010" spans="11:11" x14ac:dyDescent="0.25">
      <c r="K7010"/>
    </row>
    <row r="7011" spans="11:11" x14ac:dyDescent="0.25">
      <c r="K7011"/>
    </row>
    <row r="7012" spans="11:11" x14ac:dyDescent="0.25">
      <c r="K7012"/>
    </row>
    <row r="7013" spans="11:11" x14ac:dyDescent="0.25">
      <c r="K7013"/>
    </row>
    <row r="7014" spans="11:11" x14ac:dyDescent="0.25">
      <c r="K7014"/>
    </row>
    <row r="7015" spans="11:11" x14ac:dyDescent="0.25">
      <c r="K7015"/>
    </row>
    <row r="7016" spans="11:11" x14ac:dyDescent="0.25">
      <c r="K7016"/>
    </row>
    <row r="7017" spans="11:11" x14ac:dyDescent="0.25">
      <c r="K7017"/>
    </row>
    <row r="7018" spans="11:11" x14ac:dyDescent="0.25">
      <c r="K7018"/>
    </row>
    <row r="7019" spans="11:11" x14ac:dyDescent="0.25">
      <c r="K7019"/>
    </row>
    <row r="7020" spans="11:11" x14ac:dyDescent="0.25">
      <c r="K7020"/>
    </row>
    <row r="7021" spans="11:11" x14ac:dyDescent="0.25">
      <c r="K7021"/>
    </row>
    <row r="7022" spans="11:11" x14ac:dyDescent="0.25">
      <c r="K7022"/>
    </row>
    <row r="7023" spans="11:11" x14ac:dyDescent="0.25">
      <c r="K7023"/>
    </row>
    <row r="7024" spans="11:11" x14ac:dyDescent="0.25">
      <c r="K7024"/>
    </row>
    <row r="7025" spans="11:11" x14ac:dyDescent="0.25">
      <c r="K7025"/>
    </row>
    <row r="7026" spans="11:11" x14ac:dyDescent="0.25">
      <c r="K7026"/>
    </row>
    <row r="7027" spans="11:11" x14ac:dyDescent="0.25">
      <c r="K7027"/>
    </row>
    <row r="7028" spans="11:11" x14ac:dyDescent="0.25">
      <c r="K7028"/>
    </row>
    <row r="7029" spans="11:11" x14ac:dyDescent="0.25">
      <c r="K7029"/>
    </row>
    <row r="7030" spans="11:11" x14ac:dyDescent="0.25">
      <c r="K7030"/>
    </row>
    <row r="7031" spans="11:11" x14ac:dyDescent="0.25">
      <c r="K7031"/>
    </row>
    <row r="7032" spans="11:11" x14ac:dyDescent="0.25">
      <c r="K7032"/>
    </row>
    <row r="7033" spans="11:11" x14ac:dyDescent="0.25">
      <c r="K7033"/>
    </row>
    <row r="7034" spans="11:11" x14ac:dyDescent="0.25">
      <c r="K7034"/>
    </row>
    <row r="7035" spans="11:11" x14ac:dyDescent="0.25">
      <c r="K7035"/>
    </row>
    <row r="7036" spans="11:11" x14ac:dyDescent="0.25">
      <c r="K7036"/>
    </row>
    <row r="7037" spans="11:11" x14ac:dyDescent="0.25">
      <c r="K7037"/>
    </row>
    <row r="7038" spans="11:11" x14ac:dyDescent="0.25">
      <c r="K7038"/>
    </row>
    <row r="7039" spans="11:11" x14ac:dyDescent="0.25">
      <c r="K7039"/>
    </row>
    <row r="7040" spans="11:11" x14ac:dyDescent="0.25">
      <c r="K7040"/>
    </row>
    <row r="7041" spans="11:11" x14ac:dyDescent="0.25">
      <c r="K7041"/>
    </row>
    <row r="7042" spans="11:11" x14ac:dyDescent="0.25">
      <c r="K7042"/>
    </row>
    <row r="7043" spans="11:11" x14ac:dyDescent="0.25">
      <c r="K7043"/>
    </row>
    <row r="7044" spans="11:11" x14ac:dyDescent="0.25">
      <c r="K7044"/>
    </row>
    <row r="7045" spans="11:11" x14ac:dyDescent="0.25">
      <c r="K7045"/>
    </row>
    <row r="7046" spans="11:11" x14ac:dyDescent="0.25">
      <c r="K7046"/>
    </row>
    <row r="7047" spans="11:11" x14ac:dyDescent="0.25">
      <c r="K7047"/>
    </row>
    <row r="7048" spans="11:11" x14ac:dyDescent="0.25">
      <c r="K7048"/>
    </row>
    <row r="7049" spans="11:11" x14ac:dyDescent="0.25">
      <c r="K7049"/>
    </row>
    <row r="7050" spans="11:11" x14ac:dyDescent="0.25">
      <c r="K7050"/>
    </row>
    <row r="7051" spans="11:11" x14ac:dyDescent="0.25">
      <c r="K7051"/>
    </row>
    <row r="7052" spans="11:11" x14ac:dyDescent="0.25">
      <c r="K7052"/>
    </row>
    <row r="7053" spans="11:11" x14ac:dyDescent="0.25">
      <c r="K7053"/>
    </row>
    <row r="7054" spans="11:11" x14ac:dyDescent="0.25">
      <c r="K7054"/>
    </row>
    <row r="7055" spans="11:11" x14ac:dyDescent="0.25">
      <c r="K7055"/>
    </row>
    <row r="7056" spans="11:11" x14ac:dyDescent="0.25">
      <c r="K7056"/>
    </row>
    <row r="7057" spans="11:11" x14ac:dyDescent="0.25">
      <c r="K7057"/>
    </row>
    <row r="7058" spans="11:11" x14ac:dyDescent="0.25">
      <c r="K7058"/>
    </row>
    <row r="7059" spans="11:11" x14ac:dyDescent="0.25">
      <c r="K7059"/>
    </row>
    <row r="7060" spans="11:11" x14ac:dyDescent="0.25">
      <c r="K7060"/>
    </row>
    <row r="7061" spans="11:11" x14ac:dyDescent="0.25">
      <c r="K7061"/>
    </row>
    <row r="7062" spans="11:11" x14ac:dyDescent="0.25">
      <c r="K7062"/>
    </row>
    <row r="7063" spans="11:11" x14ac:dyDescent="0.25">
      <c r="K7063"/>
    </row>
    <row r="7064" spans="11:11" x14ac:dyDescent="0.25">
      <c r="K7064"/>
    </row>
    <row r="7065" spans="11:11" x14ac:dyDescent="0.25">
      <c r="K7065"/>
    </row>
    <row r="7066" spans="11:11" x14ac:dyDescent="0.25">
      <c r="K7066"/>
    </row>
    <row r="7067" spans="11:11" x14ac:dyDescent="0.25">
      <c r="K7067"/>
    </row>
    <row r="7068" spans="11:11" x14ac:dyDescent="0.25">
      <c r="K7068"/>
    </row>
    <row r="7069" spans="11:11" x14ac:dyDescent="0.25">
      <c r="K7069"/>
    </row>
    <row r="7070" spans="11:11" x14ac:dyDescent="0.25">
      <c r="K7070"/>
    </row>
    <row r="7071" spans="11:11" x14ac:dyDescent="0.25">
      <c r="K7071"/>
    </row>
    <row r="7072" spans="11:11" x14ac:dyDescent="0.25">
      <c r="K7072"/>
    </row>
    <row r="7073" spans="11:11" x14ac:dyDescent="0.25">
      <c r="K7073"/>
    </row>
    <row r="7074" spans="11:11" x14ac:dyDescent="0.25">
      <c r="K7074"/>
    </row>
    <row r="7075" spans="11:11" x14ac:dyDescent="0.25">
      <c r="K7075"/>
    </row>
    <row r="7076" spans="11:11" x14ac:dyDescent="0.25">
      <c r="K7076"/>
    </row>
    <row r="7077" spans="11:11" x14ac:dyDescent="0.25">
      <c r="K7077"/>
    </row>
    <row r="7078" spans="11:11" x14ac:dyDescent="0.25">
      <c r="K7078"/>
    </row>
    <row r="7079" spans="11:11" x14ac:dyDescent="0.25">
      <c r="K7079"/>
    </row>
    <row r="7080" spans="11:11" x14ac:dyDescent="0.25">
      <c r="K7080"/>
    </row>
    <row r="7081" spans="11:11" x14ac:dyDescent="0.25">
      <c r="K7081"/>
    </row>
    <row r="7082" spans="11:11" x14ac:dyDescent="0.25">
      <c r="K7082"/>
    </row>
    <row r="7083" spans="11:11" x14ac:dyDescent="0.25">
      <c r="K7083"/>
    </row>
    <row r="7084" spans="11:11" x14ac:dyDescent="0.25">
      <c r="K7084"/>
    </row>
    <row r="7085" spans="11:11" x14ac:dyDescent="0.25">
      <c r="K7085"/>
    </row>
    <row r="7086" spans="11:11" x14ac:dyDescent="0.25">
      <c r="K7086"/>
    </row>
    <row r="7087" spans="11:11" x14ac:dyDescent="0.25">
      <c r="K7087"/>
    </row>
    <row r="7088" spans="11:11" x14ac:dyDescent="0.25">
      <c r="K7088"/>
    </row>
    <row r="7089" spans="11:11" x14ac:dyDescent="0.25">
      <c r="K7089"/>
    </row>
    <row r="7090" spans="11:11" x14ac:dyDescent="0.25">
      <c r="K7090"/>
    </row>
    <row r="7091" spans="11:11" x14ac:dyDescent="0.25">
      <c r="K7091"/>
    </row>
    <row r="7092" spans="11:11" x14ac:dyDescent="0.25">
      <c r="K7092"/>
    </row>
    <row r="7093" spans="11:11" x14ac:dyDescent="0.25">
      <c r="K7093"/>
    </row>
    <row r="7094" spans="11:11" x14ac:dyDescent="0.25">
      <c r="K7094"/>
    </row>
    <row r="7095" spans="11:11" x14ac:dyDescent="0.25">
      <c r="K7095"/>
    </row>
    <row r="7096" spans="11:11" x14ac:dyDescent="0.25">
      <c r="K7096"/>
    </row>
    <row r="7097" spans="11:11" x14ac:dyDescent="0.25">
      <c r="K7097"/>
    </row>
    <row r="7098" spans="11:11" x14ac:dyDescent="0.25">
      <c r="K7098"/>
    </row>
    <row r="7099" spans="11:11" x14ac:dyDescent="0.25">
      <c r="K7099"/>
    </row>
    <row r="7100" spans="11:11" x14ac:dyDescent="0.25">
      <c r="K7100"/>
    </row>
    <row r="7101" spans="11:11" x14ac:dyDescent="0.25">
      <c r="K7101"/>
    </row>
    <row r="7102" spans="11:11" x14ac:dyDescent="0.25">
      <c r="K7102"/>
    </row>
    <row r="7103" spans="11:11" x14ac:dyDescent="0.25">
      <c r="K7103"/>
    </row>
    <row r="7104" spans="11:11" x14ac:dyDescent="0.25">
      <c r="K7104"/>
    </row>
    <row r="7105" spans="11:11" x14ac:dyDescent="0.25">
      <c r="K7105"/>
    </row>
    <row r="7106" spans="11:11" x14ac:dyDescent="0.25">
      <c r="K7106"/>
    </row>
    <row r="7107" spans="11:11" x14ac:dyDescent="0.25">
      <c r="K7107"/>
    </row>
    <row r="7108" spans="11:11" x14ac:dyDescent="0.25">
      <c r="K7108"/>
    </row>
    <row r="7109" spans="11:11" x14ac:dyDescent="0.25">
      <c r="K7109"/>
    </row>
    <row r="7110" spans="11:11" x14ac:dyDescent="0.25">
      <c r="K7110"/>
    </row>
    <row r="7111" spans="11:11" x14ac:dyDescent="0.25">
      <c r="K7111"/>
    </row>
    <row r="7112" spans="11:11" x14ac:dyDescent="0.25">
      <c r="K7112"/>
    </row>
    <row r="7113" spans="11:11" x14ac:dyDescent="0.25">
      <c r="K7113"/>
    </row>
    <row r="7114" spans="11:11" x14ac:dyDescent="0.25">
      <c r="K7114"/>
    </row>
    <row r="7115" spans="11:11" x14ac:dyDescent="0.25">
      <c r="K7115"/>
    </row>
    <row r="7116" spans="11:11" x14ac:dyDescent="0.25">
      <c r="K7116"/>
    </row>
    <row r="7117" spans="11:11" x14ac:dyDescent="0.25">
      <c r="K7117"/>
    </row>
    <row r="7118" spans="11:11" x14ac:dyDescent="0.25">
      <c r="K7118"/>
    </row>
    <row r="7119" spans="11:11" x14ac:dyDescent="0.25">
      <c r="K7119"/>
    </row>
    <row r="7120" spans="11:11" x14ac:dyDescent="0.25">
      <c r="K7120"/>
    </row>
    <row r="7121" spans="11:11" x14ac:dyDescent="0.25">
      <c r="K7121"/>
    </row>
    <row r="7122" spans="11:11" x14ac:dyDescent="0.25">
      <c r="K7122"/>
    </row>
    <row r="7123" spans="11:11" x14ac:dyDescent="0.25">
      <c r="K7123"/>
    </row>
    <row r="7124" spans="11:11" x14ac:dyDescent="0.25">
      <c r="K7124"/>
    </row>
    <row r="7125" spans="11:11" x14ac:dyDescent="0.25">
      <c r="K7125"/>
    </row>
    <row r="7126" spans="11:11" x14ac:dyDescent="0.25">
      <c r="K7126"/>
    </row>
    <row r="7127" spans="11:11" x14ac:dyDescent="0.25">
      <c r="K7127"/>
    </row>
    <row r="7128" spans="11:11" x14ac:dyDescent="0.25">
      <c r="K7128"/>
    </row>
    <row r="7129" spans="11:11" x14ac:dyDescent="0.25">
      <c r="K7129"/>
    </row>
    <row r="7130" spans="11:11" x14ac:dyDescent="0.25">
      <c r="K7130"/>
    </row>
    <row r="7131" spans="11:11" x14ac:dyDescent="0.25">
      <c r="K7131"/>
    </row>
    <row r="7132" spans="11:11" x14ac:dyDescent="0.25">
      <c r="K7132"/>
    </row>
    <row r="7133" spans="11:11" x14ac:dyDescent="0.25">
      <c r="K7133"/>
    </row>
    <row r="7134" spans="11:11" x14ac:dyDescent="0.25">
      <c r="K7134"/>
    </row>
    <row r="7135" spans="11:11" x14ac:dyDescent="0.25">
      <c r="K7135"/>
    </row>
    <row r="7136" spans="11:11" x14ac:dyDescent="0.25">
      <c r="K7136"/>
    </row>
    <row r="7137" spans="11:11" x14ac:dyDescent="0.25">
      <c r="K7137"/>
    </row>
    <row r="7138" spans="11:11" x14ac:dyDescent="0.25">
      <c r="K7138"/>
    </row>
    <row r="7139" spans="11:11" x14ac:dyDescent="0.25">
      <c r="K7139"/>
    </row>
    <row r="7140" spans="11:11" x14ac:dyDescent="0.25">
      <c r="K7140"/>
    </row>
    <row r="7141" spans="11:11" x14ac:dyDescent="0.25">
      <c r="K7141"/>
    </row>
    <row r="7142" spans="11:11" x14ac:dyDescent="0.25">
      <c r="K7142"/>
    </row>
    <row r="7143" spans="11:11" x14ac:dyDescent="0.25">
      <c r="K7143"/>
    </row>
    <row r="7144" spans="11:11" x14ac:dyDescent="0.25">
      <c r="K7144"/>
    </row>
    <row r="7145" spans="11:11" x14ac:dyDescent="0.25">
      <c r="K7145"/>
    </row>
    <row r="7146" spans="11:11" x14ac:dyDescent="0.25">
      <c r="K7146"/>
    </row>
    <row r="7147" spans="11:11" x14ac:dyDescent="0.25">
      <c r="K7147"/>
    </row>
    <row r="7148" spans="11:11" x14ac:dyDescent="0.25">
      <c r="K7148"/>
    </row>
    <row r="7149" spans="11:11" x14ac:dyDescent="0.25">
      <c r="K7149"/>
    </row>
    <row r="7150" spans="11:11" x14ac:dyDescent="0.25">
      <c r="K7150"/>
    </row>
    <row r="7151" spans="11:11" x14ac:dyDescent="0.25">
      <c r="K7151"/>
    </row>
    <row r="7152" spans="11:11" x14ac:dyDescent="0.25">
      <c r="K7152"/>
    </row>
    <row r="7153" spans="11:11" x14ac:dyDescent="0.25">
      <c r="K7153"/>
    </row>
    <row r="7154" spans="11:11" x14ac:dyDescent="0.25">
      <c r="K7154"/>
    </row>
    <row r="7155" spans="11:11" x14ac:dyDescent="0.25">
      <c r="K7155"/>
    </row>
    <row r="7156" spans="11:11" x14ac:dyDescent="0.25">
      <c r="K7156"/>
    </row>
    <row r="7157" spans="11:11" x14ac:dyDescent="0.25">
      <c r="K7157"/>
    </row>
    <row r="7158" spans="11:11" x14ac:dyDescent="0.25">
      <c r="K7158"/>
    </row>
    <row r="7159" spans="11:11" x14ac:dyDescent="0.25">
      <c r="K7159"/>
    </row>
    <row r="7160" spans="11:11" x14ac:dyDescent="0.25">
      <c r="K7160"/>
    </row>
    <row r="7161" spans="11:11" x14ac:dyDescent="0.25">
      <c r="K7161"/>
    </row>
    <row r="7162" spans="11:11" x14ac:dyDescent="0.25">
      <c r="K7162"/>
    </row>
    <row r="7163" spans="11:11" x14ac:dyDescent="0.25">
      <c r="K7163"/>
    </row>
    <row r="7164" spans="11:11" x14ac:dyDescent="0.25">
      <c r="K7164"/>
    </row>
    <row r="7165" spans="11:11" x14ac:dyDescent="0.25">
      <c r="K7165"/>
    </row>
    <row r="7166" spans="11:11" x14ac:dyDescent="0.25">
      <c r="K7166"/>
    </row>
    <row r="7167" spans="11:11" x14ac:dyDescent="0.25">
      <c r="K7167"/>
    </row>
    <row r="7168" spans="11:11" x14ac:dyDescent="0.25">
      <c r="K7168"/>
    </row>
    <row r="7169" spans="11:11" x14ac:dyDescent="0.25">
      <c r="K7169"/>
    </row>
    <row r="7170" spans="11:11" x14ac:dyDescent="0.25">
      <c r="K7170"/>
    </row>
    <row r="7171" spans="11:11" x14ac:dyDescent="0.25">
      <c r="K7171"/>
    </row>
    <row r="7172" spans="11:11" x14ac:dyDescent="0.25">
      <c r="K7172"/>
    </row>
    <row r="7173" spans="11:11" x14ac:dyDescent="0.25">
      <c r="K7173"/>
    </row>
    <row r="7174" spans="11:11" x14ac:dyDescent="0.25">
      <c r="K7174"/>
    </row>
    <row r="7175" spans="11:11" x14ac:dyDescent="0.25">
      <c r="K7175"/>
    </row>
    <row r="7176" spans="11:11" x14ac:dyDescent="0.25">
      <c r="K7176"/>
    </row>
    <row r="7177" spans="11:11" x14ac:dyDescent="0.25">
      <c r="K7177"/>
    </row>
    <row r="7178" spans="11:11" x14ac:dyDescent="0.25">
      <c r="K7178"/>
    </row>
    <row r="7179" spans="11:11" x14ac:dyDescent="0.25">
      <c r="K7179"/>
    </row>
    <row r="7180" spans="11:11" x14ac:dyDescent="0.25">
      <c r="K7180"/>
    </row>
    <row r="7181" spans="11:11" x14ac:dyDescent="0.25">
      <c r="K7181"/>
    </row>
    <row r="7182" spans="11:11" x14ac:dyDescent="0.25">
      <c r="K7182"/>
    </row>
    <row r="7183" spans="11:11" x14ac:dyDescent="0.25">
      <c r="K7183"/>
    </row>
    <row r="7184" spans="11:11" x14ac:dyDescent="0.25">
      <c r="K7184"/>
    </row>
    <row r="7185" spans="11:11" x14ac:dyDescent="0.25">
      <c r="K7185"/>
    </row>
    <row r="7186" spans="11:11" x14ac:dyDescent="0.25">
      <c r="K7186"/>
    </row>
    <row r="7187" spans="11:11" x14ac:dyDescent="0.25">
      <c r="K7187"/>
    </row>
    <row r="7188" spans="11:11" x14ac:dyDescent="0.25">
      <c r="K7188"/>
    </row>
    <row r="7189" spans="11:11" x14ac:dyDescent="0.25">
      <c r="K7189"/>
    </row>
    <row r="7190" spans="11:11" x14ac:dyDescent="0.25">
      <c r="K7190"/>
    </row>
    <row r="7191" spans="11:11" x14ac:dyDescent="0.25">
      <c r="K7191"/>
    </row>
    <row r="7192" spans="11:11" x14ac:dyDescent="0.25">
      <c r="K7192"/>
    </row>
    <row r="7193" spans="11:11" x14ac:dyDescent="0.25">
      <c r="K7193"/>
    </row>
    <row r="7194" spans="11:11" x14ac:dyDescent="0.25">
      <c r="K7194"/>
    </row>
    <row r="7195" spans="11:11" x14ac:dyDescent="0.25">
      <c r="K7195"/>
    </row>
    <row r="7196" spans="11:11" x14ac:dyDescent="0.25">
      <c r="K7196"/>
    </row>
    <row r="7197" spans="11:11" x14ac:dyDescent="0.25">
      <c r="K7197"/>
    </row>
    <row r="7198" spans="11:11" x14ac:dyDescent="0.25">
      <c r="K7198"/>
    </row>
    <row r="7199" spans="11:11" x14ac:dyDescent="0.25">
      <c r="K7199"/>
    </row>
    <row r="7200" spans="11:11" x14ac:dyDescent="0.25">
      <c r="K7200"/>
    </row>
    <row r="7201" spans="11:11" x14ac:dyDescent="0.25">
      <c r="K7201"/>
    </row>
    <row r="7202" spans="11:11" x14ac:dyDescent="0.25">
      <c r="K7202"/>
    </row>
    <row r="7203" spans="11:11" x14ac:dyDescent="0.25">
      <c r="K7203"/>
    </row>
    <row r="7204" spans="11:11" x14ac:dyDescent="0.25">
      <c r="K7204"/>
    </row>
    <row r="7205" spans="11:11" x14ac:dyDescent="0.25">
      <c r="K7205"/>
    </row>
    <row r="7206" spans="11:11" x14ac:dyDescent="0.25">
      <c r="K7206"/>
    </row>
    <row r="7207" spans="11:11" x14ac:dyDescent="0.25">
      <c r="K7207"/>
    </row>
    <row r="7208" spans="11:11" x14ac:dyDescent="0.25">
      <c r="K7208"/>
    </row>
    <row r="7209" spans="11:11" x14ac:dyDescent="0.25">
      <c r="K7209"/>
    </row>
    <row r="7210" spans="11:11" x14ac:dyDescent="0.25">
      <c r="K7210"/>
    </row>
    <row r="7211" spans="11:11" x14ac:dyDescent="0.25">
      <c r="K7211"/>
    </row>
    <row r="7212" spans="11:11" x14ac:dyDescent="0.25">
      <c r="K7212"/>
    </row>
    <row r="7213" spans="11:11" x14ac:dyDescent="0.25">
      <c r="K7213"/>
    </row>
    <row r="7214" spans="11:11" x14ac:dyDescent="0.25">
      <c r="K7214"/>
    </row>
    <row r="7215" spans="11:11" x14ac:dyDescent="0.25">
      <c r="K7215"/>
    </row>
    <row r="7216" spans="11:11" x14ac:dyDescent="0.25">
      <c r="K7216"/>
    </row>
    <row r="7217" spans="11:11" x14ac:dyDescent="0.25">
      <c r="K7217"/>
    </row>
    <row r="7218" spans="11:11" x14ac:dyDescent="0.25">
      <c r="K7218"/>
    </row>
    <row r="7219" spans="11:11" x14ac:dyDescent="0.25">
      <c r="K7219"/>
    </row>
    <row r="7220" spans="11:11" x14ac:dyDescent="0.25">
      <c r="K7220"/>
    </row>
    <row r="7221" spans="11:11" x14ac:dyDescent="0.25">
      <c r="K7221"/>
    </row>
    <row r="7222" spans="11:11" x14ac:dyDescent="0.25">
      <c r="K7222"/>
    </row>
    <row r="7223" spans="11:11" x14ac:dyDescent="0.25">
      <c r="K7223"/>
    </row>
    <row r="7224" spans="11:11" x14ac:dyDescent="0.25">
      <c r="K7224"/>
    </row>
    <row r="7225" spans="11:11" x14ac:dyDescent="0.25">
      <c r="K7225"/>
    </row>
    <row r="7226" spans="11:11" x14ac:dyDescent="0.25">
      <c r="K7226"/>
    </row>
    <row r="7227" spans="11:11" x14ac:dyDescent="0.25">
      <c r="K7227"/>
    </row>
    <row r="7228" spans="11:11" x14ac:dyDescent="0.25">
      <c r="K7228"/>
    </row>
    <row r="7229" spans="11:11" x14ac:dyDescent="0.25">
      <c r="K7229"/>
    </row>
    <row r="7230" spans="11:11" x14ac:dyDescent="0.25">
      <c r="K7230"/>
    </row>
    <row r="7231" spans="11:11" x14ac:dyDescent="0.25">
      <c r="K7231"/>
    </row>
    <row r="7232" spans="11:11" x14ac:dyDescent="0.25">
      <c r="K7232"/>
    </row>
    <row r="7233" spans="11:11" x14ac:dyDescent="0.25">
      <c r="K7233"/>
    </row>
    <row r="7234" spans="11:11" x14ac:dyDescent="0.25">
      <c r="K7234"/>
    </row>
    <row r="7235" spans="11:11" x14ac:dyDescent="0.25">
      <c r="K7235"/>
    </row>
    <row r="7236" spans="11:11" x14ac:dyDescent="0.25">
      <c r="K7236"/>
    </row>
    <row r="7237" spans="11:11" x14ac:dyDescent="0.25">
      <c r="K7237"/>
    </row>
    <row r="7238" spans="11:11" x14ac:dyDescent="0.25">
      <c r="K7238"/>
    </row>
    <row r="7239" spans="11:11" x14ac:dyDescent="0.25">
      <c r="K7239"/>
    </row>
    <row r="7240" spans="11:11" x14ac:dyDescent="0.25">
      <c r="K7240"/>
    </row>
    <row r="7241" spans="11:11" x14ac:dyDescent="0.25">
      <c r="K7241"/>
    </row>
    <row r="7242" spans="11:11" x14ac:dyDescent="0.25">
      <c r="K7242"/>
    </row>
    <row r="7243" spans="11:11" x14ac:dyDescent="0.25">
      <c r="K7243"/>
    </row>
    <row r="7244" spans="11:11" x14ac:dyDescent="0.25">
      <c r="K7244"/>
    </row>
    <row r="7245" spans="11:11" x14ac:dyDescent="0.25">
      <c r="K7245"/>
    </row>
    <row r="7246" spans="11:11" x14ac:dyDescent="0.25">
      <c r="K7246"/>
    </row>
    <row r="7247" spans="11:11" x14ac:dyDescent="0.25">
      <c r="K7247"/>
    </row>
    <row r="7248" spans="11:11" x14ac:dyDescent="0.25">
      <c r="K7248"/>
    </row>
    <row r="7249" spans="11:11" x14ac:dyDescent="0.25">
      <c r="K7249"/>
    </row>
    <row r="7250" spans="11:11" x14ac:dyDescent="0.25">
      <c r="K7250"/>
    </row>
    <row r="7251" spans="11:11" x14ac:dyDescent="0.25">
      <c r="K7251"/>
    </row>
    <row r="7252" spans="11:11" x14ac:dyDescent="0.25">
      <c r="K7252"/>
    </row>
    <row r="7253" spans="11:11" x14ac:dyDescent="0.25">
      <c r="K7253"/>
    </row>
    <row r="7254" spans="11:11" x14ac:dyDescent="0.25">
      <c r="K7254"/>
    </row>
    <row r="7255" spans="11:11" x14ac:dyDescent="0.25">
      <c r="K7255"/>
    </row>
    <row r="7256" spans="11:11" x14ac:dyDescent="0.25">
      <c r="K7256"/>
    </row>
    <row r="7257" spans="11:11" x14ac:dyDescent="0.25">
      <c r="K7257"/>
    </row>
    <row r="7258" spans="11:11" x14ac:dyDescent="0.25">
      <c r="K7258"/>
    </row>
    <row r="7259" spans="11:11" x14ac:dyDescent="0.25">
      <c r="K7259"/>
    </row>
    <row r="7260" spans="11:11" x14ac:dyDescent="0.25">
      <c r="K7260"/>
    </row>
    <row r="7261" spans="11:11" x14ac:dyDescent="0.25">
      <c r="K7261"/>
    </row>
    <row r="7262" spans="11:11" x14ac:dyDescent="0.25">
      <c r="K7262"/>
    </row>
    <row r="7263" spans="11:11" x14ac:dyDescent="0.25">
      <c r="K7263"/>
    </row>
    <row r="7264" spans="11:11" x14ac:dyDescent="0.25">
      <c r="K7264"/>
    </row>
    <row r="7265" spans="11:11" x14ac:dyDescent="0.25">
      <c r="K7265"/>
    </row>
    <row r="7266" spans="11:11" x14ac:dyDescent="0.25">
      <c r="K7266"/>
    </row>
    <row r="7267" spans="11:11" x14ac:dyDescent="0.25">
      <c r="K7267"/>
    </row>
    <row r="7268" spans="11:11" x14ac:dyDescent="0.25">
      <c r="K7268"/>
    </row>
    <row r="7269" spans="11:11" x14ac:dyDescent="0.25">
      <c r="K7269"/>
    </row>
    <row r="7270" spans="11:11" x14ac:dyDescent="0.25">
      <c r="K7270"/>
    </row>
    <row r="7271" spans="11:11" x14ac:dyDescent="0.25">
      <c r="K7271"/>
    </row>
    <row r="7272" spans="11:11" x14ac:dyDescent="0.25">
      <c r="K7272"/>
    </row>
    <row r="7273" spans="11:11" x14ac:dyDescent="0.25">
      <c r="K7273"/>
    </row>
    <row r="7274" spans="11:11" x14ac:dyDescent="0.25">
      <c r="K7274"/>
    </row>
    <row r="7275" spans="11:11" x14ac:dyDescent="0.25">
      <c r="K7275"/>
    </row>
    <row r="7276" spans="11:11" x14ac:dyDescent="0.25">
      <c r="K7276"/>
    </row>
    <row r="7277" spans="11:11" x14ac:dyDescent="0.25">
      <c r="K7277"/>
    </row>
    <row r="7278" spans="11:11" x14ac:dyDescent="0.25">
      <c r="K7278"/>
    </row>
    <row r="7279" spans="11:11" x14ac:dyDescent="0.25">
      <c r="K7279"/>
    </row>
    <row r="7280" spans="11:11" x14ac:dyDescent="0.25">
      <c r="K7280"/>
    </row>
    <row r="7281" spans="11:11" x14ac:dyDescent="0.25">
      <c r="K7281"/>
    </row>
    <row r="7282" spans="11:11" x14ac:dyDescent="0.25">
      <c r="K7282"/>
    </row>
    <row r="7283" spans="11:11" x14ac:dyDescent="0.25">
      <c r="K7283"/>
    </row>
    <row r="7284" spans="11:11" x14ac:dyDescent="0.25">
      <c r="K7284"/>
    </row>
    <row r="7285" spans="11:11" x14ac:dyDescent="0.25">
      <c r="K7285"/>
    </row>
    <row r="7286" spans="11:11" x14ac:dyDescent="0.25">
      <c r="K7286"/>
    </row>
    <row r="7287" spans="11:11" x14ac:dyDescent="0.25">
      <c r="K7287"/>
    </row>
    <row r="7288" spans="11:11" x14ac:dyDescent="0.25">
      <c r="K7288"/>
    </row>
    <row r="7289" spans="11:11" x14ac:dyDescent="0.25">
      <c r="K7289"/>
    </row>
    <row r="7290" spans="11:11" x14ac:dyDescent="0.25">
      <c r="K7290"/>
    </row>
    <row r="7291" spans="11:11" x14ac:dyDescent="0.25">
      <c r="K7291"/>
    </row>
    <row r="7292" spans="11:11" x14ac:dyDescent="0.25">
      <c r="K7292"/>
    </row>
    <row r="7293" spans="11:11" x14ac:dyDescent="0.25">
      <c r="K7293"/>
    </row>
    <row r="7294" spans="11:11" x14ac:dyDescent="0.25">
      <c r="K7294"/>
    </row>
    <row r="7295" spans="11:11" x14ac:dyDescent="0.25">
      <c r="K7295"/>
    </row>
    <row r="7296" spans="11:11" x14ac:dyDescent="0.25">
      <c r="K7296"/>
    </row>
    <row r="7297" spans="11:11" x14ac:dyDescent="0.25">
      <c r="K7297"/>
    </row>
    <row r="7298" spans="11:11" x14ac:dyDescent="0.25">
      <c r="K7298"/>
    </row>
    <row r="7299" spans="11:11" x14ac:dyDescent="0.25">
      <c r="K7299"/>
    </row>
    <row r="7300" spans="11:11" x14ac:dyDescent="0.25">
      <c r="K7300"/>
    </row>
    <row r="7301" spans="11:11" x14ac:dyDescent="0.25">
      <c r="K7301"/>
    </row>
    <row r="7302" spans="11:11" x14ac:dyDescent="0.25">
      <c r="K7302"/>
    </row>
    <row r="7303" spans="11:11" x14ac:dyDescent="0.25">
      <c r="K7303"/>
    </row>
    <row r="7304" spans="11:11" x14ac:dyDescent="0.25">
      <c r="K7304"/>
    </row>
    <row r="7305" spans="11:11" x14ac:dyDescent="0.25">
      <c r="K7305"/>
    </row>
    <row r="7306" spans="11:11" x14ac:dyDescent="0.25">
      <c r="K7306"/>
    </row>
    <row r="7307" spans="11:11" x14ac:dyDescent="0.25">
      <c r="K7307"/>
    </row>
    <row r="7308" spans="11:11" x14ac:dyDescent="0.25">
      <c r="K7308"/>
    </row>
    <row r="7309" spans="11:11" x14ac:dyDescent="0.25">
      <c r="K7309"/>
    </row>
    <row r="7310" spans="11:11" x14ac:dyDescent="0.25">
      <c r="K7310"/>
    </row>
    <row r="7311" spans="11:11" x14ac:dyDescent="0.25">
      <c r="K7311"/>
    </row>
    <row r="7312" spans="11:11" x14ac:dyDescent="0.25">
      <c r="K7312"/>
    </row>
    <row r="7313" spans="11:11" x14ac:dyDescent="0.25">
      <c r="K7313"/>
    </row>
    <row r="7314" spans="11:11" x14ac:dyDescent="0.25">
      <c r="K7314"/>
    </row>
    <row r="7315" spans="11:11" x14ac:dyDescent="0.25">
      <c r="K7315"/>
    </row>
    <row r="7316" spans="11:11" x14ac:dyDescent="0.25">
      <c r="K7316"/>
    </row>
    <row r="7317" spans="11:11" x14ac:dyDescent="0.25">
      <c r="K7317"/>
    </row>
    <row r="7318" spans="11:11" x14ac:dyDescent="0.25">
      <c r="K7318"/>
    </row>
    <row r="7319" spans="11:11" x14ac:dyDescent="0.25">
      <c r="K7319"/>
    </row>
    <row r="7320" spans="11:11" x14ac:dyDescent="0.25">
      <c r="K7320"/>
    </row>
    <row r="7321" spans="11:11" x14ac:dyDescent="0.25">
      <c r="K7321"/>
    </row>
    <row r="7322" spans="11:11" x14ac:dyDescent="0.25">
      <c r="K7322"/>
    </row>
    <row r="7323" spans="11:11" x14ac:dyDescent="0.25">
      <c r="K7323"/>
    </row>
    <row r="7324" spans="11:11" x14ac:dyDescent="0.25">
      <c r="K7324"/>
    </row>
    <row r="7325" spans="11:11" x14ac:dyDescent="0.25">
      <c r="K7325"/>
    </row>
    <row r="7326" spans="11:11" x14ac:dyDescent="0.25">
      <c r="K7326"/>
    </row>
    <row r="7327" spans="11:11" x14ac:dyDescent="0.25">
      <c r="K7327"/>
    </row>
    <row r="7328" spans="11:11" x14ac:dyDescent="0.25">
      <c r="K7328"/>
    </row>
    <row r="7329" spans="11:11" x14ac:dyDescent="0.25">
      <c r="K7329"/>
    </row>
    <row r="7330" spans="11:11" x14ac:dyDescent="0.25">
      <c r="K7330"/>
    </row>
    <row r="7331" spans="11:11" x14ac:dyDescent="0.25">
      <c r="K7331"/>
    </row>
    <row r="7332" spans="11:11" x14ac:dyDescent="0.25">
      <c r="K7332"/>
    </row>
    <row r="7333" spans="11:11" x14ac:dyDescent="0.25">
      <c r="K7333"/>
    </row>
    <row r="7334" spans="11:11" x14ac:dyDescent="0.25">
      <c r="K7334"/>
    </row>
    <row r="7335" spans="11:11" x14ac:dyDescent="0.25">
      <c r="K7335"/>
    </row>
    <row r="7336" spans="11:11" x14ac:dyDescent="0.25">
      <c r="K7336"/>
    </row>
    <row r="7337" spans="11:11" x14ac:dyDescent="0.25">
      <c r="K7337"/>
    </row>
    <row r="7338" spans="11:11" x14ac:dyDescent="0.25">
      <c r="K7338"/>
    </row>
    <row r="7339" spans="11:11" x14ac:dyDescent="0.25">
      <c r="K7339"/>
    </row>
    <row r="7340" spans="11:11" x14ac:dyDescent="0.25">
      <c r="K7340"/>
    </row>
    <row r="7341" spans="11:11" x14ac:dyDescent="0.25">
      <c r="K7341"/>
    </row>
    <row r="7342" spans="11:11" x14ac:dyDescent="0.25">
      <c r="K7342"/>
    </row>
    <row r="7343" spans="11:11" x14ac:dyDescent="0.25">
      <c r="K7343"/>
    </row>
    <row r="7344" spans="11:11" x14ac:dyDescent="0.25">
      <c r="K7344"/>
    </row>
    <row r="7345" spans="11:11" x14ac:dyDescent="0.25">
      <c r="K7345"/>
    </row>
    <row r="7346" spans="11:11" x14ac:dyDescent="0.25">
      <c r="K7346"/>
    </row>
    <row r="7347" spans="11:11" x14ac:dyDescent="0.25">
      <c r="K7347"/>
    </row>
    <row r="7348" spans="11:11" x14ac:dyDescent="0.25">
      <c r="K7348"/>
    </row>
    <row r="7349" spans="11:11" x14ac:dyDescent="0.25">
      <c r="K7349"/>
    </row>
    <row r="7350" spans="11:11" x14ac:dyDescent="0.25">
      <c r="K7350"/>
    </row>
    <row r="7351" spans="11:11" x14ac:dyDescent="0.25">
      <c r="K7351"/>
    </row>
    <row r="7352" spans="11:11" x14ac:dyDescent="0.25">
      <c r="K7352"/>
    </row>
    <row r="7353" spans="11:11" x14ac:dyDescent="0.25">
      <c r="K7353"/>
    </row>
    <row r="7354" spans="11:11" x14ac:dyDescent="0.25">
      <c r="K7354"/>
    </row>
    <row r="7355" spans="11:11" x14ac:dyDescent="0.25">
      <c r="K7355"/>
    </row>
    <row r="7356" spans="11:11" x14ac:dyDescent="0.25">
      <c r="K7356"/>
    </row>
    <row r="7357" spans="11:11" x14ac:dyDescent="0.25">
      <c r="K7357"/>
    </row>
    <row r="7358" spans="11:11" x14ac:dyDescent="0.25">
      <c r="K7358"/>
    </row>
    <row r="7359" spans="11:11" x14ac:dyDescent="0.25">
      <c r="K7359"/>
    </row>
    <row r="7360" spans="11:11" x14ac:dyDescent="0.25">
      <c r="K7360"/>
    </row>
    <row r="7361" spans="11:11" x14ac:dyDescent="0.25">
      <c r="K7361"/>
    </row>
    <row r="7362" spans="11:11" x14ac:dyDescent="0.25">
      <c r="K7362"/>
    </row>
    <row r="7363" spans="11:11" x14ac:dyDescent="0.25">
      <c r="K7363"/>
    </row>
    <row r="7364" spans="11:11" x14ac:dyDescent="0.25">
      <c r="K7364"/>
    </row>
    <row r="7365" spans="11:11" x14ac:dyDescent="0.25">
      <c r="K7365"/>
    </row>
    <row r="7366" spans="11:11" x14ac:dyDescent="0.25">
      <c r="K7366"/>
    </row>
    <row r="7367" spans="11:11" x14ac:dyDescent="0.25">
      <c r="K7367"/>
    </row>
    <row r="7368" spans="11:11" x14ac:dyDescent="0.25">
      <c r="K7368"/>
    </row>
    <row r="7369" spans="11:11" x14ac:dyDescent="0.25">
      <c r="K7369"/>
    </row>
    <row r="7370" spans="11:11" x14ac:dyDescent="0.25">
      <c r="K7370"/>
    </row>
    <row r="7371" spans="11:11" x14ac:dyDescent="0.25">
      <c r="K7371"/>
    </row>
    <row r="7372" spans="11:11" x14ac:dyDescent="0.25">
      <c r="K7372"/>
    </row>
    <row r="7373" spans="11:11" x14ac:dyDescent="0.25">
      <c r="K7373"/>
    </row>
    <row r="7374" spans="11:11" x14ac:dyDescent="0.25">
      <c r="K7374"/>
    </row>
    <row r="7375" spans="11:11" x14ac:dyDescent="0.25">
      <c r="K7375"/>
    </row>
    <row r="7376" spans="11:11" x14ac:dyDescent="0.25">
      <c r="K7376"/>
    </row>
    <row r="7377" spans="11:11" x14ac:dyDescent="0.25">
      <c r="K7377"/>
    </row>
    <row r="7378" spans="11:11" x14ac:dyDescent="0.25">
      <c r="K7378"/>
    </row>
    <row r="7379" spans="11:11" x14ac:dyDescent="0.25">
      <c r="K7379"/>
    </row>
    <row r="7380" spans="11:11" x14ac:dyDescent="0.25">
      <c r="K7380"/>
    </row>
    <row r="7381" spans="11:11" x14ac:dyDescent="0.25">
      <c r="K7381"/>
    </row>
    <row r="7382" spans="11:11" x14ac:dyDescent="0.25">
      <c r="K7382"/>
    </row>
    <row r="7383" spans="11:11" x14ac:dyDescent="0.25">
      <c r="K7383"/>
    </row>
    <row r="7384" spans="11:11" x14ac:dyDescent="0.25">
      <c r="K7384"/>
    </row>
    <row r="7385" spans="11:11" x14ac:dyDescent="0.25">
      <c r="K7385"/>
    </row>
    <row r="7386" spans="11:11" x14ac:dyDescent="0.25">
      <c r="K7386"/>
    </row>
    <row r="7387" spans="11:11" x14ac:dyDescent="0.25">
      <c r="K7387"/>
    </row>
    <row r="7388" spans="11:11" x14ac:dyDescent="0.25">
      <c r="K7388"/>
    </row>
    <row r="7389" spans="11:11" x14ac:dyDescent="0.25">
      <c r="K7389"/>
    </row>
    <row r="7390" spans="11:11" x14ac:dyDescent="0.25">
      <c r="K7390"/>
    </row>
    <row r="7391" spans="11:11" x14ac:dyDescent="0.25">
      <c r="K7391"/>
    </row>
    <row r="7392" spans="11:11" x14ac:dyDescent="0.25">
      <c r="K7392"/>
    </row>
    <row r="7393" spans="11:11" x14ac:dyDescent="0.25">
      <c r="K7393"/>
    </row>
    <row r="7394" spans="11:11" x14ac:dyDescent="0.25">
      <c r="K7394"/>
    </row>
    <row r="7395" spans="11:11" x14ac:dyDescent="0.25">
      <c r="K7395"/>
    </row>
    <row r="7396" spans="11:11" x14ac:dyDescent="0.25">
      <c r="K7396"/>
    </row>
    <row r="7397" spans="11:11" x14ac:dyDescent="0.25">
      <c r="K7397"/>
    </row>
    <row r="7398" spans="11:11" x14ac:dyDescent="0.25">
      <c r="K7398"/>
    </row>
    <row r="7399" spans="11:11" x14ac:dyDescent="0.25">
      <c r="K7399"/>
    </row>
    <row r="7400" spans="11:11" x14ac:dyDescent="0.25">
      <c r="K7400"/>
    </row>
    <row r="7401" spans="11:11" x14ac:dyDescent="0.25">
      <c r="K7401"/>
    </row>
    <row r="7402" spans="11:11" x14ac:dyDescent="0.25">
      <c r="K7402"/>
    </row>
    <row r="7403" spans="11:11" x14ac:dyDescent="0.25">
      <c r="K7403"/>
    </row>
    <row r="7404" spans="11:11" x14ac:dyDescent="0.25">
      <c r="K7404"/>
    </row>
    <row r="7405" spans="11:11" x14ac:dyDescent="0.25">
      <c r="K7405"/>
    </row>
    <row r="7406" spans="11:11" x14ac:dyDescent="0.25">
      <c r="K7406"/>
    </row>
    <row r="7407" spans="11:11" x14ac:dyDescent="0.25">
      <c r="K7407"/>
    </row>
    <row r="7408" spans="11:11" x14ac:dyDescent="0.25">
      <c r="K7408"/>
    </row>
    <row r="7409" spans="11:11" x14ac:dyDescent="0.25">
      <c r="K7409"/>
    </row>
    <row r="7410" spans="11:11" x14ac:dyDescent="0.25">
      <c r="K7410"/>
    </row>
    <row r="7411" spans="11:11" x14ac:dyDescent="0.25">
      <c r="K7411"/>
    </row>
    <row r="7412" spans="11:11" x14ac:dyDescent="0.25">
      <c r="K7412"/>
    </row>
    <row r="7413" spans="11:11" x14ac:dyDescent="0.25">
      <c r="K7413"/>
    </row>
    <row r="7414" spans="11:11" x14ac:dyDescent="0.25">
      <c r="K7414"/>
    </row>
    <row r="7415" spans="11:11" x14ac:dyDescent="0.25">
      <c r="K7415"/>
    </row>
    <row r="7416" spans="11:11" x14ac:dyDescent="0.25">
      <c r="K7416"/>
    </row>
    <row r="7417" spans="11:11" x14ac:dyDescent="0.25">
      <c r="K7417"/>
    </row>
    <row r="7418" spans="11:11" x14ac:dyDescent="0.25">
      <c r="K7418"/>
    </row>
    <row r="7419" spans="11:11" x14ac:dyDescent="0.25">
      <c r="K7419"/>
    </row>
    <row r="7420" spans="11:11" x14ac:dyDescent="0.25">
      <c r="K7420"/>
    </row>
    <row r="7421" spans="11:11" x14ac:dyDescent="0.25">
      <c r="K7421"/>
    </row>
    <row r="7422" spans="11:11" x14ac:dyDescent="0.25">
      <c r="K7422"/>
    </row>
    <row r="7423" spans="11:11" x14ac:dyDescent="0.25">
      <c r="K7423"/>
    </row>
    <row r="7424" spans="11:11" x14ac:dyDescent="0.25">
      <c r="K7424"/>
    </row>
    <row r="7425" spans="11:11" x14ac:dyDescent="0.25">
      <c r="K7425"/>
    </row>
    <row r="7426" spans="11:11" x14ac:dyDescent="0.25">
      <c r="K7426"/>
    </row>
    <row r="7427" spans="11:11" x14ac:dyDescent="0.25">
      <c r="K7427"/>
    </row>
    <row r="7428" spans="11:11" x14ac:dyDescent="0.25">
      <c r="K7428"/>
    </row>
    <row r="7429" spans="11:11" x14ac:dyDescent="0.25">
      <c r="K7429"/>
    </row>
    <row r="7430" spans="11:11" x14ac:dyDescent="0.25">
      <c r="K7430"/>
    </row>
    <row r="7431" spans="11:11" x14ac:dyDescent="0.25">
      <c r="K7431"/>
    </row>
    <row r="7432" spans="11:11" x14ac:dyDescent="0.25">
      <c r="K7432"/>
    </row>
    <row r="7433" spans="11:11" x14ac:dyDescent="0.25">
      <c r="K7433"/>
    </row>
    <row r="7434" spans="11:11" x14ac:dyDescent="0.25">
      <c r="K7434"/>
    </row>
    <row r="7435" spans="11:11" x14ac:dyDescent="0.25">
      <c r="K7435"/>
    </row>
    <row r="7436" spans="11:11" x14ac:dyDescent="0.25">
      <c r="K7436"/>
    </row>
    <row r="7437" spans="11:11" x14ac:dyDescent="0.25">
      <c r="K7437"/>
    </row>
    <row r="7438" spans="11:11" x14ac:dyDescent="0.25">
      <c r="K7438"/>
    </row>
    <row r="7439" spans="11:11" x14ac:dyDescent="0.25">
      <c r="K7439"/>
    </row>
    <row r="7440" spans="11:11" x14ac:dyDescent="0.25">
      <c r="K7440"/>
    </row>
    <row r="7441" spans="11:11" x14ac:dyDescent="0.25">
      <c r="K7441"/>
    </row>
    <row r="7442" spans="11:11" x14ac:dyDescent="0.25">
      <c r="K7442"/>
    </row>
    <row r="7443" spans="11:11" x14ac:dyDescent="0.25">
      <c r="K7443"/>
    </row>
    <row r="7444" spans="11:11" x14ac:dyDescent="0.25">
      <c r="K7444"/>
    </row>
    <row r="7445" spans="11:11" x14ac:dyDescent="0.25">
      <c r="K7445"/>
    </row>
    <row r="7446" spans="11:11" x14ac:dyDescent="0.25">
      <c r="K7446"/>
    </row>
    <row r="7447" spans="11:11" x14ac:dyDescent="0.25">
      <c r="K7447"/>
    </row>
    <row r="7448" spans="11:11" x14ac:dyDescent="0.25">
      <c r="K7448"/>
    </row>
    <row r="7449" spans="11:11" x14ac:dyDescent="0.25">
      <c r="K7449"/>
    </row>
    <row r="7450" spans="11:11" x14ac:dyDescent="0.25">
      <c r="K7450"/>
    </row>
    <row r="7451" spans="11:11" x14ac:dyDescent="0.25">
      <c r="K7451"/>
    </row>
    <row r="7452" spans="11:11" x14ac:dyDescent="0.25">
      <c r="K7452"/>
    </row>
    <row r="7453" spans="11:11" x14ac:dyDescent="0.25">
      <c r="K7453"/>
    </row>
    <row r="7454" spans="11:11" x14ac:dyDescent="0.25">
      <c r="K7454"/>
    </row>
    <row r="7455" spans="11:11" x14ac:dyDescent="0.25">
      <c r="K7455"/>
    </row>
    <row r="7456" spans="11:11" x14ac:dyDescent="0.25">
      <c r="K7456"/>
    </row>
    <row r="7457" spans="11:11" x14ac:dyDescent="0.25">
      <c r="K7457"/>
    </row>
    <row r="7458" spans="11:11" x14ac:dyDescent="0.25">
      <c r="K7458"/>
    </row>
    <row r="7459" spans="11:11" x14ac:dyDescent="0.25">
      <c r="K7459"/>
    </row>
    <row r="7460" spans="11:11" x14ac:dyDescent="0.25">
      <c r="K7460"/>
    </row>
    <row r="7461" spans="11:11" x14ac:dyDescent="0.25">
      <c r="K7461"/>
    </row>
    <row r="7462" spans="11:11" x14ac:dyDescent="0.25">
      <c r="K7462"/>
    </row>
    <row r="7463" spans="11:11" x14ac:dyDescent="0.25">
      <c r="K7463"/>
    </row>
    <row r="7464" spans="11:11" x14ac:dyDescent="0.25">
      <c r="K7464"/>
    </row>
    <row r="7465" spans="11:11" x14ac:dyDescent="0.25">
      <c r="K7465"/>
    </row>
    <row r="7466" spans="11:11" x14ac:dyDescent="0.25">
      <c r="K7466"/>
    </row>
    <row r="7467" spans="11:11" x14ac:dyDescent="0.25">
      <c r="K7467"/>
    </row>
    <row r="7468" spans="11:11" x14ac:dyDescent="0.25">
      <c r="K7468"/>
    </row>
    <row r="7469" spans="11:11" x14ac:dyDescent="0.25">
      <c r="K7469"/>
    </row>
    <row r="7470" spans="11:11" x14ac:dyDescent="0.25">
      <c r="K7470"/>
    </row>
    <row r="7471" spans="11:11" x14ac:dyDescent="0.25">
      <c r="K7471"/>
    </row>
    <row r="7472" spans="11:11" x14ac:dyDescent="0.25">
      <c r="K7472"/>
    </row>
    <row r="7473" spans="11:11" x14ac:dyDescent="0.25">
      <c r="K7473"/>
    </row>
    <row r="7474" spans="11:11" x14ac:dyDescent="0.25">
      <c r="K7474"/>
    </row>
    <row r="7475" spans="11:11" x14ac:dyDescent="0.25">
      <c r="K7475"/>
    </row>
    <row r="7476" spans="11:11" x14ac:dyDescent="0.25">
      <c r="K7476"/>
    </row>
    <row r="7477" spans="11:11" x14ac:dyDescent="0.25">
      <c r="K7477"/>
    </row>
    <row r="7478" spans="11:11" x14ac:dyDescent="0.25">
      <c r="K7478"/>
    </row>
    <row r="7479" spans="11:11" x14ac:dyDescent="0.25">
      <c r="K7479"/>
    </row>
    <row r="7480" spans="11:11" x14ac:dyDescent="0.25">
      <c r="K7480"/>
    </row>
    <row r="7481" spans="11:11" x14ac:dyDescent="0.25">
      <c r="K7481"/>
    </row>
    <row r="7482" spans="11:11" x14ac:dyDescent="0.25">
      <c r="K7482"/>
    </row>
    <row r="7483" spans="11:11" x14ac:dyDescent="0.25">
      <c r="K7483"/>
    </row>
    <row r="7484" spans="11:11" x14ac:dyDescent="0.25">
      <c r="K7484"/>
    </row>
    <row r="7485" spans="11:11" x14ac:dyDescent="0.25">
      <c r="K7485"/>
    </row>
    <row r="7486" spans="11:11" x14ac:dyDescent="0.25">
      <c r="K7486"/>
    </row>
    <row r="7487" spans="11:11" x14ac:dyDescent="0.25">
      <c r="K7487"/>
    </row>
    <row r="7488" spans="11:11" x14ac:dyDescent="0.25">
      <c r="K7488"/>
    </row>
    <row r="7489" spans="11:11" x14ac:dyDescent="0.25">
      <c r="K7489"/>
    </row>
    <row r="7490" spans="11:11" x14ac:dyDescent="0.25">
      <c r="K7490"/>
    </row>
    <row r="7491" spans="11:11" x14ac:dyDescent="0.25">
      <c r="K7491"/>
    </row>
    <row r="7492" spans="11:11" x14ac:dyDescent="0.25">
      <c r="K7492"/>
    </row>
    <row r="7493" spans="11:11" x14ac:dyDescent="0.25">
      <c r="K7493"/>
    </row>
    <row r="7494" spans="11:11" x14ac:dyDescent="0.25">
      <c r="K7494"/>
    </row>
    <row r="7495" spans="11:11" x14ac:dyDescent="0.25">
      <c r="K7495"/>
    </row>
    <row r="7496" spans="11:11" x14ac:dyDescent="0.25">
      <c r="K7496"/>
    </row>
    <row r="7497" spans="11:11" x14ac:dyDescent="0.25">
      <c r="K7497"/>
    </row>
    <row r="7498" spans="11:11" x14ac:dyDescent="0.25">
      <c r="K7498"/>
    </row>
    <row r="7499" spans="11:11" x14ac:dyDescent="0.25">
      <c r="K7499"/>
    </row>
    <row r="7500" spans="11:11" x14ac:dyDescent="0.25">
      <c r="K7500"/>
    </row>
    <row r="7501" spans="11:11" x14ac:dyDescent="0.25">
      <c r="K7501"/>
    </row>
    <row r="7502" spans="11:11" x14ac:dyDescent="0.25">
      <c r="K7502"/>
    </row>
    <row r="7503" spans="11:11" x14ac:dyDescent="0.25">
      <c r="K7503"/>
    </row>
    <row r="7504" spans="11:11" x14ac:dyDescent="0.25">
      <c r="K7504"/>
    </row>
    <row r="7505" spans="11:11" x14ac:dyDescent="0.25">
      <c r="K7505"/>
    </row>
    <row r="7506" spans="11:11" x14ac:dyDescent="0.25">
      <c r="K7506"/>
    </row>
    <row r="7507" spans="11:11" x14ac:dyDescent="0.25">
      <c r="K7507"/>
    </row>
    <row r="7508" spans="11:11" x14ac:dyDescent="0.25">
      <c r="K7508"/>
    </row>
    <row r="7509" spans="11:11" x14ac:dyDescent="0.25">
      <c r="K7509"/>
    </row>
    <row r="7510" spans="11:11" x14ac:dyDescent="0.25">
      <c r="K7510"/>
    </row>
    <row r="7511" spans="11:11" x14ac:dyDescent="0.25">
      <c r="K7511"/>
    </row>
    <row r="7512" spans="11:11" x14ac:dyDescent="0.25">
      <c r="K7512"/>
    </row>
    <row r="7513" spans="11:11" x14ac:dyDescent="0.25">
      <c r="K7513"/>
    </row>
    <row r="7514" spans="11:11" x14ac:dyDescent="0.25">
      <c r="K7514"/>
    </row>
    <row r="7515" spans="11:11" x14ac:dyDescent="0.25">
      <c r="K7515"/>
    </row>
    <row r="7516" spans="11:11" x14ac:dyDescent="0.25">
      <c r="K7516"/>
    </row>
    <row r="7517" spans="11:11" x14ac:dyDescent="0.25">
      <c r="K7517"/>
    </row>
    <row r="7518" spans="11:11" x14ac:dyDescent="0.25">
      <c r="K7518"/>
    </row>
    <row r="7519" spans="11:11" x14ac:dyDescent="0.25">
      <c r="K7519"/>
    </row>
    <row r="7520" spans="11:11" x14ac:dyDescent="0.25">
      <c r="K7520"/>
    </row>
    <row r="7521" spans="11:11" x14ac:dyDescent="0.25">
      <c r="K7521"/>
    </row>
    <row r="7522" spans="11:11" x14ac:dyDescent="0.25">
      <c r="K7522"/>
    </row>
    <row r="7523" spans="11:11" x14ac:dyDescent="0.25">
      <c r="K7523"/>
    </row>
    <row r="7524" spans="11:11" x14ac:dyDescent="0.25">
      <c r="K7524"/>
    </row>
    <row r="7525" spans="11:11" x14ac:dyDescent="0.25">
      <c r="K7525"/>
    </row>
    <row r="7526" spans="11:11" x14ac:dyDescent="0.25">
      <c r="K7526"/>
    </row>
    <row r="7527" spans="11:11" x14ac:dyDescent="0.25">
      <c r="K7527"/>
    </row>
    <row r="7528" spans="11:11" x14ac:dyDescent="0.25">
      <c r="K7528"/>
    </row>
    <row r="7529" spans="11:11" x14ac:dyDescent="0.25">
      <c r="K7529"/>
    </row>
    <row r="7530" spans="11:11" x14ac:dyDescent="0.25">
      <c r="K7530"/>
    </row>
    <row r="7531" spans="11:11" x14ac:dyDescent="0.25">
      <c r="K7531"/>
    </row>
    <row r="7532" spans="11:11" x14ac:dyDescent="0.25">
      <c r="K7532"/>
    </row>
    <row r="7533" spans="11:11" x14ac:dyDescent="0.25">
      <c r="K7533"/>
    </row>
    <row r="7534" spans="11:11" x14ac:dyDescent="0.25">
      <c r="K7534"/>
    </row>
    <row r="7535" spans="11:11" x14ac:dyDescent="0.25">
      <c r="K7535"/>
    </row>
    <row r="7536" spans="11:11" x14ac:dyDescent="0.25">
      <c r="K7536"/>
    </row>
    <row r="7537" spans="11:11" x14ac:dyDescent="0.25">
      <c r="K7537"/>
    </row>
    <row r="7538" spans="11:11" x14ac:dyDescent="0.25">
      <c r="K7538"/>
    </row>
    <row r="7539" spans="11:11" x14ac:dyDescent="0.25">
      <c r="K7539"/>
    </row>
    <row r="7540" spans="11:11" x14ac:dyDescent="0.25">
      <c r="K7540"/>
    </row>
    <row r="7541" spans="11:11" x14ac:dyDescent="0.25">
      <c r="K7541"/>
    </row>
    <row r="7542" spans="11:11" x14ac:dyDescent="0.25">
      <c r="K7542"/>
    </row>
    <row r="7543" spans="11:11" x14ac:dyDescent="0.25">
      <c r="K7543"/>
    </row>
    <row r="7544" spans="11:11" x14ac:dyDescent="0.25">
      <c r="K7544"/>
    </row>
    <row r="7545" spans="11:11" x14ac:dyDescent="0.25">
      <c r="K7545"/>
    </row>
    <row r="7546" spans="11:11" x14ac:dyDescent="0.25">
      <c r="K7546"/>
    </row>
    <row r="7547" spans="11:11" x14ac:dyDescent="0.25">
      <c r="K7547"/>
    </row>
    <row r="7548" spans="11:11" x14ac:dyDescent="0.25">
      <c r="K7548"/>
    </row>
    <row r="7549" spans="11:11" x14ac:dyDescent="0.25">
      <c r="K7549"/>
    </row>
    <row r="7550" spans="11:11" x14ac:dyDescent="0.25">
      <c r="K7550"/>
    </row>
    <row r="7551" spans="11:11" x14ac:dyDescent="0.25">
      <c r="K7551"/>
    </row>
    <row r="7552" spans="11:11" x14ac:dyDescent="0.25">
      <c r="K7552"/>
    </row>
    <row r="7553" spans="11:11" x14ac:dyDescent="0.25">
      <c r="K7553"/>
    </row>
    <row r="7554" spans="11:11" x14ac:dyDescent="0.25">
      <c r="K7554"/>
    </row>
    <row r="7555" spans="11:11" x14ac:dyDescent="0.25">
      <c r="K7555"/>
    </row>
    <row r="7556" spans="11:11" x14ac:dyDescent="0.25">
      <c r="K7556"/>
    </row>
    <row r="7557" spans="11:11" x14ac:dyDescent="0.25">
      <c r="K7557"/>
    </row>
    <row r="7558" spans="11:11" x14ac:dyDescent="0.25">
      <c r="K7558"/>
    </row>
    <row r="7559" spans="11:11" x14ac:dyDescent="0.25">
      <c r="K7559"/>
    </row>
    <row r="7560" spans="11:11" x14ac:dyDescent="0.25">
      <c r="K7560"/>
    </row>
    <row r="7561" spans="11:11" x14ac:dyDescent="0.25">
      <c r="K7561"/>
    </row>
    <row r="7562" spans="11:11" x14ac:dyDescent="0.25">
      <c r="K7562"/>
    </row>
    <row r="7563" spans="11:11" x14ac:dyDescent="0.25">
      <c r="K7563"/>
    </row>
    <row r="7564" spans="11:11" x14ac:dyDescent="0.25">
      <c r="K7564"/>
    </row>
    <row r="7565" spans="11:11" x14ac:dyDescent="0.25">
      <c r="K7565"/>
    </row>
    <row r="7566" spans="11:11" x14ac:dyDescent="0.25">
      <c r="K7566"/>
    </row>
    <row r="7567" spans="11:11" x14ac:dyDescent="0.25">
      <c r="K7567"/>
    </row>
    <row r="7568" spans="11:11" x14ac:dyDescent="0.25">
      <c r="K7568"/>
    </row>
    <row r="7569" spans="11:11" x14ac:dyDescent="0.25">
      <c r="K7569"/>
    </row>
    <row r="7570" spans="11:11" x14ac:dyDescent="0.25">
      <c r="K7570"/>
    </row>
    <row r="7571" spans="11:11" x14ac:dyDescent="0.25">
      <c r="K7571"/>
    </row>
    <row r="7572" spans="11:11" x14ac:dyDescent="0.25">
      <c r="K7572"/>
    </row>
    <row r="7573" spans="11:11" x14ac:dyDescent="0.25">
      <c r="K7573"/>
    </row>
    <row r="7574" spans="11:11" x14ac:dyDescent="0.25">
      <c r="K7574"/>
    </row>
    <row r="7575" spans="11:11" x14ac:dyDescent="0.25">
      <c r="K7575"/>
    </row>
    <row r="7576" spans="11:11" x14ac:dyDescent="0.25">
      <c r="K7576"/>
    </row>
    <row r="7577" spans="11:11" x14ac:dyDescent="0.25">
      <c r="K7577"/>
    </row>
    <row r="7578" spans="11:11" x14ac:dyDescent="0.25">
      <c r="K7578"/>
    </row>
    <row r="7579" spans="11:11" x14ac:dyDescent="0.25">
      <c r="K7579"/>
    </row>
    <row r="7580" spans="11:11" x14ac:dyDescent="0.25">
      <c r="K7580"/>
    </row>
    <row r="7581" spans="11:11" x14ac:dyDescent="0.25">
      <c r="K7581"/>
    </row>
    <row r="7582" spans="11:11" x14ac:dyDescent="0.25">
      <c r="K7582"/>
    </row>
    <row r="7583" spans="11:11" x14ac:dyDescent="0.25">
      <c r="K7583"/>
    </row>
    <row r="7584" spans="11:11" x14ac:dyDescent="0.25">
      <c r="K7584"/>
    </row>
    <row r="7585" spans="11:11" x14ac:dyDescent="0.25">
      <c r="K7585"/>
    </row>
    <row r="7586" spans="11:11" x14ac:dyDescent="0.25">
      <c r="K7586"/>
    </row>
    <row r="7587" spans="11:11" x14ac:dyDescent="0.25">
      <c r="K7587"/>
    </row>
    <row r="7588" spans="11:11" x14ac:dyDescent="0.25">
      <c r="K7588"/>
    </row>
    <row r="7589" spans="11:11" x14ac:dyDescent="0.25">
      <c r="K7589"/>
    </row>
    <row r="7590" spans="11:11" x14ac:dyDescent="0.25">
      <c r="K7590"/>
    </row>
    <row r="7591" spans="11:11" x14ac:dyDescent="0.25">
      <c r="K7591"/>
    </row>
    <row r="7592" spans="11:11" x14ac:dyDescent="0.25">
      <c r="K7592"/>
    </row>
    <row r="7593" spans="11:11" x14ac:dyDescent="0.25">
      <c r="K7593"/>
    </row>
    <row r="7594" spans="11:11" x14ac:dyDescent="0.25">
      <c r="K7594"/>
    </row>
    <row r="7595" spans="11:11" x14ac:dyDescent="0.25">
      <c r="K7595"/>
    </row>
    <row r="7596" spans="11:11" x14ac:dyDescent="0.25">
      <c r="K7596"/>
    </row>
    <row r="7597" spans="11:11" x14ac:dyDescent="0.25">
      <c r="K7597"/>
    </row>
    <row r="7598" spans="11:11" x14ac:dyDescent="0.25">
      <c r="K7598"/>
    </row>
    <row r="7599" spans="11:11" x14ac:dyDescent="0.25">
      <c r="K7599"/>
    </row>
    <row r="7600" spans="11:11" x14ac:dyDescent="0.25">
      <c r="K7600"/>
    </row>
    <row r="7601" spans="11:11" x14ac:dyDescent="0.25">
      <c r="K7601"/>
    </row>
    <row r="7602" spans="11:11" x14ac:dyDescent="0.25">
      <c r="K7602"/>
    </row>
    <row r="7603" spans="11:11" x14ac:dyDescent="0.25">
      <c r="K7603"/>
    </row>
    <row r="7604" spans="11:11" x14ac:dyDescent="0.25">
      <c r="K7604"/>
    </row>
    <row r="7605" spans="11:11" x14ac:dyDescent="0.25">
      <c r="K7605"/>
    </row>
    <row r="7606" spans="11:11" x14ac:dyDescent="0.25">
      <c r="K7606"/>
    </row>
    <row r="7607" spans="11:11" x14ac:dyDescent="0.25">
      <c r="K7607"/>
    </row>
    <row r="7608" spans="11:11" x14ac:dyDescent="0.25">
      <c r="K7608"/>
    </row>
    <row r="7609" spans="11:11" x14ac:dyDescent="0.25">
      <c r="K7609"/>
    </row>
    <row r="7610" spans="11:11" x14ac:dyDescent="0.25">
      <c r="K7610"/>
    </row>
    <row r="7611" spans="11:11" x14ac:dyDescent="0.25">
      <c r="K7611"/>
    </row>
    <row r="7612" spans="11:11" x14ac:dyDescent="0.25">
      <c r="K7612"/>
    </row>
    <row r="7613" spans="11:11" x14ac:dyDescent="0.25">
      <c r="K7613"/>
    </row>
    <row r="7614" spans="11:11" x14ac:dyDescent="0.25">
      <c r="K7614"/>
    </row>
    <row r="7615" spans="11:11" x14ac:dyDescent="0.25">
      <c r="K7615"/>
    </row>
    <row r="7616" spans="11:11" x14ac:dyDescent="0.25">
      <c r="K7616"/>
    </row>
    <row r="7617" spans="11:11" x14ac:dyDescent="0.25">
      <c r="K7617"/>
    </row>
    <row r="7618" spans="11:11" x14ac:dyDescent="0.25">
      <c r="K7618"/>
    </row>
    <row r="7619" spans="11:11" x14ac:dyDescent="0.25">
      <c r="K7619"/>
    </row>
    <row r="7620" spans="11:11" x14ac:dyDescent="0.25">
      <c r="K7620"/>
    </row>
    <row r="7621" spans="11:11" x14ac:dyDescent="0.25">
      <c r="K7621"/>
    </row>
    <row r="7622" spans="11:11" x14ac:dyDescent="0.25">
      <c r="K7622"/>
    </row>
    <row r="7623" spans="11:11" x14ac:dyDescent="0.25">
      <c r="K7623"/>
    </row>
    <row r="7624" spans="11:11" x14ac:dyDescent="0.25">
      <c r="K7624"/>
    </row>
    <row r="7625" spans="11:11" x14ac:dyDescent="0.25">
      <c r="K7625"/>
    </row>
    <row r="7626" spans="11:11" x14ac:dyDescent="0.25">
      <c r="K7626"/>
    </row>
    <row r="7627" spans="11:11" x14ac:dyDescent="0.25">
      <c r="K7627"/>
    </row>
    <row r="7628" spans="11:11" x14ac:dyDescent="0.25">
      <c r="K7628"/>
    </row>
    <row r="7629" spans="11:11" x14ac:dyDescent="0.25">
      <c r="K7629"/>
    </row>
    <row r="7630" spans="11:11" x14ac:dyDescent="0.25">
      <c r="K7630"/>
    </row>
    <row r="7631" spans="11:11" x14ac:dyDescent="0.25">
      <c r="K7631"/>
    </row>
    <row r="7632" spans="11:11" x14ac:dyDescent="0.25">
      <c r="K7632"/>
    </row>
    <row r="7633" spans="11:11" x14ac:dyDescent="0.25">
      <c r="K7633"/>
    </row>
    <row r="7634" spans="11:11" x14ac:dyDescent="0.25">
      <c r="K7634"/>
    </row>
    <row r="7635" spans="11:11" x14ac:dyDescent="0.25">
      <c r="K7635"/>
    </row>
    <row r="7636" spans="11:11" x14ac:dyDescent="0.25">
      <c r="K7636"/>
    </row>
    <row r="7637" spans="11:11" x14ac:dyDescent="0.25">
      <c r="K7637"/>
    </row>
    <row r="7638" spans="11:11" x14ac:dyDescent="0.25">
      <c r="K7638"/>
    </row>
    <row r="7639" spans="11:11" x14ac:dyDescent="0.25">
      <c r="K7639"/>
    </row>
    <row r="7640" spans="11:11" x14ac:dyDescent="0.25">
      <c r="K7640"/>
    </row>
    <row r="7641" spans="11:11" x14ac:dyDescent="0.25">
      <c r="K7641"/>
    </row>
    <row r="7642" spans="11:11" x14ac:dyDescent="0.25">
      <c r="K7642"/>
    </row>
    <row r="7643" spans="11:11" x14ac:dyDescent="0.25">
      <c r="K7643"/>
    </row>
    <row r="7644" spans="11:11" x14ac:dyDescent="0.25">
      <c r="K7644"/>
    </row>
    <row r="7645" spans="11:11" x14ac:dyDescent="0.25">
      <c r="K7645"/>
    </row>
    <row r="7646" spans="11:11" x14ac:dyDescent="0.25">
      <c r="K7646"/>
    </row>
    <row r="7647" spans="11:11" x14ac:dyDescent="0.25">
      <c r="K7647"/>
    </row>
    <row r="7648" spans="11:11" x14ac:dyDescent="0.25">
      <c r="K7648"/>
    </row>
    <row r="7649" spans="11:11" x14ac:dyDescent="0.25">
      <c r="K7649"/>
    </row>
    <row r="7650" spans="11:11" x14ac:dyDescent="0.25">
      <c r="K7650"/>
    </row>
    <row r="7651" spans="11:11" x14ac:dyDescent="0.25">
      <c r="K7651"/>
    </row>
    <row r="7652" spans="11:11" x14ac:dyDescent="0.25">
      <c r="K7652"/>
    </row>
    <row r="7653" spans="11:11" x14ac:dyDescent="0.25">
      <c r="K7653"/>
    </row>
    <row r="7654" spans="11:11" x14ac:dyDescent="0.25">
      <c r="K7654"/>
    </row>
    <row r="7655" spans="11:11" x14ac:dyDescent="0.25">
      <c r="K7655"/>
    </row>
    <row r="7656" spans="11:11" x14ac:dyDescent="0.25">
      <c r="K7656"/>
    </row>
    <row r="7657" spans="11:11" x14ac:dyDescent="0.25">
      <c r="K7657"/>
    </row>
    <row r="7658" spans="11:11" x14ac:dyDescent="0.25">
      <c r="K7658"/>
    </row>
    <row r="7659" spans="11:11" x14ac:dyDescent="0.25">
      <c r="K7659"/>
    </row>
    <row r="7660" spans="11:11" x14ac:dyDescent="0.25">
      <c r="K7660"/>
    </row>
    <row r="7661" spans="11:11" x14ac:dyDescent="0.25">
      <c r="K7661"/>
    </row>
    <row r="7662" spans="11:11" x14ac:dyDescent="0.25">
      <c r="K7662"/>
    </row>
    <row r="7663" spans="11:11" x14ac:dyDescent="0.25">
      <c r="K7663"/>
    </row>
    <row r="7664" spans="11:11" x14ac:dyDescent="0.25">
      <c r="K7664"/>
    </row>
    <row r="7665" spans="11:11" x14ac:dyDescent="0.25">
      <c r="K7665"/>
    </row>
    <row r="7666" spans="11:11" x14ac:dyDescent="0.25">
      <c r="K7666"/>
    </row>
    <row r="7667" spans="11:11" x14ac:dyDescent="0.25">
      <c r="K7667"/>
    </row>
    <row r="7668" spans="11:11" x14ac:dyDescent="0.25">
      <c r="K7668"/>
    </row>
    <row r="7669" spans="11:11" x14ac:dyDescent="0.25">
      <c r="K7669"/>
    </row>
    <row r="7670" spans="11:11" x14ac:dyDescent="0.25">
      <c r="K7670"/>
    </row>
    <row r="7671" spans="11:11" x14ac:dyDescent="0.25">
      <c r="K7671"/>
    </row>
    <row r="7672" spans="11:11" x14ac:dyDescent="0.25">
      <c r="K7672"/>
    </row>
    <row r="7673" spans="11:11" x14ac:dyDescent="0.25">
      <c r="K7673"/>
    </row>
    <row r="7674" spans="11:11" x14ac:dyDescent="0.25">
      <c r="K7674"/>
    </row>
    <row r="7675" spans="11:11" x14ac:dyDescent="0.25">
      <c r="K7675"/>
    </row>
    <row r="7676" spans="11:11" x14ac:dyDescent="0.25">
      <c r="K7676"/>
    </row>
    <row r="7677" spans="11:11" x14ac:dyDescent="0.25">
      <c r="K7677"/>
    </row>
    <row r="7678" spans="11:11" x14ac:dyDescent="0.25">
      <c r="K7678"/>
    </row>
    <row r="7679" spans="11:11" x14ac:dyDescent="0.25">
      <c r="K7679"/>
    </row>
    <row r="7680" spans="11:11" x14ac:dyDescent="0.25">
      <c r="K7680"/>
    </row>
    <row r="7681" spans="11:11" x14ac:dyDescent="0.25">
      <c r="K7681"/>
    </row>
    <row r="7682" spans="11:11" x14ac:dyDescent="0.25">
      <c r="K7682"/>
    </row>
    <row r="7683" spans="11:11" x14ac:dyDescent="0.25">
      <c r="K7683"/>
    </row>
    <row r="7684" spans="11:11" x14ac:dyDescent="0.25">
      <c r="K7684"/>
    </row>
    <row r="7685" spans="11:11" x14ac:dyDescent="0.25">
      <c r="K7685"/>
    </row>
    <row r="7686" spans="11:11" x14ac:dyDescent="0.25">
      <c r="K7686"/>
    </row>
    <row r="7687" spans="11:11" x14ac:dyDescent="0.25">
      <c r="K7687"/>
    </row>
    <row r="7688" spans="11:11" x14ac:dyDescent="0.25">
      <c r="K7688"/>
    </row>
    <row r="7689" spans="11:11" x14ac:dyDescent="0.25">
      <c r="K7689"/>
    </row>
    <row r="7690" spans="11:11" x14ac:dyDescent="0.25">
      <c r="K7690"/>
    </row>
    <row r="7691" spans="11:11" x14ac:dyDescent="0.25">
      <c r="K7691"/>
    </row>
    <row r="7692" spans="11:11" x14ac:dyDescent="0.25">
      <c r="K7692"/>
    </row>
    <row r="7693" spans="11:11" x14ac:dyDescent="0.25">
      <c r="K7693"/>
    </row>
    <row r="7694" spans="11:11" x14ac:dyDescent="0.25">
      <c r="K7694"/>
    </row>
    <row r="7695" spans="11:11" x14ac:dyDescent="0.25">
      <c r="K7695"/>
    </row>
    <row r="7696" spans="11:11" x14ac:dyDescent="0.25">
      <c r="K7696"/>
    </row>
    <row r="7697" spans="11:11" x14ac:dyDescent="0.25">
      <c r="K7697"/>
    </row>
    <row r="7698" spans="11:11" x14ac:dyDescent="0.25">
      <c r="K7698"/>
    </row>
    <row r="7699" spans="11:11" x14ac:dyDescent="0.25">
      <c r="K7699"/>
    </row>
    <row r="7700" spans="11:11" x14ac:dyDescent="0.25">
      <c r="K7700"/>
    </row>
    <row r="7701" spans="11:11" x14ac:dyDescent="0.25">
      <c r="K7701"/>
    </row>
    <row r="7702" spans="11:11" x14ac:dyDescent="0.25">
      <c r="K7702"/>
    </row>
    <row r="7703" spans="11:11" x14ac:dyDescent="0.25">
      <c r="K7703"/>
    </row>
    <row r="7704" spans="11:11" x14ac:dyDescent="0.25">
      <c r="K7704"/>
    </row>
    <row r="7705" spans="11:11" x14ac:dyDescent="0.25">
      <c r="K7705"/>
    </row>
    <row r="7706" spans="11:11" x14ac:dyDescent="0.25">
      <c r="K7706"/>
    </row>
    <row r="7707" spans="11:11" x14ac:dyDescent="0.25">
      <c r="K7707"/>
    </row>
    <row r="7708" spans="11:11" x14ac:dyDescent="0.25">
      <c r="K7708"/>
    </row>
    <row r="7709" spans="11:11" x14ac:dyDescent="0.25">
      <c r="K7709"/>
    </row>
    <row r="7710" spans="11:11" x14ac:dyDescent="0.25">
      <c r="K7710"/>
    </row>
    <row r="7711" spans="11:11" x14ac:dyDescent="0.25">
      <c r="K7711"/>
    </row>
    <row r="7712" spans="11:11" x14ac:dyDescent="0.25">
      <c r="K7712"/>
    </row>
    <row r="7713" spans="11:11" x14ac:dyDescent="0.25">
      <c r="K7713"/>
    </row>
    <row r="7714" spans="11:11" x14ac:dyDescent="0.25">
      <c r="K7714"/>
    </row>
    <row r="7715" spans="11:11" x14ac:dyDescent="0.25">
      <c r="K7715"/>
    </row>
    <row r="7716" spans="11:11" x14ac:dyDescent="0.25">
      <c r="K7716"/>
    </row>
    <row r="7717" spans="11:11" x14ac:dyDescent="0.25">
      <c r="K7717"/>
    </row>
    <row r="7718" spans="11:11" x14ac:dyDescent="0.25">
      <c r="K7718"/>
    </row>
    <row r="7719" spans="11:11" x14ac:dyDescent="0.25">
      <c r="K7719"/>
    </row>
    <row r="7720" spans="11:11" x14ac:dyDescent="0.25">
      <c r="K7720"/>
    </row>
    <row r="7721" spans="11:11" x14ac:dyDescent="0.25">
      <c r="K7721"/>
    </row>
    <row r="7722" spans="11:11" x14ac:dyDescent="0.25">
      <c r="K7722"/>
    </row>
    <row r="7723" spans="11:11" x14ac:dyDescent="0.25">
      <c r="K7723"/>
    </row>
    <row r="7724" spans="11:11" x14ac:dyDescent="0.25">
      <c r="K7724"/>
    </row>
    <row r="7725" spans="11:11" x14ac:dyDescent="0.25">
      <c r="K7725"/>
    </row>
    <row r="7726" spans="11:11" x14ac:dyDescent="0.25">
      <c r="K7726"/>
    </row>
    <row r="7727" spans="11:11" x14ac:dyDescent="0.25">
      <c r="K7727"/>
    </row>
    <row r="7728" spans="11:11" x14ac:dyDescent="0.25">
      <c r="K7728"/>
    </row>
    <row r="7729" spans="11:11" x14ac:dyDescent="0.25">
      <c r="K7729"/>
    </row>
    <row r="7730" spans="11:11" x14ac:dyDescent="0.25">
      <c r="K7730"/>
    </row>
    <row r="7731" spans="11:11" x14ac:dyDescent="0.25">
      <c r="K7731"/>
    </row>
    <row r="7732" spans="11:11" x14ac:dyDescent="0.25">
      <c r="K7732"/>
    </row>
    <row r="7733" spans="11:11" x14ac:dyDescent="0.25">
      <c r="K7733"/>
    </row>
    <row r="7734" spans="11:11" x14ac:dyDescent="0.25">
      <c r="K7734"/>
    </row>
    <row r="7735" spans="11:11" x14ac:dyDescent="0.25">
      <c r="K7735"/>
    </row>
    <row r="7736" spans="11:11" x14ac:dyDescent="0.25">
      <c r="K7736"/>
    </row>
    <row r="7737" spans="11:11" x14ac:dyDescent="0.25">
      <c r="K7737"/>
    </row>
    <row r="7738" spans="11:11" x14ac:dyDescent="0.25">
      <c r="K7738"/>
    </row>
    <row r="7739" spans="11:11" x14ac:dyDescent="0.25">
      <c r="K7739"/>
    </row>
    <row r="7740" spans="11:11" x14ac:dyDescent="0.25">
      <c r="K7740"/>
    </row>
    <row r="7741" spans="11:11" x14ac:dyDescent="0.25">
      <c r="K7741"/>
    </row>
    <row r="7742" spans="11:11" x14ac:dyDescent="0.25">
      <c r="K7742"/>
    </row>
    <row r="7743" spans="11:11" x14ac:dyDescent="0.25">
      <c r="K7743"/>
    </row>
    <row r="7744" spans="11:11" x14ac:dyDescent="0.25">
      <c r="K7744"/>
    </row>
    <row r="7745" spans="11:11" x14ac:dyDescent="0.25">
      <c r="K7745"/>
    </row>
    <row r="7746" spans="11:11" x14ac:dyDescent="0.25">
      <c r="K7746"/>
    </row>
    <row r="7747" spans="11:11" x14ac:dyDescent="0.25">
      <c r="K7747"/>
    </row>
    <row r="7748" spans="11:11" x14ac:dyDescent="0.25">
      <c r="K7748"/>
    </row>
    <row r="7749" spans="11:11" x14ac:dyDescent="0.25">
      <c r="K7749"/>
    </row>
    <row r="7750" spans="11:11" x14ac:dyDescent="0.25">
      <c r="K7750"/>
    </row>
    <row r="7751" spans="11:11" x14ac:dyDescent="0.25">
      <c r="K7751"/>
    </row>
    <row r="7752" spans="11:11" x14ac:dyDescent="0.25">
      <c r="K7752"/>
    </row>
    <row r="7753" spans="11:11" x14ac:dyDescent="0.25">
      <c r="K7753"/>
    </row>
    <row r="7754" spans="11:11" x14ac:dyDescent="0.25">
      <c r="K7754"/>
    </row>
    <row r="7755" spans="11:11" x14ac:dyDescent="0.25">
      <c r="K7755"/>
    </row>
    <row r="7756" spans="11:11" x14ac:dyDescent="0.25">
      <c r="K7756"/>
    </row>
    <row r="7757" spans="11:11" x14ac:dyDescent="0.25">
      <c r="K7757"/>
    </row>
    <row r="7758" spans="11:11" x14ac:dyDescent="0.25">
      <c r="K7758"/>
    </row>
    <row r="7759" spans="11:11" x14ac:dyDescent="0.25">
      <c r="K7759"/>
    </row>
    <row r="7760" spans="11:11" x14ac:dyDescent="0.25">
      <c r="K7760"/>
    </row>
    <row r="7761" spans="11:11" x14ac:dyDescent="0.25">
      <c r="K7761"/>
    </row>
    <row r="7762" spans="11:11" x14ac:dyDescent="0.25">
      <c r="K7762"/>
    </row>
    <row r="7763" spans="11:11" x14ac:dyDescent="0.25">
      <c r="K7763"/>
    </row>
    <row r="7764" spans="11:11" x14ac:dyDescent="0.25">
      <c r="K7764"/>
    </row>
    <row r="7765" spans="11:11" x14ac:dyDescent="0.25">
      <c r="K7765"/>
    </row>
    <row r="7766" spans="11:11" x14ac:dyDescent="0.25">
      <c r="K7766"/>
    </row>
    <row r="7767" spans="11:11" x14ac:dyDescent="0.25">
      <c r="K7767"/>
    </row>
    <row r="7768" spans="11:11" x14ac:dyDescent="0.25">
      <c r="K7768"/>
    </row>
    <row r="7769" spans="11:11" x14ac:dyDescent="0.25">
      <c r="K7769"/>
    </row>
    <row r="7770" spans="11:11" x14ac:dyDescent="0.25">
      <c r="K7770"/>
    </row>
    <row r="7771" spans="11:11" x14ac:dyDescent="0.25">
      <c r="K7771"/>
    </row>
    <row r="7772" spans="11:11" x14ac:dyDescent="0.25">
      <c r="K7772"/>
    </row>
    <row r="7773" spans="11:11" x14ac:dyDescent="0.25">
      <c r="K7773"/>
    </row>
    <row r="7774" spans="11:11" x14ac:dyDescent="0.25">
      <c r="K7774"/>
    </row>
    <row r="7775" spans="11:11" x14ac:dyDescent="0.25">
      <c r="K7775"/>
    </row>
    <row r="7776" spans="11:11" x14ac:dyDescent="0.25">
      <c r="K7776"/>
    </row>
    <row r="7777" spans="11:11" x14ac:dyDescent="0.25">
      <c r="K7777"/>
    </row>
    <row r="7778" spans="11:11" x14ac:dyDescent="0.25">
      <c r="K7778"/>
    </row>
    <row r="7779" spans="11:11" x14ac:dyDescent="0.25">
      <c r="K7779"/>
    </row>
    <row r="7780" spans="11:11" x14ac:dyDescent="0.25">
      <c r="K7780"/>
    </row>
    <row r="7781" spans="11:11" x14ac:dyDescent="0.25">
      <c r="K7781"/>
    </row>
    <row r="7782" spans="11:11" x14ac:dyDescent="0.25">
      <c r="K7782"/>
    </row>
    <row r="7783" spans="11:11" x14ac:dyDescent="0.25">
      <c r="K7783"/>
    </row>
    <row r="7784" spans="11:11" x14ac:dyDescent="0.25">
      <c r="K7784"/>
    </row>
    <row r="7785" spans="11:11" x14ac:dyDescent="0.25">
      <c r="K7785"/>
    </row>
    <row r="7786" spans="11:11" x14ac:dyDescent="0.25">
      <c r="K7786"/>
    </row>
    <row r="7787" spans="11:11" x14ac:dyDescent="0.25">
      <c r="K7787"/>
    </row>
    <row r="7788" spans="11:11" x14ac:dyDescent="0.25">
      <c r="K7788"/>
    </row>
    <row r="7789" spans="11:11" x14ac:dyDescent="0.25">
      <c r="K7789"/>
    </row>
    <row r="7790" spans="11:11" x14ac:dyDescent="0.25">
      <c r="K7790"/>
    </row>
    <row r="7791" spans="11:11" x14ac:dyDescent="0.25">
      <c r="K7791"/>
    </row>
    <row r="7792" spans="11:11" x14ac:dyDescent="0.25">
      <c r="K7792"/>
    </row>
    <row r="7793" spans="11:11" x14ac:dyDescent="0.25">
      <c r="K7793"/>
    </row>
    <row r="7794" spans="11:11" x14ac:dyDescent="0.25">
      <c r="K7794"/>
    </row>
    <row r="7795" spans="11:11" x14ac:dyDescent="0.25">
      <c r="K7795"/>
    </row>
    <row r="7796" spans="11:11" x14ac:dyDescent="0.25">
      <c r="K7796"/>
    </row>
    <row r="7797" spans="11:11" x14ac:dyDescent="0.25">
      <c r="K7797"/>
    </row>
    <row r="7798" spans="11:11" x14ac:dyDescent="0.25">
      <c r="K7798"/>
    </row>
    <row r="7799" spans="11:11" x14ac:dyDescent="0.25">
      <c r="K7799"/>
    </row>
    <row r="7800" spans="11:11" x14ac:dyDescent="0.25">
      <c r="K7800"/>
    </row>
    <row r="7801" spans="11:11" x14ac:dyDescent="0.25">
      <c r="K7801"/>
    </row>
    <row r="7802" spans="11:11" x14ac:dyDescent="0.25">
      <c r="K7802"/>
    </row>
    <row r="7803" spans="11:11" x14ac:dyDescent="0.25">
      <c r="K7803"/>
    </row>
    <row r="7804" spans="11:11" x14ac:dyDescent="0.25">
      <c r="K7804"/>
    </row>
    <row r="7805" spans="11:11" x14ac:dyDescent="0.25">
      <c r="K7805"/>
    </row>
    <row r="7806" spans="11:11" x14ac:dyDescent="0.25">
      <c r="K7806"/>
    </row>
    <row r="7807" spans="11:11" x14ac:dyDescent="0.25">
      <c r="K7807"/>
    </row>
    <row r="7808" spans="11:11" x14ac:dyDescent="0.25">
      <c r="K7808"/>
    </row>
    <row r="7809" spans="11:11" x14ac:dyDescent="0.25">
      <c r="K7809"/>
    </row>
    <row r="7810" spans="11:11" x14ac:dyDescent="0.25">
      <c r="K7810"/>
    </row>
    <row r="7811" spans="11:11" x14ac:dyDescent="0.25">
      <c r="K7811"/>
    </row>
    <row r="7812" spans="11:11" x14ac:dyDescent="0.25">
      <c r="K7812"/>
    </row>
    <row r="7813" spans="11:11" x14ac:dyDescent="0.25">
      <c r="K7813"/>
    </row>
    <row r="7814" spans="11:11" x14ac:dyDescent="0.25">
      <c r="K7814"/>
    </row>
    <row r="7815" spans="11:11" x14ac:dyDescent="0.25">
      <c r="K7815"/>
    </row>
    <row r="7816" spans="11:11" x14ac:dyDescent="0.25">
      <c r="K7816"/>
    </row>
    <row r="7817" spans="11:11" x14ac:dyDescent="0.25">
      <c r="K7817"/>
    </row>
    <row r="7818" spans="11:11" x14ac:dyDescent="0.25">
      <c r="K7818"/>
    </row>
    <row r="7819" spans="11:11" x14ac:dyDescent="0.25">
      <c r="K7819"/>
    </row>
    <row r="7820" spans="11:11" x14ac:dyDescent="0.25">
      <c r="K7820"/>
    </row>
    <row r="7821" spans="11:11" x14ac:dyDescent="0.25">
      <c r="K7821"/>
    </row>
    <row r="7822" spans="11:11" x14ac:dyDescent="0.25">
      <c r="K7822"/>
    </row>
    <row r="7823" spans="11:11" x14ac:dyDescent="0.25">
      <c r="K7823"/>
    </row>
    <row r="7824" spans="11:11" x14ac:dyDescent="0.25">
      <c r="K7824"/>
    </row>
    <row r="7825" spans="11:11" x14ac:dyDescent="0.25">
      <c r="K7825"/>
    </row>
    <row r="7826" spans="11:11" x14ac:dyDescent="0.25">
      <c r="K7826"/>
    </row>
    <row r="7827" spans="11:11" x14ac:dyDescent="0.25">
      <c r="K7827"/>
    </row>
    <row r="7828" spans="11:11" x14ac:dyDescent="0.25">
      <c r="K7828"/>
    </row>
    <row r="7829" spans="11:11" x14ac:dyDescent="0.25">
      <c r="K7829"/>
    </row>
    <row r="7830" spans="11:11" x14ac:dyDescent="0.25">
      <c r="K7830"/>
    </row>
    <row r="7831" spans="11:11" x14ac:dyDescent="0.25">
      <c r="K7831"/>
    </row>
    <row r="7832" spans="11:11" x14ac:dyDescent="0.25">
      <c r="K7832"/>
    </row>
    <row r="7833" spans="11:11" x14ac:dyDescent="0.25">
      <c r="K7833"/>
    </row>
    <row r="7834" spans="11:11" x14ac:dyDescent="0.25">
      <c r="K7834"/>
    </row>
    <row r="7835" spans="11:11" x14ac:dyDescent="0.25">
      <c r="K7835"/>
    </row>
    <row r="7836" spans="11:11" x14ac:dyDescent="0.25">
      <c r="K7836"/>
    </row>
    <row r="7837" spans="11:11" x14ac:dyDescent="0.25">
      <c r="K7837"/>
    </row>
    <row r="7838" spans="11:11" x14ac:dyDescent="0.25">
      <c r="K7838"/>
    </row>
    <row r="7839" spans="11:11" x14ac:dyDescent="0.25">
      <c r="K7839"/>
    </row>
    <row r="7840" spans="11:11" x14ac:dyDescent="0.25">
      <c r="K7840"/>
    </row>
    <row r="7841" spans="11:11" x14ac:dyDescent="0.25">
      <c r="K7841"/>
    </row>
    <row r="7842" spans="11:11" x14ac:dyDescent="0.25">
      <c r="K7842"/>
    </row>
    <row r="7843" spans="11:11" x14ac:dyDescent="0.25">
      <c r="K7843"/>
    </row>
    <row r="7844" spans="11:11" x14ac:dyDescent="0.25">
      <c r="K7844"/>
    </row>
    <row r="7845" spans="11:11" x14ac:dyDescent="0.25">
      <c r="K7845"/>
    </row>
    <row r="7846" spans="11:11" x14ac:dyDescent="0.25">
      <c r="K7846"/>
    </row>
    <row r="7847" spans="11:11" x14ac:dyDescent="0.25">
      <c r="K7847"/>
    </row>
    <row r="7848" spans="11:11" x14ac:dyDescent="0.25">
      <c r="K7848"/>
    </row>
    <row r="7849" spans="11:11" x14ac:dyDescent="0.25">
      <c r="K7849"/>
    </row>
    <row r="7850" spans="11:11" x14ac:dyDescent="0.25">
      <c r="K7850"/>
    </row>
    <row r="7851" spans="11:11" x14ac:dyDescent="0.25">
      <c r="K7851"/>
    </row>
    <row r="7852" spans="11:11" x14ac:dyDescent="0.25">
      <c r="K7852"/>
    </row>
    <row r="7853" spans="11:11" x14ac:dyDescent="0.25">
      <c r="K7853"/>
    </row>
    <row r="7854" spans="11:11" x14ac:dyDescent="0.25">
      <c r="K7854"/>
    </row>
    <row r="7855" spans="11:11" x14ac:dyDescent="0.25">
      <c r="K7855"/>
    </row>
    <row r="7856" spans="11:11" x14ac:dyDescent="0.25">
      <c r="K7856"/>
    </row>
    <row r="7857" spans="11:11" x14ac:dyDescent="0.25">
      <c r="K7857"/>
    </row>
    <row r="7858" spans="11:11" x14ac:dyDescent="0.25">
      <c r="K7858"/>
    </row>
    <row r="7859" spans="11:11" x14ac:dyDescent="0.25">
      <c r="K7859"/>
    </row>
    <row r="7860" spans="11:11" x14ac:dyDescent="0.25">
      <c r="K7860"/>
    </row>
    <row r="7861" spans="11:11" x14ac:dyDescent="0.25">
      <c r="K7861"/>
    </row>
    <row r="7862" spans="11:11" x14ac:dyDescent="0.25">
      <c r="K7862"/>
    </row>
    <row r="7863" spans="11:11" x14ac:dyDescent="0.25">
      <c r="K7863"/>
    </row>
    <row r="7864" spans="11:11" x14ac:dyDescent="0.25">
      <c r="K7864"/>
    </row>
    <row r="7865" spans="11:11" x14ac:dyDescent="0.25">
      <c r="K7865"/>
    </row>
    <row r="7866" spans="11:11" x14ac:dyDescent="0.25">
      <c r="K7866"/>
    </row>
    <row r="7867" spans="11:11" x14ac:dyDescent="0.25">
      <c r="K7867"/>
    </row>
    <row r="7868" spans="11:11" x14ac:dyDescent="0.25">
      <c r="K7868"/>
    </row>
    <row r="7869" spans="11:11" x14ac:dyDescent="0.25">
      <c r="K7869"/>
    </row>
    <row r="7870" spans="11:11" x14ac:dyDescent="0.25">
      <c r="K7870"/>
    </row>
    <row r="7871" spans="11:11" x14ac:dyDescent="0.25">
      <c r="K7871"/>
    </row>
    <row r="7872" spans="11:11" x14ac:dyDescent="0.25">
      <c r="K7872"/>
    </row>
    <row r="7873" spans="11:11" x14ac:dyDescent="0.25">
      <c r="K7873"/>
    </row>
    <row r="7874" spans="11:11" x14ac:dyDescent="0.25">
      <c r="K7874"/>
    </row>
    <row r="7875" spans="11:11" x14ac:dyDescent="0.25">
      <c r="K7875"/>
    </row>
    <row r="7876" spans="11:11" x14ac:dyDescent="0.25">
      <c r="K7876"/>
    </row>
    <row r="7877" spans="11:11" x14ac:dyDescent="0.25">
      <c r="K7877"/>
    </row>
    <row r="7878" spans="11:11" x14ac:dyDescent="0.25">
      <c r="K7878"/>
    </row>
    <row r="7879" spans="11:11" x14ac:dyDescent="0.25">
      <c r="K7879"/>
    </row>
    <row r="7880" spans="11:11" x14ac:dyDescent="0.25">
      <c r="K7880"/>
    </row>
    <row r="7881" spans="11:11" x14ac:dyDescent="0.25">
      <c r="K7881"/>
    </row>
    <row r="7882" spans="11:11" x14ac:dyDescent="0.25">
      <c r="K7882"/>
    </row>
    <row r="7883" spans="11:11" x14ac:dyDescent="0.25">
      <c r="K7883"/>
    </row>
    <row r="7884" spans="11:11" x14ac:dyDescent="0.25">
      <c r="K7884"/>
    </row>
    <row r="7885" spans="11:11" x14ac:dyDescent="0.25">
      <c r="K7885"/>
    </row>
    <row r="7886" spans="11:11" x14ac:dyDescent="0.25">
      <c r="K7886"/>
    </row>
    <row r="7887" spans="11:11" x14ac:dyDescent="0.25">
      <c r="K7887"/>
    </row>
    <row r="7888" spans="11:11" x14ac:dyDescent="0.25">
      <c r="K7888"/>
    </row>
    <row r="7889" spans="11:11" x14ac:dyDescent="0.25">
      <c r="K7889"/>
    </row>
    <row r="7890" spans="11:11" x14ac:dyDescent="0.25">
      <c r="K7890"/>
    </row>
    <row r="7891" spans="11:11" x14ac:dyDescent="0.25">
      <c r="K7891"/>
    </row>
    <row r="7892" spans="11:11" x14ac:dyDescent="0.25">
      <c r="K7892"/>
    </row>
    <row r="7893" spans="11:11" x14ac:dyDescent="0.25">
      <c r="K7893"/>
    </row>
    <row r="7894" spans="11:11" x14ac:dyDescent="0.25">
      <c r="K7894"/>
    </row>
    <row r="7895" spans="11:11" x14ac:dyDescent="0.25">
      <c r="K7895"/>
    </row>
    <row r="7896" spans="11:11" x14ac:dyDescent="0.25">
      <c r="K7896"/>
    </row>
    <row r="7897" spans="11:11" x14ac:dyDescent="0.25">
      <c r="K7897"/>
    </row>
    <row r="7898" spans="11:11" x14ac:dyDescent="0.25">
      <c r="K7898"/>
    </row>
    <row r="7899" spans="11:11" x14ac:dyDescent="0.25">
      <c r="K7899"/>
    </row>
    <row r="7900" spans="11:11" x14ac:dyDescent="0.25">
      <c r="K7900"/>
    </row>
    <row r="7901" spans="11:11" x14ac:dyDescent="0.25">
      <c r="K7901"/>
    </row>
    <row r="7902" spans="11:11" x14ac:dyDescent="0.25">
      <c r="K7902"/>
    </row>
    <row r="7903" spans="11:11" x14ac:dyDescent="0.25">
      <c r="K7903"/>
    </row>
    <row r="7904" spans="11:11" x14ac:dyDescent="0.25">
      <c r="K7904"/>
    </row>
    <row r="7905" spans="11:11" x14ac:dyDescent="0.25">
      <c r="K7905"/>
    </row>
    <row r="7906" spans="11:11" x14ac:dyDescent="0.25">
      <c r="K7906"/>
    </row>
    <row r="7907" spans="11:11" x14ac:dyDescent="0.25">
      <c r="K7907"/>
    </row>
    <row r="7908" spans="11:11" x14ac:dyDescent="0.25">
      <c r="K7908"/>
    </row>
    <row r="7909" spans="11:11" x14ac:dyDescent="0.25">
      <c r="K7909"/>
    </row>
    <row r="7910" spans="11:11" x14ac:dyDescent="0.25">
      <c r="K7910"/>
    </row>
    <row r="7911" spans="11:11" x14ac:dyDescent="0.25">
      <c r="K7911"/>
    </row>
    <row r="7912" spans="11:11" x14ac:dyDescent="0.25">
      <c r="K7912"/>
    </row>
    <row r="7913" spans="11:11" x14ac:dyDescent="0.25">
      <c r="K7913"/>
    </row>
    <row r="7914" spans="11:11" x14ac:dyDescent="0.25">
      <c r="K7914"/>
    </row>
    <row r="7915" spans="11:11" x14ac:dyDescent="0.25">
      <c r="K7915"/>
    </row>
    <row r="7916" spans="11:11" x14ac:dyDescent="0.25">
      <c r="K7916"/>
    </row>
    <row r="7917" spans="11:11" x14ac:dyDescent="0.25">
      <c r="K7917"/>
    </row>
    <row r="7918" spans="11:11" x14ac:dyDescent="0.25">
      <c r="K7918"/>
    </row>
    <row r="7919" spans="11:11" x14ac:dyDescent="0.25">
      <c r="K7919"/>
    </row>
    <row r="7920" spans="11:11" x14ac:dyDescent="0.25">
      <c r="K7920"/>
    </row>
    <row r="7921" spans="11:11" x14ac:dyDescent="0.25">
      <c r="K7921"/>
    </row>
    <row r="7922" spans="11:11" x14ac:dyDescent="0.25">
      <c r="K7922"/>
    </row>
    <row r="7923" spans="11:11" x14ac:dyDescent="0.25">
      <c r="K7923"/>
    </row>
    <row r="7924" spans="11:11" x14ac:dyDescent="0.25">
      <c r="K7924"/>
    </row>
    <row r="7925" spans="11:11" x14ac:dyDescent="0.25">
      <c r="K7925"/>
    </row>
    <row r="7926" spans="11:11" x14ac:dyDescent="0.25">
      <c r="K7926"/>
    </row>
    <row r="7927" spans="11:11" x14ac:dyDescent="0.25">
      <c r="K7927"/>
    </row>
    <row r="7928" spans="11:11" x14ac:dyDescent="0.25">
      <c r="K7928"/>
    </row>
    <row r="7929" spans="11:11" x14ac:dyDescent="0.25">
      <c r="K7929"/>
    </row>
    <row r="7930" spans="11:11" x14ac:dyDescent="0.25">
      <c r="K7930"/>
    </row>
    <row r="7931" spans="11:11" x14ac:dyDescent="0.25">
      <c r="K7931"/>
    </row>
    <row r="7932" spans="11:11" x14ac:dyDescent="0.25">
      <c r="K7932"/>
    </row>
    <row r="7933" spans="11:11" x14ac:dyDescent="0.25">
      <c r="K7933"/>
    </row>
    <row r="7934" spans="11:11" x14ac:dyDescent="0.25">
      <c r="K7934"/>
    </row>
    <row r="7935" spans="11:11" x14ac:dyDescent="0.25">
      <c r="K7935"/>
    </row>
    <row r="7936" spans="11:11" x14ac:dyDescent="0.25">
      <c r="K7936"/>
    </row>
    <row r="7937" spans="11:11" x14ac:dyDescent="0.25">
      <c r="K7937"/>
    </row>
    <row r="7938" spans="11:11" x14ac:dyDescent="0.25">
      <c r="K7938"/>
    </row>
    <row r="7939" spans="11:11" x14ac:dyDescent="0.25">
      <c r="K7939"/>
    </row>
    <row r="7940" spans="11:11" x14ac:dyDescent="0.25">
      <c r="K7940"/>
    </row>
    <row r="7941" spans="11:11" x14ac:dyDescent="0.25">
      <c r="K7941"/>
    </row>
    <row r="7942" spans="11:11" x14ac:dyDescent="0.25">
      <c r="K7942"/>
    </row>
    <row r="7943" spans="11:11" x14ac:dyDescent="0.25">
      <c r="K7943"/>
    </row>
    <row r="7944" spans="11:11" x14ac:dyDescent="0.25">
      <c r="K7944"/>
    </row>
    <row r="7945" spans="11:11" x14ac:dyDescent="0.25">
      <c r="K7945"/>
    </row>
    <row r="7946" spans="11:11" x14ac:dyDescent="0.25">
      <c r="K7946"/>
    </row>
    <row r="7947" spans="11:11" x14ac:dyDescent="0.25">
      <c r="K7947"/>
    </row>
    <row r="7948" spans="11:11" x14ac:dyDescent="0.25">
      <c r="K7948"/>
    </row>
    <row r="7949" spans="11:11" x14ac:dyDescent="0.25">
      <c r="K7949"/>
    </row>
    <row r="7950" spans="11:11" x14ac:dyDescent="0.25">
      <c r="K7950"/>
    </row>
    <row r="7951" spans="11:11" x14ac:dyDescent="0.25">
      <c r="K7951"/>
    </row>
    <row r="7952" spans="11:11" x14ac:dyDescent="0.25">
      <c r="K7952"/>
    </row>
    <row r="7953" spans="11:11" x14ac:dyDescent="0.25">
      <c r="K7953"/>
    </row>
    <row r="7954" spans="11:11" x14ac:dyDescent="0.25">
      <c r="K7954"/>
    </row>
    <row r="7955" spans="11:11" x14ac:dyDescent="0.25">
      <c r="K7955"/>
    </row>
    <row r="7956" spans="11:11" x14ac:dyDescent="0.25">
      <c r="K7956"/>
    </row>
    <row r="7957" spans="11:11" x14ac:dyDescent="0.25">
      <c r="K7957"/>
    </row>
    <row r="7958" spans="11:11" x14ac:dyDescent="0.25">
      <c r="K7958"/>
    </row>
    <row r="7959" spans="11:11" x14ac:dyDescent="0.25">
      <c r="K7959"/>
    </row>
    <row r="7960" spans="11:11" x14ac:dyDescent="0.25">
      <c r="K7960"/>
    </row>
    <row r="7961" spans="11:11" x14ac:dyDescent="0.25">
      <c r="K7961"/>
    </row>
    <row r="7962" spans="11:11" x14ac:dyDescent="0.25">
      <c r="K7962"/>
    </row>
    <row r="7963" spans="11:11" x14ac:dyDescent="0.25">
      <c r="K7963"/>
    </row>
    <row r="7964" spans="11:11" x14ac:dyDescent="0.25">
      <c r="K7964"/>
    </row>
    <row r="7965" spans="11:11" x14ac:dyDescent="0.25">
      <c r="K7965"/>
    </row>
    <row r="7966" spans="11:11" x14ac:dyDescent="0.25">
      <c r="K7966"/>
    </row>
    <row r="7967" spans="11:11" x14ac:dyDescent="0.25">
      <c r="K7967"/>
    </row>
    <row r="7968" spans="11:11" x14ac:dyDescent="0.25">
      <c r="K7968"/>
    </row>
    <row r="7969" spans="11:11" x14ac:dyDescent="0.25">
      <c r="K7969"/>
    </row>
    <row r="7970" spans="11:11" x14ac:dyDescent="0.25">
      <c r="K7970"/>
    </row>
    <row r="7971" spans="11:11" x14ac:dyDescent="0.25">
      <c r="K7971"/>
    </row>
    <row r="7972" spans="11:11" x14ac:dyDescent="0.25">
      <c r="K7972"/>
    </row>
    <row r="7973" spans="11:11" x14ac:dyDescent="0.25">
      <c r="K7973"/>
    </row>
    <row r="7974" spans="11:11" x14ac:dyDescent="0.25">
      <c r="K7974"/>
    </row>
    <row r="7975" spans="11:11" x14ac:dyDescent="0.25">
      <c r="K7975"/>
    </row>
    <row r="7976" spans="11:11" x14ac:dyDescent="0.25">
      <c r="K7976"/>
    </row>
    <row r="7977" spans="11:11" x14ac:dyDescent="0.25">
      <c r="K7977"/>
    </row>
    <row r="7978" spans="11:11" x14ac:dyDescent="0.25">
      <c r="K7978"/>
    </row>
    <row r="7979" spans="11:11" x14ac:dyDescent="0.25">
      <c r="K7979"/>
    </row>
    <row r="7980" spans="11:11" x14ac:dyDescent="0.25">
      <c r="K7980"/>
    </row>
    <row r="7981" spans="11:11" x14ac:dyDescent="0.25">
      <c r="K7981"/>
    </row>
    <row r="7982" spans="11:11" x14ac:dyDescent="0.25">
      <c r="K7982"/>
    </row>
    <row r="7983" spans="11:11" x14ac:dyDescent="0.25">
      <c r="K7983"/>
    </row>
    <row r="7984" spans="11:11" x14ac:dyDescent="0.25">
      <c r="K7984"/>
    </row>
    <row r="7985" spans="11:11" x14ac:dyDescent="0.25">
      <c r="K7985"/>
    </row>
    <row r="7986" spans="11:11" x14ac:dyDescent="0.25">
      <c r="K7986"/>
    </row>
    <row r="7987" spans="11:11" x14ac:dyDescent="0.25">
      <c r="K7987"/>
    </row>
    <row r="7988" spans="11:11" x14ac:dyDescent="0.25">
      <c r="K7988"/>
    </row>
    <row r="7989" spans="11:11" x14ac:dyDescent="0.25">
      <c r="K7989"/>
    </row>
    <row r="7990" spans="11:11" x14ac:dyDescent="0.25">
      <c r="K7990"/>
    </row>
    <row r="7991" spans="11:11" x14ac:dyDescent="0.25">
      <c r="K7991"/>
    </row>
    <row r="7992" spans="11:11" x14ac:dyDescent="0.25">
      <c r="K7992"/>
    </row>
    <row r="7993" spans="11:11" x14ac:dyDescent="0.25">
      <c r="K7993"/>
    </row>
    <row r="7994" spans="11:11" x14ac:dyDescent="0.25">
      <c r="K7994"/>
    </row>
    <row r="7995" spans="11:11" x14ac:dyDescent="0.25">
      <c r="K7995"/>
    </row>
    <row r="7996" spans="11:11" x14ac:dyDescent="0.25">
      <c r="K7996"/>
    </row>
    <row r="7997" spans="11:11" x14ac:dyDescent="0.25">
      <c r="K7997"/>
    </row>
    <row r="7998" spans="11:11" x14ac:dyDescent="0.25">
      <c r="K7998"/>
    </row>
    <row r="7999" spans="11:11" x14ac:dyDescent="0.25">
      <c r="K7999"/>
    </row>
    <row r="8000" spans="11:11" x14ac:dyDescent="0.25">
      <c r="K8000"/>
    </row>
    <row r="8001" spans="11:11" x14ac:dyDescent="0.25">
      <c r="K8001"/>
    </row>
    <row r="8002" spans="11:11" x14ac:dyDescent="0.25">
      <c r="K8002"/>
    </row>
    <row r="8003" spans="11:11" x14ac:dyDescent="0.25">
      <c r="K8003"/>
    </row>
    <row r="8004" spans="11:11" x14ac:dyDescent="0.25">
      <c r="K8004"/>
    </row>
    <row r="8005" spans="11:11" x14ac:dyDescent="0.25">
      <c r="K8005"/>
    </row>
    <row r="8006" spans="11:11" x14ac:dyDescent="0.25">
      <c r="K8006"/>
    </row>
    <row r="8007" spans="11:11" x14ac:dyDescent="0.25">
      <c r="K8007"/>
    </row>
    <row r="8008" spans="11:11" x14ac:dyDescent="0.25">
      <c r="K8008"/>
    </row>
    <row r="8009" spans="11:11" x14ac:dyDescent="0.25">
      <c r="K8009"/>
    </row>
    <row r="8010" spans="11:11" x14ac:dyDescent="0.25">
      <c r="K8010"/>
    </row>
    <row r="8011" spans="11:11" x14ac:dyDescent="0.25">
      <c r="K8011"/>
    </row>
    <row r="8012" spans="11:11" x14ac:dyDescent="0.25">
      <c r="K8012"/>
    </row>
    <row r="8013" spans="11:11" x14ac:dyDescent="0.25">
      <c r="K8013"/>
    </row>
    <row r="8014" spans="11:11" x14ac:dyDescent="0.25">
      <c r="K8014"/>
    </row>
    <row r="8015" spans="11:11" x14ac:dyDescent="0.25">
      <c r="K8015"/>
    </row>
    <row r="8016" spans="11:11" x14ac:dyDescent="0.25">
      <c r="K8016"/>
    </row>
    <row r="8017" spans="11:11" x14ac:dyDescent="0.25">
      <c r="K8017"/>
    </row>
    <row r="8018" spans="11:11" x14ac:dyDescent="0.25">
      <c r="K8018"/>
    </row>
    <row r="8019" spans="11:11" x14ac:dyDescent="0.25">
      <c r="K8019"/>
    </row>
    <row r="8020" spans="11:11" x14ac:dyDescent="0.25">
      <c r="K8020"/>
    </row>
    <row r="8021" spans="11:11" x14ac:dyDescent="0.25">
      <c r="K8021"/>
    </row>
    <row r="8022" spans="11:11" x14ac:dyDescent="0.25">
      <c r="K8022"/>
    </row>
    <row r="8023" spans="11:11" x14ac:dyDescent="0.25">
      <c r="K8023"/>
    </row>
    <row r="8024" spans="11:11" x14ac:dyDescent="0.25">
      <c r="K8024"/>
    </row>
    <row r="8025" spans="11:11" x14ac:dyDescent="0.25">
      <c r="K8025"/>
    </row>
    <row r="8026" spans="11:11" x14ac:dyDescent="0.25">
      <c r="K8026"/>
    </row>
    <row r="8027" spans="11:11" x14ac:dyDescent="0.25">
      <c r="K8027"/>
    </row>
    <row r="8028" spans="11:11" x14ac:dyDescent="0.25">
      <c r="K8028"/>
    </row>
    <row r="8029" spans="11:11" x14ac:dyDescent="0.25">
      <c r="K8029"/>
    </row>
    <row r="8030" spans="11:11" x14ac:dyDescent="0.25">
      <c r="K8030"/>
    </row>
    <row r="8031" spans="11:11" x14ac:dyDescent="0.25">
      <c r="K8031"/>
    </row>
    <row r="8032" spans="11:11" x14ac:dyDescent="0.25">
      <c r="K8032"/>
    </row>
    <row r="8033" spans="11:11" x14ac:dyDescent="0.25">
      <c r="K8033"/>
    </row>
    <row r="8034" spans="11:11" x14ac:dyDescent="0.25">
      <c r="K8034"/>
    </row>
    <row r="8035" spans="11:11" x14ac:dyDescent="0.25">
      <c r="K8035"/>
    </row>
    <row r="8036" spans="11:11" x14ac:dyDescent="0.25">
      <c r="K8036"/>
    </row>
    <row r="8037" spans="11:11" x14ac:dyDescent="0.25">
      <c r="K8037"/>
    </row>
    <row r="8038" spans="11:11" x14ac:dyDescent="0.25">
      <c r="K8038"/>
    </row>
    <row r="8039" spans="11:11" x14ac:dyDescent="0.25">
      <c r="K8039"/>
    </row>
    <row r="8040" spans="11:11" x14ac:dyDescent="0.25">
      <c r="K8040"/>
    </row>
    <row r="8041" spans="11:11" x14ac:dyDescent="0.25">
      <c r="K8041"/>
    </row>
    <row r="8042" spans="11:11" x14ac:dyDescent="0.25">
      <c r="K8042"/>
    </row>
    <row r="8043" spans="11:11" x14ac:dyDescent="0.25">
      <c r="K8043"/>
    </row>
    <row r="8044" spans="11:11" x14ac:dyDescent="0.25">
      <c r="K8044"/>
    </row>
    <row r="8045" spans="11:11" x14ac:dyDescent="0.25">
      <c r="K8045"/>
    </row>
    <row r="8046" spans="11:11" x14ac:dyDescent="0.25">
      <c r="K8046"/>
    </row>
    <row r="8047" spans="11:11" x14ac:dyDescent="0.25">
      <c r="K8047"/>
    </row>
    <row r="8048" spans="11:11" x14ac:dyDescent="0.25">
      <c r="K8048"/>
    </row>
    <row r="8049" spans="11:11" x14ac:dyDescent="0.25">
      <c r="K8049"/>
    </row>
    <row r="8050" spans="11:11" x14ac:dyDescent="0.25">
      <c r="K8050"/>
    </row>
    <row r="8051" spans="11:11" x14ac:dyDescent="0.25">
      <c r="K8051"/>
    </row>
    <row r="8052" spans="11:11" x14ac:dyDescent="0.25">
      <c r="K8052"/>
    </row>
    <row r="8053" spans="11:11" x14ac:dyDescent="0.25">
      <c r="K8053"/>
    </row>
    <row r="8054" spans="11:11" x14ac:dyDescent="0.25">
      <c r="K8054"/>
    </row>
    <row r="8055" spans="11:11" x14ac:dyDescent="0.25">
      <c r="K8055"/>
    </row>
    <row r="8056" spans="11:11" x14ac:dyDescent="0.25">
      <c r="K8056"/>
    </row>
    <row r="8057" spans="11:11" x14ac:dyDescent="0.25">
      <c r="K8057"/>
    </row>
    <row r="8058" spans="11:11" x14ac:dyDescent="0.25">
      <c r="K8058"/>
    </row>
    <row r="8059" spans="11:11" x14ac:dyDescent="0.25">
      <c r="K8059"/>
    </row>
    <row r="8060" spans="11:11" x14ac:dyDescent="0.25">
      <c r="K8060"/>
    </row>
    <row r="8061" spans="11:11" x14ac:dyDescent="0.25">
      <c r="K8061"/>
    </row>
    <row r="8062" spans="11:11" x14ac:dyDescent="0.25">
      <c r="K8062"/>
    </row>
    <row r="8063" spans="11:11" x14ac:dyDescent="0.25">
      <c r="K8063"/>
    </row>
    <row r="8064" spans="11:11" x14ac:dyDescent="0.25">
      <c r="K8064"/>
    </row>
    <row r="8065" spans="11:11" x14ac:dyDescent="0.25">
      <c r="K8065"/>
    </row>
    <row r="8066" spans="11:11" x14ac:dyDescent="0.25">
      <c r="K8066"/>
    </row>
    <row r="8067" spans="11:11" x14ac:dyDescent="0.25">
      <c r="K8067"/>
    </row>
    <row r="8068" spans="11:11" x14ac:dyDescent="0.25">
      <c r="K8068"/>
    </row>
    <row r="8069" spans="11:11" x14ac:dyDescent="0.25">
      <c r="K8069"/>
    </row>
    <row r="8070" spans="11:11" x14ac:dyDescent="0.25">
      <c r="K8070"/>
    </row>
    <row r="8071" spans="11:11" x14ac:dyDescent="0.25">
      <c r="K8071"/>
    </row>
    <row r="8072" spans="11:11" x14ac:dyDescent="0.25">
      <c r="K8072"/>
    </row>
    <row r="8073" spans="11:11" x14ac:dyDescent="0.25">
      <c r="K8073"/>
    </row>
    <row r="8074" spans="11:11" x14ac:dyDescent="0.25">
      <c r="K8074"/>
    </row>
    <row r="8075" spans="11:11" x14ac:dyDescent="0.25">
      <c r="K8075"/>
    </row>
    <row r="8076" spans="11:11" x14ac:dyDescent="0.25">
      <c r="K8076"/>
    </row>
    <row r="8077" spans="11:11" x14ac:dyDescent="0.25">
      <c r="K8077"/>
    </row>
    <row r="8078" spans="11:11" x14ac:dyDescent="0.25">
      <c r="K8078"/>
    </row>
    <row r="8079" spans="11:11" x14ac:dyDescent="0.25">
      <c r="K8079"/>
    </row>
    <row r="8080" spans="11:11" x14ac:dyDescent="0.25">
      <c r="K8080"/>
    </row>
    <row r="8081" spans="11:11" x14ac:dyDescent="0.25">
      <c r="K8081"/>
    </row>
    <row r="8082" spans="11:11" x14ac:dyDescent="0.25">
      <c r="K8082"/>
    </row>
    <row r="8083" spans="11:11" x14ac:dyDescent="0.25">
      <c r="K8083"/>
    </row>
    <row r="8084" spans="11:11" x14ac:dyDescent="0.25">
      <c r="K8084"/>
    </row>
    <row r="8085" spans="11:11" x14ac:dyDescent="0.25">
      <c r="K8085"/>
    </row>
    <row r="8086" spans="11:11" x14ac:dyDescent="0.25">
      <c r="K8086"/>
    </row>
    <row r="8087" spans="11:11" x14ac:dyDescent="0.25">
      <c r="K8087"/>
    </row>
    <row r="8088" spans="11:11" x14ac:dyDescent="0.25">
      <c r="K8088"/>
    </row>
    <row r="8089" spans="11:11" x14ac:dyDescent="0.25">
      <c r="K8089"/>
    </row>
    <row r="8090" spans="11:11" x14ac:dyDescent="0.25">
      <c r="K8090"/>
    </row>
    <row r="8091" spans="11:11" x14ac:dyDescent="0.25">
      <c r="K8091"/>
    </row>
    <row r="8092" spans="11:11" x14ac:dyDescent="0.25">
      <c r="K8092"/>
    </row>
    <row r="8093" spans="11:11" x14ac:dyDescent="0.25">
      <c r="K8093"/>
    </row>
    <row r="8094" spans="11:11" x14ac:dyDescent="0.25">
      <c r="K8094"/>
    </row>
    <row r="8095" spans="11:11" x14ac:dyDescent="0.25">
      <c r="K8095"/>
    </row>
    <row r="8096" spans="11:11" x14ac:dyDescent="0.25">
      <c r="K8096"/>
    </row>
    <row r="8097" spans="11:11" x14ac:dyDescent="0.25">
      <c r="K8097"/>
    </row>
    <row r="8098" spans="11:11" x14ac:dyDescent="0.25">
      <c r="K8098"/>
    </row>
    <row r="8099" spans="11:11" x14ac:dyDescent="0.25">
      <c r="K8099"/>
    </row>
    <row r="8100" spans="11:11" x14ac:dyDescent="0.25">
      <c r="K8100"/>
    </row>
    <row r="8101" spans="11:11" x14ac:dyDescent="0.25">
      <c r="K8101"/>
    </row>
    <row r="8102" spans="11:11" x14ac:dyDescent="0.25">
      <c r="K8102"/>
    </row>
    <row r="8103" spans="11:11" x14ac:dyDescent="0.25">
      <c r="K8103"/>
    </row>
    <row r="8104" spans="11:11" x14ac:dyDescent="0.25">
      <c r="K8104"/>
    </row>
    <row r="8105" spans="11:11" x14ac:dyDescent="0.25">
      <c r="K8105"/>
    </row>
    <row r="8106" spans="11:11" x14ac:dyDescent="0.25">
      <c r="K8106"/>
    </row>
    <row r="8107" spans="11:11" x14ac:dyDescent="0.25">
      <c r="K8107"/>
    </row>
    <row r="8108" spans="11:11" x14ac:dyDescent="0.25">
      <c r="K8108"/>
    </row>
    <row r="8109" spans="11:11" x14ac:dyDescent="0.25">
      <c r="K8109"/>
    </row>
    <row r="8110" spans="11:11" x14ac:dyDescent="0.25">
      <c r="K8110"/>
    </row>
    <row r="8111" spans="11:11" x14ac:dyDescent="0.25">
      <c r="K8111"/>
    </row>
    <row r="8112" spans="11:11" x14ac:dyDescent="0.25">
      <c r="K8112"/>
    </row>
    <row r="8113" spans="11:11" x14ac:dyDescent="0.25">
      <c r="K8113"/>
    </row>
    <row r="8114" spans="11:11" x14ac:dyDescent="0.25">
      <c r="K8114"/>
    </row>
    <row r="8115" spans="11:11" x14ac:dyDescent="0.25">
      <c r="K8115"/>
    </row>
    <row r="8116" spans="11:11" x14ac:dyDescent="0.25">
      <c r="K8116"/>
    </row>
    <row r="8117" spans="11:11" x14ac:dyDescent="0.25">
      <c r="K8117"/>
    </row>
    <row r="8118" spans="11:11" x14ac:dyDescent="0.25">
      <c r="K8118"/>
    </row>
    <row r="8119" spans="11:11" x14ac:dyDescent="0.25">
      <c r="K8119"/>
    </row>
    <row r="8120" spans="11:11" x14ac:dyDescent="0.25">
      <c r="K8120"/>
    </row>
    <row r="8121" spans="11:11" x14ac:dyDescent="0.25">
      <c r="K8121"/>
    </row>
    <row r="8122" spans="11:11" x14ac:dyDescent="0.25">
      <c r="K8122"/>
    </row>
    <row r="8123" spans="11:11" x14ac:dyDescent="0.25">
      <c r="K8123"/>
    </row>
    <row r="8124" spans="11:11" x14ac:dyDescent="0.25">
      <c r="K8124"/>
    </row>
    <row r="8125" spans="11:11" x14ac:dyDescent="0.25">
      <c r="K8125"/>
    </row>
    <row r="8126" spans="11:11" x14ac:dyDescent="0.25">
      <c r="K8126"/>
    </row>
    <row r="8127" spans="11:11" x14ac:dyDescent="0.25">
      <c r="K8127"/>
    </row>
    <row r="8128" spans="11:11" x14ac:dyDescent="0.25">
      <c r="K8128"/>
    </row>
    <row r="8129" spans="11:11" x14ac:dyDescent="0.25">
      <c r="K8129"/>
    </row>
    <row r="8130" spans="11:11" x14ac:dyDescent="0.25">
      <c r="K8130"/>
    </row>
    <row r="8131" spans="11:11" x14ac:dyDescent="0.25">
      <c r="K8131"/>
    </row>
    <row r="8132" spans="11:11" x14ac:dyDescent="0.25">
      <c r="K8132"/>
    </row>
    <row r="8133" spans="11:11" x14ac:dyDescent="0.25">
      <c r="K8133"/>
    </row>
    <row r="8134" spans="11:11" x14ac:dyDescent="0.25">
      <c r="K8134"/>
    </row>
    <row r="8135" spans="11:11" x14ac:dyDescent="0.25">
      <c r="K8135"/>
    </row>
    <row r="8136" spans="11:11" x14ac:dyDescent="0.25">
      <c r="K8136"/>
    </row>
    <row r="8137" spans="11:11" x14ac:dyDescent="0.25">
      <c r="K8137"/>
    </row>
    <row r="8138" spans="11:11" x14ac:dyDescent="0.25">
      <c r="K8138"/>
    </row>
    <row r="8139" spans="11:11" x14ac:dyDescent="0.25">
      <c r="K8139"/>
    </row>
    <row r="8140" spans="11:11" x14ac:dyDescent="0.25">
      <c r="K8140"/>
    </row>
    <row r="8141" spans="11:11" x14ac:dyDescent="0.25">
      <c r="K8141"/>
    </row>
    <row r="8142" spans="11:11" x14ac:dyDescent="0.25">
      <c r="K8142"/>
    </row>
    <row r="8143" spans="11:11" x14ac:dyDescent="0.25">
      <c r="K8143"/>
    </row>
    <row r="8144" spans="11:11" x14ac:dyDescent="0.25">
      <c r="K8144"/>
    </row>
    <row r="8145" spans="11:11" x14ac:dyDescent="0.25">
      <c r="K8145"/>
    </row>
    <row r="8146" spans="11:11" x14ac:dyDescent="0.25">
      <c r="K8146"/>
    </row>
    <row r="8147" spans="11:11" x14ac:dyDescent="0.25">
      <c r="K8147"/>
    </row>
    <row r="8148" spans="11:11" x14ac:dyDescent="0.25">
      <c r="K8148"/>
    </row>
    <row r="8149" spans="11:11" x14ac:dyDescent="0.25">
      <c r="K8149"/>
    </row>
    <row r="8150" spans="11:11" x14ac:dyDescent="0.25">
      <c r="K8150"/>
    </row>
    <row r="8151" spans="11:11" x14ac:dyDescent="0.25">
      <c r="K8151"/>
    </row>
    <row r="8152" spans="11:11" x14ac:dyDescent="0.25">
      <c r="K8152"/>
    </row>
    <row r="8153" spans="11:11" x14ac:dyDescent="0.25">
      <c r="K8153"/>
    </row>
    <row r="8154" spans="11:11" x14ac:dyDescent="0.25">
      <c r="K8154"/>
    </row>
    <row r="8155" spans="11:11" x14ac:dyDescent="0.25">
      <c r="K8155"/>
    </row>
    <row r="8156" spans="11:11" x14ac:dyDescent="0.25">
      <c r="K8156"/>
    </row>
    <row r="8157" spans="11:11" x14ac:dyDescent="0.25">
      <c r="K8157"/>
    </row>
    <row r="8158" spans="11:11" x14ac:dyDescent="0.25">
      <c r="K8158"/>
    </row>
    <row r="8159" spans="11:11" x14ac:dyDescent="0.25">
      <c r="K8159"/>
    </row>
    <row r="8160" spans="11:11" x14ac:dyDescent="0.25">
      <c r="K8160"/>
    </row>
    <row r="8161" spans="11:11" x14ac:dyDescent="0.25">
      <c r="K8161"/>
    </row>
    <row r="8162" spans="11:11" x14ac:dyDescent="0.25">
      <c r="K8162"/>
    </row>
    <row r="8163" spans="11:11" x14ac:dyDescent="0.25">
      <c r="K8163"/>
    </row>
    <row r="8164" spans="11:11" x14ac:dyDescent="0.25">
      <c r="K8164"/>
    </row>
    <row r="8165" spans="11:11" x14ac:dyDescent="0.25">
      <c r="K8165"/>
    </row>
    <row r="8166" spans="11:11" x14ac:dyDescent="0.25">
      <c r="K8166"/>
    </row>
    <row r="8167" spans="11:11" x14ac:dyDescent="0.25">
      <c r="K8167"/>
    </row>
    <row r="8168" spans="11:11" x14ac:dyDescent="0.25">
      <c r="K8168"/>
    </row>
    <row r="8169" spans="11:11" x14ac:dyDescent="0.25">
      <c r="K8169"/>
    </row>
    <row r="8170" spans="11:11" x14ac:dyDescent="0.25">
      <c r="K8170"/>
    </row>
    <row r="8171" spans="11:11" x14ac:dyDescent="0.25">
      <c r="K8171"/>
    </row>
    <row r="8172" spans="11:11" x14ac:dyDescent="0.25">
      <c r="K8172"/>
    </row>
    <row r="8173" spans="11:11" x14ac:dyDescent="0.25">
      <c r="K8173"/>
    </row>
    <row r="8174" spans="11:11" x14ac:dyDescent="0.25">
      <c r="K8174"/>
    </row>
    <row r="8175" spans="11:11" x14ac:dyDescent="0.25">
      <c r="K8175"/>
    </row>
    <row r="8176" spans="11:11" x14ac:dyDescent="0.25">
      <c r="K8176"/>
    </row>
    <row r="8177" spans="11:11" x14ac:dyDescent="0.25">
      <c r="K8177"/>
    </row>
    <row r="8178" spans="11:11" x14ac:dyDescent="0.25">
      <c r="K8178"/>
    </row>
    <row r="8179" spans="11:11" x14ac:dyDescent="0.25">
      <c r="K8179"/>
    </row>
    <row r="8180" spans="11:11" x14ac:dyDescent="0.25">
      <c r="K8180"/>
    </row>
    <row r="8181" spans="11:11" x14ac:dyDescent="0.25">
      <c r="K8181"/>
    </row>
    <row r="8182" spans="11:11" x14ac:dyDescent="0.25">
      <c r="K8182"/>
    </row>
    <row r="8183" spans="11:11" x14ac:dyDescent="0.25">
      <c r="K8183"/>
    </row>
    <row r="8184" spans="11:11" x14ac:dyDescent="0.25">
      <c r="K8184"/>
    </row>
    <row r="8185" spans="11:11" x14ac:dyDescent="0.25">
      <c r="K8185"/>
    </row>
    <row r="8186" spans="11:11" x14ac:dyDescent="0.25">
      <c r="K8186"/>
    </row>
    <row r="8187" spans="11:11" x14ac:dyDescent="0.25">
      <c r="K8187"/>
    </row>
    <row r="8188" spans="11:11" x14ac:dyDescent="0.25">
      <c r="K8188"/>
    </row>
    <row r="8189" spans="11:11" x14ac:dyDescent="0.25">
      <c r="K8189"/>
    </row>
    <row r="8190" spans="11:11" x14ac:dyDescent="0.25">
      <c r="K8190"/>
    </row>
    <row r="8191" spans="11:11" x14ac:dyDescent="0.25">
      <c r="K8191"/>
    </row>
    <row r="8192" spans="11:11" x14ac:dyDescent="0.25">
      <c r="K8192"/>
    </row>
    <row r="8193" spans="11:11" x14ac:dyDescent="0.25">
      <c r="K8193"/>
    </row>
    <row r="8194" spans="11:11" x14ac:dyDescent="0.25">
      <c r="K8194"/>
    </row>
    <row r="8195" spans="11:11" x14ac:dyDescent="0.25">
      <c r="K8195"/>
    </row>
    <row r="8196" spans="11:11" x14ac:dyDescent="0.25">
      <c r="K8196"/>
    </row>
    <row r="8197" spans="11:11" x14ac:dyDescent="0.25">
      <c r="K8197"/>
    </row>
    <row r="8198" spans="11:11" x14ac:dyDescent="0.25">
      <c r="K8198"/>
    </row>
    <row r="8199" spans="11:11" x14ac:dyDescent="0.25">
      <c r="K8199"/>
    </row>
    <row r="8200" spans="11:11" x14ac:dyDescent="0.25">
      <c r="K8200"/>
    </row>
    <row r="8201" spans="11:11" x14ac:dyDescent="0.25">
      <c r="K8201"/>
    </row>
    <row r="8202" spans="11:11" x14ac:dyDescent="0.25">
      <c r="K8202"/>
    </row>
    <row r="8203" spans="11:11" x14ac:dyDescent="0.25">
      <c r="K8203"/>
    </row>
    <row r="8204" spans="11:11" x14ac:dyDescent="0.25">
      <c r="K8204"/>
    </row>
    <row r="8205" spans="11:11" x14ac:dyDescent="0.25">
      <c r="K8205"/>
    </row>
    <row r="8206" spans="11:11" x14ac:dyDescent="0.25">
      <c r="K8206"/>
    </row>
    <row r="8207" spans="11:11" x14ac:dyDescent="0.25">
      <c r="K8207"/>
    </row>
    <row r="8208" spans="11:11" x14ac:dyDescent="0.25">
      <c r="K8208"/>
    </row>
    <row r="8209" spans="11:11" x14ac:dyDescent="0.25">
      <c r="K8209"/>
    </row>
    <row r="8210" spans="11:11" x14ac:dyDescent="0.25">
      <c r="K8210"/>
    </row>
    <row r="8211" spans="11:11" x14ac:dyDescent="0.25">
      <c r="K8211"/>
    </row>
    <row r="8212" spans="11:11" x14ac:dyDescent="0.25">
      <c r="K8212"/>
    </row>
    <row r="8213" spans="11:11" x14ac:dyDescent="0.25">
      <c r="K8213"/>
    </row>
    <row r="8214" spans="11:11" x14ac:dyDescent="0.25">
      <c r="K8214"/>
    </row>
    <row r="8215" spans="11:11" x14ac:dyDescent="0.25">
      <c r="K8215"/>
    </row>
    <row r="8216" spans="11:11" x14ac:dyDescent="0.25">
      <c r="K8216"/>
    </row>
    <row r="8217" spans="11:11" x14ac:dyDescent="0.25">
      <c r="K8217"/>
    </row>
    <row r="8218" spans="11:11" x14ac:dyDescent="0.25">
      <c r="K8218"/>
    </row>
    <row r="8219" spans="11:11" x14ac:dyDescent="0.25">
      <c r="K8219"/>
    </row>
    <row r="8220" spans="11:11" x14ac:dyDescent="0.25">
      <c r="K8220"/>
    </row>
    <row r="8221" spans="11:11" x14ac:dyDescent="0.25">
      <c r="K8221"/>
    </row>
    <row r="8222" spans="11:11" x14ac:dyDescent="0.25">
      <c r="K8222"/>
    </row>
    <row r="8223" spans="11:11" x14ac:dyDescent="0.25">
      <c r="K8223"/>
    </row>
    <row r="8224" spans="11:11" x14ac:dyDescent="0.25">
      <c r="K8224"/>
    </row>
    <row r="8225" spans="11:11" x14ac:dyDescent="0.25">
      <c r="K8225"/>
    </row>
    <row r="8226" spans="11:11" x14ac:dyDescent="0.25">
      <c r="K8226"/>
    </row>
    <row r="8227" spans="11:11" x14ac:dyDescent="0.25">
      <c r="K8227"/>
    </row>
    <row r="8228" spans="11:11" x14ac:dyDescent="0.25">
      <c r="K8228"/>
    </row>
    <row r="8229" spans="11:11" x14ac:dyDescent="0.25">
      <c r="K8229"/>
    </row>
    <row r="8230" spans="11:11" x14ac:dyDescent="0.25">
      <c r="K8230"/>
    </row>
    <row r="8231" spans="11:11" x14ac:dyDescent="0.25">
      <c r="K8231"/>
    </row>
    <row r="8232" spans="11:11" x14ac:dyDescent="0.25">
      <c r="K8232"/>
    </row>
    <row r="8233" spans="11:11" x14ac:dyDescent="0.25">
      <c r="K8233"/>
    </row>
    <row r="8234" spans="11:11" x14ac:dyDescent="0.25">
      <c r="K8234"/>
    </row>
    <row r="8235" spans="11:11" x14ac:dyDescent="0.25">
      <c r="K8235"/>
    </row>
    <row r="8236" spans="11:11" x14ac:dyDescent="0.25">
      <c r="K8236"/>
    </row>
    <row r="8237" spans="11:11" x14ac:dyDescent="0.25">
      <c r="K8237"/>
    </row>
    <row r="8238" spans="11:11" x14ac:dyDescent="0.25">
      <c r="K8238"/>
    </row>
    <row r="8239" spans="11:11" x14ac:dyDescent="0.25">
      <c r="K8239"/>
    </row>
    <row r="8240" spans="11:11" x14ac:dyDescent="0.25">
      <c r="K8240"/>
    </row>
    <row r="8241" spans="11:11" x14ac:dyDescent="0.25">
      <c r="K8241"/>
    </row>
    <row r="8242" spans="11:11" x14ac:dyDescent="0.25">
      <c r="K8242"/>
    </row>
    <row r="8243" spans="11:11" x14ac:dyDescent="0.25">
      <c r="K8243"/>
    </row>
    <row r="8244" spans="11:11" x14ac:dyDescent="0.25">
      <c r="K8244"/>
    </row>
    <row r="8245" spans="11:11" x14ac:dyDescent="0.25">
      <c r="K8245"/>
    </row>
    <row r="8246" spans="11:11" x14ac:dyDescent="0.25">
      <c r="K8246"/>
    </row>
    <row r="8247" spans="11:11" x14ac:dyDescent="0.25">
      <c r="K8247"/>
    </row>
  </sheetData>
  <pageMargins left="0.75" right="0.75" top="1" bottom="1" header="0.5" footer="0.5"/>
  <pageSetup paperSize="9" orientation="portrait" horizontalDpi="0" verticalDpi="0"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D755A1B-9626-46B5-9264-37CC8E086E3B}">
  <dimension ref="A1:AD1099"/>
  <sheetViews>
    <sheetView zoomScale="70" zoomScaleNormal="70" workbookViewId="0"/>
  </sheetViews>
  <sheetFormatPr defaultColWidth="14.42578125" defaultRowHeight="15" customHeight="1" x14ac:dyDescent="0.25"/>
  <cols>
    <col min="1" max="1" width="8.85546875" customWidth="1"/>
    <col min="2" max="2" width="5.7109375" customWidth="1"/>
    <col min="3" max="3" width="15.42578125" customWidth="1"/>
    <col min="4" max="4" width="17.42578125" customWidth="1"/>
    <col min="5" max="5" width="18.42578125" bestFit="1" customWidth="1"/>
    <col min="6" max="6" width="6.85546875" customWidth="1"/>
    <col min="7" max="7" width="23.85546875" customWidth="1"/>
    <col min="8" max="8" width="21" bestFit="1" customWidth="1"/>
    <col min="9" max="9" width="14.140625" customWidth="1"/>
    <col min="10" max="10" width="8.85546875" customWidth="1"/>
    <col min="11" max="11" width="11.42578125" customWidth="1"/>
    <col min="12" max="12" width="25" bestFit="1" customWidth="1"/>
    <col min="13" max="28" width="8.85546875" customWidth="1"/>
    <col min="29" max="29" width="11" customWidth="1"/>
    <col min="30" max="30" width="8.85546875" customWidth="1"/>
  </cols>
  <sheetData>
    <row r="1" spans="1:29" x14ac:dyDescent="0.25">
      <c r="B1" s="98" t="s">
        <v>1060</v>
      </c>
      <c r="C1" s="97"/>
      <c r="D1" s="97"/>
      <c r="E1" s="97"/>
      <c r="F1" s="97"/>
      <c r="G1" s="97"/>
      <c r="H1" s="97"/>
      <c r="I1" s="97"/>
      <c r="J1" s="97"/>
      <c r="K1" s="97"/>
      <c r="L1" s="97"/>
      <c r="M1" s="97"/>
      <c r="N1" s="97"/>
      <c r="O1" s="97"/>
      <c r="P1" s="97"/>
      <c r="Q1" s="97"/>
      <c r="R1" s="97"/>
      <c r="S1" s="97"/>
      <c r="T1" s="97"/>
      <c r="U1" s="97"/>
      <c r="V1" s="97"/>
      <c r="W1" s="97"/>
      <c r="X1" s="97"/>
      <c r="Y1" s="97"/>
      <c r="Z1" s="97"/>
      <c r="AA1" s="97"/>
      <c r="AB1" s="97"/>
      <c r="AC1" s="97"/>
    </row>
    <row r="2" spans="1:29" x14ac:dyDescent="0.25">
      <c r="B2" s="98" t="s">
        <v>1061</v>
      </c>
      <c r="C2" s="97"/>
      <c r="D2" s="97"/>
      <c r="E2" s="97"/>
      <c r="F2" s="97"/>
      <c r="G2" s="97"/>
      <c r="H2" s="97"/>
      <c r="I2" s="97"/>
      <c r="J2" s="97"/>
      <c r="K2" s="97"/>
      <c r="L2" s="97"/>
      <c r="M2" s="97"/>
      <c r="N2" s="97"/>
      <c r="O2" s="97"/>
      <c r="P2" s="97"/>
      <c r="Q2" s="97"/>
      <c r="R2" s="97"/>
      <c r="S2" s="97"/>
      <c r="T2" s="97"/>
      <c r="U2" s="97"/>
      <c r="V2" s="97"/>
      <c r="W2" s="97"/>
      <c r="X2" s="97"/>
      <c r="Y2" s="97"/>
      <c r="Z2" s="97"/>
      <c r="AA2" s="97"/>
      <c r="AB2" s="97"/>
      <c r="AC2" s="97"/>
    </row>
    <row r="3" spans="1:29" x14ac:dyDescent="0.25">
      <c r="B3" s="98" t="s">
        <v>1062</v>
      </c>
      <c r="C3" s="97"/>
      <c r="D3" s="97"/>
      <c r="E3" s="97"/>
      <c r="F3" s="97"/>
      <c r="G3" s="97"/>
      <c r="H3" s="97"/>
      <c r="I3" s="97"/>
      <c r="J3" s="97"/>
      <c r="K3" s="97"/>
      <c r="L3" s="97"/>
      <c r="M3" s="97"/>
      <c r="N3" s="97"/>
      <c r="O3" s="97"/>
      <c r="P3" s="97"/>
      <c r="Q3" s="97"/>
      <c r="R3" s="97"/>
      <c r="S3" s="97"/>
      <c r="T3" s="97"/>
      <c r="U3" s="97"/>
      <c r="V3" s="97"/>
      <c r="W3" s="97"/>
      <c r="X3" s="97"/>
      <c r="Y3" s="97"/>
      <c r="Z3" s="97"/>
      <c r="AA3" s="97"/>
      <c r="AB3" s="97"/>
      <c r="AC3" s="97"/>
    </row>
    <row r="4" spans="1:29" ht="15.75" x14ac:dyDescent="0.25">
      <c r="B4" s="99" t="s">
        <v>1166</v>
      </c>
      <c r="C4" s="97"/>
      <c r="D4" s="97"/>
      <c r="E4" s="97"/>
      <c r="F4" s="97"/>
      <c r="G4" s="97"/>
      <c r="H4" s="97"/>
      <c r="I4" s="97"/>
      <c r="J4" s="97"/>
      <c r="K4" s="97"/>
      <c r="L4" s="97"/>
      <c r="M4" s="97"/>
      <c r="N4" s="97"/>
      <c r="O4" s="97"/>
      <c r="P4" s="97"/>
      <c r="Q4" s="97"/>
      <c r="R4" s="97"/>
      <c r="S4" s="97"/>
      <c r="T4" s="97"/>
      <c r="U4" s="97"/>
      <c r="V4" s="97"/>
      <c r="W4" s="97"/>
      <c r="X4" s="97"/>
      <c r="Y4" s="97"/>
      <c r="Z4" s="97"/>
      <c r="AA4" s="97"/>
      <c r="AB4" s="97"/>
      <c r="AC4" s="97"/>
    </row>
    <row r="5" spans="1:29" ht="18" x14ac:dyDescent="0.25">
      <c r="B5" s="100" t="s">
        <v>1063</v>
      </c>
      <c r="C5" s="97"/>
      <c r="D5" s="97"/>
      <c r="E5" s="97"/>
      <c r="F5" s="97"/>
      <c r="G5" s="97"/>
      <c r="H5" s="97"/>
      <c r="I5" s="97"/>
      <c r="J5" s="97"/>
      <c r="K5" s="97"/>
      <c r="L5" s="97"/>
      <c r="M5" s="97"/>
      <c r="N5" s="97"/>
      <c r="O5" s="97"/>
      <c r="P5" s="97"/>
      <c r="Q5" s="97"/>
      <c r="R5" s="97"/>
      <c r="S5" s="97"/>
      <c r="T5" s="97"/>
      <c r="U5" s="97"/>
      <c r="V5" s="97"/>
      <c r="W5" s="97"/>
      <c r="X5" s="97"/>
      <c r="Y5" s="97"/>
      <c r="Z5" s="97"/>
      <c r="AA5" s="97"/>
      <c r="AB5" s="97"/>
      <c r="AC5" s="97"/>
    </row>
    <row r="6" spans="1:29" ht="15.75" x14ac:dyDescent="0.25">
      <c r="B6" s="2"/>
      <c r="C6" s="2"/>
      <c r="D6" s="2"/>
      <c r="E6" s="2"/>
      <c r="F6" s="2"/>
      <c r="G6" s="2"/>
      <c r="H6" s="2"/>
      <c r="I6" s="2"/>
      <c r="J6" s="2"/>
      <c r="K6" s="2"/>
      <c r="L6" s="2"/>
      <c r="M6" s="2"/>
      <c r="N6" s="2"/>
      <c r="O6" s="2"/>
      <c r="P6" s="2"/>
      <c r="Q6" s="2"/>
      <c r="R6" s="2"/>
      <c r="S6" s="2"/>
      <c r="T6" s="2"/>
      <c r="U6" s="2"/>
      <c r="V6" s="2"/>
      <c r="W6" s="2"/>
      <c r="X6" s="2"/>
      <c r="Y6" s="2"/>
      <c r="Z6" s="2"/>
      <c r="AA6" s="2"/>
      <c r="AB6" s="2"/>
      <c r="AC6" s="2"/>
    </row>
    <row r="7" spans="1:29" ht="18" x14ac:dyDescent="0.25">
      <c r="B7" s="96" t="s">
        <v>1064</v>
      </c>
      <c r="C7" s="97"/>
      <c r="D7" s="97"/>
      <c r="E7" s="97"/>
      <c r="F7" s="97"/>
      <c r="G7" s="97"/>
      <c r="H7" s="97"/>
      <c r="I7" s="97"/>
      <c r="J7" s="97"/>
      <c r="K7" s="97"/>
      <c r="L7" s="97"/>
      <c r="M7" s="97"/>
      <c r="N7" s="97"/>
      <c r="O7" s="97"/>
      <c r="P7" s="97"/>
      <c r="Q7" s="97"/>
      <c r="R7" s="97"/>
      <c r="S7" s="97"/>
      <c r="T7" s="97"/>
      <c r="U7" s="97"/>
      <c r="V7" s="97"/>
      <c r="W7" s="97"/>
      <c r="X7" s="97"/>
      <c r="Y7" s="97"/>
      <c r="Z7" s="97"/>
      <c r="AA7" s="97"/>
      <c r="AB7" s="97"/>
      <c r="AC7" s="97"/>
    </row>
    <row r="8" spans="1:29" ht="16.5" thickBot="1" x14ac:dyDescent="0.3">
      <c r="B8" s="101" t="s">
        <v>1065</v>
      </c>
      <c r="C8" s="97"/>
      <c r="D8" s="97"/>
      <c r="E8" s="97"/>
      <c r="F8" s="97"/>
      <c r="G8" s="97"/>
      <c r="H8" s="97"/>
      <c r="I8" s="97"/>
      <c r="J8" s="97"/>
      <c r="K8" s="97"/>
      <c r="L8" s="97"/>
      <c r="M8" s="97"/>
      <c r="N8" s="97"/>
      <c r="O8" s="97"/>
      <c r="P8" s="97"/>
      <c r="Q8" s="97"/>
      <c r="R8" s="97"/>
      <c r="S8" s="97"/>
      <c r="T8" s="97"/>
      <c r="U8" s="97"/>
      <c r="V8" s="97"/>
      <c r="W8" s="97"/>
      <c r="X8" s="97"/>
      <c r="Y8" s="97"/>
      <c r="Z8" s="97"/>
      <c r="AA8" s="97"/>
      <c r="AB8" s="97"/>
      <c r="AC8" s="97"/>
    </row>
    <row r="9" spans="1:29" ht="16.5" thickBot="1" x14ac:dyDescent="0.3">
      <c r="B9" s="102" t="s">
        <v>1066</v>
      </c>
      <c r="C9" s="105" t="s">
        <v>1067</v>
      </c>
      <c r="D9" s="106"/>
      <c r="E9" s="106"/>
      <c r="F9" s="107"/>
      <c r="G9" s="111" t="s">
        <v>1068</v>
      </c>
      <c r="H9" s="111" t="s">
        <v>1069</v>
      </c>
      <c r="I9" s="114" t="s">
        <v>1070</v>
      </c>
      <c r="J9" s="111" t="s">
        <v>1071</v>
      </c>
      <c r="K9" s="111" t="s">
        <v>1072</v>
      </c>
      <c r="L9" s="115" t="s">
        <v>1073</v>
      </c>
      <c r="M9" s="117" t="s">
        <v>1074</v>
      </c>
      <c r="N9" s="118"/>
      <c r="O9" s="118"/>
      <c r="P9" s="118"/>
      <c r="Q9" s="118"/>
      <c r="R9" s="118"/>
      <c r="S9" s="118"/>
      <c r="T9" s="118"/>
      <c r="U9" s="118"/>
      <c r="V9" s="118"/>
      <c r="W9" s="118"/>
      <c r="X9" s="118"/>
      <c r="Y9" s="118"/>
      <c r="Z9" s="118"/>
      <c r="AA9" s="118"/>
      <c r="AB9" s="118"/>
      <c r="AC9" s="118"/>
    </row>
    <row r="10" spans="1:29" ht="15.75" thickBot="1" x14ac:dyDescent="0.3">
      <c r="B10" s="103"/>
      <c r="C10" s="108"/>
      <c r="D10" s="109"/>
      <c r="E10" s="109"/>
      <c r="F10" s="110"/>
      <c r="G10" s="112"/>
      <c r="H10" s="112"/>
      <c r="I10" s="112"/>
      <c r="J10" s="112"/>
      <c r="K10" s="112"/>
      <c r="L10" s="116"/>
      <c r="M10" s="119" t="s">
        <v>1075</v>
      </c>
      <c r="N10" s="121" t="s">
        <v>1076</v>
      </c>
      <c r="O10" s="122" t="s">
        <v>1077</v>
      </c>
      <c r="P10" s="118"/>
      <c r="Q10" s="118"/>
      <c r="R10" s="118"/>
      <c r="S10" s="118"/>
      <c r="T10" s="118"/>
      <c r="U10" s="118"/>
      <c r="V10" s="118"/>
      <c r="W10" s="118"/>
      <c r="X10" s="118"/>
      <c r="Y10" s="118"/>
      <c r="Z10" s="118"/>
      <c r="AA10" s="118"/>
      <c r="AB10" s="118"/>
      <c r="AC10" s="118"/>
    </row>
    <row r="11" spans="1:29" ht="79.5" thickBot="1" x14ac:dyDescent="0.3">
      <c r="B11" s="104"/>
      <c r="C11" s="3" t="s">
        <v>1078</v>
      </c>
      <c r="D11" s="4" t="s">
        <v>1079</v>
      </c>
      <c r="E11" s="4" t="s">
        <v>1080</v>
      </c>
      <c r="F11" s="4" t="s">
        <v>1081</v>
      </c>
      <c r="G11" s="113"/>
      <c r="H11" s="113"/>
      <c r="I11" s="113"/>
      <c r="J11" s="113"/>
      <c r="K11" s="112"/>
      <c r="L11" s="116"/>
      <c r="M11" s="120"/>
      <c r="N11" s="120"/>
      <c r="O11" s="5" t="s">
        <v>1082</v>
      </c>
      <c r="P11" s="6" t="s">
        <v>1083</v>
      </c>
      <c r="Q11" s="7" t="s">
        <v>1084</v>
      </c>
      <c r="R11" s="7" t="s">
        <v>1085</v>
      </c>
      <c r="S11" s="7" t="s">
        <v>1086</v>
      </c>
      <c r="T11" s="7" t="s">
        <v>1087</v>
      </c>
      <c r="U11" s="7" t="s">
        <v>1088</v>
      </c>
      <c r="V11" s="7" t="s">
        <v>1089</v>
      </c>
      <c r="W11" s="7" t="s">
        <v>1090</v>
      </c>
      <c r="X11" s="7" t="s">
        <v>1091</v>
      </c>
      <c r="Y11" s="7" t="s">
        <v>1092</v>
      </c>
      <c r="Z11" s="7" t="s">
        <v>1093</v>
      </c>
      <c r="AA11" s="8" t="s">
        <v>1094</v>
      </c>
      <c r="AB11" s="8" t="s">
        <v>1095</v>
      </c>
      <c r="AC11" s="9" t="s">
        <v>1096</v>
      </c>
    </row>
    <row r="12" spans="1:29" ht="15.75" x14ac:dyDescent="0.25">
      <c r="A12" s="10"/>
      <c r="B12" s="11">
        <v>1</v>
      </c>
      <c r="C12" s="12" t="s">
        <v>171</v>
      </c>
      <c r="D12" s="12" t="s">
        <v>172</v>
      </c>
      <c r="E12" s="12" t="s">
        <v>173</v>
      </c>
      <c r="F12" s="11"/>
      <c r="G12" s="13" t="s">
        <v>1184</v>
      </c>
      <c r="H12" s="13" t="s">
        <v>1030</v>
      </c>
      <c r="I12" s="14">
        <v>31182</v>
      </c>
      <c r="J12" s="15">
        <v>40</v>
      </c>
      <c r="K12" s="16" t="s">
        <v>1103</v>
      </c>
      <c r="L12" s="16" t="s">
        <v>1108</v>
      </c>
      <c r="M12" s="17" t="s">
        <v>1099</v>
      </c>
      <c r="N12" s="18"/>
      <c r="O12" s="19" t="s">
        <v>1100</v>
      </c>
      <c r="P12" s="19" t="s">
        <v>1100</v>
      </c>
      <c r="Q12" s="13" t="s">
        <v>1100</v>
      </c>
      <c r="R12" s="11"/>
      <c r="S12" s="11" t="s">
        <v>1100</v>
      </c>
      <c r="T12" s="13" t="str">
        <f t="shared" ref="T12:T75" si="0">IF(J12&gt;59,"/","")</f>
        <v/>
      </c>
      <c r="U12" s="11" t="s">
        <v>1100</v>
      </c>
      <c r="V12" s="11" t="s">
        <v>1100</v>
      </c>
      <c r="W12" s="11" t="s">
        <v>1100</v>
      </c>
      <c r="X12" s="11" t="s">
        <v>1100</v>
      </c>
      <c r="Y12" s="11" t="s">
        <v>1100</v>
      </c>
      <c r="Z12" s="11" t="s">
        <v>1100</v>
      </c>
      <c r="AA12" s="11" t="s">
        <v>1100</v>
      </c>
      <c r="AB12" s="11" t="s">
        <v>1100</v>
      </c>
      <c r="AC12" s="20" t="s">
        <v>1101</v>
      </c>
    </row>
    <row r="13" spans="1:29" ht="15.75" x14ac:dyDescent="0.25">
      <c r="B13" s="11">
        <v>2</v>
      </c>
      <c r="C13" s="12" t="s">
        <v>174</v>
      </c>
      <c r="D13" s="12" t="s">
        <v>55</v>
      </c>
      <c r="E13" s="12" t="s">
        <v>103</v>
      </c>
      <c r="F13" s="11"/>
      <c r="G13" s="13" t="s">
        <v>1184</v>
      </c>
      <c r="H13" s="13" t="s">
        <v>1030</v>
      </c>
      <c r="I13" s="21">
        <v>31739</v>
      </c>
      <c r="J13" s="15">
        <v>39</v>
      </c>
      <c r="K13" s="16" t="s">
        <v>1097</v>
      </c>
      <c r="L13" s="16" t="s">
        <v>1102</v>
      </c>
      <c r="M13" s="22" t="s">
        <v>1099</v>
      </c>
      <c r="N13" s="23"/>
      <c r="O13" s="19" t="s">
        <v>1100</v>
      </c>
      <c r="P13" s="19" t="s">
        <v>1099</v>
      </c>
      <c r="Q13" s="13" t="s">
        <v>1100</v>
      </c>
      <c r="R13" s="11"/>
      <c r="S13" s="11" t="s">
        <v>1100</v>
      </c>
      <c r="T13" s="13" t="str">
        <f t="shared" si="0"/>
        <v/>
      </c>
      <c r="U13" s="11" t="s">
        <v>1100</v>
      </c>
      <c r="V13" s="11" t="s">
        <v>1100</v>
      </c>
      <c r="W13" s="11" t="s">
        <v>1100</v>
      </c>
      <c r="X13" s="11" t="s">
        <v>1100</v>
      </c>
      <c r="Y13" s="11" t="s">
        <v>1100</v>
      </c>
      <c r="Z13" s="11" t="s">
        <v>1100</v>
      </c>
      <c r="AA13" s="11" t="s">
        <v>1100</v>
      </c>
      <c r="AB13" s="11" t="s">
        <v>1100</v>
      </c>
      <c r="AC13" s="20" t="s">
        <v>1101</v>
      </c>
    </row>
    <row r="14" spans="1:29" ht="15.75" x14ac:dyDescent="0.25">
      <c r="B14" s="11">
        <v>3</v>
      </c>
      <c r="C14" s="12" t="s">
        <v>175</v>
      </c>
      <c r="D14" s="12" t="s">
        <v>19</v>
      </c>
      <c r="E14" s="12" t="s">
        <v>176</v>
      </c>
      <c r="F14" s="11"/>
      <c r="G14" s="13" t="s">
        <v>1185</v>
      </c>
      <c r="H14" s="13" t="s">
        <v>1030</v>
      </c>
      <c r="I14" s="21">
        <v>19474</v>
      </c>
      <c r="J14" s="15">
        <v>72</v>
      </c>
      <c r="K14" s="16" t="s">
        <v>1097</v>
      </c>
      <c r="L14" s="16" t="s">
        <v>1102</v>
      </c>
      <c r="M14" s="22" t="s">
        <v>1099</v>
      </c>
      <c r="N14" s="23"/>
      <c r="O14" s="19" t="s">
        <v>1100</v>
      </c>
      <c r="P14" s="19" t="s">
        <v>1100</v>
      </c>
      <c r="Q14" s="13" t="s">
        <v>1100</v>
      </c>
      <c r="R14" s="11"/>
      <c r="S14" s="11" t="s">
        <v>1100</v>
      </c>
      <c r="T14" s="13" t="str">
        <f t="shared" si="0"/>
        <v>/</v>
      </c>
      <c r="U14" s="11" t="s">
        <v>1100</v>
      </c>
      <c r="V14" s="11" t="s">
        <v>1100</v>
      </c>
      <c r="W14" s="11" t="s">
        <v>1100</v>
      </c>
      <c r="X14" s="11" t="s">
        <v>1100</v>
      </c>
      <c r="Y14" s="11" t="s">
        <v>1100</v>
      </c>
      <c r="Z14" s="11" t="s">
        <v>1100</v>
      </c>
      <c r="AA14" s="11" t="s">
        <v>1100</v>
      </c>
      <c r="AB14" s="11" t="s">
        <v>1100</v>
      </c>
      <c r="AC14" s="20" t="s">
        <v>1101</v>
      </c>
    </row>
    <row r="15" spans="1:29" ht="15.75" x14ac:dyDescent="0.25">
      <c r="B15" s="11">
        <v>4</v>
      </c>
      <c r="C15" s="12" t="s">
        <v>177</v>
      </c>
      <c r="D15" s="12" t="s">
        <v>47</v>
      </c>
      <c r="E15" s="12" t="s">
        <v>178</v>
      </c>
      <c r="F15" s="11"/>
      <c r="G15" s="13" t="s">
        <v>1184</v>
      </c>
      <c r="H15" s="13" t="s">
        <v>1030</v>
      </c>
      <c r="I15" s="21">
        <v>32533</v>
      </c>
      <c r="J15" s="15">
        <v>37</v>
      </c>
      <c r="K15" s="16" t="s">
        <v>1103</v>
      </c>
      <c r="L15" s="16" t="s">
        <v>1102</v>
      </c>
      <c r="M15" s="22" t="s">
        <v>1099</v>
      </c>
      <c r="N15" s="23"/>
      <c r="O15" s="19" t="s">
        <v>1100</v>
      </c>
      <c r="P15" s="19" t="s">
        <v>1100</v>
      </c>
      <c r="Q15" s="13" t="s">
        <v>1100</v>
      </c>
      <c r="R15" s="11"/>
      <c r="S15" s="11" t="s">
        <v>1100</v>
      </c>
      <c r="T15" s="13" t="str">
        <f t="shared" si="0"/>
        <v/>
      </c>
      <c r="U15" s="11" t="s">
        <v>1100</v>
      </c>
      <c r="V15" s="11" t="s">
        <v>1100</v>
      </c>
      <c r="W15" s="11" t="s">
        <v>1100</v>
      </c>
      <c r="X15" s="11" t="s">
        <v>1100</v>
      </c>
      <c r="Y15" s="11" t="s">
        <v>1100</v>
      </c>
      <c r="Z15" s="11" t="s">
        <v>1100</v>
      </c>
      <c r="AA15" s="11" t="s">
        <v>1100</v>
      </c>
      <c r="AB15" s="11" t="s">
        <v>1100</v>
      </c>
      <c r="AC15" s="20" t="s">
        <v>1111</v>
      </c>
    </row>
    <row r="16" spans="1:29" ht="15.75" x14ac:dyDescent="0.25">
      <c r="B16" s="11">
        <v>5</v>
      </c>
      <c r="C16" s="12" t="s">
        <v>179</v>
      </c>
      <c r="D16" s="12" t="s">
        <v>180</v>
      </c>
      <c r="E16" s="12" t="s">
        <v>181</v>
      </c>
      <c r="F16" s="11"/>
      <c r="G16" s="13"/>
      <c r="H16" s="13" t="s">
        <v>1030</v>
      </c>
      <c r="I16" s="21">
        <v>21516</v>
      </c>
      <c r="J16" s="15">
        <v>67</v>
      </c>
      <c r="K16" s="16" t="s">
        <v>1103</v>
      </c>
      <c r="L16" s="16" t="s">
        <v>1102</v>
      </c>
      <c r="M16" s="22" t="s">
        <v>1099</v>
      </c>
      <c r="N16" s="23"/>
      <c r="O16" s="19" t="s">
        <v>1100</v>
      </c>
      <c r="P16" s="19" t="s">
        <v>1100</v>
      </c>
      <c r="Q16" s="13" t="s">
        <v>1100</v>
      </c>
      <c r="R16" s="11"/>
      <c r="S16" s="11" t="s">
        <v>1100</v>
      </c>
      <c r="T16" s="13" t="str">
        <f t="shared" si="0"/>
        <v>/</v>
      </c>
      <c r="U16" s="11" t="s">
        <v>1100</v>
      </c>
      <c r="V16" s="11" t="s">
        <v>1100</v>
      </c>
      <c r="W16" s="11" t="s">
        <v>1100</v>
      </c>
      <c r="X16" s="11" t="s">
        <v>1100</v>
      </c>
      <c r="Y16" s="11" t="s">
        <v>1100</v>
      </c>
      <c r="Z16" s="11" t="s">
        <v>1100</v>
      </c>
      <c r="AA16" s="11" t="s">
        <v>1100</v>
      </c>
      <c r="AB16" s="11" t="s">
        <v>1100</v>
      </c>
      <c r="AC16" s="20" t="s">
        <v>1101</v>
      </c>
    </row>
    <row r="17" spans="2:29" ht="15.75" x14ac:dyDescent="0.25">
      <c r="B17" s="11">
        <v>6</v>
      </c>
      <c r="C17" s="12" t="s">
        <v>46</v>
      </c>
      <c r="D17" s="12" t="s">
        <v>1017</v>
      </c>
      <c r="E17" s="12" t="s">
        <v>1018</v>
      </c>
      <c r="F17" s="11"/>
      <c r="G17" s="13" t="s">
        <v>1184</v>
      </c>
      <c r="H17" s="13" t="s">
        <v>1030</v>
      </c>
      <c r="I17" s="21">
        <v>34098</v>
      </c>
      <c r="J17" s="15">
        <v>32</v>
      </c>
      <c r="K17" s="16" t="s">
        <v>1097</v>
      </c>
      <c r="L17" s="16" t="s">
        <v>1098</v>
      </c>
      <c r="M17" s="22" t="s">
        <v>1099</v>
      </c>
      <c r="N17" s="23"/>
      <c r="O17" s="19" t="s">
        <v>1100</v>
      </c>
      <c r="P17" s="19" t="s">
        <v>1099</v>
      </c>
      <c r="Q17" s="13" t="s">
        <v>1100</v>
      </c>
      <c r="R17" s="11"/>
      <c r="S17" s="11" t="s">
        <v>1100</v>
      </c>
      <c r="T17" s="13" t="str">
        <f t="shared" si="0"/>
        <v/>
      </c>
      <c r="U17" s="11" t="s">
        <v>1100</v>
      </c>
      <c r="V17" s="11" t="s">
        <v>1100</v>
      </c>
      <c r="W17" s="11" t="s">
        <v>1100</v>
      </c>
      <c r="X17" s="11" t="s">
        <v>1100</v>
      </c>
      <c r="Y17" s="11" t="s">
        <v>1100</v>
      </c>
      <c r="Z17" s="11" t="s">
        <v>1100</v>
      </c>
      <c r="AA17" s="11" t="s">
        <v>1100</v>
      </c>
      <c r="AB17" s="11" t="s">
        <v>1100</v>
      </c>
      <c r="AC17" s="20" t="s">
        <v>1101</v>
      </c>
    </row>
    <row r="18" spans="2:29" ht="15.75" x14ac:dyDescent="0.25">
      <c r="B18" s="11">
        <v>7</v>
      </c>
      <c r="C18" s="12" t="s">
        <v>182</v>
      </c>
      <c r="D18" s="12" t="s">
        <v>183</v>
      </c>
      <c r="E18" s="12" t="s">
        <v>121</v>
      </c>
      <c r="F18" s="11"/>
      <c r="G18" s="13" t="s">
        <v>1186</v>
      </c>
      <c r="H18" s="13" t="s">
        <v>1030</v>
      </c>
      <c r="I18" s="21">
        <v>25475</v>
      </c>
      <c r="J18" s="15">
        <v>56</v>
      </c>
      <c r="K18" s="16" t="s">
        <v>1103</v>
      </c>
      <c r="L18" s="16" t="s">
        <v>1181</v>
      </c>
      <c r="M18" s="22" t="s">
        <v>1099</v>
      </c>
      <c r="N18" s="23"/>
      <c r="O18" s="19" t="s">
        <v>1100</v>
      </c>
      <c r="P18" s="19" t="s">
        <v>1100</v>
      </c>
      <c r="Q18" s="13" t="s">
        <v>1100</v>
      </c>
      <c r="R18" s="11"/>
      <c r="S18" s="11" t="s">
        <v>1100</v>
      </c>
      <c r="T18" s="13" t="str">
        <f t="shared" si="0"/>
        <v/>
      </c>
      <c r="U18" s="11" t="s">
        <v>1100</v>
      </c>
      <c r="V18" s="11" t="s">
        <v>1100</v>
      </c>
      <c r="W18" s="11" t="s">
        <v>1100</v>
      </c>
      <c r="X18" s="11" t="s">
        <v>1100</v>
      </c>
      <c r="Y18" s="11" t="s">
        <v>1100</v>
      </c>
      <c r="Z18" s="11" t="s">
        <v>1100</v>
      </c>
      <c r="AA18" s="11" t="s">
        <v>1100</v>
      </c>
      <c r="AB18" s="11" t="s">
        <v>1100</v>
      </c>
      <c r="AC18" s="20" t="s">
        <v>1101</v>
      </c>
    </row>
    <row r="19" spans="2:29" ht="15.75" x14ac:dyDescent="0.25">
      <c r="B19" s="11">
        <v>8</v>
      </c>
      <c r="C19" s="12" t="s">
        <v>184</v>
      </c>
      <c r="D19" s="12" t="s">
        <v>185</v>
      </c>
      <c r="E19" s="12" t="s">
        <v>186</v>
      </c>
      <c r="F19" s="11"/>
      <c r="G19" s="13" t="s">
        <v>1185</v>
      </c>
      <c r="H19" s="13" t="s">
        <v>1030</v>
      </c>
      <c r="I19" s="21">
        <v>37688</v>
      </c>
      <c r="J19" s="15">
        <v>22</v>
      </c>
      <c r="K19" s="16" t="s">
        <v>1097</v>
      </c>
      <c r="L19" s="16" t="s">
        <v>1108</v>
      </c>
      <c r="M19" s="22" t="s">
        <v>1099</v>
      </c>
      <c r="N19" s="23"/>
      <c r="O19" s="19" t="s">
        <v>1099</v>
      </c>
      <c r="P19" s="19" t="s">
        <v>1100</v>
      </c>
      <c r="Q19" s="13" t="s">
        <v>1100</v>
      </c>
      <c r="R19" s="11"/>
      <c r="S19" s="11" t="s">
        <v>1100</v>
      </c>
      <c r="T19" s="13" t="str">
        <f t="shared" si="0"/>
        <v/>
      </c>
      <c r="U19" s="11" t="s">
        <v>1100</v>
      </c>
      <c r="V19" s="11" t="s">
        <v>1100</v>
      </c>
      <c r="W19" s="11" t="s">
        <v>1100</v>
      </c>
      <c r="X19" s="11" t="s">
        <v>1100</v>
      </c>
      <c r="Y19" s="11" t="s">
        <v>1100</v>
      </c>
      <c r="Z19" s="11" t="s">
        <v>1100</v>
      </c>
      <c r="AA19" s="11" t="s">
        <v>1100</v>
      </c>
      <c r="AB19" s="11" t="s">
        <v>1100</v>
      </c>
      <c r="AC19" s="20" t="s">
        <v>1101</v>
      </c>
    </row>
    <row r="20" spans="2:29" ht="15.75" x14ac:dyDescent="0.25">
      <c r="B20" s="11">
        <v>9</v>
      </c>
      <c r="C20" s="12" t="s">
        <v>605</v>
      </c>
      <c r="D20" s="12" t="s">
        <v>91</v>
      </c>
      <c r="E20" s="12" t="s">
        <v>1029</v>
      </c>
      <c r="F20" s="11"/>
      <c r="G20" s="13" t="s">
        <v>1189</v>
      </c>
      <c r="H20" s="13" t="s">
        <v>1030</v>
      </c>
      <c r="I20" s="21">
        <v>28957</v>
      </c>
      <c r="J20" s="15">
        <v>46</v>
      </c>
      <c r="K20" s="16" t="s">
        <v>1097</v>
      </c>
      <c r="L20" s="16" t="s">
        <v>1265</v>
      </c>
      <c r="M20" s="22" t="s">
        <v>1099</v>
      </c>
      <c r="N20" s="23"/>
      <c r="O20" s="19" t="s">
        <v>1100</v>
      </c>
      <c r="P20" s="19" t="s">
        <v>1099</v>
      </c>
      <c r="Q20" s="13" t="s">
        <v>1100</v>
      </c>
      <c r="R20" s="11"/>
      <c r="S20" s="11" t="s">
        <v>1100</v>
      </c>
      <c r="T20" s="13" t="str">
        <f t="shared" si="0"/>
        <v/>
      </c>
      <c r="U20" s="11" t="s">
        <v>1100</v>
      </c>
      <c r="V20" s="11" t="s">
        <v>1100</v>
      </c>
      <c r="W20" s="11" t="s">
        <v>1100</v>
      </c>
      <c r="X20" s="11" t="s">
        <v>1100</v>
      </c>
      <c r="Y20" s="11" t="s">
        <v>1100</v>
      </c>
      <c r="Z20" s="11" t="s">
        <v>1100</v>
      </c>
      <c r="AA20" s="11" t="s">
        <v>1100</v>
      </c>
      <c r="AB20" s="11" t="s">
        <v>1100</v>
      </c>
      <c r="AC20" s="20" t="s">
        <v>1101</v>
      </c>
    </row>
    <row r="21" spans="2:29" ht="15.75" x14ac:dyDescent="0.25">
      <c r="B21" s="11">
        <v>10</v>
      </c>
      <c r="C21" s="12" t="s">
        <v>121</v>
      </c>
      <c r="D21" s="12" t="s">
        <v>161</v>
      </c>
      <c r="E21" s="12" t="s">
        <v>187</v>
      </c>
      <c r="F21" s="11"/>
      <c r="G21" s="13" t="s">
        <v>1187</v>
      </c>
      <c r="H21" s="13" t="s">
        <v>1030</v>
      </c>
      <c r="I21" s="21">
        <v>27311</v>
      </c>
      <c r="J21" s="15">
        <v>51</v>
      </c>
      <c r="K21" s="16" t="s">
        <v>1103</v>
      </c>
      <c r="L21" s="16" t="s">
        <v>1181</v>
      </c>
      <c r="M21" s="22" t="s">
        <v>1099</v>
      </c>
      <c r="N21" s="23"/>
      <c r="O21" s="19" t="s">
        <v>1099</v>
      </c>
      <c r="P21" s="19" t="s">
        <v>1100</v>
      </c>
      <c r="Q21" s="13" t="s">
        <v>1100</v>
      </c>
      <c r="R21" s="11"/>
      <c r="S21" s="11" t="s">
        <v>1100</v>
      </c>
      <c r="T21" s="13" t="str">
        <f t="shared" si="0"/>
        <v/>
      </c>
      <c r="U21" s="11" t="s">
        <v>1100</v>
      </c>
      <c r="V21" s="11" t="s">
        <v>1100</v>
      </c>
      <c r="W21" s="11" t="s">
        <v>1100</v>
      </c>
      <c r="X21" s="11" t="s">
        <v>1100</v>
      </c>
      <c r="Y21" s="11" t="s">
        <v>1100</v>
      </c>
      <c r="Z21" s="11" t="s">
        <v>1100</v>
      </c>
      <c r="AA21" s="11" t="s">
        <v>1100</v>
      </c>
      <c r="AB21" s="11" t="s">
        <v>1100</v>
      </c>
      <c r="AC21" s="20" t="s">
        <v>1101</v>
      </c>
    </row>
    <row r="22" spans="2:29" ht="15.75" x14ac:dyDescent="0.25">
      <c r="B22" s="11">
        <v>11</v>
      </c>
      <c r="C22" s="12" t="s">
        <v>188</v>
      </c>
      <c r="D22" s="12" t="s">
        <v>189</v>
      </c>
      <c r="E22" s="12" t="s">
        <v>190</v>
      </c>
      <c r="F22" s="11"/>
      <c r="G22" s="13" t="s">
        <v>1184</v>
      </c>
      <c r="H22" s="13" t="s">
        <v>1030</v>
      </c>
      <c r="I22" s="21">
        <v>29324</v>
      </c>
      <c r="J22" s="15">
        <v>45</v>
      </c>
      <c r="K22" s="16" t="s">
        <v>1103</v>
      </c>
      <c r="L22" s="16" t="s">
        <v>1108</v>
      </c>
      <c r="M22" s="22" t="s">
        <v>1099</v>
      </c>
      <c r="N22" s="23"/>
      <c r="O22" s="19" t="s">
        <v>1099</v>
      </c>
      <c r="P22" s="19" t="s">
        <v>1100</v>
      </c>
      <c r="Q22" s="13" t="s">
        <v>1100</v>
      </c>
      <c r="R22" s="11"/>
      <c r="S22" s="11" t="s">
        <v>1100</v>
      </c>
      <c r="T22" s="13" t="str">
        <f t="shared" si="0"/>
        <v/>
      </c>
      <c r="U22" s="11" t="s">
        <v>1100</v>
      </c>
      <c r="V22" s="11" t="s">
        <v>1100</v>
      </c>
      <c r="W22" s="11" t="s">
        <v>1100</v>
      </c>
      <c r="X22" s="11" t="s">
        <v>1100</v>
      </c>
      <c r="Y22" s="11" t="s">
        <v>1100</v>
      </c>
      <c r="Z22" s="11" t="s">
        <v>1100</v>
      </c>
      <c r="AA22" s="11" t="s">
        <v>1100</v>
      </c>
      <c r="AB22" s="11" t="s">
        <v>1100</v>
      </c>
      <c r="AC22" s="20" t="s">
        <v>1101</v>
      </c>
    </row>
    <row r="23" spans="2:29" ht="15.75" x14ac:dyDescent="0.25">
      <c r="B23" s="11">
        <v>12</v>
      </c>
      <c r="C23" s="12" t="s">
        <v>188</v>
      </c>
      <c r="D23" s="12" t="s">
        <v>123</v>
      </c>
      <c r="E23" s="12" t="s">
        <v>191</v>
      </c>
      <c r="F23" s="11"/>
      <c r="G23" s="13" t="s">
        <v>1184</v>
      </c>
      <c r="H23" s="13" t="s">
        <v>1030</v>
      </c>
      <c r="I23" s="21">
        <v>27514</v>
      </c>
      <c r="J23" s="15">
        <v>50</v>
      </c>
      <c r="K23" s="16" t="s">
        <v>1103</v>
      </c>
      <c r="L23" s="16" t="s">
        <v>1181</v>
      </c>
      <c r="M23" s="22" t="s">
        <v>1099</v>
      </c>
      <c r="N23" s="23"/>
      <c r="O23" s="19" t="s">
        <v>1099</v>
      </c>
      <c r="P23" s="19" t="s">
        <v>1100</v>
      </c>
      <c r="Q23" s="13" t="s">
        <v>1100</v>
      </c>
      <c r="R23" s="11"/>
      <c r="S23" s="11" t="s">
        <v>1100</v>
      </c>
      <c r="T23" s="13" t="str">
        <f t="shared" si="0"/>
        <v/>
      </c>
      <c r="U23" s="11" t="s">
        <v>1100</v>
      </c>
      <c r="V23" s="11" t="s">
        <v>1100</v>
      </c>
      <c r="W23" s="11" t="s">
        <v>1100</v>
      </c>
      <c r="X23" s="11" t="s">
        <v>1100</v>
      </c>
      <c r="Y23" s="11" t="s">
        <v>1100</v>
      </c>
      <c r="Z23" s="11" t="s">
        <v>1100</v>
      </c>
      <c r="AA23" s="11" t="s">
        <v>1100</v>
      </c>
      <c r="AB23" s="11" t="s">
        <v>1100</v>
      </c>
      <c r="AC23" s="20" t="s">
        <v>1101</v>
      </c>
    </row>
    <row r="24" spans="2:29" ht="15.75" x14ac:dyDescent="0.25">
      <c r="B24" s="11">
        <v>13</v>
      </c>
      <c r="C24" s="12" t="s">
        <v>125</v>
      </c>
      <c r="D24" s="12" t="s">
        <v>192</v>
      </c>
      <c r="E24" s="12" t="s">
        <v>193</v>
      </c>
      <c r="F24" s="11" t="s">
        <v>22</v>
      </c>
      <c r="G24" s="13" t="s">
        <v>1185</v>
      </c>
      <c r="H24" s="13" t="s">
        <v>1030</v>
      </c>
      <c r="I24" s="21">
        <v>24992</v>
      </c>
      <c r="J24" s="15">
        <v>57</v>
      </c>
      <c r="K24" s="16" t="s">
        <v>1097</v>
      </c>
      <c r="L24" s="16" t="s">
        <v>1102</v>
      </c>
      <c r="M24" s="22" t="s">
        <v>1099</v>
      </c>
      <c r="N24" s="23"/>
      <c r="O24" s="19" t="s">
        <v>1100</v>
      </c>
      <c r="P24" s="19" t="s">
        <v>1100</v>
      </c>
      <c r="Q24" s="13" t="s">
        <v>1100</v>
      </c>
      <c r="R24" s="11"/>
      <c r="S24" s="11" t="s">
        <v>1100</v>
      </c>
      <c r="T24" s="13" t="str">
        <f t="shared" si="0"/>
        <v/>
      </c>
      <c r="U24" s="11" t="s">
        <v>1100</v>
      </c>
      <c r="V24" s="11" t="s">
        <v>1100</v>
      </c>
      <c r="W24" s="11" t="s">
        <v>1100</v>
      </c>
      <c r="X24" s="11" t="s">
        <v>1100</v>
      </c>
      <c r="Y24" s="11" t="s">
        <v>1100</v>
      </c>
      <c r="Z24" s="11" t="s">
        <v>1100</v>
      </c>
      <c r="AA24" s="11" t="s">
        <v>1100</v>
      </c>
      <c r="AB24" s="11" t="s">
        <v>1100</v>
      </c>
      <c r="AC24" s="20" t="s">
        <v>1111</v>
      </c>
    </row>
    <row r="25" spans="2:29" ht="15.75" x14ac:dyDescent="0.25">
      <c r="B25" s="11">
        <v>14</v>
      </c>
      <c r="C25" s="12" t="s">
        <v>122</v>
      </c>
      <c r="D25" s="12" t="s">
        <v>195</v>
      </c>
      <c r="E25" s="12" t="s">
        <v>121</v>
      </c>
      <c r="F25" s="11"/>
      <c r="G25" s="13"/>
      <c r="H25" s="13" t="s">
        <v>1030</v>
      </c>
      <c r="I25" s="21">
        <v>16212</v>
      </c>
      <c r="J25" s="15">
        <v>81</v>
      </c>
      <c r="K25" s="16" t="s">
        <v>1103</v>
      </c>
      <c r="L25" s="16" t="s">
        <v>1181</v>
      </c>
      <c r="M25" s="22" t="s">
        <v>1099</v>
      </c>
      <c r="N25" s="23"/>
      <c r="O25" s="19" t="s">
        <v>1100</v>
      </c>
      <c r="P25" s="19" t="s">
        <v>1100</v>
      </c>
      <c r="Q25" s="13" t="s">
        <v>1100</v>
      </c>
      <c r="R25" s="11"/>
      <c r="S25" s="11" t="s">
        <v>1100</v>
      </c>
      <c r="T25" s="13" t="str">
        <f t="shared" si="0"/>
        <v>/</v>
      </c>
      <c r="U25" s="11" t="s">
        <v>1100</v>
      </c>
      <c r="V25" s="11" t="s">
        <v>1100</v>
      </c>
      <c r="W25" s="11" t="s">
        <v>1100</v>
      </c>
      <c r="X25" s="11" t="s">
        <v>1100</v>
      </c>
      <c r="Y25" s="11" t="s">
        <v>1100</v>
      </c>
      <c r="Z25" s="11" t="s">
        <v>1100</v>
      </c>
      <c r="AA25" s="11" t="s">
        <v>1100</v>
      </c>
      <c r="AB25" s="11" t="s">
        <v>1100</v>
      </c>
      <c r="AC25" s="20" t="s">
        <v>1101</v>
      </c>
    </row>
    <row r="26" spans="2:29" ht="15.75" x14ac:dyDescent="0.25">
      <c r="B26" s="11">
        <v>15</v>
      </c>
      <c r="C26" s="12" t="s">
        <v>122</v>
      </c>
      <c r="D26" s="12" t="s">
        <v>19</v>
      </c>
      <c r="E26" s="12" t="s">
        <v>194</v>
      </c>
      <c r="F26" s="11" t="s">
        <v>106</v>
      </c>
      <c r="G26" s="13"/>
      <c r="H26" s="13" t="s">
        <v>1030</v>
      </c>
      <c r="I26" s="21">
        <v>24053</v>
      </c>
      <c r="J26" s="15">
        <v>60</v>
      </c>
      <c r="K26" s="16" t="s">
        <v>1097</v>
      </c>
      <c r="L26" s="16" t="s">
        <v>1108</v>
      </c>
      <c r="M26" s="22" t="s">
        <v>1099</v>
      </c>
      <c r="N26" s="23"/>
      <c r="O26" s="19" t="s">
        <v>1100</v>
      </c>
      <c r="P26" s="19" t="s">
        <v>1100</v>
      </c>
      <c r="Q26" s="13" t="s">
        <v>1100</v>
      </c>
      <c r="R26" s="11"/>
      <c r="S26" s="11" t="s">
        <v>1100</v>
      </c>
      <c r="T26" s="13" t="str">
        <f t="shared" si="0"/>
        <v>/</v>
      </c>
      <c r="U26" s="11" t="s">
        <v>1100</v>
      </c>
      <c r="V26" s="11" t="s">
        <v>1100</v>
      </c>
      <c r="W26" s="11" t="s">
        <v>1100</v>
      </c>
      <c r="X26" s="11" t="s">
        <v>1100</v>
      </c>
      <c r="Y26" s="11" t="s">
        <v>1100</v>
      </c>
      <c r="Z26" s="11" t="s">
        <v>1100</v>
      </c>
      <c r="AA26" s="11" t="s">
        <v>1100</v>
      </c>
      <c r="AB26" s="11" t="s">
        <v>1100</v>
      </c>
      <c r="AC26" s="20" t="s">
        <v>1101</v>
      </c>
    </row>
    <row r="27" spans="2:29" ht="15.75" x14ac:dyDescent="0.25">
      <c r="B27" s="11">
        <v>16</v>
      </c>
      <c r="C27" s="12" t="s">
        <v>196</v>
      </c>
      <c r="D27" s="12" t="s">
        <v>197</v>
      </c>
      <c r="E27" s="12" t="s">
        <v>198</v>
      </c>
      <c r="F27" s="11"/>
      <c r="G27" s="13" t="s">
        <v>1184</v>
      </c>
      <c r="H27" s="13" t="s">
        <v>1030</v>
      </c>
      <c r="I27" s="21">
        <v>26970</v>
      </c>
      <c r="J27" s="15">
        <v>52</v>
      </c>
      <c r="K27" s="16" t="s">
        <v>1103</v>
      </c>
      <c r="L27" s="16" t="s">
        <v>1102</v>
      </c>
      <c r="M27" s="22" t="s">
        <v>1099</v>
      </c>
      <c r="N27" s="23"/>
      <c r="O27" s="19" t="s">
        <v>1099</v>
      </c>
      <c r="P27" s="19" t="s">
        <v>1100</v>
      </c>
      <c r="Q27" s="13" t="s">
        <v>1100</v>
      </c>
      <c r="R27" s="11"/>
      <c r="S27" s="11" t="s">
        <v>1100</v>
      </c>
      <c r="T27" s="13" t="str">
        <f t="shared" si="0"/>
        <v/>
      </c>
      <c r="U27" s="11" t="s">
        <v>1100</v>
      </c>
      <c r="V27" s="11" t="s">
        <v>1100</v>
      </c>
      <c r="W27" s="11" t="s">
        <v>1100</v>
      </c>
      <c r="X27" s="11" t="s">
        <v>1100</v>
      </c>
      <c r="Y27" s="11" t="s">
        <v>1100</v>
      </c>
      <c r="Z27" s="11" t="s">
        <v>1100</v>
      </c>
      <c r="AA27" s="11" t="s">
        <v>1100</v>
      </c>
      <c r="AB27" s="11" t="s">
        <v>1100</v>
      </c>
      <c r="AC27" s="20" t="s">
        <v>1101</v>
      </c>
    </row>
    <row r="28" spans="2:29" ht="15.75" x14ac:dyDescent="0.25">
      <c r="B28" s="11">
        <v>17</v>
      </c>
      <c r="C28" s="12" t="s">
        <v>199</v>
      </c>
      <c r="D28" s="12" t="s">
        <v>200</v>
      </c>
      <c r="E28" s="12" t="s">
        <v>198</v>
      </c>
      <c r="F28" s="11"/>
      <c r="G28" s="13" t="s">
        <v>1184</v>
      </c>
      <c r="H28" s="13" t="s">
        <v>1030</v>
      </c>
      <c r="I28" s="21">
        <v>36453</v>
      </c>
      <c r="J28" s="15">
        <v>26</v>
      </c>
      <c r="K28" s="16" t="s">
        <v>1103</v>
      </c>
      <c r="L28" s="16" t="s">
        <v>1108</v>
      </c>
      <c r="M28" s="22" t="s">
        <v>1099</v>
      </c>
      <c r="N28" s="23"/>
      <c r="O28" s="19" t="s">
        <v>1099</v>
      </c>
      <c r="P28" s="19" t="s">
        <v>1100</v>
      </c>
      <c r="Q28" s="13" t="s">
        <v>1100</v>
      </c>
      <c r="R28" s="11"/>
      <c r="S28" s="11" t="s">
        <v>1100</v>
      </c>
      <c r="T28" s="13" t="str">
        <f t="shared" si="0"/>
        <v/>
      </c>
      <c r="U28" s="11" t="s">
        <v>1100</v>
      </c>
      <c r="V28" s="11" t="s">
        <v>1100</v>
      </c>
      <c r="W28" s="11" t="s">
        <v>1100</v>
      </c>
      <c r="X28" s="11" t="s">
        <v>1100</v>
      </c>
      <c r="Y28" s="11" t="s">
        <v>1100</v>
      </c>
      <c r="Z28" s="11" t="s">
        <v>1100</v>
      </c>
      <c r="AA28" s="11" t="s">
        <v>1100</v>
      </c>
      <c r="AB28" s="11" t="s">
        <v>1100</v>
      </c>
      <c r="AC28" s="20" t="s">
        <v>1101</v>
      </c>
    </row>
    <row r="29" spans="2:29" ht="15.75" x14ac:dyDescent="0.25">
      <c r="B29" s="11">
        <v>18</v>
      </c>
      <c r="C29" s="12" t="s">
        <v>131</v>
      </c>
      <c r="D29" s="12" t="s">
        <v>1023</v>
      </c>
      <c r="E29" s="12" t="s">
        <v>132</v>
      </c>
      <c r="F29" s="11"/>
      <c r="G29" s="13" t="s">
        <v>1260</v>
      </c>
      <c r="H29" s="13" t="s">
        <v>1030</v>
      </c>
      <c r="I29" s="21">
        <v>28733</v>
      </c>
      <c r="J29" s="15">
        <v>47</v>
      </c>
      <c r="K29" s="16" t="s">
        <v>1097</v>
      </c>
      <c r="L29" s="16" t="s">
        <v>1102</v>
      </c>
      <c r="M29" s="22" t="s">
        <v>1099</v>
      </c>
      <c r="N29" s="23"/>
      <c r="O29" s="19" t="s">
        <v>1100</v>
      </c>
      <c r="P29" s="19" t="s">
        <v>1100</v>
      </c>
      <c r="Q29" s="13" t="s">
        <v>1100</v>
      </c>
      <c r="R29" s="11" t="s">
        <v>1099</v>
      </c>
      <c r="S29" s="11" t="s">
        <v>1100</v>
      </c>
      <c r="T29" s="13" t="str">
        <f t="shared" si="0"/>
        <v/>
      </c>
      <c r="U29" s="11" t="s">
        <v>1100</v>
      </c>
      <c r="V29" s="11" t="s">
        <v>1100</v>
      </c>
      <c r="W29" s="11" t="s">
        <v>1100</v>
      </c>
      <c r="X29" s="11" t="s">
        <v>1100</v>
      </c>
      <c r="Y29" s="11" t="s">
        <v>1100</v>
      </c>
      <c r="Z29" s="11" t="s">
        <v>1100</v>
      </c>
      <c r="AA29" s="11" t="s">
        <v>1100</v>
      </c>
      <c r="AB29" s="11" t="s">
        <v>1100</v>
      </c>
      <c r="AC29" s="20" t="s">
        <v>1101</v>
      </c>
    </row>
    <row r="30" spans="2:29" ht="15.75" x14ac:dyDescent="0.25">
      <c r="B30" s="11">
        <v>19</v>
      </c>
      <c r="C30" s="12" t="s">
        <v>953</v>
      </c>
      <c r="D30" s="12" t="s">
        <v>954</v>
      </c>
      <c r="E30" s="12" t="s">
        <v>955</v>
      </c>
      <c r="F30" s="11"/>
      <c r="G30" s="13" t="s">
        <v>1245</v>
      </c>
      <c r="H30" s="13" t="s">
        <v>1030</v>
      </c>
      <c r="I30" s="21">
        <v>25552</v>
      </c>
      <c r="J30" s="15">
        <v>56</v>
      </c>
      <c r="K30" s="16" t="s">
        <v>1103</v>
      </c>
      <c r="L30" s="16" t="s">
        <v>1102</v>
      </c>
      <c r="M30" s="22" t="s">
        <v>1099</v>
      </c>
      <c r="N30" s="23"/>
      <c r="O30" s="19" t="s">
        <v>1100</v>
      </c>
      <c r="P30" s="19" t="s">
        <v>1100</v>
      </c>
      <c r="Q30" s="13" t="s">
        <v>1100</v>
      </c>
      <c r="R30" s="11"/>
      <c r="S30" s="11" t="s">
        <v>1099</v>
      </c>
      <c r="T30" s="13" t="str">
        <f t="shared" si="0"/>
        <v/>
      </c>
      <c r="U30" s="11" t="s">
        <v>1100</v>
      </c>
      <c r="V30" s="11" t="s">
        <v>1100</v>
      </c>
      <c r="W30" s="11" t="s">
        <v>1100</v>
      </c>
      <c r="X30" s="11" t="s">
        <v>1100</v>
      </c>
      <c r="Y30" s="11" t="s">
        <v>1100</v>
      </c>
      <c r="Z30" s="11" t="s">
        <v>1100</v>
      </c>
      <c r="AA30" s="11" t="s">
        <v>1100</v>
      </c>
      <c r="AB30" s="11" t="s">
        <v>1100</v>
      </c>
      <c r="AC30" s="20" t="s">
        <v>1101</v>
      </c>
    </row>
    <row r="31" spans="2:29" ht="15.75" x14ac:dyDescent="0.25">
      <c r="B31" s="11">
        <v>20</v>
      </c>
      <c r="C31" s="12" t="s">
        <v>201</v>
      </c>
      <c r="D31" s="12" t="s">
        <v>141</v>
      </c>
      <c r="E31" s="12" t="s">
        <v>202</v>
      </c>
      <c r="F31" s="11"/>
      <c r="G31" s="13" t="s">
        <v>1188</v>
      </c>
      <c r="H31" s="13" t="s">
        <v>1030</v>
      </c>
      <c r="I31" s="21">
        <v>25241</v>
      </c>
      <c r="J31" s="15">
        <v>57</v>
      </c>
      <c r="K31" s="16" t="s">
        <v>1103</v>
      </c>
      <c r="L31" s="16" t="s">
        <v>1102</v>
      </c>
      <c r="M31" s="22" t="s">
        <v>1099</v>
      </c>
      <c r="N31" s="23"/>
      <c r="O31" s="19" t="s">
        <v>1100</v>
      </c>
      <c r="P31" s="19" t="s">
        <v>1100</v>
      </c>
      <c r="Q31" s="13" t="s">
        <v>1100</v>
      </c>
      <c r="R31" s="11"/>
      <c r="S31" s="11" t="s">
        <v>1100</v>
      </c>
      <c r="T31" s="13" t="str">
        <f t="shared" si="0"/>
        <v/>
      </c>
      <c r="U31" s="11" t="s">
        <v>1100</v>
      </c>
      <c r="V31" s="11" t="s">
        <v>1100</v>
      </c>
      <c r="W31" s="11" t="s">
        <v>1100</v>
      </c>
      <c r="X31" s="11" t="s">
        <v>1100</v>
      </c>
      <c r="Y31" s="11" t="s">
        <v>1100</v>
      </c>
      <c r="Z31" s="11" t="s">
        <v>1100</v>
      </c>
      <c r="AA31" s="11" t="s">
        <v>1100</v>
      </c>
      <c r="AB31" s="11" t="s">
        <v>1100</v>
      </c>
      <c r="AC31" s="20" t="s">
        <v>1101</v>
      </c>
    </row>
    <row r="32" spans="2:29" ht="15.75" x14ac:dyDescent="0.25">
      <c r="B32" s="11">
        <v>21</v>
      </c>
      <c r="C32" s="12" t="s">
        <v>203</v>
      </c>
      <c r="D32" s="12" t="s">
        <v>204</v>
      </c>
      <c r="E32" s="12" t="s">
        <v>205</v>
      </c>
      <c r="F32" s="11"/>
      <c r="G32" s="13" t="s">
        <v>1185</v>
      </c>
      <c r="H32" s="13" t="s">
        <v>1030</v>
      </c>
      <c r="I32" s="21">
        <v>30338</v>
      </c>
      <c r="J32" s="15">
        <v>43</v>
      </c>
      <c r="K32" s="16" t="s">
        <v>1097</v>
      </c>
      <c r="L32" s="16" t="s">
        <v>1102</v>
      </c>
      <c r="M32" s="22" t="s">
        <v>1099</v>
      </c>
      <c r="N32" s="23"/>
      <c r="O32" s="19" t="s">
        <v>1100</v>
      </c>
      <c r="P32" s="19" t="s">
        <v>1100</v>
      </c>
      <c r="Q32" s="13" t="s">
        <v>1100</v>
      </c>
      <c r="R32" s="11"/>
      <c r="S32" s="11" t="s">
        <v>1100</v>
      </c>
      <c r="T32" s="13" t="str">
        <f t="shared" si="0"/>
        <v/>
      </c>
      <c r="U32" s="11" t="s">
        <v>1100</v>
      </c>
      <c r="V32" s="11" t="s">
        <v>1100</v>
      </c>
      <c r="W32" s="11" t="s">
        <v>1100</v>
      </c>
      <c r="X32" s="11" t="s">
        <v>1100</v>
      </c>
      <c r="Y32" s="11" t="s">
        <v>1100</v>
      </c>
      <c r="Z32" s="11" t="s">
        <v>1100</v>
      </c>
      <c r="AA32" s="11" t="s">
        <v>1100</v>
      </c>
      <c r="AB32" s="11" t="s">
        <v>1100</v>
      </c>
      <c r="AC32" s="20" t="s">
        <v>1101</v>
      </c>
    </row>
    <row r="33" spans="2:29" ht="15.75" x14ac:dyDescent="0.25">
      <c r="B33" s="11">
        <v>22</v>
      </c>
      <c r="C33" s="12" t="s">
        <v>203</v>
      </c>
      <c r="D33" s="12" t="s">
        <v>1006</v>
      </c>
      <c r="E33" s="12" t="s">
        <v>205</v>
      </c>
      <c r="F33" s="11"/>
      <c r="G33" s="13" t="s">
        <v>1185</v>
      </c>
      <c r="H33" s="13" t="s">
        <v>1030</v>
      </c>
      <c r="I33" s="21">
        <v>21572</v>
      </c>
      <c r="J33" s="15">
        <v>67</v>
      </c>
      <c r="K33" s="16" t="s">
        <v>1103</v>
      </c>
      <c r="L33" s="16" t="s">
        <v>1104</v>
      </c>
      <c r="M33" s="22" t="s">
        <v>1099</v>
      </c>
      <c r="N33" s="23"/>
      <c r="O33" s="19" t="s">
        <v>1100</v>
      </c>
      <c r="P33" s="19" t="s">
        <v>1100</v>
      </c>
      <c r="Q33" s="13" t="s">
        <v>1100</v>
      </c>
      <c r="R33" s="11"/>
      <c r="S33" s="11" t="s">
        <v>1100</v>
      </c>
      <c r="T33" s="13" t="str">
        <f t="shared" si="0"/>
        <v>/</v>
      </c>
      <c r="U33" s="11" t="s">
        <v>1100</v>
      </c>
      <c r="V33" s="11" t="s">
        <v>1100</v>
      </c>
      <c r="W33" s="11" t="s">
        <v>1100</v>
      </c>
      <c r="X33" s="11" t="s">
        <v>1100</v>
      </c>
      <c r="Y33" s="11" t="s">
        <v>1100</v>
      </c>
      <c r="Z33" s="11" t="s">
        <v>1100</v>
      </c>
      <c r="AA33" s="11" t="s">
        <v>1100</v>
      </c>
      <c r="AB33" s="11" t="s">
        <v>1100</v>
      </c>
      <c r="AC33" s="20" t="s">
        <v>1111</v>
      </c>
    </row>
    <row r="34" spans="2:29" ht="15.75" x14ac:dyDescent="0.25">
      <c r="B34" s="11">
        <v>23</v>
      </c>
      <c r="C34" s="12" t="s">
        <v>206</v>
      </c>
      <c r="D34" s="12" t="s">
        <v>207</v>
      </c>
      <c r="E34" s="12" t="s">
        <v>208</v>
      </c>
      <c r="F34" s="11"/>
      <c r="G34" s="13"/>
      <c r="H34" s="13" t="s">
        <v>1030</v>
      </c>
      <c r="I34" s="21">
        <v>31438</v>
      </c>
      <c r="J34" s="15">
        <v>40</v>
      </c>
      <c r="K34" s="16" t="s">
        <v>1103</v>
      </c>
      <c r="L34" s="16" t="s">
        <v>1108</v>
      </c>
      <c r="M34" s="22" t="s">
        <v>1099</v>
      </c>
      <c r="N34" s="23"/>
      <c r="O34" s="19" t="s">
        <v>1100</v>
      </c>
      <c r="P34" s="19" t="s">
        <v>1099</v>
      </c>
      <c r="Q34" s="13" t="s">
        <v>1100</v>
      </c>
      <c r="R34" s="11"/>
      <c r="S34" s="11" t="s">
        <v>1100</v>
      </c>
      <c r="T34" s="13" t="str">
        <f t="shared" si="0"/>
        <v/>
      </c>
      <c r="U34" s="11" t="s">
        <v>1100</v>
      </c>
      <c r="V34" s="11" t="s">
        <v>1100</v>
      </c>
      <c r="W34" s="11" t="s">
        <v>1100</v>
      </c>
      <c r="X34" s="11" t="s">
        <v>1100</v>
      </c>
      <c r="Y34" s="11" t="s">
        <v>1100</v>
      </c>
      <c r="Z34" s="11" t="s">
        <v>1100</v>
      </c>
      <c r="AA34" s="11" t="s">
        <v>1100</v>
      </c>
      <c r="AB34" s="11" t="s">
        <v>1100</v>
      </c>
      <c r="AC34" s="20" t="s">
        <v>1101</v>
      </c>
    </row>
    <row r="35" spans="2:29" ht="15.75" x14ac:dyDescent="0.25">
      <c r="B35" s="11">
        <v>24</v>
      </c>
      <c r="C35" s="12" t="s">
        <v>209</v>
      </c>
      <c r="D35" s="12" t="s">
        <v>210</v>
      </c>
      <c r="E35" s="12" t="s">
        <v>211</v>
      </c>
      <c r="F35" s="11"/>
      <c r="G35" s="13" t="s">
        <v>1184</v>
      </c>
      <c r="H35" s="13" t="s">
        <v>1030</v>
      </c>
      <c r="I35" s="21">
        <v>28072</v>
      </c>
      <c r="J35" s="15">
        <v>49</v>
      </c>
      <c r="K35" s="16" t="s">
        <v>1103</v>
      </c>
      <c r="L35" s="16" t="s">
        <v>1102</v>
      </c>
      <c r="M35" s="22" t="s">
        <v>1099</v>
      </c>
      <c r="N35" s="23"/>
      <c r="O35" s="19" t="s">
        <v>1100</v>
      </c>
      <c r="P35" s="19" t="s">
        <v>1100</v>
      </c>
      <c r="Q35" s="13" t="s">
        <v>1100</v>
      </c>
      <c r="R35" s="11"/>
      <c r="S35" s="11" t="s">
        <v>1100</v>
      </c>
      <c r="T35" s="13" t="str">
        <f t="shared" si="0"/>
        <v/>
      </c>
      <c r="U35" s="11" t="s">
        <v>1100</v>
      </c>
      <c r="V35" s="11" t="s">
        <v>1100</v>
      </c>
      <c r="W35" s="11" t="s">
        <v>1099</v>
      </c>
      <c r="X35" s="11" t="s">
        <v>1100</v>
      </c>
      <c r="Y35" s="11" t="s">
        <v>1100</v>
      </c>
      <c r="Z35" s="11" t="s">
        <v>1100</v>
      </c>
      <c r="AA35" s="11" t="s">
        <v>1100</v>
      </c>
      <c r="AB35" s="11" t="s">
        <v>1100</v>
      </c>
      <c r="AC35" s="20" t="s">
        <v>1111</v>
      </c>
    </row>
    <row r="36" spans="2:29" ht="15.75" x14ac:dyDescent="0.25">
      <c r="B36" s="11">
        <v>25</v>
      </c>
      <c r="C36" s="12" t="s">
        <v>212</v>
      </c>
      <c r="D36" s="12" t="s">
        <v>993</v>
      </c>
      <c r="E36" s="12" t="s">
        <v>160</v>
      </c>
      <c r="F36" s="11"/>
      <c r="G36" s="13" t="s">
        <v>1189</v>
      </c>
      <c r="H36" s="13" t="s">
        <v>1030</v>
      </c>
      <c r="I36" s="21">
        <v>36336</v>
      </c>
      <c r="J36" s="15">
        <v>26</v>
      </c>
      <c r="K36" s="16" t="s">
        <v>1097</v>
      </c>
      <c r="L36" s="16" t="s">
        <v>1098</v>
      </c>
      <c r="M36" s="22" t="s">
        <v>1099</v>
      </c>
      <c r="N36" s="23"/>
      <c r="O36" s="19" t="s">
        <v>1100</v>
      </c>
      <c r="P36" s="19" t="s">
        <v>1099</v>
      </c>
      <c r="Q36" s="13" t="s">
        <v>1100</v>
      </c>
      <c r="R36" s="11"/>
      <c r="S36" s="11" t="s">
        <v>1099</v>
      </c>
      <c r="T36" s="13" t="str">
        <f t="shared" si="0"/>
        <v/>
      </c>
      <c r="U36" s="11" t="s">
        <v>1100</v>
      </c>
      <c r="V36" s="11" t="s">
        <v>1100</v>
      </c>
      <c r="W36" s="11" t="s">
        <v>1100</v>
      </c>
      <c r="X36" s="11" t="s">
        <v>1100</v>
      </c>
      <c r="Y36" s="11" t="s">
        <v>1100</v>
      </c>
      <c r="Z36" s="11" t="s">
        <v>1100</v>
      </c>
      <c r="AA36" s="11" t="s">
        <v>1100</v>
      </c>
      <c r="AB36" s="11" t="s">
        <v>1100</v>
      </c>
      <c r="AC36" s="20" t="s">
        <v>1101</v>
      </c>
    </row>
    <row r="37" spans="2:29" ht="15.75" x14ac:dyDescent="0.25">
      <c r="B37" s="11">
        <v>26</v>
      </c>
      <c r="C37" s="12" t="s">
        <v>212</v>
      </c>
      <c r="D37" s="12" t="s">
        <v>145</v>
      </c>
      <c r="E37" s="12" t="s">
        <v>160</v>
      </c>
      <c r="F37" s="11"/>
      <c r="G37" s="13" t="s">
        <v>1189</v>
      </c>
      <c r="H37" s="13" t="s">
        <v>1030</v>
      </c>
      <c r="I37" s="21">
        <v>29981</v>
      </c>
      <c r="J37" s="15">
        <v>44</v>
      </c>
      <c r="K37" s="16" t="s">
        <v>1103</v>
      </c>
      <c r="L37" s="16" t="s">
        <v>1102</v>
      </c>
      <c r="M37" s="22" t="s">
        <v>1099</v>
      </c>
      <c r="N37" s="23"/>
      <c r="O37" s="19" t="s">
        <v>1100</v>
      </c>
      <c r="P37" s="19" t="s">
        <v>1100</v>
      </c>
      <c r="Q37" s="13" t="s">
        <v>1100</v>
      </c>
      <c r="R37" s="11"/>
      <c r="S37" s="11" t="s">
        <v>1100</v>
      </c>
      <c r="T37" s="13" t="str">
        <f t="shared" si="0"/>
        <v/>
      </c>
      <c r="U37" s="11" t="s">
        <v>1100</v>
      </c>
      <c r="V37" s="11" t="s">
        <v>1100</v>
      </c>
      <c r="W37" s="11" t="s">
        <v>1100</v>
      </c>
      <c r="X37" s="11" t="s">
        <v>1100</v>
      </c>
      <c r="Y37" s="11" t="s">
        <v>1100</v>
      </c>
      <c r="Z37" s="11" t="s">
        <v>1100</v>
      </c>
      <c r="AA37" s="11" t="s">
        <v>1100</v>
      </c>
      <c r="AB37" s="11" t="s">
        <v>1100</v>
      </c>
      <c r="AC37" s="20" t="s">
        <v>1111</v>
      </c>
    </row>
    <row r="38" spans="2:29" ht="15.75" x14ac:dyDescent="0.25">
      <c r="B38" s="11">
        <v>27</v>
      </c>
      <c r="C38" s="12" t="s">
        <v>99</v>
      </c>
      <c r="D38" s="12" t="s">
        <v>213</v>
      </c>
      <c r="E38" s="12" t="s">
        <v>214</v>
      </c>
      <c r="F38" s="11"/>
      <c r="G38" s="13"/>
      <c r="H38" s="13" t="s">
        <v>1030</v>
      </c>
      <c r="I38" s="21">
        <v>29944</v>
      </c>
      <c r="J38" s="15">
        <v>44</v>
      </c>
      <c r="K38" s="16" t="s">
        <v>1097</v>
      </c>
      <c r="L38" s="16" t="s">
        <v>1098</v>
      </c>
      <c r="M38" s="22" t="s">
        <v>1099</v>
      </c>
      <c r="N38" s="23"/>
      <c r="O38" s="19" t="s">
        <v>1100</v>
      </c>
      <c r="P38" s="19" t="s">
        <v>1100</v>
      </c>
      <c r="Q38" s="13" t="s">
        <v>1100</v>
      </c>
      <c r="R38" s="11"/>
      <c r="S38" s="11" t="s">
        <v>1100</v>
      </c>
      <c r="T38" s="13" t="str">
        <f t="shared" si="0"/>
        <v/>
      </c>
      <c r="U38" s="11" t="s">
        <v>1100</v>
      </c>
      <c r="V38" s="11" t="s">
        <v>1100</v>
      </c>
      <c r="W38" s="11" t="s">
        <v>1100</v>
      </c>
      <c r="X38" s="11" t="s">
        <v>1100</v>
      </c>
      <c r="Y38" s="11" t="s">
        <v>1100</v>
      </c>
      <c r="Z38" s="11" t="s">
        <v>1100</v>
      </c>
      <c r="AA38" s="11" t="s">
        <v>1100</v>
      </c>
      <c r="AB38" s="11" t="s">
        <v>1100</v>
      </c>
      <c r="AC38" s="20" t="s">
        <v>1101</v>
      </c>
    </row>
    <row r="39" spans="2:29" ht="15.75" x14ac:dyDescent="0.25">
      <c r="B39" s="11">
        <v>28</v>
      </c>
      <c r="C39" s="12" t="s">
        <v>215</v>
      </c>
      <c r="D39" s="12" t="s">
        <v>216</v>
      </c>
      <c r="E39" s="12" t="s">
        <v>217</v>
      </c>
      <c r="F39" s="11"/>
      <c r="G39" s="13" t="s">
        <v>1190</v>
      </c>
      <c r="H39" s="13" t="s">
        <v>1031</v>
      </c>
      <c r="I39" s="21">
        <v>29445</v>
      </c>
      <c r="J39" s="15">
        <v>45</v>
      </c>
      <c r="K39" s="16" t="s">
        <v>1103</v>
      </c>
      <c r="L39" s="16" t="s">
        <v>1108</v>
      </c>
      <c r="M39" s="22" t="s">
        <v>1100</v>
      </c>
      <c r="N39" s="23" t="s">
        <v>1099</v>
      </c>
      <c r="O39" s="19" t="s">
        <v>1100</v>
      </c>
      <c r="P39" s="19" t="s">
        <v>1100</v>
      </c>
      <c r="Q39" s="13" t="s">
        <v>1100</v>
      </c>
      <c r="R39" s="11"/>
      <c r="S39" s="11" t="s">
        <v>1100</v>
      </c>
      <c r="T39" s="13" t="str">
        <f t="shared" si="0"/>
        <v/>
      </c>
      <c r="U39" s="11" t="s">
        <v>1100</v>
      </c>
      <c r="V39" s="11" t="s">
        <v>1100</v>
      </c>
      <c r="W39" s="11" t="s">
        <v>1100</v>
      </c>
      <c r="X39" s="11" t="s">
        <v>1100</v>
      </c>
      <c r="Y39" s="11" t="s">
        <v>1100</v>
      </c>
      <c r="Z39" s="11" t="s">
        <v>1100</v>
      </c>
      <c r="AA39" s="11" t="s">
        <v>1100</v>
      </c>
      <c r="AB39" s="11" t="s">
        <v>1100</v>
      </c>
      <c r="AC39" s="20" t="s">
        <v>1101</v>
      </c>
    </row>
    <row r="40" spans="2:29" ht="15.75" x14ac:dyDescent="0.25">
      <c r="B40" s="11">
        <v>29</v>
      </c>
      <c r="C40" s="12" t="s">
        <v>218</v>
      </c>
      <c r="D40" s="12" t="s">
        <v>219</v>
      </c>
      <c r="E40" s="12" t="s">
        <v>220</v>
      </c>
      <c r="F40" s="11" t="s">
        <v>22</v>
      </c>
      <c r="G40" s="13" t="s">
        <v>1191</v>
      </c>
      <c r="H40" s="13" t="s">
        <v>1031</v>
      </c>
      <c r="I40" s="21">
        <v>27623</v>
      </c>
      <c r="J40" s="15">
        <v>50</v>
      </c>
      <c r="K40" s="16" t="s">
        <v>1103</v>
      </c>
      <c r="L40" s="16" t="s">
        <v>1182</v>
      </c>
      <c r="M40" s="22" t="s">
        <v>1100</v>
      </c>
      <c r="N40" s="23" t="s">
        <v>1099</v>
      </c>
      <c r="O40" s="19" t="s">
        <v>1100</v>
      </c>
      <c r="P40" s="19" t="s">
        <v>1100</v>
      </c>
      <c r="Q40" s="13" t="s">
        <v>1100</v>
      </c>
      <c r="R40" s="11"/>
      <c r="S40" s="11" t="s">
        <v>1100</v>
      </c>
      <c r="T40" s="13" t="str">
        <f t="shared" si="0"/>
        <v/>
      </c>
      <c r="U40" s="11" t="s">
        <v>1100</v>
      </c>
      <c r="V40" s="11" t="s">
        <v>1100</v>
      </c>
      <c r="W40" s="11" t="s">
        <v>1100</v>
      </c>
      <c r="X40" s="11" t="s">
        <v>1100</v>
      </c>
      <c r="Y40" s="11" t="s">
        <v>1100</v>
      </c>
      <c r="Z40" s="11" t="s">
        <v>1100</v>
      </c>
      <c r="AA40" s="11" t="s">
        <v>1100</v>
      </c>
      <c r="AB40" s="11" t="s">
        <v>1100</v>
      </c>
      <c r="AC40" s="20" t="s">
        <v>1101</v>
      </c>
    </row>
    <row r="41" spans="2:29" ht="15.75" x14ac:dyDescent="0.25">
      <c r="B41" s="11">
        <v>30</v>
      </c>
      <c r="C41" s="12" t="s">
        <v>221</v>
      </c>
      <c r="D41" s="12" t="s">
        <v>222</v>
      </c>
      <c r="E41" s="12" t="s">
        <v>215</v>
      </c>
      <c r="F41" s="11"/>
      <c r="G41" s="13" t="s">
        <v>1190</v>
      </c>
      <c r="H41" s="13" t="s">
        <v>1031</v>
      </c>
      <c r="I41" s="21">
        <v>23055</v>
      </c>
      <c r="J41" s="15">
        <v>63</v>
      </c>
      <c r="K41" s="16" t="s">
        <v>1103</v>
      </c>
      <c r="L41" s="16" t="s">
        <v>1102</v>
      </c>
      <c r="M41" s="22" t="s">
        <v>1100</v>
      </c>
      <c r="N41" s="23" t="s">
        <v>1099</v>
      </c>
      <c r="O41" s="19" t="s">
        <v>1100</v>
      </c>
      <c r="P41" s="19" t="s">
        <v>1100</v>
      </c>
      <c r="Q41" s="13" t="s">
        <v>1100</v>
      </c>
      <c r="R41" s="11"/>
      <c r="S41" s="11" t="s">
        <v>1100</v>
      </c>
      <c r="T41" s="13" t="str">
        <f t="shared" si="0"/>
        <v>/</v>
      </c>
      <c r="U41" s="11" t="s">
        <v>1100</v>
      </c>
      <c r="V41" s="11" t="s">
        <v>1100</v>
      </c>
      <c r="W41" s="11" t="s">
        <v>1100</v>
      </c>
      <c r="X41" s="11" t="s">
        <v>1100</v>
      </c>
      <c r="Y41" s="11" t="s">
        <v>1100</v>
      </c>
      <c r="Z41" s="11" t="s">
        <v>1100</v>
      </c>
      <c r="AA41" s="11" t="s">
        <v>1100</v>
      </c>
      <c r="AB41" s="11" t="s">
        <v>1100</v>
      </c>
      <c r="AC41" s="20" t="s">
        <v>1101</v>
      </c>
    </row>
    <row r="42" spans="2:29" ht="15.75" x14ac:dyDescent="0.25">
      <c r="B42" s="11">
        <v>31</v>
      </c>
      <c r="C42" s="12" t="s">
        <v>223</v>
      </c>
      <c r="D42" s="12" t="s">
        <v>47</v>
      </c>
      <c r="E42" s="12" t="s">
        <v>224</v>
      </c>
      <c r="F42" s="11"/>
      <c r="G42" s="13" t="s">
        <v>1190</v>
      </c>
      <c r="H42" s="13" t="s">
        <v>1031</v>
      </c>
      <c r="I42" s="21">
        <v>25633</v>
      </c>
      <c r="J42" s="15">
        <v>55</v>
      </c>
      <c r="K42" s="16" t="s">
        <v>1103</v>
      </c>
      <c r="L42" s="16" t="s">
        <v>1102</v>
      </c>
      <c r="M42" s="22" t="s">
        <v>1100</v>
      </c>
      <c r="N42" s="23" t="s">
        <v>1099</v>
      </c>
      <c r="O42" s="19" t="s">
        <v>1100</v>
      </c>
      <c r="P42" s="19" t="s">
        <v>1100</v>
      </c>
      <c r="Q42" s="13" t="s">
        <v>1100</v>
      </c>
      <c r="R42" s="11"/>
      <c r="S42" s="11" t="s">
        <v>1100</v>
      </c>
      <c r="T42" s="13" t="str">
        <f t="shared" si="0"/>
        <v/>
      </c>
      <c r="U42" s="11" t="s">
        <v>1100</v>
      </c>
      <c r="V42" s="11" t="s">
        <v>1100</v>
      </c>
      <c r="W42" s="11" t="s">
        <v>1100</v>
      </c>
      <c r="X42" s="11" t="s">
        <v>1100</v>
      </c>
      <c r="Y42" s="11" t="s">
        <v>1100</v>
      </c>
      <c r="Z42" s="11" t="s">
        <v>1100</v>
      </c>
      <c r="AA42" s="11" t="s">
        <v>1100</v>
      </c>
      <c r="AB42" s="11" t="s">
        <v>1100</v>
      </c>
      <c r="AC42" s="20" t="s">
        <v>1101</v>
      </c>
    </row>
    <row r="43" spans="2:29" ht="15.75" x14ac:dyDescent="0.25">
      <c r="B43" s="11">
        <v>32</v>
      </c>
      <c r="C43" s="12" t="s">
        <v>225</v>
      </c>
      <c r="D43" s="12" t="s">
        <v>226</v>
      </c>
      <c r="E43" s="12" t="s">
        <v>159</v>
      </c>
      <c r="F43" s="11"/>
      <c r="G43" s="13" t="s">
        <v>1192</v>
      </c>
      <c r="H43" s="13" t="s">
        <v>1031</v>
      </c>
      <c r="I43" s="21">
        <v>33696</v>
      </c>
      <c r="J43" s="15">
        <v>33</v>
      </c>
      <c r="K43" s="16" t="s">
        <v>1097</v>
      </c>
      <c r="L43" s="16" t="s">
        <v>1183</v>
      </c>
      <c r="M43" s="22" t="s">
        <v>1100</v>
      </c>
      <c r="N43" s="23" t="s">
        <v>1099</v>
      </c>
      <c r="O43" s="19" t="s">
        <v>1100</v>
      </c>
      <c r="P43" s="19" t="s">
        <v>1100</v>
      </c>
      <c r="Q43" s="13" t="s">
        <v>1100</v>
      </c>
      <c r="R43" s="11"/>
      <c r="S43" s="11" t="s">
        <v>1100</v>
      </c>
      <c r="T43" s="13" t="str">
        <f t="shared" si="0"/>
        <v/>
      </c>
      <c r="U43" s="11" t="s">
        <v>1100</v>
      </c>
      <c r="V43" s="11" t="s">
        <v>1100</v>
      </c>
      <c r="W43" s="11" t="s">
        <v>1100</v>
      </c>
      <c r="X43" s="11" t="s">
        <v>1100</v>
      </c>
      <c r="Y43" s="11" t="s">
        <v>1100</v>
      </c>
      <c r="Z43" s="11" t="s">
        <v>1100</v>
      </c>
      <c r="AA43" s="11" t="s">
        <v>1100</v>
      </c>
      <c r="AB43" s="11" t="s">
        <v>1100</v>
      </c>
      <c r="AC43" s="20" t="s">
        <v>1101</v>
      </c>
    </row>
    <row r="44" spans="2:29" ht="15.75" x14ac:dyDescent="0.25">
      <c r="B44" s="11">
        <v>33</v>
      </c>
      <c r="C44" s="12" t="s">
        <v>174</v>
      </c>
      <c r="D44" s="12" t="s">
        <v>227</v>
      </c>
      <c r="E44" s="12" t="s">
        <v>228</v>
      </c>
      <c r="F44" s="11"/>
      <c r="G44" s="13" t="s">
        <v>1192</v>
      </c>
      <c r="H44" s="13" t="s">
        <v>1031</v>
      </c>
      <c r="I44" s="21">
        <v>30731</v>
      </c>
      <c r="J44" s="15">
        <v>42</v>
      </c>
      <c r="K44" s="16" t="s">
        <v>1103</v>
      </c>
      <c r="L44" s="16" t="s">
        <v>1182</v>
      </c>
      <c r="M44" s="22" t="s">
        <v>1100</v>
      </c>
      <c r="N44" s="23" t="s">
        <v>1099</v>
      </c>
      <c r="O44" s="19" t="s">
        <v>1100</v>
      </c>
      <c r="P44" s="19" t="s">
        <v>1100</v>
      </c>
      <c r="Q44" s="13" t="s">
        <v>1100</v>
      </c>
      <c r="R44" s="11"/>
      <c r="S44" s="11" t="s">
        <v>1100</v>
      </c>
      <c r="T44" s="13" t="str">
        <f t="shared" si="0"/>
        <v/>
      </c>
      <c r="U44" s="11" t="s">
        <v>1100</v>
      </c>
      <c r="V44" s="11" t="s">
        <v>1100</v>
      </c>
      <c r="W44" s="11" t="s">
        <v>1100</v>
      </c>
      <c r="X44" s="11" t="s">
        <v>1100</v>
      </c>
      <c r="Y44" s="11" t="s">
        <v>1100</v>
      </c>
      <c r="Z44" s="11" t="s">
        <v>1100</v>
      </c>
      <c r="AA44" s="11" t="s">
        <v>1100</v>
      </c>
      <c r="AB44" s="11" t="s">
        <v>1100</v>
      </c>
      <c r="AC44" s="20" t="s">
        <v>1101</v>
      </c>
    </row>
    <row r="45" spans="2:29" ht="15.75" x14ac:dyDescent="0.25">
      <c r="B45" s="11">
        <v>34</v>
      </c>
      <c r="C45" s="12" t="s">
        <v>229</v>
      </c>
      <c r="D45" s="12" t="s">
        <v>116</v>
      </c>
      <c r="E45" s="12" t="s">
        <v>143</v>
      </c>
      <c r="F45" s="11"/>
      <c r="G45" s="13" t="s">
        <v>1190</v>
      </c>
      <c r="H45" s="13" t="s">
        <v>1031</v>
      </c>
      <c r="I45" s="21">
        <v>18736</v>
      </c>
      <c r="J45" s="15">
        <v>74</v>
      </c>
      <c r="K45" s="16" t="s">
        <v>1097</v>
      </c>
      <c r="L45" s="16" t="s">
        <v>1102</v>
      </c>
      <c r="M45" s="22" t="s">
        <v>1100</v>
      </c>
      <c r="N45" s="23" t="s">
        <v>1099</v>
      </c>
      <c r="O45" s="19" t="s">
        <v>1100</v>
      </c>
      <c r="P45" s="19" t="s">
        <v>1100</v>
      </c>
      <c r="Q45" s="13" t="s">
        <v>1100</v>
      </c>
      <c r="R45" s="11"/>
      <c r="S45" s="11" t="s">
        <v>1100</v>
      </c>
      <c r="T45" s="13" t="str">
        <f t="shared" si="0"/>
        <v>/</v>
      </c>
      <c r="U45" s="11" t="s">
        <v>1100</v>
      </c>
      <c r="V45" s="11" t="s">
        <v>1100</v>
      </c>
      <c r="W45" s="11" t="s">
        <v>1100</v>
      </c>
      <c r="X45" s="11" t="s">
        <v>1100</v>
      </c>
      <c r="Y45" s="11" t="s">
        <v>1100</v>
      </c>
      <c r="Z45" s="11" t="s">
        <v>1100</v>
      </c>
      <c r="AA45" s="11" t="s">
        <v>1100</v>
      </c>
      <c r="AB45" s="11" t="s">
        <v>1100</v>
      </c>
      <c r="AC45" s="20" t="s">
        <v>1101</v>
      </c>
    </row>
    <row r="46" spans="2:29" ht="15.75" x14ac:dyDescent="0.25">
      <c r="B46" s="11">
        <v>35</v>
      </c>
      <c r="C46" s="12" t="s">
        <v>230</v>
      </c>
      <c r="D46" s="12" t="s">
        <v>231</v>
      </c>
      <c r="E46" s="12" t="s">
        <v>124</v>
      </c>
      <c r="F46" s="11"/>
      <c r="G46" s="13" t="s">
        <v>1193</v>
      </c>
      <c r="H46" s="13" t="s">
        <v>1031</v>
      </c>
      <c r="I46" s="21">
        <v>27211</v>
      </c>
      <c r="J46" s="15">
        <v>51</v>
      </c>
      <c r="K46" s="16" t="s">
        <v>1097</v>
      </c>
      <c r="L46" s="16" t="s">
        <v>1102</v>
      </c>
      <c r="M46" s="22" t="s">
        <v>1100</v>
      </c>
      <c r="N46" s="23" t="s">
        <v>1099</v>
      </c>
      <c r="O46" s="19" t="s">
        <v>1100</v>
      </c>
      <c r="P46" s="19" t="s">
        <v>1100</v>
      </c>
      <c r="Q46" s="13" t="s">
        <v>1100</v>
      </c>
      <c r="R46" s="11"/>
      <c r="S46" s="11" t="s">
        <v>1100</v>
      </c>
      <c r="T46" s="13" t="str">
        <f t="shared" si="0"/>
        <v/>
      </c>
      <c r="U46" s="11" t="s">
        <v>1100</v>
      </c>
      <c r="V46" s="11" t="s">
        <v>1100</v>
      </c>
      <c r="W46" s="11" t="s">
        <v>1100</v>
      </c>
      <c r="X46" s="11" t="s">
        <v>1100</v>
      </c>
      <c r="Y46" s="11" t="s">
        <v>1100</v>
      </c>
      <c r="Z46" s="11" t="s">
        <v>1100</v>
      </c>
      <c r="AA46" s="11" t="s">
        <v>1100</v>
      </c>
      <c r="AB46" s="11" t="s">
        <v>1100</v>
      </c>
      <c r="AC46" s="20" t="s">
        <v>1101</v>
      </c>
    </row>
    <row r="47" spans="2:29" ht="15.75" x14ac:dyDescent="0.25">
      <c r="B47" s="11">
        <v>36</v>
      </c>
      <c r="C47" s="12" t="s">
        <v>232</v>
      </c>
      <c r="D47" s="12" t="s">
        <v>233</v>
      </c>
      <c r="E47" s="12" t="s">
        <v>234</v>
      </c>
      <c r="F47" s="11"/>
      <c r="G47" s="13" t="s">
        <v>1194</v>
      </c>
      <c r="H47" s="13" t="s">
        <v>1031</v>
      </c>
      <c r="I47" s="21">
        <v>32478</v>
      </c>
      <c r="J47" s="15">
        <v>37</v>
      </c>
      <c r="K47" s="16" t="s">
        <v>1103</v>
      </c>
      <c r="L47" s="16" t="s">
        <v>1183</v>
      </c>
      <c r="M47" s="22" t="s">
        <v>1100</v>
      </c>
      <c r="N47" s="23" t="s">
        <v>1099</v>
      </c>
      <c r="O47" s="19" t="s">
        <v>1100</v>
      </c>
      <c r="P47" s="19" t="s">
        <v>1100</v>
      </c>
      <c r="Q47" s="13" t="s">
        <v>1100</v>
      </c>
      <c r="R47" s="11"/>
      <c r="S47" s="11" t="s">
        <v>1100</v>
      </c>
      <c r="T47" s="13" t="str">
        <f t="shared" si="0"/>
        <v/>
      </c>
      <c r="U47" s="11" t="s">
        <v>1100</v>
      </c>
      <c r="V47" s="11" t="s">
        <v>1100</v>
      </c>
      <c r="W47" s="11" t="s">
        <v>1100</v>
      </c>
      <c r="X47" s="11" t="s">
        <v>1100</v>
      </c>
      <c r="Y47" s="11" t="s">
        <v>1100</v>
      </c>
      <c r="Z47" s="11" t="s">
        <v>1100</v>
      </c>
      <c r="AA47" s="11" t="s">
        <v>1100</v>
      </c>
      <c r="AB47" s="11" t="s">
        <v>1100</v>
      </c>
      <c r="AC47" s="20" t="s">
        <v>1101</v>
      </c>
    </row>
    <row r="48" spans="2:29" ht="15.75" x14ac:dyDescent="0.25">
      <c r="B48" s="11">
        <v>37</v>
      </c>
      <c r="C48" s="12" t="s">
        <v>235</v>
      </c>
      <c r="D48" s="12" t="s">
        <v>236</v>
      </c>
      <c r="E48" s="12" t="s">
        <v>237</v>
      </c>
      <c r="F48" s="11"/>
      <c r="G48" s="13" t="s">
        <v>1191</v>
      </c>
      <c r="H48" s="13" t="s">
        <v>1031</v>
      </c>
      <c r="I48" s="21">
        <v>21962</v>
      </c>
      <c r="J48" s="15">
        <v>66</v>
      </c>
      <c r="K48" s="16" t="s">
        <v>1103</v>
      </c>
      <c r="L48" s="16" t="s">
        <v>1182</v>
      </c>
      <c r="M48" s="22" t="s">
        <v>1100</v>
      </c>
      <c r="N48" s="23" t="s">
        <v>1099</v>
      </c>
      <c r="O48" s="19" t="s">
        <v>1100</v>
      </c>
      <c r="P48" s="19" t="s">
        <v>1100</v>
      </c>
      <c r="Q48" s="13" t="s">
        <v>1100</v>
      </c>
      <c r="R48" s="11"/>
      <c r="S48" s="11" t="s">
        <v>1100</v>
      </c>
      <c r="T48" s="13" t="str">
        <f t="shared" si="0"/>
        <v>/</v>
      </c>
      <c r="U48" s="11" t="s">
        <v>1100</v>
      </c>
      <c r="V48" s="11" t="s">
        <v>1100</v>
      </c>
      <c r="W48" s="11" t="s">
        <v>1100</v>
      </c>
      <c r="X48" s="11" t="s">
        <v>1100</v>
      </c>
      <c r="Y48" s="11" t="s">
        <v>1100</v>
      </c>
      <c r="Z48" s="11" t="s">
        <v>1100</v>
      </c>
      <c r="AA48" s="11" t="s">
        <v>1100</v>
      </c>
      <c r="AB48" s="11" t="s">
        <v>1100</v>
      </c>
      <c r="AC48" s="20" t="s">
        <v>1101</v>
      </c>
    </row>
    <row r="49" spans="2:29" ht="15.75" x14ac:dyDescent="0.25">
      <c r="B49" s="11">
        <v>38</v>
      </c>
      <c r="C49" s="12" t="s">
        <v>238</v>
      </c>
      <c r="D49" s="12" t="s">
        <v>239</v>
      </c>
      <c r="E49" s="12" t="s">
        <v>81</v>
      </c>
      <c r="F49" s="11"/>
      <c r="G49" s="13" t="s">
        <v>1192</v>
      </c>
      <c r="H49" s="13" t="s">
        <v>1031</v>
      </c>
      <c r="I49" s="21">
        <v>33658</v>
      </c>
      <c r="J49" s="15">
        <v>33</v>
      </c>
      <c r="K49" s="16" t="s">
        <v>1103</v>
      </c>
      <c r="L49" s="16" t="s">
        <v>1102</v>
      </c>
      <c r="M49" s="22" t="s">
        <v>1100</v>
      </c>
      <c r="N49" s="23" t="s">
        <v>1099</v>
      </c>
      <c r="O49" s="19" t="s">
        <v>1100</v>
      </c>
      <c r="P49" s="19" t="s">
        <v>1100</v>
      </c>
      <c r="Q49" s="13" t="s">
        <v>1100</v>
      </c>
      <c r="R49" s="11"/>
      <c r="S49" s="11" t="s">
        <v>1100</v>
      </c>
      <c r="T49" s="13" t="str">
        <f t="shared" si="0"/>
        <v/>
      </c>
      <c r="U49" s="11" t="s">
        <v>1100</v>
      </c>
      <c r="V49" s="11" t="s">
        <v>1100</v>
      </c>
      <c r="W49" s="11" t="s">
        <v>1100</v>
      </c>
      <c r="X49" s="11" t="s">
        <v>1100</v>
      </c>
      <c r="Y49" s="11" t="s">
        <v>1100</v>
      </c>
      <c r="Z49" s="11" t="s">
        <v>1100</v>
      </c>
      <c r="AA49" s="11" t="s">
        <v>1100</v>
      </c>
      <c r="AB49" s="11" t="s">
        <v>1100</v>
      </c>
      <c r="AC49" s="20" t="s">
        <v>1101</v>
      </c>
    </row>
    <row r="50" spans="2:29" ht="15.75" x14ac:dyDescent="0.25">
      <c r="B50" s="11">
        <v>39</v>
      </c>
      <c r="C50" s="12" t="s">
        <v>240</v>
      </c>
      <c r="D50" s="12" t="s">
        <v>241</v>
      </c>
      <c r="E50" s="12" t="s">
        <v>242</v>
      </c>
      <c r="F50" s="11"/>
      <c r="G50" s="13" t="s">
        <v>1192</v>
      </c>
      <c r="H50" s="13" t="s">
        <v>1031</v>
      </c>
      <c r="I50" s="21">
        <v>17090</v>
      </c>
      <c r="J50" s="15">
        <v>79</v>
      </c>
      <c r="K50" s="16" t="s">
        <v>1103</v>
      </c>
      <c r="L50" s="16" t="s">
        <v>1182</v>
      </c>
      <c r="M50" s="22" t="s">
        <v>1100</v>
      </c>
      <c r="N50" s="23" t="s">
        <v>1099</v>
      </c>
      <c r="O50" s="19" t="s">
        <v>1100</v>
      </c>
      <c r="P50" s="19" t="s">
        <v>1100</v>
      </c>
      <c r="Q50" s="13" t="s">
        <v>1100</v>
      </c>
      <c r="R50" s="11"/>
      <c r="S50" s="11" t="s">
        <v>1100</v>
      </c>
      <c r="T50" s="13" t="str">
        <f t="shared" si="0"/>
        <v>/</v>
      </c>
      <c r="U50" s="11" t="s">
        <v>1100</v>
      </c>
      <c r="V50" s="11" t="s">
        <v>1100</v>
      </c>
      <c r="W50" s="11" t="s">
        <v>1100</v>
      </c>
      <c r="X50" s="11" t="s">
        <v>1100</v>
      </c>
      <c r="Y50" s="11" t="s">
        <v>1100</v>
      </c>
      <c r="Z50" s="11" t="s">
        <v>1100</v>
      </c>
      <c r="AA50" s="11" t="s">
        <v>1100</v>
      </c>
      <c r="AB50" s="11" t="s">
        <v>1100</v>
      </c>
      <c r="AC50" s="20" t="s">
        <v>1101</v>
      </c>
    </row>
    <row r="51" spans="2:29" ht="15.75" x14ac:dyDescent="0.25">
      <c r="B51" s="11">
        <v>40</v>
      </c>
      <c r="C51" s="12" t="s">
        <v>92</v>
      </c>
      <c r="D51" s="12" t="s">
        <v>946</v>
      </c>
      <c r="E51" s="12" t="s">
        <v>556</v>
      </c>
      <c r="F51" s="11"/>
      <c r="G51" s="13" t="s">
        <v>1195</v>
      </c>
      <c r="H51" s="13" t="s">
        <v>1031</v>
      </c>
      <c r="I51" s="21">
        <v>22579</v>
      </c>
      <c r="J51" s="15">
        <v>64</v>
      </c>
      <c r="K51" s="16" t="s">
        <v>1103</v>
      </c>
      <c r="L51" s="16" t="s">
        <v>1102</v>
      </c>
      <c r="M51" s="22" t="s">
        <v>1100</v>
      </c>
      <c r="N51" s="23" t="s">
        <v>1099</v>
      </c>
      <c r="O51" s="19" t="s">
        <v>1100</v>
      </c>
      <c r="P51" s="19" t="s">
        <v>1100</v>
      </c>
      <c r="Q51" s="13" t="s">
        <v>1100</v>
      </c>
      <c r="R51" s="11"/>
      <c r="S51" s="11" t="s">
        <v>1100</v>
      </c>
      <c r="T51" s="13" t="str">
        <f t="shared" si="0"/>
        <v>/</v>
      </c>
      <c r="U51" s="11" t="s">
        <v>1100</v>
      </c>
      <c r="V51" s="11" t="s">
        <v>1100</v>
      </c>
      <c r="W51" s="11" t="s">
        <v>1100</v>
      </c>
      <c r="X51" s="11" t="s">
        <v>1100</v>
      </c>
      <c r="Y51" s="11" t="s">
        <v>1100</v>
      </c>
      <c r="Z51" s="11" t="s">
        <v>1100</v>
      </c>
      <c r="AA51" s="11" t="s">
        <v>1100</v>
      </c>
      <c r="AB51" s="11" t="s">
        <v>1100</v>
      </c>
      <c r="AC51" s="20" t="s">
        <v>1101</v>
      </c>
    </row>
    <row r="52" spans="2:29" ht="15.75" x14ac:dyDescent="0.25">
      <c r="B52" s="11">
        <v>41</v>
      </c>
      <c r="C52" s="12" t="s">
        <v>37</v>
      </c>
      <c r="D52" s="12" t="s">
        <v>243</v>
      </c>
      <c r="E52" s="12" t="s">
        <v>118</v>
      </c>
      <c r="F52" s="11"/>
      <c r="G52" s="13" t="s">
        <v>1195</v>
      </c>
      <c r="H52" s="13" t="s">
        <v>1031</v>
      </c>
      <c r="I52" s="21">
        <v>30385</v>
      </c>
      <c r="J52" s="15">
        <v>42</v>
      </c>
      <c r="K52" s="16" t="s">
        <v>1103</v>
      </c>
      <c r="L52" s="16" t="s">
        <v>1183</v>
      </c>
      <c r="M52" s="22" t="s">
        <v>1100</v>
      </c>
      <c r="N52" s="23" t="s">
        <v>1099</v>
      </c>
      <c r="O52" s="19" t="s">
        <v>1100</v>
      </c>
      <c r="P52" s="19" t="s">
        <v>1100</v>
      </c>
      <c r="Q52" s="13" t="s">
        <v>1100</v>
      </c>
      <c r="R52" s="11"/>
      <c r="S52" s="11" t="s">
        <v>1100</v>
      </c>
      <c r="T52" s="13" t="str">
        <f t="shared" si="0"/>
        <v/>
      </c>
      <c r="U52" s="11" t="s">
        <v>1100</v>
      </c>
      <c r="V52" s="11" t="s">
        <v>1100</v>
      </c>
      <c r="W52" s="11" t="s">
        <v>1100</v>
      </c>
      <c r="X52" s="11" t="s">
        <v>1100</v>
      </c>
      <c r="Y52" s="11" t="s">
        <v>1100</v>
      </c>
      <c r="Z52" s="11" t="s">
        <v>1100</v>
      </c>
      <c r="AA52" s="11" t="s">
        <v>1100</v>
      </c>
      <c r="AB52" s="11" t="s">
        <v>1100</v>
      </c>
      <c r="AC52" s="20" t="s">
        <v>1101</v>
      </c>
    </row>
    <row r="53" spans="2:29" ht="15.75" x14ac:dyDescent="0.25">
      <c r="B53" s="11">
        <v>42</v>
      </c>
      <c r="C53" s="12" t="s">
        <v>244</v>
      </c>
      <c r="D53" s="12" t="s">
        <v>56</v>
      </c>
      <c r="E53" s="12" t="s">
        <v>245</v>
      </c>
      <c r="F53" s="11"/>
      <c r="G53" s="13" t="s">
        <v>1196</v>
      </c>
      <c r="H53" s="13" t="s">
        <v>1031</v>
      </c>
      <c r="I53" s="21" t="s">
        <v>1180</v>
      </c>
      <c r="J53" s="15">
        <v>30</v>
      </c>
      <c r="K53" s="16" t="s">
        <v>1103</v>
      </c>
      <c r="L53" s="16" t="s">
        <v>1102</v>
      </c>
      <c r="M53" s="22" t="s">
        <v>1100</v>
      </c>
      <c r="N53" s="23" t="s">
        <v>1099</v>
      </c>
      <c r="O53" s="19" t="s">
        <v>1100</v>
      </c>
      <c r="P53" s="19" t="s">
        <v>1100</v>
      </c>
      <c r="Q53" s="13" t="s">
        <v>1100</v>
      </c>
      <c r="R53" s="11"/>
      <c r="S53" s="11" t="s">
        <v>1100</v>
      </c>
      <c r="T53" s="13" t="str">
        <f t="shared" si="0"/>
        <v/>
      </c>
      <c r="U53" s="11" t="s">
        <v>1100</v>
      </c>
      <c r="V53" s="11" t="s">
        <v>1100</v>
      </c>
      <c r="W53" s="11" t="s">
        <v>1100</v>
      </c>
      <c r="X53" s="11" t="s">
        <v>1100</v>
      </c>
      <c r="Y53" s="11" t="s">
        <v>1100</v>
      </c>
      <c r="Z53" s="11" t="s">
        <v>1100</v>
      </c>
      <c r="AA53" s="11" t="s">
        <v>1100</v>
      </c>
      <c r="AB53" s="11" t="s">
        <v>1100</v>
      </c>
      <c r="AC53" s="20" t="s">
        <v>1101</v>
      </c>
    </row>
    <row r="54" spans="2:29" ht="15.75" x14ac:dyDescent="0.25">
      <c r="B54" s="11">
        <v>43</v>
      </c>
      <c r="C54" s="12" t="s">
        <v>246</v>
      </c>
      <c r="D54" s="12" t="s">
        <v>247</v>
      </c>
      <c r="E54" s="12" t="s">
        <v>248</v>
      </c>
      <c r="F54" s="11"/>
      <c r="G54" s="13" t="s">
        <v>1196</v>
      </c>
      <c r="H54" s="13" t="s">
        <v>1031</v>
      </c>
      <c r="I54" s="21">
        <v>25280</v>
      </c>
      <c r="J54" s="15">
        <v>56</v>
      </c>
      <c r="K54" s="16" t="s">
        <v>1103</v>
      </c>
      <c r="L54" s="16" t="s">
        <v>1183</v>
      </c>
      <c r="M54" s="22" t="s">
        <v>1100</v>
      </c>
      <c r="N54" s="23" t="s">
        <v>1099</v>
      </c>
      <c r="O54" s="19" t="s">
        <v>1099</v>
      </c>
      <c r="P54" s="19" t="s">
        <v>1100</v>
      </c>
      <c r="Q54" s="13" t="s">
        <v>1100</v>
      </c>
      <c r="R54" s="11"/>
      <c r="S54" s="11" t="s">
        <v>1100</v>
      </c>
      <c r="T54" s="13" t="str">
        <f t="shared" si="0"/>
        <v/>
      </c>
      <c r="U54" s="11" t="s">
        <v>1100</v>
      </c>
      <c r="V54" s="11" t="s">
        <v>1100</v>
      </c>
      <c r="W54" s="11" t="s">
        <v>1100</v>
      </c>
      <c r="X54" s="11" t="s">
        <v>1100</v>
      </c>
      <c r="Y54" s="11" t="s">
        <v>1100</v>
      </c>
      <c r="Z54" s="11" t="s">
        <v>1100</v>
      </c>
      <c r="AA54" s="11" t="s">
        <v>1100</v>
      </c>
      <c r="AB54" s="11" t="s">
        <v>1100</v>
      </c>
      <c r="AC54" s="20" t="s">
        <v>1101</v>
      </c>
    </row>
    <row r="55" spans="2:29" ht="15.75" x14ac:dyDescent="0.25">
      <c r="B55" s="11">
        <v>44</v>
      </c>
      <c r="C55" s="12" t="s">
        <v>249</v>
      </c>
      <c r="D55" s="12" t="s">
        <v>250</v>
      </c>
      <c r="E55" s="12" t="s">
        <v>251</v>
      </c>
      <c r="F55" s="11"/>
      <c r="G55" s="13" t="s">
        <v>1192</v>
      </c>
      <c r="H55" s="13" t="s">
        <v>1031</v>
      </c>
      <c r="I55" s="21">
        <v>38983</v>
      </c>
      <c r="J55" s="15">
        <v>19</v>
      </c>
      <c r="K55" s="16" t="s">
        <v>1103</v>
      </c>
      <c r="L55" s="16" t="s">
        <v>1183</v>
      </c>
      <c r="M55" s="22" t="s">
        <v>1100</v>
      </c>
      <c r="N55" s="23" t="s">
        <v>1099</v>
      </c>
      <c r="O55" s="19" t="s">
        <v>1100</v>
      </c>
      <c r="P55" s="19" t="s">
        <v>1100</v>
      </c>
      <c r="Q55" s="13" t="s">
        <v>1100</v>
      </c>
      <c r="R55" s="11"/>
      <c r="S55" s="11" t="s">
        <v>1100</v>
      </c>
      <c r="T55" s="13" t="str">
        <f t="shared" si="0"/>
        <v/>
      </c>
      <c r="U55" s="11" t="s">
        <v>1100</v>
      </c>
      <c r="V55" s="11" t="s">
        <v>1100</v>
      </c>
      <c r="W55" s="11" t="s">
        <v>1100</v>
      </c>
      <c r="X55" s="11" t="s">
        <v>1100</v>
      </c>
      <c r="Y55" s="11" t="s">
        <v>1100</v>
      </c>
      <c r="Z55" s="11" t="s">
        <v>1100</v>
      </c>
      <c r="AA55" s="11" t="s">
        <v>1100</v>
      </c>
      <c r="AB55" s="11" t="s">
        <v>1100</v>
      </c>
      <c r="AC55" s="20" t="s">
        <v>1101</v>
      </c>
    </row>
    <row r="56" spans="2:29" ht="15.75" x14ac:dyDescent="0.25">
      <c r="B56" s="11">
        <v>45</v>
      </c>
      <c r="C56" s="12" t="s">
        <v>205</v>
      </c>
      <c r="D56" s="12" t="s">
        <v>147</v>
      </c>
      <c r="E56" s="12" t="s">
        <v>252</v>
      </c>
      <c r="F56" s="11"/>
      <c r="G56" s="13" t="s">
        <v>1193</v>
      </c>
      <c r="H56" s="13" t="s">
        <v>1031</v>
      </c>
      <c r="I56" s="21">
        <v>31368</v>
      </c>
      <c r="J56" s="15">
        <v>40</v>
      </c>
      <c r="K56" s="16" t="s">
        <v>1097</v>
      </c>
      <c r="L56" s="16" t="s">
        <v>1183</v>
      </c>
      <c r="M56" s="22" t="s">
        <v>1100</v>
      </c>
      <c r="N56" s="23" t="s">
        <v>1099</v>
      </c>
      <c r="O56" s="19" t="s">
        <v>1100</v>
      </c>
      <c r="P56" s="19" t="s">
        <v>1100</v>
      </c>
      <c r="Q56" s="13" t="s">
        <v>1100</v>
      </c>
      <c r="R56" s="11"/>
      <c r="S56" s="11" t="s">
        <v>1100</v>
      </c>
      <c r="T56" s="13" t="str">
        <f t="shared" si="0"/>
        <v/>
      </c>
      <c r="U56" s="11" t="s">
        <v>1100</v>
      </c>
      <c r="V56" s="11" t="s">
        <v>1100</v>
      </c>
      <c r="W56" s="11" t="s">
        <v>1100</v>
      </c>
      <c r="X56" s="11" t="s">
        <v>1100</v>
      </c>
      <c r="Y56" s="11" t="s">
        <v>1100</v>
      </c>
      <c r="Z56" s="11" t="s">
        <v>1100</v>
      </c>
      <c r="AA56" s="11" t="s">
        <v>1100</v>
      </c>
      <c r="AB56" s="11" t="s">
        <v>1100</v>
      </c>
      <c r="AC56" s="20" t="s">
        <v>1101</v>
      </c>
    </row>
    <row r="57" spans="2:29" ht="15.75" x14ac:dyDescent="0.25">
      <c r="B57" s="11">
        <v>46</v>
      </c>
      <c r="C57" s="12" t="s">
        <v>253</v>
      </c>
      <c r="D57" s="12" t="s">
        <v>254</v>
      </c>
      <c r="E57" s="12" t="s">
        <v>255</v>
      </c>
      <c r="F57" s="11"/>
      <c r="G57" s="13" t="s">
        <v>1193</v>
      </c>
      <c r="H57" s="13" t="s">
        <v>1031</v>
      </c>
      <c r="I57" s="21">
        <v>23568</v>
      </c>
      <c r="J57" s="15">
        <v>61</v>
      </c>
      <c r="K57" s="16" t="s">
        <v>1103</v>
      </c>
      <c r="L57" s="16" t="s">
        <v>1182</v>
      </c>
      <c r="M57" s="22" t="s">
        <v>1100</v>
      </c>
      <c r="N57" s="23" t="s">
        <v>1099</v>
      </c>
      <c r="O57" s="19" t="s">
        <v>1100</v>
      </c>
      <c r="P57" s="19" t="s">
        <v>1100</v>
      </c>
      <c r="Q57" s="13" t="s">
        <v>1100</v>
      </c>
      <c r="R57" s="11"/>
      <c r="S57" s="11" t="s">
        <v>1100</v>
      </c>
      <c r="T57" s="13" t="str">
        <f t="shared" si="0"/>
        <v>/</v>
      </c>
      <c r="U57" s="11" t="s">
        <v>1100</v>
      </c>
      <c r="V57" s="11" t="s">
        <v>1100</v>
      </c>
      <c r="W57" s="11" t="s">
        <v>1100</v>
      </c>
      <c r="X57" s="11" t="s">
        <v>1100</v>
      </c>
      <c r="Y57" s="11" t="s">
        <v>1100</v>
      </c>
      <c r="Z57" s="11" t="s">
        <v>1100</v>
      </c>
      <c r="AA57" s="11" t="s">
        <v>1100</v>
      </c>
      <c r="AB57" s="11" t="s">
        <v>1100</v>
      </c>
      <c r="AC57" s="20" t="s">
        <v>1101</v>
      </c>
    </row>
    <row r="58" spans="2:29" ht="15.75" x14ac:dyDescent="0.25">
      <c r="B58" s="11">
        <v>47</v>
      </c>
      <c r="C58" s="12" t="s">
        <v>176</v>
      </c>
      <c r="D58" s="12" t="s">
        <v>50</v>
      </c>
      <c r="E58" s="12" t="s">
        <v>256</v>
      </c>
      <c r="F58" s="11"/>
      <c r="G58" s="13" t="s">
        <v>1195</v>
      </c>
      <c r="H58" s="13" t="s">
        <v>1031</v>
      </c>
      <c r="I58" s="21">
        <v>30697</v>
      </c>
      <c r="J58" s="15">
        <v>42</v>
      </c>
      <c r="K58" s="16" t="s">
        <v>1103</v>
      </c>
      <c r="L58" s="16" t="s">
        <v>1102</v>
      </c>
      <c r="M58" s="22" t="s">
        <v>1100</v>
      </c>
      <c r="N58" s="23" t="s">
        <v>1099</v>
      </c>
      <c r="O58" s="19" t="s">
        <v>1100</v>
      </c>
      <c r="P58" s="19" t="s">
        <v>1100</v>
      </c>
      <c r="Q58" s="13" t="s">
        <v>1100</v>
      </c>
      <c r="R58" s="11"/>
      <c r="S58" s="11" t="s">
        <v>1100</v>
      </c>
      <c r="T58" s="13" t="str">
        <f t="shared" si="0"/>
        <v/>
      </c>
      <c r="U58" s="11" t="s">
        <v>1100</v>
      </c>
      <c r="V58" s="11" t="s">
        <v>1100</v>
      </c>
      <c r="W58" s="11" t="s">
        <v>1100</v>
      </c>
      <c r="X58" s="11" t="s">
        <v>1100</v>
      </c>
      <c r="Y58" s="11" t="s">
        <v>1100</v>
      </c>
      <c r="Z58" s="11" t="s">
        <v>1100</v>
      </c>
      <c r="AA58" s="11" t="s">
        <v>1100</v>
      </c>
      <c r="AB58" s="11" t="s">
        <v>1100</v>
      </c>
      <c r="AC58" s="20" t="s">
        <v>1101</v>
      </c>
    </row>
    <row r="59" spans="2:29" ht="15.75" x14ac:dyDescent="0.25">
      <c r="B59" s="11">
        <v>48</v>
      </c>
      <c r="C59" s="12" t="s">
        <v>260</v>
      </c>
      <c r="D59" s="12" t="s">
        <v>261</v>
      </c>
      <c r="E59" s="12" t="s">
        <v>262</v>
      </c>
      <c r="F59" s="11"/>
      <c r="G59" s="13" t="s">
        <v>1191</v>
      </c>
      <c r="H59" s="13" t="s">
        <v>1031</v>
      </c>
      <c r="I59" s="21">
        <v>32762</v>
      </c>
      <c r="J59" s="15">
        <v>36</v>
      </c>
      <c r="K59" s="16" t="s">
        <v>1103</v>
      </c>
      <c r="L59" s="16" t="s">
        <v>1108</v>
      </c>
      <c r="M59" s="22" t="s">
        <v>1100</v>
      </c>
      <c r="N59" s="23" t="s">
        <v>1099</v>
      </c>
      <c r="O59" s="19" t="s">
        <v>1100</v>
      </c>
      <c r="P59" s="19" t="s">
        <v>1100</v>
      </c>
      <c r="Q59" s="13" t="s">
        <v>1100</v>
      </c>
      <c r="R59" s="11"/>
      <c r="S59" s="11" t="s">
        <v>1100</v>
      </c>
      <c r="T59" s="13" t="str">
        <f t="shared" si="0"/>
        <v/>
      </c>
      <c r="U59" s="11" t="s">
        <v>1100</v>
      </c>
      <c r="V59" s="11" t="s">
        <v>1100</v>
      </c>
      <c r="W59" s="11" t="s">
        <v>1100</v>
      </c>
      <c r="X59" s="11" t="s">
        <v>1100</v>
      </c>
      <c r="Y59" s="11" t="s">
        <v>1100</v>
      </c>
      <c r="Z59" s="11" t="s">
        <v>1100</v>
      </c>
      <c r="AA59" s="11" t="s">
        <v>1100</v>
      </c>
      <c r="AB59" s="11" t="s">
        <v>1100</v>
      </c>
      <c r="AC59" s="20" t="s">
        <v>1101</v>
      </c>
    </row>
    <row r="60" spans="2:29" ht="15.75" x14ac:dyDescent="0.25">
      <c r="B60" s="11">
        <v>49</v>
      </c>
      <c r="C60" s="12" t="s">
        <v>257</v>
      </c>
      <c r="D60" s="12" t="s">
        <v>258</v>
      </c>
      <c r="E60" s="12" t="s">
        <v>259</v>
      </c>
      <c r="F60" s="11"/>
      <c r="G60" s="13" t="s">
        <v>1192</v>
      </c>
      <c r="H60" s="13" t="s">
        <v>1031</v>
      </c>
      <c r="I60" s="21">
        <v>29421</v>
      </c>
      <c r="J60" s="15">
        <v>45</v>
      </c>
      <c r="K60" s="16" t="s">
        <v>1103</v>
      </c>
      <c r="L60" s="16" t="s">
        <v>1102</v>
      </c>
      <c r="M60" s="22" t="s">
        <v>1100</v>
      </c>
      <c r="N60" s="23" t="s">
        <v>1099</v>
      </c>
      <c r="O60" s="19" t="s">
        <v>1099</v>
      </c>
      <c r="P60" s="19" t="s">
        <v>1100</v>
      </c>
      <c r="Q60" s="13" t="s">
        <v>1100</v>
      </c>
      <c r="R60" s="11"/>
      <c r="S60" s="11" t="s">
        <v>1100</v>
      </c>
      <c r="T60" s="13" t="str">
        <f t="shared" si="0"/>
        <v/>
      </c>
      <c r="U60" s="11" t="s">
        <v>1100</v>
      </c>
      <c r="V60" s="11" t="s">
        <v>1100</v>
      </c>
      <c r="W60" s="11" t="s">
        <v>1100</v>
      </c>
      <c r="X60" s="11" t="s">
        <v>1100</v>
      </c>
      <c r="Y60" s="11" t="s">
        <v>1100</v>
      </c>
      <c r="Z60" s="11" t="s">
        <v>1100</v>
      </c>
      <c r="AA60" s="11" t="s">
        <v>1100</v>
      </c>
      <c r="AB60" s="11" t="s">
        <v>1100</v>
      </c>
      <c r="AC60" s="20" t="s">
        <v>1101</v>
      </c>
    </row>
    <row r="61" spans="2:29" ht="15.75" x14ac:dyDescent="0.25">
      <c r="B61" s="11">
        <v>50</v>
      </c>
      <c r="C61" s="12" t="s">
        <v>263</v>
      </c>
      <c r="D61" s="12" t="s">
        <v>264</v>
      </c>
      <c r="E61" s="12" t="s">
        <v>265</v>
      </c>
      <c r="F61" s="11"/>
      <c r="G61" s="13" t="s">
        <v>1193</v>
      </c>
      <c r="H61" s="13" t="s">
        <v>1031</v>
      </c>
      <c r="I61" s="21">
        <v>21799</v>
      </c>
      <c r="J61" s="15">
        <v>66</v>
      </c>
      <c r="K61" s="16" t="s">
        <v>1103</v>
      </c>
      <c r="L61" s="16" t="s">
        <v>1182</v>
      </c>
      <c r="M61" s="22" t="s">
        <v>1100</v>
      </c>
      <c r="N61" s="23" t="s">
        <v>1099</v>
      </c>
      <c r="O61" s="19" t="s">
        <v>1100</v>
      </c>
      <c r="P61" s="19" t="s">
        <v>1100</v>
      </c>
      <c r="Q61" s="13" t="s">
        <v>1100</v>
      </c>
      <c r="R61" s="11"/>
      <c r="S61" s="11" t="s">
        <v>1100</v>
      </c>
      <c r="T61" s="13" t="str">
        <f t="shared" si="0"/>
        <v>/</v>
      </c>
      <c r="U61" s="11" t="s">
        <v>1100</v>
      </c>
      <c r="V61" s="11" t="s">
        <v>1100</v>
      </c>
      <c r="W61" s="11" t="s">
        <v>1100</v>
      </c>
      <c r="X61" s="11" t="s">
        <v>1100</v>
      </c>
      <c r="Y61" s="11" t="s">
        <v>1100</v>
      </c>
      <c r="Z61" s="11" t="s">
        <v>1100</v>
      </c>
      <c r="AA61" s="11" t="s">
        <v>1100</v>
      </c>
      <c r="AB61" s="11" t="s">
        <v>1100</v>
      </c>
      <c r="AC61" s="20" t="s">
        <v>1101</v>
      </c>
    </row>
    <row r="62" spans="2:29" ht="15.75" x14ac:dyDescent="0.25">
      <c r="B62" s="11">
        <v>51</v>
      </c>
      <c r="C62" s="12" t="s">
        <v>64</v>
      </c>
      <c r="D62" s="12" t="s">
        <v>266</v>
      </c>
      <c r="E62" s="12" t="s">
        <v>267</v>
      </c>
      <c r="F62" s="11"/>
      <c r="G62" s="13" t="s">
        <v>1197</v>
      </c>
      <c r="H62" s="13" t="s">
        <v>1031</v>
      </c>
      <c r="I62" s="21">
        <v>27611</v>
      </c>
      <c r="J62" s="15">
        <v>50</v>
      </c>
      <c r="K62" s="16" t="s">
        <v>1103</v>
      </c>
      <c r="L62" s="16" t="s">
        <v>1102</v>
      </c>
      <c r="M62" s="22" t="s">
        <v>1100</v>
      </c>
      <c r="N62" s="23" t="s">
        <v>1099</v>
      </c>
      <c r="O62" s="19" t="s">
        <v>1100</v>
      </c>
      <c r="P62" s="19" t="s">
        <v>1100</v>
      </c>
      <c r="Q62" s="13" t="s">
        <v>1100</v>
      </c>
      <c r="R62" s="11"/>
      <c r="S62" s="11" t="s">
        <v>1100</v>
      </c>
      <c r="T62" s="13" t="str">
        <f t="shared" si="0"/>
        <v/>
      </c>
      <c r="U62" s="11" t="s">
        <v>1100</v>
      </c>
      <c r="V62" s="11" t="s">
        <v>1100</v>
      </c>
      <c r="W62" s="11" t="s">
        <v>1100</v>
      </c>
      <c r="X62" s="11" t="s">
        <v>1100</v>
      </c>
      <c r="Y62" s="11" t="s">
        <v>1100</v>
      </c>
      <c r="Z62" s="11" t="s">
        <v>1100</v>
      </c>
      <c r="AA62" s="11" t="s">
        <v>1100</v>
      </c>
      <c r="AB62" s="11" t="s">
        <v>1100</v>
      </c>
      <c r="AC62" s="20" t="s">
        <v>1101</v>
      </c>
    </row>
    <row r="63" spans="2:29" ht="15.75" x14ac:dyDescent="0.25">
      <c r="B63" s="11">
        <v>52</v>
      </c>
      <c r="C63" s="12" t="s">
        <v>268</v>
      </c>
      <c r="D63" s="12" t="s">
        <v>269</v>
      </c>
      <c r="E63" s="12" t="s">
        <v>117</v>
      </c>
      <c r="F63" s="11"/>
      <c r="G63" s="13" t="s">
        <v>1196</v>
      </c>
      <c r="H63" s="13" t="s">
        <v>1031</v>
      </c>
      <c r="I63" s="21">
        <v>30153</v>
      </c>
      <c r="J63" s="15">
        <v>43</v>
      </c>
      <c r="K63" s="16" t="s">
        <v>1097</v>
      </c>
      <c r="L63" s="16" t="s">
        <v>1102</v>
      </c>
      <c r="M63" s="22" t="s">
        <v>1100</v>
      </c>
      <c r="N63" s="23" t="s">
        <v>1099</v>
      </c>
      <c r="O63" s="19" t="s">
        <v>1100</v>
      </c>
      <c r="P63" s="19" t="s">
        <v>1100</v>
      </c>
      <c r="Q63" s="13" t="s">
        <v>1100</v>
      </c>
      <c r="R63" s="11"/>
      <c r="S63" s="11" t="s">
        <v>1100</v>
      </c>
      <c r="T63" s="13" t="str">
        <f t="shared" si="0"/>
        <v/>
      </c>
      <c r="U63" s="11" t="s">
        <v>1100</v>
      </c>
      <c r="V63" s="11" t="s">
        <v>1100</v>
      </c>
      <c r="W63" s="11" t="s">
        <v>1100</v>
      </c>
      <c r="X63" s="11" t="s">
        <v>1100</v>
      </c>
      <c r="Y63" s="11" t="s">
        <v>1100</v>
      </c>
      <c r="Z63" s="11" t="s">
        <v>1100</v>
      </c>
      <c r="AA63" s="11" t="s">
        <v>1100</v>
      </c>
      <c r="AB63" s="11" t="s">
        <v>1100</v>
      </c>
      <c r="AC63" s="20" t="s">
        <v>1101</v>
      </c>
    </row>
    <row r="64" spans="2:29" ht="15.75" x14ac:dyDescent="0.25">
      <c r="B64" s="11">
        <v>53</v>
      </c>
      <c r="C64" s="12" t="s">
        <v>53</v>
      </c>
      <c r="D64" s="12" t="s">
        <v>270</v>
      </c>
      <c r="E64" s="12" t="s">
        <v>271</v>
      </c>
      <c r="F64" s="11"/>
      <c r="G64" s="13" t="s">
        <v>1192</v>
      </c>
      <c r="H64" s="13" t="s">
        <v>1031</v>
      </c>
      <c r="I64" s="21">
        <v>28487</v>
      </c>
      <c r="J64" s="15">
        <v>48</v>
      </c>
      <c r="K64" s="16" t="s">
        <v>1097</v>
      </c>
      <c r="L64" s="16" t="s">
        <v>1102</v>
      </c>
      <c r="M64" s="22" t="s">
        <v>1100</v>
      </c>
      <c r="N64" s="23" t="s">
        <v>1099</v>
      </c>
      <c r="O64" s="19" t="s">
        <v>1099</v>
      </c>
      <c r="P64" s="19" t="s">
        <v>1100</v>
      </c>
      <c r="Q64" s="13" t="s">
        <v>1100</v>
      </c>
      <c r="R64" s="11"/>
      <c r="S64" s="11" t="s">
        <v>1100</v>
      </c>
      <c r="T64" s="13" t="str">
        <f t="shared" si="0"/>
        <v/>
      </c>
      <c r="U64" s="11" t="s">
        <v>1100</v>
      </c>
      <c r="V64" s="11" t="s">
        <v>1100</v>
      </c>
      <c r="W64" s="11" t="s">
        <v>1100</v>
      </c>
      <c r="X64" s="11" t="s">
        <v>1100</v>
      </c>
      <c r="Y64" s="11" t="s">
        <v>1100</v>
      </c>
      <c r="Z64" s="11" t="s">
        <v>1100</v>
      </c>
      <c r="AA64" s="11" t="s">
        <v>1100</v>
      </c>
      <c r="AB64" s="11" t="s">
        <v>1100</v>
      </c>
      <c r="AC64" s="20" t="s">
        <v>1101</v>
      </c>
    </row>
    <row r="65" spans="2:29" ht="15.75" x14ac:dyDescent="0.25">
      <c r="B65" s="11">
        <v>54</v>
      </c>
      <c r="C65" s="12" t="s">
        <v>117</v>
      </c>
      <c r="D65" s="12" t="s">
        <v>272</v>
      </c>
      <c r="E65" s="12" t="s">
        <v>273</v>
      </c>
      <c r="F65" s="11"/>
      <c r="G65" s="13" t="s">
        <v>1191</v>
      </c>
      <c r="H65" s="13" t="s">
        <v>1031</v>
      </c>
      <c r="I65" s="21">
        <v>18056</v>
      </c>
      <c r="J65" s="15">
        <v>76</v>
      </c>
      <c r="K65" s="16" t="s">
        <v>1103</v>
      </c>
      <c r="L65" s="16" t="s">
        <v>1102</v>
      </c>
      <c r="M65" s="22" t="s">
        <v>1100</v>
      </c>
      <c r="N65" s="23" t="s">
        <v>1099</v>
      </c>
      <c r="O65" s="19" t="s">
        <v>1100</v>
      </c>
      <c r="P65" s="19" t="s">
        <v>1100</v>
      </c>
      <c r="Q65" s="13" t="s">
        <v>1100</v>
      </c>
      <c r="R65" s="11"/>
      <c r="S65" s="11" t="s">
        <v>1100</v>
      </c>
      <c r="T65" s="13" t="str">
        <f t="shared" si="0"/>
        <v>/</v>
      </c>
      <c r="U65" s="11" t="s">
        <v>1100</v>
      </c>
      <c r="V65" s="11" t="s">
        <v>1100</v>
      </c>
      <c r="W65" s="11" t="s">
        <v>1100</v>
      </c>
      <c r="X65" s="11" t="s">
        <v>1100</v>
      </c>
      <c r="Y65" s="11" t="s">
        <v>1100</v>
      </c>
      <c r="Z65" s="11" t="s">
        <v>1100</v>
      </c>
      <c r="AA65" s="11" t="s">
        <v>1100</v>
      </c>
      <c r="AB65" s="11" t="s">
        <v>1100</v>
      </c>
      <c r="AC65" s="20" t="s">
        <v>1101</v>
      </c>
    </row>
    <row r="66" spans="2:29" ht="15.75" x14ac:dyDescent="0.25">
      <c r="B66" s="11">
        <v>55</v>
      </c>
      <c r="C66" s="12" t="s">
        <v>274</v>
      </c>
      <c r="D66" s="12" t="s">
        <v>275</v>
      </c>
      <c r="E66" s="12" t="s">
        <v>276</v>
      </c>
      <c r="F66" s="11"/>
      <c r="G66" s="13" t="s">
        <v>1193</v>
      </c>
      <c r="H66" s="13" t="s">
        <v>1031</v>
      </c>
      <c r="I66" s="21">
        <v>24934</v>
      </c>
      <c r="J66" s="15">
        <v>57</v>
      </c>
      <c r="K66" s="16" t="s">
        <v>1103</v>
      </c>
      <c r="L66" s="16" t="s">
        <v>1182</v>
      </c>
      <c r="M66" s="22" t="s">
        <v>1100</v>
      </c>
      <c r="N66" s="23" t="s">
        <v>1099</v>
      </c>
      <c r="O66" s="19" t="s">
        <v>1100</v>
      </c>
      <c r="P66" s="19" t="s">
        <v>1100</v>
      </c>
      <c r="Q66" s="13" t="s">
        <v>1100</v>
      </c>
      <c r="R66" s="11"/>
      <c r="S66" s="11" t="s">
        <v>1100</v>
      </c>
      <c r="T66" s="13" t="str">
        <f t="shared" si="0"/>
        <v/>
      </c>
      <c r="U66" s="11" t="s">
        <v>1100</v>
      </c>
      <c r="V66" s="11" t="s">
        <v>1100</v>
      </c>
      <c r="W66" s="11" t="s">
        <v>1100</v>
      </c>
      <c r="X66" s="11" t="s">
        <v>1100</v>
      </c>
      <c r="Y66" s="11" t="s">
        <v>1100</v>
      </c>
      <c r="Z66" s="11" t="s">
        <v>1100</v>
      </c>
      <c r="AA66" s="11" t="s">
        <v>1100</v>
      </c>
      <c r="AB66" s="11" t="s">
        <v>1100</v>
      </c>
      <c r="AC66" s="20" t="s">
        <v>1101</v>
      </c>
    </row>
    <row r="67" spans="2:29" ht="15.75" x14ac:dyDescent="0.25">
      <c r="B67" s="11">
        <v>56</v>
      </c>
      <c r="C67" s="12" t="s">
        <v>159</v>
      </c>
      <c r="D67" s="12" t="s">
        <v>277</v>
      </c>
      <c r="E67" s="12" t="s">
        <v>78</v>
      </c>
      <c r="F67" s="11"/>
      <c r="G67" s="13" t="s">
        <v>1192</v>
      </c>
      <c r="H67" s="13" t="s">
        <v>1031</v>
      </c>
      <c r="I67" s="21">
        <v>34206</v>
      </c>
      <c r="J67" s="15">
        <v>32</v>
      </c>
      <c r="K67" s="16" t="s">
        <v>1097</v>
      </c>
      <c r="L67" s="16" t="s">
        <v>1183</v>
      </c>
      <c r="M67" s="22" t="s">
        <v>1100</v>
      </c>
      <c r="N67" s="23" t="s">
        <v>1099</v>
      </c>
      <c r="O67" s="19" t="s">
        <v>1100</v>
      </c>
      <c r="P67" s="19" t="s">
        <v>1100</v>
      </c>
      <c r="Q67" s="13" t="s">
        <v>1100</v>
      </c>
      <c r="R67" s="11"/>
      <c r="S67" s="11" t="s">
        <v>1100</v>
      </c>
      <c r="T67" s="13" t="str">
        <f t="shared" si="0"/>
        <v/>
      </c>
      <c r="U67" s="11" t="s">
        <v>1100</v>
      </c>
      <c r="V67" s="11" t="s">
        <v>1100</v>
      </c>
      <c r="W67" s="11" t="s">
        <v>1100</v>
      </c>
      <c r="X67" s="11" t="s">
        <v>1100</v>
      </c>
      <c r="Y67" s="11" t="s">
        <v>1100</v>
      </c>
      <c r="Z67" s="11" t="s">
        <v>1100</v>
      </c>
      <c r="AA67" s="11" t="s">
        <v>1100</v>
      </c>
      <c r="AB67" s="11" t="s">
        <v>1100</v>
      </c>
      <c r="AC67" s="20" t="s">
        <v>1101</v>
      </c>
    </row>
    <row r="68" spans="2:29" ht="15.75" x14ac:dyDescent="0.25">
      <c r="B68" s="11">
        <v>57</v>
      </c>
      <c r="C68" s="12" t="s">
        <v>29</v>
      </c>
      <c r="D68" s="12" t="s">
        <v>278</v>
      </c>
      <c r="E68" s="12" t="s">
        <v>279</v>
      </c>
      <c r="F68" s="11"/>
      <c r="G68" s="13" t="s">
        <v>1196</v>
      </c>
      <c r="H68" s="13" t="s">
        <v>1031</v>
      </c>
      <c r="I68" s="21">
        <v>33268</v>
      </c>
      <c r="J68" s="15">
        <v>35</v>
      </c>
      <c r="K68" s="16" t="s">
        <v>1103</v>
      </c>
      <c r="L68" s="16" t="s">
        <v>1102</v>
      </c>
      <c r="M68" s="22" t="s">
        <v>1100</v>
      </c>
      <c r="N68" s="23" t="s">
        <v>1099</v>
      </c>
      <c r="O68" s="19" t="s">
        <v>1099</v>
      </c>
      <c r="P68" s="19" t="s">
        <v>1100</v>
      </c>
      <c r="Q68" s="13" t="s">
        <v>1100</v>
      </c>
      <c r="R68" s="11"/>
      <c r="S68" s="11" t="s">
        <v>1100</v>
      </c>
      <c r="T68" s="13" t="str">
        <f t="shared" si="0"/>
        <v/>
      </c>
      <c r="U68" s="11" t="s">
        <v>1100</v>
      </c>
      <c r="V68" s="11" t="s">
        <v>1100</v>
      </c>
      <c r="W68" s="11" t="s">
        <v>1100</v>
      </c>
      <c r="X68" s="11" t="s">
        <v>1100</v>
      </c>
      <c r="Y68" s="11" t="s">
        <v>1100</v>
      </c>
      <c r="Z68" s="11" t="s">
        <v>1100</v>
      </c>
      <c r="AA68" s="11" t="s">
        <v>1100</v>
      </c>
      <c r="AB68" s="11" t="s">
        <v>1100</v>
      </c>
      <c r="AC68" s="20" t="s">
        <v>1101</v>
      </c>
    </row>
    <row r="69" spans="2:29" ht="15.75" x14ac:dyDescent="0.25">
      <c r="B69" s="11">
        <v>58</v>
      </c>
      <c r="C69" s="12" t="s">
        <v>280</v>
      </c>
      <c r="D69" s="12" t="s">
        <v>34</v>
      </c>
      <c r="E69" s="12" t="s">
        <v>281</v>
      </c>
      <c r="F69" s="11"/>
      <c r="G69" s="13" t="s">
        <v>1196</v>
      </c>
      <c r="H69" s="13" t="s">
        <v>1031</v>
      </c>
      <c r="I69" s="21">
        <v>35058</v>
      </c>
      <c r="J69" s="15">
        <v>30</v>
      </c>
      <c r="K69" s="16" t="s">
        <v>1103</v>
      </c>
      <c r="L69" s="16" t="s">
        <v>1183</v>
      </c>
      <c r="M69" s="22" t="s">
        <v>1100</v>
      </c>
      <c r="N69" s="23" t="s">
        <v>1099</v>
      </c>
      <c r="O69" s="19" t="s">
        <v>1099</v>
      </c>
      <c r="P69" s="19" t="s">
        <v>1100</v>
      </c>
      <c r="Q69" s="13" t="s">
        <v>1100</v>
      </c>
      <c r="R69" s="11"/>
      <c r="S69" s="11" t="s">
        <v>1100</v>
      </c>
      <c r="T69" s="13" t="str">
        <f t="shared" si="0"/>
        <v/>
      </c>
      <c r="U69" s="11" t="s">
        <v>1100</v>
      </c>
      <c r="V69" s="11" t="s">
        <v>1100</v>
      </c>
      <c r="W69" s="11" t="s">
        <v>1100</v>
      </c>
      <c r="X69" s="11" t="s">
        <v>1100</v>
      </c>
      <c r="Y69" s="11" t="s">
        <v>1100</v>
      </c>
      <c r="Z69" s="11" t="s">
        <v>1100</v>
      </c>
      <c r="AA69" s="11" t="s">
        <v>1100</v>
      </c>
      <c r="AB69" s="11" t="s">
        <v>1100</v>
      </c>
      <c r="AC69" s="20" t="s">
        <v>1101</v>
      </c>
    </row>
    <row r="70" spans="2:29" ht="15.75" x14ac:dyDescent="0.25">
      <c r="B70" s="11">
        <v>59</v>
      </c>
      <c r="C70" s="12" t="s">
        <v>282</v>
      </c>
      <c r="D70" s="12" t="s">
        <v>283</v>
      </c>
      <c r="E70" s="12" t="s">
        <v>238</v>
      </c>
      <c r="F70" s="11" t="s">
        <v>106</v>
      </c>
      <c r="G70" s="13" t="s">
        <v>1193</v>
      </c>
      <c r="H70" s="13" t="s">
        <v>1031</v>
      </c>
      <c r="I70" s="21">
        <v>30184</v>
      </c>
      <c r="J70" s="15">
        <v>43</v>
      </c>
      <c r="K70" s="16" t="s">
        <v>1097</v>
      </c>
      <c r="L70" s="16" t="s">
        <v>1108</v>
      </c>
      <c r="M70" s="22" t="s">
        <v>1100</v>
      </c>
      <c r="N70" s="23" t="s">
        <v>1099</v>
      </c>
      <c r="O70" s="19" t="s">
        <v>1099</v>
      </c>
      <c r="P70" s="19" t="s">
        <v>1100</v>
      </c>
      <c r="Q70" s="13" t="s">
        <v>1100</v>
      </c>
      <c r="R70" s="11"/>
      <c r="S70" s="11" t="s">
        <v>1100</v>
      </c>
      <c r="T70" s="13" t="str">
        <f t="shared" si="0"/>
        <v/>
      </c>
      <c r="U70" s="11" t="s">
        <v>1100</v>
      </c>
      <c r="V70" s="11" t="s">
        <v>1100</v>
      </c>
      <c r="W70" s="11" t="s">
        <v>1100</v>
      </c>
      <c r="X70" s="11" t="s">
        <v>1100</v>
      </c>
      <c r="Y70" s="11" t="s">
        <v>1100</v>
      </c>
      <c r="Z70" s="11" t="s">
        <v>1100</v>
      </c>
      <c r="AA70" s="11" t="s">
        <v>1100</v>
      </c>
      <c r="AB70" s="11" t="s">
        <v>1100</v>
      </c>
      <c r="AC70" s="20" t="s">
        <v>1101</v>
      </c>
    </row>
    <row r="71" spans="2:29" ht="15.75" x14ac:dyDescent="0.25">
      <c r="B71" s="11">
        <v>60</v>
      </c>
      <c r="C71" s="12" t="s">
        <v>284</v>
      </c>
      <c r="D71" s="12" t="s">
        <v>24</v>
      </c>
      <c r="E71" s="12" t="s">
        <v>230</v>
      </c>
      <c r="F71" s="11"/>
      <c r="G71" s="13" t="s">
        <v>1191</v>
      </c>
      <c r="H71" s="13" t="s">
        <v>1031</v>
      </c>
      <c r="I71" s="21">
        <v>32166</v>
      </c>
      <c r="J71" s="15">
        <v>38</v>
      </c>
      <c r="K71" s="16" t="s">
        <v>1097</v>
      </c>
      <c r="L71" s="16" t="s">
        <v>1108</v>
      </c>
      <c r="M71" s="22" t="s">
        <v>1100</v>
      </c>
      <c r="N71" s="23" t="s">
        <v>1099</v>
      </c>
      <c r="O71" s="19" t="s">
        <v>1100</v>
      </c>
      <c r="P71" s="19" t="s">
        <v>1100</v>
      </c>
      <c r="Q71" s="13" t="s">
        <v>1100</v>
      </c>
      <c r="R71" s="11"/>
      <c r="S71" s="11" t="s">
        <v>1100</v>
      </c>
      <c r="T71" s="13" t="str">
        <f t="shared" si="0"/>
        <v/>
      </c>
      <c r="U71" s="11" t="s">
        <v>1100</v>
      </c>
      <c r="V71" s="11" t="s">
        <v>1100</v>
      </c>
      <c r="W71" s="11" t="s">
        <v>1100</v>
      </c>
      <c r="X71" s="11" t="s">
        <v>1100</v>
      </c>
      <c r="Y71" s="11" t="s">
        <v>1100</v>
      </c>
      <c r="Z71" s="11" t="s">
        <v>1100</v>
      </c>
      <c r="AA71" s="11" t="s">
        <v>1100</v>
      </c>
      <c r="AB71" s="11" t="s">
        <v>1100</v>
      </c>
      <c r="AC71" s="20" t="s">
        <v>1101</v>
      </c>
    </row>
    <row r="72" spans="2:29" ht="15.75" x14ac:dyDescent="0.25">
      <c r="B72" s="11">
        <v>61</v>
      </c>
      <c r="C72" s="12" t="s">
        <v>17</v>
      </c>
      <c r="D72" s="12" t="s">
        <v>285</v>
      </c>
      <c r="E72" s="12" t="s">
        <v>102</v>
      </c>
      <c r="F72" s="11"/>
      <c r="G72" s="13" t="s">
        <v>1192</v>
      </c>
      <c r="H72" s="13" t="s">
        <v>1031</v>
      </c>
      <c r="I72" s="21">
        <v>35073</v>
      </c>
      <c r="J72" s="15">
        <v>30</v>
      </c>
      <c r="K72" s="16" t="s">
        <v>1097</v>
      </c>
      <c r="L72" s="16" t="s">
        <v>1183</v>
      </c>
      <c r="M72" s="22" t="s">
        <v>1100</v>
      </c>
      <c r="N72" s="23" t="s">
        <v>1099</v>
      </c>
      <c r="O72" s="19" t="s">
        <v>1100</v>
      </c>
      <c r="P72" s="19" t="s">
        <v>1100</v>
      </c>
      <c r="Q72" s="13" t="s">
        <v>1100</v>
      </c>
      <c r="R72" s="11"/>
      <c r="S72" s="11" t="s">
        <v>1100</v>
      </c>
      <c r="T72" s="13" t="str">
        <f t="shared" si="0"/>
        <v/>
      </c>
      <c r="U72" s="11" t="s">
        <v>1100</v>
      </c>
      <c r="V72" s="11" t="s">
        <v>1100</v>
      </c>
      <c r="W72" s="11" t="s">
        <v>1100</v>
      </c>
      <c r="X72" s="11" t="s">
        <v>1100</v>
      </c>
      <c r="Y72" s="11" t="s">
        <v>1100</v>
      </c>
      <c r="Z72" s="11" t="s">
        <v>1100</v>
      </c>
      <c r="AA72" s="11" t="s">
        <v>1100</v>
      </c>
      <c r="AB72" s="11" t="s">
        <v>1100</v>
      </c>
      <c r="AC72" s="20" t="s">
        <v>1101</v>
      </c>
    </row>
    <row r="73" spans="2:29" ht="15.75" x14ac:dyDescent="0.25">
      <c r="B73" s="11">
        <v>62</v>
      </c>
      <c r="C73" s="12" t="s">
        <v>286</v>
      </c>
      <c r="D73" s="12" t="s">
        <v>287</v>
      </c>
      <c r="E73" s="12" t="s">
        <v>288</v>
      </c>
      <c r="F73" s="11"/>
      <c r="G73" s="13" t="s">
        <v>1196</v>
      </c>
      <c r="H73" s="13" t="s">
        <v>1031</v>
      </c>
      <c r="I73" s="21">
        <v>29038</v>
      </c>
      <c r="J73" s="15">
        <v>46</v>
      </c>
      <c r="K73" s="16" t="s">
        <v>1103</v>
      </c>
      <c r="L73" s="16" t="s">
        <v>1102</v>
      </c>
      <c r="M73" s="22" t="s">
        <v>1100</v>
      </c>
      <c r="N73" s="23" t="s">
        <v>1099</v>
      </c>
      <c r="O73" s="19" t="s">
        <v>1100</v>
      </c>
      <c r="P73" s="19" t="s">
        <v>1100</v>
      </c>
      <c r="Q73" s="13" t="s">
        <v>1100</v>
      </c>
      <c r="R73" s="11"/>
      <c r="S73" s="11" t="s">
        <v>1100</v>
      </c>
      <c r="T73" s="13" t="str">
        <f t="shared" si="0"/>
        <v/>
      </c>
      <c r="U73" s="11" t="s">
        <v>1100</v>
      </c>
      <c r="V73" s="11" t="s">
        <v>1100</v>
      </c>
      <c r="W73" s="11" t="s">
        <v>1100</v>
      </c>
      <c r="X73" s="11" t="s">
        <v>1100</v>
      </c>
      <c r="Y73" s="11" t="s">
        <v>1100</v>
      </c>
      <c r="Z73" s="11" t="s">
        <v>1100</v>
      </c>
      <c r="AA73" s="11" t="s">
        <v>1100</v>
      </c>
      <c r="AB73" s="11" t="s">
        <v>1100</v>
      </c>
      <c r="AC73" s="20" t="s">
        <v>1101</v>
      </c>
    </row>
    <row r="74" spans="2:29" ht="15.75" x14ac:dyDescent="0.25">
      <c r="B74" s="11">
        <v>63</v>
      </c>
      <c r="C74" s="12" t="s">
        <v>291</v>
      </c>
      <c r="D74" s="12" t="s">
        <v>116</v>
      </c>
      <c r="E74" s="12" t="s">
        <v>292</v>
      </c>
      <c r="F74" s="11"/>
      <c r="G74" s="13" t="s">
        <v>1191</v>
      </c>
      <c r="H74" s="13" t="s">
        <v>1031</v>
      </c>
      <c r="I74" s="21">
        <v>33143</v>
      </c>
      <c r="J74" s="15">
        <v>35</v>
      </c>
      <c r="K74" s="16" t="s">
        <v>1097</v>
      </c>
      <c r="L74" s="16" t="s">
        <v>1108</v>
      </c>
      <c r="M74" s="22" t="s">
        <v>1100</v>
      </c>
      <c r="N74" s="23" t="s">
        <v>1099</v>
      </c>
      <c r="O74" s="19" t="s">
        <v>1100</v>
      </c>
      <c r="P74" s="19" t="s">
        <v>1100</v>
      </c>
      <c r="Q74" s="13" t="s">
        <v>1100</v>
      </c>
      <c r="R74" s="11"/>
      <c r="S74" s="11" t="s">
        <v>1100</v>
      </c>
      <c r="T74" s="13" t="str">
        <f t="shared" si="0"/>
        <v/>
      </c>
      <c r="U74" s="11" t="s">
        <v>1100</v>
      </c>
      <c r="V74" s="11" t="s">
        <v>1100</v>
      </c>
      <c r="W74" s="11" t="s">
        <v>1100</v>
      </c>
      <c r="X74" s="11" t="s">
        <v>1100</v>
      </c>
      <c r="Y74" s="11" t="s">
        <v>1100</v>
      </c>
      <c r="Z74" s="11" t="s">
        <v>1100</v>
      </c>
      <c r="AA74" s="11" t="s">
        <v>1100</v>
      </c>
      <c r="AB74" s="11" t="s">
        <v>1100</v>
      </c>
      <c r="AC74" s="20" t="s">
        <v>1101</v>
      </c>
    </row>
    <row r="75" spans="2:29" ht="15.75" x14ac:dyDescent="0.25">
      <c r="B75" s="11">
        <v>64</v>
      </c>
      <c r="C75" s="12" t="s">
        <v>289</v>
      </c>
      <c r="D75" s="12" t="s">
        <v>96</v>
      </c>
      <c r="E75" s="12" t="s">
        <v>290</v>
      </c>
      <c r="F75" s="11"/>
      <c r="G75" s="13" t="s">
        <v>1196</v>
      </c>
      <c r="H75" s="13" t="s">
        <v>1031</v>
      </c>
      <c r="I75" s="21">
        <v>29402</v>
      </c>
      <c r="J75" s="15">
        <v>45</v>
      </c>
      <c r="K75" s="16" t="s">
        <v>1097</v>
      </c>
      <c r="L75" s="16" t="s">
        <v>1108</v>
      </c>
      <c r="M75" s="22" t="s">
        <v>1100</v>
      </c>
      <c r="N75" s="23" t="s">
        <v>1099</v>
      </c>
      <c r="O75" s="19" t="s">
        <v>1100</v>
      </c>
      <c r="P75" s="19" t="s">
        <v>1100</v>
      </c>
      <c r="Q75" s="13" t="s">
        <v>1100</v>
      </c>
      <c r="R75" s="11"/>
      <c r="S75" s="11" t="s">
        <v>1100</v>
      </c>
      <c r="T75" s="13" t="str">
        <f t="shared" si="0"/>
        <v/>
      </c>
      <c r="U75" s="11" t="s">
        <v>1100</v>
      </c>
      <c r="V75" s="11" t="s">
        <v>1100</v>
      </c>
      <c r="W75" s="11" t="s">
        <v>1100</v>
      </c>
      <c r="X75" s="11" t="s">
        <v>1100</v>
      </c>
      <c r="Y75" s="11" t="s">
        <v>1100</v>
      </c>
      <c r="Z75" s="11" t="s">
        <v>1100</v>
      </c>
      <c r="AA75" s="11" t="s">
        <v>1100</v>
      </c>
      <c r="AB75" s="11" t="s">
        <v>1100</v>
      </c>
      <c r="AC75" s="20" t="s">
        <v>1101</v>
      </c>
    </row>
    <row r="76" spans="2:29" ht="15.75" x14ac:dyDescent="0.25">
      <c r="B76" s="11">
        <v>65</v>
      </c>
      <c r="C76" s="12" t="s">
        <v>295</v>
      </c>
      <c r="D76" s="12" t="s">
        <v>296</v>
      </c>
      <c r="E76" s="12" t="s">
        <v>215</v>
      </c>
      <c r="F76" s="11" t="s">
        <v>22</v>
      </c>
      <c r="G76" s="13" t="s">
        <v>1196</v>
      </c>
      <c r="H76" s="13" t="s">
        <v>1031</v>
      </c>
      <c r="I76" s="21">
        <v>30027</v>
      </c>
      <c r="J76" s="15">
        <v>43</v>
      </c>
      <c r="K76" s="16" t="s">
        <v>1097</v>
      </c>
      <c r="L76" s="16" t="s">
        <v>1183</v>
      </c>
      <c r="M76" s="22" t="s">
        <v>1100</v>
      </c>
      <c r="N76" s="23" t="s">
        <v>1099</v>
      </c>
      <c r="O76" s="19" t="s">
        <v>1100</v>
      </c>
      <c r="P76" s="19" t="s">
        <v>1100</v>
      </c>
      <c r="Q76" s="13" t="s">
        <v>1099</v>
      </c>
      <c r="R76" s="11"/>
      <c r="S76" s="11" t="s">
        <v>1100</v>
      </c>
      <c r="T76" s="13" t="str">
        <f t="shared" ref="T76:T139" si="1">IF(J76&gt;59,"/","")</f>
        <v/>
      </c>
      <c r="U76" s="11" t="s">
        <v>1100</v>
      </c>
      <c r="V76" s="11" t="s">
        <v>1100</v>
      </c>
      <c r="W76" s="11" t="s">
        <v>1100</v>
      </c>
      <c r="X76" s="11" t="s">
        <v>1100</v>
      </c>
      <c r="Y76" s="11" t="s">
        <v>1100</v>
      </c>
      <c r="Z76" s="11" t="s">
        <v>1100</v>
      </c>
      <c r="AA76" s="11" t="s">
        <v>1100</v>
      </c>
      <c r="AB76" s="11" t="s">
        <v>1100</v>
      </c>
      <c r="AC76" s="20" t="s">
        <v>1101</v>
      </c>
    </row>
    <row r="77" spans="2:29" ht="15.75" x14ac:dyDescent="0.25">
      <c r="B77" s="11">
        <v>66</v>
      </c>
      <c r="C77" s="12" t="s">
        <v>293</v>
      </c>
      <c r="D77" s="12" t="s">
        <v>130</v>
      </c>
      <c r="E77" s="12" t="s">
        <v>294</v>
      </c>
      <c r="F77" s="11"/>
      <c r="G77" s="13" t="s">
        <v>1193</v>
      </c>
      <c r="H77" s="13" t="s">
        <v>1031</v>
      </c>
      <c r="I77" s="21">
        <v>26193</v>
      </c>
      <c r="J77" s="15">
        <v>54</v>
      </c>
      <c r="K77" s="16" t="s">
        <v>1103</v>
      </c>
      <c r="L77" s="16" t="s">
        <v>1102</v>
      </c>
      <c r="M77" s="22" t="s">
        <v>1100</v>
      </c>
      <c r="N77" s="23" t="s">
        <v>1099</v>
      </c>
      <c r="O77" s="19" t="s">
        <v>1099</v>
      </c>
      <c r="P77" s="19" t="s">
        <v>1100</v>
      </c>
      <c r="Q77" s="13" t="s">
        <v>1100</v>
      </c>
      <c r="R77" s="11"/>
      <c r="S77" s="11" t="s">
        <v>1100</v>
      </c>
      <c r="T77" s="13" t="str">
        <f t="shared" si="1"/>
        <v/>
      </c>
      <c r="U77" s="11" t="s">
        <v>1100</v>
      </c>
      <c r="V77" s="11" t="s">
        <v>1100</v>
      </c>
      <c r="W77" s="11" t="s">
        <v>1100</v>
      </c>
      <c r="X77" s="11" t="s">
        <v>1100</v>
      </c>
      <c r="Y77" s="11" t="s">
        <v>1100</v>
      </c>
      <c r="Z77" s="11" t="s">
        <v>1100</v>
      </c>
      <c r="AA77" s="11" t="s">
        <v>1100</v>
      </c>
      <c r="AB77" s="11" t="s">
        <v>1100</v>
      </c>
      <c r="AC77" s="20" t="s">
        <v>1101</v>
      </c>
    </row>
    <row r="78" spans="2:29" ht="15.75" x14ac:dyDescent="0.25">
      <c r="B78" s="11">
        <v>67</v>
      </c>
      <c r="C78" s="12" t="s">
        <v>97</v>
      </c>
      <c r="D78" s="12" t="s">
        <v>297</v>
      </c>
      <c r="E78" s="12" t="s">
        <v>298</v>
      </c>
      <c r="F78" s="11"/>
      <c r="G78" s="13" t="s">
        <v>1192</v>
      </c>
      <c r="H78" s="13" t="s">
        <v>1031</v>
      </c>
      <c r="I78" s="21">
        <v>29377</v>
      </c>
      <c r="J78" s="15">
        <v>45</v>
      </c>
      <c r="K78" s="16" t="s">
        <v>1103</v>
      </c>
      <c r="L78" s="16" t="s">
        <v>1102</v>
      </c>
      <c r="M78" s="22" t="s">
        <v>1100</v>
      </c>
      <c r="N78" s="23" t="s">
        <v>1099</v>
      </c>
      <c r="O78" s="19" t="s">
        <v>1099</v>
      </c>
      <c r="P78" s="19" t="s">
        <v>1100</v>
      </c>
      <c r="Q78" s="13" t="s">
        <v>1100</v>
      </c>
      <c r="R78" s="11"/>
      <c r="S78" s="11" t="s">
        <v>1100</v>
      </c>
      <c r="T78" s="13" t="str">
        <f t="shared" si="1"/>
        <v/>
      </c>
      <c r="U78" s="11" t="s">
        <v>1100</v>
      </c>
      <c r="V78" s="11" t="s">
        <v>1100</v>
      </c>
      <c r="W78" s="11" t="s">
        <v>1100</v>
      </c>
      <c r="X78" s="11" t="s">
        <v>1100</v>
      </c>
      <c r="Y78" s="11" t="s">
        <v>1100</v>
      </c>
      <c r="Z78" s="11" t="s">
        <v>1100</v>
      </c>
      <c r="AA78" s="11" t="s">
        <v>1100</v>
      </c>
      <c r="AB78" s="11" t="s">
        <v>1100</v>
      </c>
      <c r="AC78" s="20" t="s">
        <v>1101</v>
      </c>
    </row>
    <row r="79" spans="2:29" ht="15.75" x14ac:dyDescent="0.25">
      <c r="B79" s="11">
        <v>68</v>
      </c>
      <c r="C79" s="12" t="s">
        <v>97</v>
      </c>
      <c r="D79" s="12" t="s">
        <v>166</v>
      </c>
      <c r="E79" s="12" t="s">
        <v>298</v>
      </c>
      <c r="F79" s="11"/>
      <c r="G79" s="13" t="s">
        <v>1192</v>
      </c>
      <c r="H79" s="13" t="s">
        <v>1031</v>
      </c>
      <c r="I79" s="21">
        <v>35889</v>
      </c>
      <c r="J79" s="15">
        <v>27</v>
      </c>
      <c r="K79" s="16" t="s">
        <v>1103</v>
      </c>
      <c r="L79" s="16" t="s">
        <v>1183</v>
      </c>
      <c r="M79" s="22" t="s">
        <v>1100</v>
      </c>
      <c r="N79" s="23" t="s">
        <v>1099</v>
      </c>
      <c r="O79" s="19" t="s">
        <v>1100</v>
      </c>
      <c r="P79" s="19" t="s">
        <v>1100</v>
      </c>
      <c r="Q79" s="13" t="s">
        <v>1100</v>
      </c>
      <c r="R79" s="11"/>
      <c r="S79" s="11" t="s">
        <v>1100</v>
      </c>
      <c r="T79" s="13" t="str">
        <f t="shared" si="1"/>
        <v/>
      </c>
      <c r="U79" s="11" t="s">
        <v>1100</v>
      </c>
      <c r="V79" s="11" t="s">
        <v>1100</v>
      </c>
      <c r="W79" s="11" t="s">
        <v>1100</v>
      </c>
      <c r="X79" s="11" t="s">
        <v>1100</v>
      </c>
      <c r="Y79" s="11" t="s">
        <v>1100</v>
      </c>
      <c r="Z79" s="11" t="s">
        <v>1100</v>
      </c>
      <c r="AA79" s="11" t="s">
        <v>1100</v>
      </c>
      <c r="AB79" s="11" t="s">
        <v>1100</v>
      </c>
      <c r="AC79" s="20" t="s">
        <v>1101</v>
      </c>
    </row>
    <row r="80" spans="2:29" ht="15.75" x14ac:dyDescent="0.25">
      <c r="B80" s="11">
        <v>69</v>
      </c>
      <c r="C80" s="12" t="s">
        <v>38</v>
      </c>
      <c r="D80" s="12" t="s">
        <v>126</v>
      </c>
      <c r="E80" s="12" t="s">
        <v>299</v>
      </c>
      <c r="F80" s="11"/>
      <c r="G80" s="13" t="s">
        <v>1196</v>
      </c>
      <c r="H80" s="13" t="s">
        <v>1031</v>
      </c>
      <c r="I80" s="21">
        <v>30118</v>
      </c>
      <c r="J80" s="15">
        <v>43</v>
      </c>
      <c r="K80" s="16" t="s">
        <v>1103</v>
      </c>
      <c r="L80" s="16" t="s">
        <v>1108</v>
      </c>
      <c r="M80" s="22" t="s">
        <v>1100</v>
      </c>
      <c r="N80" s="23" t="s">
        <v>1099</v>
      </c>
      <c r="O80" s="19" t="s">
        <v>1100</v>
      </c>
      <c r="P80" s="19" t="s">
        <v>1100</v>
      </c>
      <c r="Q80" s="13" t="s">
        <v>1099</v>
      </c>
      <c r="R80" s="11"/>
      <c r="S80" s="11" t="s">
        <v>1100</v>
      </c>
      <c r="T80" s="13" t="str">
        <f t="shared" si="1"/>
        <v/>
      </c>
      <c r="U80" s="11" t="s">
        <v>1100</v>
      </c>
      <c r="V80" s="11" t="s">
        <v>1100</v>
      </c>
      <c r="W80" s="11" t="s">
        <v>1100</v>
      </c>
      <c r="X80" s="11" t="s">
        <v>1100</v>
      </c>
      <c r="Y80" s="11" t="s">
        <v>1100</v>
      </c>
      <c r="Z80" s="11" t="s">
        <v>1100</v>
      </c>
      <c r="AA80" s="11" t="s">
        <v>1100</v>
      </c>
      <c r="AB80" s="11" t="s">
        <v>1100</v>
      </c>
      <c r="AC80" s="20" t="s">
        <v>1101</v>
      </c>
    </row>
    <row r="81" spans="2:29" ht="15.75" x14ac:dyDescent="0.25">
      <c r="B81" s="11">
        <v>70</v>
      </c>
      <c r="C81" s="12" t="s">
        <v>300</v>
      </c>
      <c r="D81" s="12" t="s">
        <v>301</v>
      </c>
      <c r="E81" s="12" t="s">
        <v>302</v>
      </c>
      <c r="F81" s="11"/>
      <c r="G81" s="13" t="s">
        <v>1191</v>
      </c>
      <c r="H81" s="13" t="s">
        <v>1031</v>
      </c>
      <c r="I81" s="21">
        <v>29580</v>
      </c>
      <c r="J81" s="15">
        <v>45</v>
      </c>
      <c r="K81" s="16" t="s">
        <v>1103</v>
      </c>
      <c r="L81" s="16" t="s">
        <v>1183</v>
      </c>
      <c r="M81" s="22" t="s">
        <v>1100</v>
      </c>
      <c r="N81" s="23" t="s">
        <v>1099</v>
      </c>
      <c r="O81" s="19" t="s">
        <v>1100</v>
      </c>
      <c r="P81" s="19" t="s">
        <v>1100</v>
      </c>
      <c r="Q81" s="13" t="s">
        <v>1100</v>
      </c>
      <c r="R81" s="11"/>
      <c r="S81" s="11" t="s">
        <v>1100</v>
      </c>
      <c r="T81" s="13" t="str">
        <f t="shared" si="1"/>
        <v/>
      </c>
      <c r="U81" s="11" t="s">
        <v>1100</v>
      </c>
      <c r="V81" s="11" t="s">
        <v>1100</v>
      </c>
      <c r="W81" s="11" t="s">
        <v>1100</v>
      </c>
      <c r="X81" s="11" t="s">
        <v>1100</v>
      </c>
      <c r="Y81" s="11" t="s">
        <v>1100</v>
      </c>
      <c r="Z81" s="11" t="s">
        <v>1100</v>
      </c>
      <c r="AA81" s="11" t="s">
        <v>1100</v>
      </c>
      <c r="AB81" s="11" t="s">
        <v>1100</v>
      </c>
      <c r="AC81" s="20" t="s">
        <v>1101</v>
      </c>
    </row>
    <row r="82" spans="2:29" ht="15.75" x14ac:dyDescent="0.25">
      <c r="B82" s="11">
        <v>71</v>
      </c>
      <c r="C82" s="12" t="s">
        <v>303</v>
      </c>
      <c r="D82" s="12" t="s">
        <v>304</v>
      </c>
      <c r="E82" s="12" t="s">
        <v>90</v>
      </c>
      <c r="F82" s="11"/>
      <c r="G82" s="13" t="s">
        <v>1192</v>
      </c>
      <c r="H82" s="13" t="s">
        <v>1031</v>
      </c>
      <c r="I82" s="21">
        <v>27482</v>
      </c>
      <c r="J82" s="15">
        <v>50</v>
      </c>
      <c r="K82" s="16" t="s">
        <v>1103</v>
      </c>
      <c r="L82" s="16" t="s">
        <v>1102</v>
      </c>
      <c r="M82" s="22" t="s">
        <v>1100</v>
      </c>
      <c r="N82" s="23" t="s">
        <v>1099</v>
      </c>
      <c r="O82" s="19" t="s">
        <v>1099</v>
      </c>
      <c r="P82" s="19" t="s">
        <v>1100</v>
      </c>
      <c r="Q82" s="13" t="s">
        <v>1100</v>
      </c>
      <c r="R82" s="11"/>
      <c r="S82" s="11" t="s">
        <v>1100</v>
      </c>
      <c r="T82" s="13" t="str">
        <f t="shared" si="1"/>
        <v/>
      </c>
      <c r="U82" s="11" t="s">
        <v>1100</v>
      </c>
      <c r="V82" s="11" t="s">
        <v>1100</v>
      </c>
      <c r="W82" s="11" t="s">
        <v>1100</v>
      </c>
      <c r="X82" s="11" t="s">
        <v>1100</v>
      </c>
      <c r="Y82" s="11" t="s">
        <v>1100</v>
      </c>
      <c r="Z82" s="11" t="s">
        <v>1100</v>
      </c>
      <c r="AA82" s="11" t="s">
        <v>1100</v>
      </c>
      <c r="AB82" s="11" t="s">
        <v>1100</v>
      </c>
      <c r="AC82" s="20" t="s">
        <v>1101</v>
      </c>
    </row>
    <row r="83" spans="2:29" ht="15.75" x14ac:dyDescent="0.25">
      <c r="B83" s="11">
        <v>72</v>
      </c>
      <c r="C83" s="12" t="s">
        <v>305</v>
      </c>
      <c r="D83" s="12" t="s">
        <v>306</v>
      </c>
      <c r="E83" s="12" t="s">
        <v>307</v>
      </c>
      <c r="F83" s="11"/>
      <c r="G83" s="13" t="s">
        <v>1194</v>
      </c>
      <c r="H83" s="13" t="s">
        <v>1031</v>
      </c>
      <c r="I83" s="21">
        <v>25915</v>
      </c>
      <c r="J83" s="15">
        <v>55</v>
      </c>
      <c r="K83" s="16" t="s">
        <v>1103</v>
      </c>
      <c r="L83" s="16" t="s">
        <v>1102</v>
      </c>
      <c r="M83" s="22" t="s">
        <v>1100</v>
      </c>
      <c r="N83" s="23" t="s">
        <v>1099</v>
      </c>
      <c r="O83" s="19" t="s">
        <v>1100</v>
      </c>
      <c r="P83" s="19" t="s">
        <v>1100</v>
      </c>
      <c r="Q83" s="13" t="s">
        <v>1100</v>
      </c>
      <c r="R83" s="11"/>
      <c r="S83" s="11" t="s">
        <v>1100</v>
      </c>
      <c r="T83" s="13" t="str">
        <f t="shared" si="1"/>
        <v/>
      </c>
      <c r="U83" s="11" t="s">
        <v>1100</v>
      </c>
      <c r="V83" s="11" t="s">
        <v>1100</v>
      </c>
      <c r="W83" s="11" t="s">
        <v>1100</v>
      </c>
      <c r="X83" s="11" t="s">
        <v>1100</v>
      </c>
      <c r="Y83" s="11" t="s">
        <v>1100</v>
      </c>
      <c r="Z83" s="11" t="s">
        <v>1100</v>
      </c>
      <c r="AA83" s="11" t="s">
        <v>1100</v>
      </c>
      <c r="AB83" s="11" t="s">
        <v>1100</v>
      </c>
      <c r="AC83" s="20" t="s">
        <v>1101</v>
      </c>
    </row>
    <row r="84" spans="2:29" ht="15.75" x14ac:dyDescent="0.25">
      <c r="B84" s="11">
        <v>73</v>
      </c>
      <c r="C84" s="12" t="s">
        <v>308</v>
      </c>
      <c r="D84" s="12" t="s">
        <v>309</v>
      </c>
      <c r="E84" s="12" t="s">
        <v>174</v>
      </c>
      <c r="F84" s="11"/>
      <c r="G84" s="13" t="s">
        <v>1196</v>
      </c>
      <c r="H84" s="13" t="s">
        <v>1031</v>
      </c>
      <c r="I84" s="21">
        <v>21922</v>
      </c>
      <c r="J84" s="15">
        <v>66</v>
      </c>
      <c r="K84" s="16" t="s">
        <v>1097</v>
      </c>
      <c r="L84" s="16" t="s">
        <v>1102</v>
      </c>
      <c r="M84" s="22" t="s">
        <v>1100</v>
      </c>
      <c r="N84" s="23" t="s">
        <v>1099</v>
      </c>
      <c r="O84" s="19" t="s">
        <v>1100</v>
      </c>
      <c r="P84" s="19" t="s">
        <v>1100</v>
      </c>
      <c r="Q84" s="13" t="s">
        <v>1100</v>
      </c>
      <c r="R84" s="11"/>
      <c r="S84" s="11" t="s">
        <v>1100</v>
      </c>
      <c r="T84" s="13" t="str">
        <f t="shared" si="1"/>
        <v>/</v>
      </c>
      <c r="U84" s="11" t="s">
        <v>1100</v>
      </c>
      <c r="V84" s="11" t="s">
        <v>1100</v>
      </c>
      <c r="W84" s="11" t="s">
        <v>1100</v>
      </c>
      <c r="X84" s="11" t="s">
        <v>1100</v>
      </c>
      <c r="Y84" s="11" t="s">
        <v>1100</v>
      </c>
      <c r="Z84" s="11" t="s">
        <v>1100</v>
      </c>
      <c r="AA84" s="11" t="s">
        <v>1100</v>
      </c>
      <c r="AB84" s="11" t="s">
        <v>1100</v>
      </c>
      <c r="AC84" s="20" t="s">
        <v>1101</v>
      </c>
    </row>
    <row r="85" spans="2:29" ht="15.75" x14ac:dyDescent="0.25">
      <c r="B85" s="11">
        <v>74</v>
      </c>
      <c r="C85" s="12" t="s">
        <v>41</v>
      </c>
      <c r="D85" s="12" t="s">
        <v>312</v>
      </c>
      <c r="E85" s="12" t="s">
        <v>120</v>
      </c>
      <c r="F85" s="11"/>
      <c r="G85" s="13" t="s">
        <v>1192</v>
      </c>
      <c r="H85" s="13" t="s">
        <v>1031</v>
      </c>
      <c r="I85" s="21">
        <v>20830</v>
      </c>
      <c r="J85" s="15">
        <v>69</v>
      </c>
      <c r="K85" s="16" t="s">
        <v>1097</v>
      </c>
      <c r="L85" s="16" t="s">
        <v>1182</v>
      </c>
      <c r="M85" s="22" t="s">
        <v>1100</v>
      </c>
      <c r="N85" s="23" t="s">
        <v>1099</v>
      </c>
      <c r="O85" s="19" t="s">
        <v>1100</v>
      </c>
      <c r="P85" s="19" t="s">
        <v>1100</v>
      </c>
      <c r="Q85" s="13" t="s">
        <v>1100</v>
      </c>
      <c r="R85" s="11"/>
      <c r="S85" s="11" t="s">
        <v>1100</v>
      </c>
      <c r="T85" s="13" t="str">
        <f t="shared" si="1"/>
        <v>/</v>
      </c>
      <c r="U85" s="11" t="s">
        <v>1100</v>
      </c>
      <c r="V85" s="11" t="s">
        <v>1100</v>
      </c>
      <c r="W85" s="11" t="s">
        <v>1100</v>
      </c>
      <c r="X85" s="11" t="s">
        <v>1100</v>
      </c>
      <c r="Y85" s="11" t="s">
        <v>1100</v>
      </c>
      <c r="Z85" s="11" t="s">
        <v>1100</v>
      </c>
      <c r="AA85" s="11" t="s">
        <v>1100</v>
      </c>
      <c r="AB85" s="11" t="s">
        <v>1100</v>
      </c>
      <c r="AC85" s="20" t="s">
        <v>1101</v>
      </c>
    </row>
    <row r="86" spans="2:29" ht="15.75" x14ac:dyDescent="0.25">
      <c r="B86" s="11">
        <v>75</v>
      </c>
      <c r="C86" s="12" t="s">
        <v>160</v>
      </c>
      <c r="D86" s="12" t="s">
        <v>310</v>
      </c>
      <c r="E86" s="12" t="s">
        <v>311</v>
      </c>
      <c r="F86" s="11"/>
      <c r="G86" s="13" t="s">
        <v>1193</v>
      </c>
      <c r="H86" s="13" t="s">
        <v>1031</v>
      </c>
      <c r="I86" s="21">
        <v>31031</v>
      </c>
      <c r="J86" s="15">
        <v>41</v>
      </c>
      <c r="K86" s="16" t="s">
        <v>1103</v>
      </c>
      <c r="L86" s="16" t="s">
        <v>1102</v>
      </c>
      <c r="M86" s="22" t="s">
        <v>1100</v>
      </c>
      <c r="N86" s="23" t="s">
        <v>1099</v>
      </c>
      <c r="O86" s="19" t="s">
        <v>1100</v>
      </c>
      <c r="P86" s="19" t="s">
        <v>1100</v>
      </c>
      <c r="Q86" s="13" t="s">
        <v>1100</v>
      </c>
      <c r="R86" s="11"/>
      <c r="S86" s="11" t="s">
        <v>1100</v>
      </c>
      <c r="T86" s="13" t="str">
        <f t="shared" si="1"/>
        <v/>
      </c>
      <c r="U86" s="11" t="s">
        <v>1100</v>
      </c>
      <c r="V86" s="11" t="s">
        <v>1100</v>
      </c>
      <c r="W86" s="11" t="s">
        <v>1100</v>
      </c>
      <c r="X86" s="11" t="s">
        <v>1100</v>
      </c>
      <c r="Y86" s="11" t="s">
        <v>1100</v>
      </c>
      <c r="Z86" s="11" t="s">
        <v>1100</v>
      </c>
      <c r="AA86" s="11" t="s">
        <v>1100</v>
      </c>
      <c r="AB86" s="11" t="s">
        <v>1100</v>
      </c>
      <c r="AC86" s="20" t="s">
        <v>1101</v>
      </c>
    </row>
    <row r="87" spans="2:29" ht="15.75" x14ac:dyDescent="0.25">
      <c r="B87" s="11">
        <v>76</v>
      </c>
      <c r="C87" s="12" t="s">
        <v>313</v>
      </c>
      <c r="D87" s="12" t="s">
        <v>314</v>
      </c>
      <c r="E87" s="12" t="s">
        <v>315</v>
      </c>
      <c r="F87" s="11"/>
      <c r="G87" s="13" t="s">
        <v>1193</v>
      </c>
      <c r="H87" s="13" t="s">
        <v>1031</v>
      </c>
      <c r="I87" s="21">
        <v>33687</v>
      </c>
      <c r="J87" s="15">
        <v>33</v>
      </c>
      <c r="K87" s="16" t="s">
        <v>1103</v>
      </c>
      <c r="L87" s="16" t="s">
        <v>1102</v>
      </c>
      <c r="M87" s="22" t="s">
        <v>1100</v>
      </c>
      <c r="N87" s="23" t="s">
        <v>1099</v>
      </c>
      <c r="O87" s="19" t="s">
        <v>1100</v>
      </c>
      <c r="P87" s="19" t="s">
        <v>1100</v>
      </c>
      <c r="Q87" s="13" t="s">
        <v>1100</v>
      </c>
      <c r="R87" s="11"/>
      <c r="S87" s="11" t="s">
        <v>1100</v>
      </c>
      <c r="T87" s="13" t="str">
        <f t="shared" si="1"/>
        <v/>
      </c>
      <c r="U87" s="11" t="s">
        <v>1100</v>
      </c>
      <c r="V87" s="11" t="s">
        <v>1100</v>
      </c>
      <c r="W87" s="11" t="s">
        <v>1100</v>
      </c>
      <c r="X87" s="11" t="s">
        <v>1100</v>
      </c>
      <c r="Y87" s="11" t="s">
        <v>1100</v>
      </c>
      <c r="Z87" s="11" t="s">
        <v>1100</v>
      </c>
      <c r="AA87" s="11" t="s">
        <v>1100</v>
      </c>
      <c r="AB87" s="11" t="s">
        <v>1100</v>
      </c>
      <c r="AC87" s="20" t="s">
        <v>1101</v>
      </c>
    </row>
    <row r="88" spans="2:29" ht="15.75" x14ac:dyDescent="0.25">
      <c r="B88" s="11">
        <v>77</v>
      </c>
      <c r="C88" s="12" t="s">
        <v>316</v>
      </c>
      <c r="D88" s="12" t="s">
        <v>317</v>
      </c>
      <c r="E88" s="12" t="s">
        <v>318</v>
      </c>
      <c r="F88" s="11"/>
      <c r="G88" s="13" t="s">
        <v>1193</v>
      </c>
      <c r="H88" s="13" t="s">
        <v>1031</v>
      </c>
      <c r="I88" s="21">
        <v>26469</v>
      </c>
      <c r="J88" s="15">
        <v>53</v>
      </c>
      <c r="K88" s="16" t="s">
        <v>1097</v>
      </c>
      <c r="L88" s="16" t="s">
        <v>1102</v>
      </c>
      <c r="M88" s="22" t="s">
        <v>1100</v>
      </c>
      <c r="N88" s="23" t="s">
        <v>1099</v>
      </c>
      <c r="O88" s="19" t="s">
        <v>1100</v>
      </c>
      <c r="P88" s="19" t="s">
        <v>1100</v>
      </c>
      <c r="Q88" s="13" t="s">
        <v>1100</v>
      </c>
      <c r="R88" s="11"/>
      <c r="S88" s="11" t="s">
        <v>1100</v>
      </c>
      <c r="T88" s="13" t="str">
        <f t="shared" si="1"/>
        <v/>
      </c>
      <c r="U88" s="11" t="s">
        <v>1100</v>
      </c>
      <c r="V88" s="11" t="s">
        <v>1100</v>
      </c>
      <c r="W88" s="11" t="s">
        <v>1100</v>
      </c>
      <c r="X88" s="11" t="s">
        <v>1100</v>
      </c>
      <c r="Y88" s="11" t="s">
        <v>1100</v>
      </c>
      <c r="Z88" s="11" t="s">
        <v>1100</v>
      </c>
      <c r="AA88" s="11" t="s">
        <v>1100</v>
      </c>
      <c r="AB88" s="11" t="s">
        <v>1100</v>
      </c>
      <c r="AC88" s="20" t="s">
        <v>1101</v>
      </c>
    </row>
    <row r="89" spans="2:29" ht="15.75" x14ac:dyDescent="0.25">
      <c r="B89" s="11">
        <v>78</v>
      </c>
      <c r="C89" s="12" t="s">
        <v>319</v>
      </c>
      <c r="D89" s="12" t="s">
        <v>320</v>
      </c>
      <c r="E89" s="12" t="s">
        <v>122</v>
      </c>
      <c r="F89" s="11"/>
      <c r="G89" s="13" t="s">
        <v>1192</v>
      </c>
      <c r="H89" s="13" t="s">
        <v>1031</v>
      </c>
      <c r="I89" s="21">
        <v>38374</v>
      </c>
      <c r="J89" s="15">
        <v>21</v>
      </c>
      <c r="K89" s="16" t="s">
        <v>1103</v>
      </c>
      <c r="L89" s="16" t="s">
        <v>1108</v>
      </c>
      <c r="M89" s="22" t="s">
        <v>1100</v>
      </c>
      <c r="N89" s="23" t="s">
        <v>1099</v>
      </c>
      <c r="O89" s="19" t="s">
        <v>1100</v>
      </c>
      <c r="P89" s="19" t="s">
        <v>1100</v>
      </c>
      <c r="Q89" s="13" t="s">
        <v>1100</v>
      </c>
      <c r="R89" s="11"/>
      <c r="S89" s="11" t="s">
        <v>1100</v>
      </c>
      <c r="T89" s="13" t="str">
        <f t="shared" si="1"/>
        <v/>
      </c>
      <c r="U89" s="11" t="s">
        <v>1100</v>
      </c>
      <c r="V89" s="11" t="s">
        <v>1100</v>
      </c>
      <c r="W89" s="11" t="s">
        <v>1100</v>
      </c>
      <c r="X89" s="11" t="s">
        <v>1100</v>
      </c>
      <c r="Y89" s="11" t="s">
        <v>1100</v>
      </c>
      <c r="Z89" s="11" t="s">
        <v>1100</v>
      </c>
      <c r="AA89" s="11" t="s">
        <v>1100</v>
      </c>
      <c r="AB89" s="11" t="s">
        <v>1100</v>
      </c>
      <c r="AC89" s="20" t="s">
        <v>1101</v>
      </c>
    </row>
    <row r="90" spans="2:29" ht="15.75" x14ac:dyDescent="0.25">
      <c r="B90" s="11">
        <v>79</v>
      </c>
      <c r="C90" s="12" t="s">
        <v>321</v>
      </c>
      <c r="D90" s="12" t="s">
        <v>322</v>
      </c>
      <c r="E90" s="12" t="s">
        <v>289</v>
      </c>
      <c r="F90" s="11"/>
      <c r="G90" s="13" t="s">
        <v>1196</v>
      </c>
      <c r="H90" s="13" t="s">
        <v>1031</v>
      </c>
      <c r="I90" s="21">
        <v>33787</v>
      </c>
      <c r="J90" s="15">
        <v>33</v>
      </c>
      <c r="K90" s="16" t="s">
        <v>1103</v>
      </c>
      <c r="L90" s="16" t="s">
        <v>1102</v>
      </c>
      <c r="M90" s="22" t="s">
        <v>1100</v>
      </c>
      <c r="N90" s="23" t="s">
        <v>1099</v>
      </c>
      <c r="O90" s="19" t="s">
        <v>1100</v>
      </c>
      <c r="P90" s="19" t="s">
        <v>1100</v>
      </c>
      <c r="Q90" s="13" t="s">
        <v>1100</v>
      </c>
      <c r="R90" s="11"/>
      <c r="S90" s="11" t="s">
        <v>1100</v>
      </c>
      <c r="T90" s="13" t="str">
        <f t="shared" si="1"/>
        <v/>
      </c>
      <c r="U90" s="11" t="s">
        <v>1100</v>
      </c>
      <c r="V90" s="11" t="s">
        <v>1100</v>
      </c>
      <c r="W90" s="11" t="s">
        <v>1100</v>
      </c>
      <c r="X90" s="11" t="s">
        <v>1100</v>
      </c>
      <c r="Y90" s="11" t="s">
        <v>1100</v>
      </c>
      <c r="Z90" s="11" t="s">
        <v>1100</v>
      </c>
      <c r="AA90" s="11" t="s">
        <v>1100</v>
      </c>
      <c r="AB90" s="11" t="s">
        <v>1100</v>
      </c>
      <c r="AC90" s="20" t="s">
        <v>1101</v>
      </c>
    </row>
    <row r="91" spans="2:29" ht="15.75" x14ac:dyDescent="0.25">
      <c r="B91" s="11">
        <v>80</v>
      </c>
      <c r="C91" s="12" t="s">
        <v>323</v>
      </c>
      <c r="D91" s="12" t="s">
        <v>324</v>
      </c>
      <c r="E91" s="12" t="s">
        <v>229</v>
      </c>
      <c r="F91" s="11"/>
      <c r="G91" s="13" t="s">
        <v>1198</v>
      </c>
      <c r="H91" s="13" t="s">
        <v>1032</v>
      </c>
      <c r="I91" s="21">
        <v>27481</v>
      </c>
      <c r="J91" s="15">
        <v>50</v>
      </c>
      <c r="K91" s="16" t="s">
        <v>1103</v>
      </c>
      <c r="L91" s="16" t="s">
        <v>1108</v>
      </c>
      <c r="M91" s="22" t="s">
        <v>1099</v>
      </c>
      <c r="N91" s="23"/>
      <c r="O91" s="19" t="s">
        <v>1100</v>
      </c>
      <c r="P91" s="19" t="s">
        <v>1100</v>
      </c>
      <c r="Q91" s="13" t="s">
        <v>1100</v>
      </c>
      <c r="R91" s="11"/>
      <c r="S91" s="11" t="s">
        <v>1100</v>
      </c>
      <c r="T91" s="13" t="str">
        <f t="shared" si="1"/>
        <v/>
      </c>
      <c r="U91" s="11" t="s">
        <v>1099</v>
      </c>
      <c r="V91" s="11" t="s">
        <v>1100</v>
      </c>
      <c r="W91" s="11" t="s">
        <v>1100</v>
      </c>
      <c r="X91" s="11" t="s">
        <v>1100</v>
      </c>
      <c r="Y91" s="11" t="s">
        <v>1100</v>
      </c>
      <c r="Z91" s="11" t="s">
        <v>1100</v>
      </c>
      <c r="AA91" s="11" t="s">
        <v>1100</v>
      </c>
      <c r="AB91" s="11" t="s">
        <v>1100</v>
      </c>
      <c r="AC91" s="20" t="s">
        <v>1101</v>
      </c>
    </row>
    <row r="92" spans="2:29" ht="15.75" x14ac:dyDescent="0.25">
      <c r="B92" s="11">
        <v>81</v>
      </c>
      <c r="C92" s="12" t="s">
        <v>368</v>
      </c>
      <c r="D92" s="12" t="s">
        <v>369</v>
      </c>
      <c r="E92" s="12" t="s">
        <v>370</v>
      </c>
      <c r="F92" s="11"/>
      <c r="G92" s="13" t="s">
        <v>1198</v>
      </c>
      <c r="H92" s="13" t="s">
        <v>1032</v>
      </c>
      <c r="I92" s="21">
        <v>33366</v>
      </c>
      <c r="J92" s="15">
        <v>34</v>
      </c>
      <c r="K92" s="16" t="s">
        <v>1103</v>
      </c>
      <c r="L92" s="16" t="s">
        <v>1183</v>
      </c>
      <c r="M92" s="22" t="s">
        <v>1099</v>
      </c>
      <c r="N92" s="23"/>
      <c r="O92" s="19" t="s">
        <v>1100</v>
      </c>
      <c r="P92" s="19" t="s">
        <v>1100</v>
      </c>
      <c r="Q92" s="13" t="s">
        <v>1100</v>
      </c>
      <c r="R92" s="11"/>
      <c r="S92" s="11" t="s">
        <v>1100</v>
      </c>
      <c r="T92" s="13" t="str">
        <f t="shared" si="1"/>
        <v/>
      </c>
      <c r="U92" s="11" t="s">
        <v>1100</v>
      </c>
      <c r="V92" s="11" t="s">
        <v>1100</v>
      </c>
      <c r="W92" s="11" t="s">
        <v>1100</v>
      </c>
      <c r="X92" s="11" t="s">
        <v>1100</v>
      </c>
      <c r="Y92" s="11" t="s">
        <v>1100</v>
      </c>
      <c r="Z92" s="11" t="s">
        <v>1100</v>
      </c>
      <c r="AA92" s="11" t="s">
        <v>1100</v>
      </c>
      <c r="AB92" s="11" t="s">
        <v>1100</v>
      </c>
      <c r="AC92" s="20" t="s">
        <v>1101</v>
      </c>
    </row>
    <row r="93" spans="2:29" ht="15.75" x14ac:dyDescent="0.25">
      <c r="B93" s="11">
        <v>82</v>
      </c>
      <c r="C93" s="12" t="s">
        <v>221</v>
      </c>
      <c r="D93" s="12" t="s">
        <v>389</v>
      </c>
      <c r="E93" s="12" t="s">
        <v>344</v>
      </c>
      <c r="F93" s="11"/>
      <c r="G93" s="13" t="s">
        <v>1199</v>
      </c>
      <c r="H93" s="13" t="s">
        <v>1032</v>
      </c>
      <c r="I93" s="21">
        <v>29212</v>
      </c>
      <c r="J93" s="15">
        <v>46</v>
      </c>
      <c r="K93" s="16" t="s">
        <v>1103</v>
      </c>
      <c r="L93" s="16" t="s">
        <v>1108</v>
      </c>
      <c r="M93" s="22" t="s">
        <v>1099</v>
      </c>
      <c r="N93" s="23"/>
      <c r="O93" s="19" t="s">
        <v>1100</v>
      </c>
      <c r="P93" s="19" t="s">
        <v>1100</v>
      </c>
      <c r="Q93" s="13" t="s">
        <v>1100</v>
      </c>
      <c r="R93" s="11"/>
      <c r="S93" s="11" t="s">
        <v>1100</v>
      </c>
      <c r="T93" s="13" t="str">
        <f t="shared" si="1"/>
        <v/>
      </c>
      <c r="U93" s="11" t="s">
        <v>1100</v>
      </c>
      <c r="V93" s="11" t="s">
        <v>1100</v>
      </c>
      <c r="W93" s="11" t="s">
        <v>1100</v>
      </c>
      <c r="X93" s="11" t="s">
        <v>1100</v>
      </c>
      <c r="Y93" s="11" t="s">
        <v>1100</v>
      </c>
      <c r="Z93" s="11" t="s">
        <v>1100</v>
      </c>
      <c r="AA93" s="11" t="s">
        <v>1100</v>
      </c>
      <c r="AB93" s="11" t="s">
        <v>1100</v>
      </c>
      <c r="AC93" s="20" t="s">
        <v>1101</v>
      </c>
    </row>
    <row r="94" spans="2:29" ht="15.75" x14ac:dyDescent="0.25">
      <c r="B94" s="11">
        <v>83</v>
      </c>
      <c r="C94" s="12" t="s">
        <v>221</v>
      </c>
      <c r="D94" s="12" t="s">
        <v>72</v>
      </c>
      <c r="E94" s="12" t="s">
        <v>325</v>
      </c>
      <c r="F94" s="11"/>
      <c r="G94" s="13" t="s">
        <v>1106</v>
      </c>
      <c r="H94" s="13" t="s">
        <v>1032</v>
      </c>
      <c r="I94" s="21">
        <v>32848</v>
      </c>
      <c r="J94" s="15">
        <v>36</v>
      </c>
      <c r="K94" s="16" t="s">
        <v>1097</v>
      </c>
      <c r="L94" s="16" t="s">
        <v>1102</v>
      </c>
      <c r="M94" s="22" t="s">
        <v>1099</v>
      </c>
      <c r="N94" s="23"/>
      <c r="O94" s="19" t="s">
        <v>1100</v>
      </c>
      <c r="P94" s="19" t="s">
        <v>1100</v>
      </c>
      <c r="Q94" s="13" t="s">
        <v>1100</v>
      </c>
      <c r="R94" s="11"/>
      <c r="S94" s="11" t="s">
        <v>1100</v>
      </c>
      <c r="T94" s="13" t="str">
        <f t="shared" si="1"/>
        <v/>
      </c>
      <c r="U94" s="11" t="s">
        <v>1100</v>
      </c>
      <c r="V94" s="11" t="s">
        <v>1100</v>
      </c>
      <c r="W94" s="11" t="s">
        <v>1100</v>
      </c>
      <c r="X94" s="11" t="s">
        <v>1100</v>
      </c>
      <c r="Y94" s="11" t="s">
        <v>1100</v>
      </c>
      <c r="Z94" s="11" t="s">
        <v>1100</v>
      </c>
      <c r="AA94" s="11" t="s">
        <v>1100</v>
      </c>
      <c r="AB94" s="11" t="s">
        <v>1100</v>
      </c>
      <c r="AC94" s="20" t="s">
        <v>1101</v>
      </c>
    </row>
    <row r="95" spans="2:29" ht="15.75" x14ac:dyDescent="0.25">
      <c r="B95" s="11">
        <v>84</v>
      </c>
      <c r="C95" s="12" t="s">
        <v>326</v>
      </c>
      <c r="D95" s="12" t="s">
        <v>150</v>
      </c>
      <c r="E95" s="12" t="s">
        <v>327</v>
      </c>
      <c r="F95" s="11"/>
      <c r="G95" s="13" t="s">
        <v>1198</v>
      </c>
      <c r="H95" s="13" t="s">
        <v>1032</v>
      </c>
      <c r="I95" s="21">
        <v>28192</v>
      </c>
      <c r="J95" s="15">
        <v>48</v>
      </c>
      <c r="K95" s="16" t="s">
        <v>1097</v>
      </c>
      <c r="L95" s="16" t="s">
        <v>1102</v>
      </c>
      <c r="M95" s="22" t="s">
        <v>1099</v>
      </c>
      <c r="N95" s="23"/>
      <c r="O95" s="19" t="s">
        <v>1100</v>
      </c>
      <c r="P95" s="19" t="s">
        <v>1100</v>
      </c>
      <c r="Q95" s="13" t="s">
        <v>1100</v>
      </c>
      <c r="R95" s="11"/>
      <c r="S95" s="11" t="s">
        <v>1100</v>
      </c>
      <c r="T95" s="13" t="str">
        <f t="shared" si="1"/>
        <v/>
      </c>
      <c r="U95" s="11" t="s">
        <v>1100</v>
      </c>
      <c r="V95" s="11" t="s">
        <v>1100</v>
      </c>
      <c r="W95" s="11" t="s">
        <v>1100</v>
      </c>
      <c r="X95" s="11" t="s">
        <v>1100</v>
      </c>
      <c r="Y95" s="11" t="s">
        <v>1100</v>
      </c>
      <c r="Z95" s="11" t="s">
        <v>1100</v>
      </c>
      <c r="AA95" s="11" t="s">
        <v>1100</v>
      </c>
      <c r="AB95" s="11" t="s">
        <v>1100</v>
      </c>
      <c r="AC95" s="20" t="s">
        <v>1101</v>
      </c>
    </row>
    <row r="96" spans="2:29" ht="15.75" x14ac:dyDescent="0.25">
      <c r="B96" s="11">
        <v>85</v>
      </c>
      <c r="C96" s="12" t="s">
        <v>328</v>
      </c>
      <c r="D96" s="12" t="s">
        <v>329</v>
      </c>
      <c r="E96" s="12" t="s">
        <v>330</v>
      </c>
      <c r="F96" s="11"/>
      <c r="G96" s="13" t="s">
        <v>1106</v>
      </c>
      <c r="H96" s="13" t="s">
        <v>1032</v>
      </c>
      <c r="I96" s="21">
        <v>30576</v>
      </c>
      <c r="J96" s="15">
        <v>42</v>
      </c>
      <c r="K96" s="16" t="s">
        <v>1097</v>
      </c>
      <c r="L96" s="16" t="s">
        <v>1102</v>
      </c>
      <c r="M96" s="22" t="s">
        <v>1099</v>
      </c>
      <c r="N96" s="23"/>
      <c r="O96" s="19" t="s">
        <v>1100</v>
      </c>
      <c r="P96" s="19" t="s">
        <v>1100</v>
      </c>
      <c r="Q96" s="13" t="s">
        <v>1100</v>
      </c>
      <c r="R96" s="11"/>
      <c r="S96" s="11" t="s">
        <v>1100</v>
      </c>
      <c r="T96" s="13" t="str">
        <f t="shared" si="1"/>
        <v/>
      </c>
      <c r="U96" s="11" t="s">
        <v>1100</v>
      </c>
      <c r="V96" s="11" t="s">
        <v>1100</v>
      </c>
      <c r="W96" s="11" t="s">
        <v>1100</v>
      </c>
      <c r="X96" s="11" t="s">
        <v>1100</v>
      </c>
      <c r="Y96" s="11" t="s">
        <v>1100</v>
      </c>
      <c r="Z96" s="11" t="s">
        <v>1100</v>
      </c>
      <c r="AA96" s="11" t="s">
        <v>1100</v>
      </c>
      <c r="AB96" s="11" t="s">
        <v>1100</v>
      </c>
      <c r="AC96" s="20" t="s">
        <v>1101</v>
      </c>
    </row>
    <row r="97" spans="2:29" ht="15.75" x14ac:dyDescent="0.25">
      <c r="B97" s="11">
        <v>86</v>
      </c>
      <c r="C97" s="12" t="s">
        <v>394</v>
      </c>
      <c r="D97" s="12" t="s">
        <v>395</v>
      </c>
      <c r="E97" s="12" t="s">
        <v>396</v>
      </c>
      <c r="F97" s="11"/>
      <c r="G97" s="13" t="s">
        <v>1106</v>
      </c>
      <c r="H97" s="13" t="s">
        <v>1032</v>
      </c>
      <c r="I97" s="21">
        <v>27952</v>
      </c>
      <c r="J97" s="15">
        <v>49</v>
      </c>
      <c r="K97" s="16" t="s">
        <v>1097</v>
      </c>
      <c r="L97" s="16" t="s">
        <v>1102</v>
      </c>
      <c r="M97" s="22" t="s">
        <v>1099</v>
      </c>
      <c r="N97" s="23"/>
      <c r="O97" s="19" t="s">
        <v>1100</v>
      </c>
      <c r="P97" s="19" t="s">
        <v>1100</v>
      </c>
      <c r="Q97" s="13" t="s">
        <v>1100</v>
      </c>
      <c r="R97" s="11"/>
      <c r="S97" s="11" t="s">
        <v>1100</v>
      </c>
      <c r="T97" s="13" t="str">
        <f t="shared" si="1"/>
        <v/>
      </c>
      <c r="U97" s="11" t="s">
        <v>1100</v>
      </c>
      <c r="V97" s="11" t="s">
        <v>1100</v>
      </c>
      <c r="W97" s="11" t="s">
        <v>1100</v>
      </c>
      <c r="X97" s="11" t="s">
        <v>1100</v>
      </c>
      <c r="Y97" s="11" t="s">
        <v>1100</v>
      </c>
      <c r="Z97" s="11" t="s">
        <v>1100</v>
      </c>
      <c r="AA97" s="11" t="s">
        <v>1100</v>
      </c>
      <c r="AB97" s="11" t="s">
        <v>1100</v>
      </c>
      <c r="AC97" s="20" t="s">
        <v>1101</v>
      </c>
    </row>
    <row r="98" spans="2:29" ht="15.75" x14ac:dyDescent="0.25">
      <c r="B98" s="11">
        <v>87</v>
      </c>
      <c r="C98" s="12" t="s">
        <v>331</v>
      </c>
      <c r="D98" s="12" t="s">
        <v>332</v>
      </c>
      <c r="E98" s="12" t="s">
        <v>18</v>
      </c>
      <c r="F98" s="11"/>
      <c r="G98" s="13"/>
      <c r="H98" s="13" t="s">
        <v>1032</v>
      </c>
      <c r="I98" s="21">
        <v>23152</v>
      </c>
      <c r="J98" s="15">
        <v>62</v>
      </c>
      <c r="K98" s="16" t="s">
        <v>1103</v>
      </c>
      <c r="L98" s="16" t="s">
        <v>1102</v>
      </c>
      <c r="M98" s="22" t="s">
        <v>1099</v>
      </c>
      <c r="N98" s="23"/>
      <c r="O98" s="19" t="s">
        <v>1100</v>
      </c>
      <c r="P98" s="19" t="s">
        <v>1100</v>
      </c>
      <c r="Q98" s="13" t="s">
        <v>1100</v>
      </c>
      <c r="R98" s="11"/>
      <c r="S98" s="11" t="s">
        <v>1100</v>
      </c>
      <c r="T98" s="13" t="str">
        <f t="shared" si="1"/>
        <v>/</v>
      </c>
      <c r="U98" s="11" t="s">
        <v>1100</v>
      </c>
      <c r="V98" s="11" t="s">
        <v>1100</v>
      </c>
      <c r="W98" s="11" t="s">
        <v>1100</v>
      </c>
      <c r="X98" s="11" t="s">
        <v>1100</v>
      </c>
      <c r="Y98" s="11" t="s">
        <v>1100</v>
      </c>
      <c r="Z98" s="11" t="s">
        <v>1100</v>
      </c>
      <c r="AA98" s="11" t="s">
        <v>1100</v>
      </c>
      <c r="AB98" s="11" t="s">
        <v>1100</v>
      </c>
      <c r="AC98" s="20" t="s">
        <v>1101</v>
      </c>
    </row>
    <row r="99" spans="2:29" ht="15.75" x14ac:dyDescent="0.25">
      <c r="B99" s="11">
        <v>88</v>
      </c>
      <c r="C99" s="12" t="s">
        <v>384</v>
      </c>
      <c r="D99" s="12" t="s">
        <v>385</v>
      </c>
      <c r="E99" s="12" t="s">
        <v>386</v>
      </c>
      <c r="F99" s="11"/>
      <c r="G99" s="13" t="s">
        <v>1198</v>
      </c>
      <c r="H99" s="13" t="s">
        <v>1032</v>
      </c>
      <c r="I99" s="21">
        <v>38221</v>
      </c>
      <c r="J99" s="15">
        <v>21</v>
      </c>
      <c r="K99" s="16" t="s">
        <v>1103</v>
      </c>
      <c r="L99" s="16" t="s">
        <v>1183</v>
      </c>
      <c r="M99" s="22" t="s">
        <v>1099</v>
      </c>
      <c r="N99" s="23"/>
      <c r="O99" s="19" t="s">
        <v>1100</v>
      </c>
      <c r="P99" s="19" t="s">
        <v>1100</v>
      </c>
      <c r="Q99" s="13" t="s">
        <v>1100</v>
      </c>
      <c r="R99" s="11"/>
      <c r="S99" s="11" t="s">
        <v>1100</v>
      </c>
      <c r="T99" s="13" t="str">
        <f t="shared" si="1"/>
        <v/>
      </c>
      <c r="U99" s="11" t="s">
        <v>1100</v>
      </c>
      <c r="V99" s="11" t="s">
        <v>1100</v>
      </c>
      <c r="W99" s="11" t="s">
        <v>1100</v>
      </c>
      <c r="X99" s="11" t="s">
        <v>1100</v>
      </c>
      <c r="Y99" s="11" t="s">
        <v>1100</v>
      </c>
      <c r="Z99" s="11" t="s">
        <v>1100</v>
      </c>
      <c r="AA99" s="11" t="s">
        <v>1100</v>
      </c>
      <c r="AB99" s="11" t="s">
        <v>1100</v>
      </c>
      <c r="AC99" s="20" t="s">
        <v>1101</v>
      </c>
    </row>
    <row r="100" spans="2:29" ht="15.75" x14ac:dyDescent="0.25">
      <c r="B100" s="11">
        <v>89</v>
      </c>
      <c r="C100" s="12" t="s">
        <v>229</v>
      </c>
      <c r="D100" s="12" t="s">
        <v>398</v>
      </c>
      <c r="E100" s="12" t="s">
        <v>396</v>
      </c>
      <c r="F100" s="11"/>
      <c r="G100" s="13" t="s">
        <v>1198</v>
      </c>
      <c r="H100" s="13" t="s">
        <v>1032</v>
      </c>
      <c r="I100" s="21">
        <v>26096</v>
      </c>
      <c r="J100" s="15">
        <v>54</v>
      </c>
      <c r="K100" s="16" t="s">
        <v>1097</v>
      </c>
      <c r="L100" s="16" t="s">
        <v>1102</v>
      </c>
      <c r="M100" s="22" t="s">
        <v>1099</v>
      </c>
      <c r="N100" s="23"/>
      <c r="O100" s="19" t="s">
        <v>1100</v>
      </c>
      <c r="P100" s="19" t="s">
        <v>1100</v>
      </c>
      <c r="Q100" s="13" t="s">
        <v>1100</v>
      </c>
      <c r="R100" s="11"/>
      <c r="S100" s="11" t="s">
        <v>1100</v>
      </c>
      <c r="T100" s="13" t="str">
        <f t="shared" si="1"/>
        <v/>
      </c>
      <c r="U100" s="11" t="s">
        <v>1100</v>
      </c>
      <c r="V100" s="11" t="s">
        <v>1100</v>
      </c>
      <c r="W100" s="11" t="s">
        <v>1100</v>
      </c>
      <c r="X100" s="11" t="s">
        <v>1100</v>
      </c>
      <c r="Y100" s="11" t="s">
        <v>1100</v>
      </c>
      <c r="Z100" s="11" t="s">
        <v>1100</v>
      </c>
      <c r="AA100" s="11" t="s">
        <v>1100</v>
      </c>
      <c r="AB100" s="11" t="s">
        <v>1100</v>
      </c>
      <c r="AC100" s="20" t="s">
        <v>1101</v>
      </c>
    </row>
    <row r="101" spans="2:29" ht="15.75" x14ac:dyDescent="0.25">
      <c r="B101" s="11">
        <v>90</v>
      </c>
      <c r="C101" s="12" t="s">
        <v>111</v>
      </c>
      <c r="D101" s="12" t="s">
        <v>333</v>
      </c>
      <c r="E101" s="12" t="s">
        <v>334</v>
      </c>
      <c r="F101" s="11"/>
      <c r="G101" s="13" t="s">
        <v>1106</v>
      </c>
      <c r="H101" s="13" t="s">
        <v>1032</v>
      </c>
      <c r="I101" s="21">
        <v>30027</v>
      </c>
      <c r="J101" s="15">
        <v>43</v>
      </c>
      <c r="K101" s="16" t="s">
        <v>1097</v>
      </c>
      <c r="L101" s="16" t="s">
        <v>1102</v>
      </c>
      <c r="M101" s="22" t="s">
        <v>1099</v>
      </c>
      <c r="N101" s="23"/>
      <c r="O101" s="19" t="s">
        <v>1100</v>
      </c>
      <c r="P101" s="19" t="s">
        <v>1100</v>
      </c>
      <c r="Q101" s="13" t="s">
        <v>1100</v>
      </c>
      <c r="R101" s="11"/>
      <c r="S101" s="11" t="s">
        <v>1100</v>
      </c>
      <c r="T101" s="13" t="str">
        <f t="shared" si="1"/>
        <v/>
      </c>
      <c r="U101" s="11" t="s">
        <v>1100</v>
      </c>
      <c r="V101" s="11" t="s">
        <v>1100</v>
      </c>
      <c r="W101" s="11" t="s">
        <v>1100</v>
      </c>
      <c r="X101" s="11" t="s">
        <v>1100</v>
      </c>
      <c r="Y101" s="11" t="s">
        <v>1100</v>
      </c>
      <c r="Z101" s="11" t="s">
        <v>1100</v>
      </c>
      <c r="AA101" s="11" t="s">
        <v>1100</v>
      </c>
      <c r="AB101" s="11" t="s">
        <v>1100</v>
      </c>
      <c r="AC101" s="20" t="s">
        <v>1101</v>
      </c>
    </row>
    <row r="102" spans="2:29" ht="15.75" x14ac:dyDescent="0.25">
      <c r="B102" s="11">
        <v>91</v>
      </c>
      <c r="C102" s="12" t="s">
        <v>335</v>
      </c>
      <c r="D102" s="12" t="s">
        <v>336</v>
      </c>
      <c r="E102" s="12" t="s">
        <v>51</v>
      </c>
      <c r="F102" s="11"/>
      <c r="G102" s="13" t="s">
        <v>1106</v>
      </c>
      <c r="H102" s="13" t="s">
        <v>1032</v>
      </c>
      <c r="I102" s="21">
        <v>20296</v>
      </c>
      <c r="J102" s="15">
        <v>70</v>
      </c>
      <c r="K102" s="16" t="s">
        <v>1103</v>
      </c>
      <c r="L102" s="16" t="s">
        <v>1102</v>
      </c>
      <c r="M102" s="22" t="s">
        <v>1099</v>
      </c>
      <c r="N102" s="23"/>
      <c r="O102" s="19" t="s">
        <v>1100</v>
      </c>
      <c r="P102" s="19" t="s">
        <v>1100</v>
      </c>
      <c r="Q102" s="13" t="s">
        <v>1100</v>
      </c>
      <c r="R102" s="11"/>
      <c r="S102" s="11" t="s">
        <v>1100</v>
      </c>
      <c r="T102" s="13" t="str">
        <f t="shared" si="1"/>
        <v>/</v>
      </c>
      <c r="U102" s="11" t="s">
        <v>1100</v>
      </c>
      <c r="V102" s="11" t="s">
        <v>1100</v>
      </c>
      <c r="W102" s="11" t="s">
        <v>1100</v>
      </c>
      <c r="X102" s="11" t="s">
        <v>1100</v>
      </c>
      <c r="Y102" s="11" t="s">
        <v>1100</v>
      </c>
      <c r="Z102" s="11" t="s">
        <v>1100</v>
      </c>
      <c r="AA102" s="11" t="s">
        <v>1100</v>
      </c>
      <c r="AB102" s="11" t="s">
        <v>1100</v>
      </c>
      <c r="AC102" s="20" t="s">
        <v>1111</v>
      </c>
    </row>
    <row r="103" spans="2:29" ht="15.75" x14ac:dyDescent="0.25">
      <c r="B103" s="11">
        <v>92</v>
      </c>
      <c r="C103" s="12" t="s">
        <v>337</v>
      </c>
      <c r="D103" s="12" t="s">
        <v>338</v>
      </c>
      <c r="E103" s="12" t="s">
        <v>230</v>
      </c>
      <c r="F103" s="11"/>
      <c r="G103" s="13" t="s">
        <v>1106</v>
      </c>
      <c r="H103" s="13" t="s">
        <v>1032</v>
      </c>
      <c r="I103" s="21">
        <v>23437</v>
      </c>
      <c r="J103" s="15">
        <v>61</v>
      </c>
      <c r="K103" s="16" t="s">
        <v>1103</v>
      </c>
      <c r="L103" s="16" t="s">
        <v>1182</v>
      </c>
      <c r="M103" s="22" t="s">
        <v>1099</v>
      </c>
      <c r="N103" s="23"/>
      <c r="O103" s="19" t="s">
        <v>1100</v>
      </c>
      <c r="P103" s="19" t="s">
        <v>1099</v>
      </c>
      <c r="Q103" s="13" t="s">
        <v>1100</v>
      </c>
      <c r="R103" s="11"/>
      <c r="S103" s="11" t="s">
        <v>1100</v>
      </c>
      <c r="T103" s="13" t="str">
        <f t="shared" si="1"/>
        <v>/</v>
      </c>
      <c r="U103" s="11" t="s">
        <v>1100</v>
      </c>
      <c r="V103" s="11" t="s">
        <v>1100</v>
      </c>
      <c r="W103" s="11" t="s">
        <v>1100</v>
      </c>
      <c r="X103" s="11" t="s">
        <v>1100</v>
      </c>
      <c r="Y103" s="11" t="s">
        <v>1100</v>
      </c>
      <c r="Z103" s="11" t="s">
        <v>1100</v>
      </c>
      <c r="AA103" s="11" t="s">
        <v>1100</v>
      </c>
      <c r="AB103" s="11" t="s">
        <v>1100</v>
      </c>
      <c r="AC103" s="20" t="s">
        <v>1101</v>
      </c>
    </row>
    <row r="104" spans="2:29" ht="15.75" x14ac:dyDescent="0.25">
      <c r="B104" s="11">
        <v>93</v>
      </c>
      <c r="C104" s="12" t="s">
        <v>339</v>
      </c>
      <c r="D104" s="12" t="s">
        <v>166</v>
      </c>
      <c r="E104" s="12" t="s">
        <v>341</v>
      </c>
      <c r="F104" s="11"/>
      <c r="G104" s="13" t="s">
        <v>1106</v>
      </c>
      <c r="H104" s="13" t="s">
        <v>1032</v>
      </c>
      <c r="I104" s="21">
        <v>34559</v>
      </c>
      <c r="J104" s="15">
        <v>31</v>
      </c>
      <c r="K104" s="16" t="s">
        <v>1103</v>
      </c>
      <c r="L104" s="16" t="s">
        <v>1183</v>
      </c>
      <c r="M104" s="22" t="s">
        <v>1099</v>
      </c>
      <c r="N104" s="23"/>
      <c r="O104" s="19" t="s">
        <v>1100</v>
      </c>
      <c r="P104" s="19" t="s">
        <v>1099</v>
      </c>
      <c r="Q104" s="13" t="s">
        <v>1100</v>
      </c>
      <c r="R104" s="11"/>
      <c r="S104" s="11" t="s">
        <v>1100</v>
      </c>
      <c r="T104" s="13" t="str">
        <f t="shared" si="1"/>
        <v/>
      </c>
      <c r="U104" s="11" t="s">
        <v>1100</v>
      </c>
      <c r="V104" s="11" t="s">
        <v>1100</v>
      </c>
      <c r="W104" s="11" t="s">
        <v>1100</v>
      </c>
      <c r="X104" s="11" t="s">
        <v>1100</v>
      </c>
      <c r="Y104" s="11" t="s">
        <v>1100</v>
      </c>
      <c r="Z104" s="11" t="s">
        <v>1100</v>
      </c>
      <c r="AA104" s="11" t="s">
        <v>1100</v>
      </c>
      <c r="AB104" s="11" t="s">
        <v>1100</v>
      </c>
      <c r="AC104" s="20" t="s">
        <v>1101</v>
      </c>
    </row>
    <row r="105" spans="2:29" ht="15.75" x14ac:dyDescent="0.25">
      <c r="B105" s="11">
        <v>94</v>
      </c>
      <c r="C105" s="12" t="s">
        <v>339</v>
      </c>
      <c r="D105" s="12" t="s">
        <v>340</v>
      </c>
      <c r="E105" s="12" t="s">
        <v>341</v>
      </c>
      <c r="F105" s="11"/>
      <c r="G105" s="13" t="s">
        <v>1106</v>
      </c>
      <c r="H105" s="13" t="s">
        <v>1032</v>
      </c>
      <c r="I105" s="21">
        <v>28958</v>
      </c>
      <c r="J105" s="15">
        <v>46</v>
      </c>
      <c r="K105" s="16" t="s">
        <v>1097</v>
      </c>
      <c r="L105" s="16" t="s">
        <v>1102</v>
      </c>
      <c r="M105" s="22" t="s">
        <v>1099</v>
      </c>
      <c r="N105" s="23"/>
      <c r="O105" s="19" t="s">
        <v>1100</v>
      </c>
      <c r="P105" s="19" t="s">
        <v>1099</v>
      </c>
      <c r="Q105" s="13" t="s">
        <v>1100</v>
      </c>
      <c r="R105" s="11"/>
      <c r="S105" s="11" t="s">
        <v>1100</v>
      </c>
      <c r="T105" s="13" t="str">
        <f t="shared" si="1"/>
        <v/>
      </c>
      <c r="U105" s="11" t="s">
        <v>1100</v>
      </c>
      <c r="V105" s="11" t="s">
        <v>1100</v>
      </c>
      <c r="W105" s="11" t="s">
        <v>1100</v>
      </c>
      <c r="X105" s="11" t="s">
        <v>1100</v>
      </c>
      <c r="Y105" s="11" t="s">
        <v>1100</v>
      </c>
      <c r="Z105" s="11" t="s">
        <v>1100</v>
      </c>
      <c r="AA105" s="11" t="s">
        <v>1100</v>
      </c>
      <c r="AB105" s="11" t="s">
        <v>1100</v>
      </c>
      <c r="AC105" s="20" t="s">
        <v>1101</v>
      </c>
    </row>
    <row r="106" spans="2:29" ht="15.75" x14ac:dyDescent="0.25">
      <c r="B106" s="11">
        <v>95</v>
      </c>
      <c r="C106" s="12" t="s">
        <v>339</v>
      </c>
      <c r="D106" s="12" t="s">
        <v>342</v>
      </c>
      <c r="E106" s="12" t="s">
        <v>341</v>
      </c>
      <c r="F106" s="11"/>
      <c r="G106" s="13" t="s">
        <v>1106</v>
      </c>
      <c r="H106" s="13" t="s">
        <v>1032</v>
      </c>
      <c r="I106" s="21">
        <v>37289</v>
      </c>
      <c r="J106" s="15">
        <v>24</v>
      </c>
      <c r="K106" s="16" t="s">
        <v>1103</v>
      </c>
      <c r="L106" s="16" t="s">
        <v>1183</v>
      </c>
      <c r="M106" s="22" t="s">
        <v>1099</v>
      </c>
      <c r="N106" s="23"/>
      <c r="O106" s="19" t="s">
        <v>1100</v>
      </c>
      <c r="P106" s="19" t="s">
        <v>1099</v>
      </c>
      <c r="Q106" s="13" t="s">
        <v>1100</v>
      </c>
      <c r="R106" s="11"/>
      <c r="S106" s="11" t="s">
        <v>1100</v>
      </c>
      <c r="T106" s="13" t="str">
        <f t="shared" si="1"/>
        <v/>
      </c>
      <c r="U106" s="11" t="s">
        <v>1100</v>
      </c>
      <c r="V106" s="11" t="s">
        <v>1100</v>
      </c>
      <c r="W106" s="11" t="s">
        <v>1100</v>
      </c>
      <c r="X106" s="11" t="s">
        <v>1100</v>
      </c>
      <c r="Y106" s="11" t="s">
        <v>1100</v>
      </c>
      <c r="Z106" s="11" t="s">
        <v>1100</v>
      </c>
      <c r="AA106" s="11" t="s">
        <v>1100</v>
      </c>
      <c r="AB106" s="11" t="s">
        <v>1100</v>
      </c>
      <c r="AC106" s="20" t="s">
        <v>1101</v>
      </c>
    </row>
    <row r="107" spans="2:29" ht="15.75" x14ac:dyDescent="0.25">
      <c r="B107" s="11">
        <v>96</v>
      </c>
      <c r="C107" s="12" t="s">
        <v>343</v>
      </c>
      <c r="D107" s="12" t="s">
        <v>345</v>
      </c>
      <c r="E107" s="12" t="s">
        <v>346</v>
      </c>
      <c r="F107" s="11"/>
      <c r="G107" s="13" t="s">
        <v>1105</v>
      </c>
      <c r="H107" s="13" t="s">
        <v>1032</v>
      </c>
      <c r="I107" s="21">
        <v>19405</v>
      </c>
      <c r="J107" s="15">
        <v>73</v>
      </c>
      <c r="K107" s="16" t="s">
        <v>1097</v>
      </c>
      <c r="L107" s="16" t="s">
        <v>1102</v>
      </c>
      <c r="M107" s="22" t="s">
        <v>1099</v>
      </c>
      <c r="N107" s="23"/>
      <c r="O107" s="19" t="s">
        <v>1100</v>
      </c>
      <c r="P107" s="19" t="s">
        <v>1100</v>
      </c>
      <c r="Q107" s="13" t="s">
        <v>1100</v>
      </c>
      <c r="R107" s="11"/>
      <c r="S107" s="11" t="s">
        <v>1100</v>
      </c>
      <c r="T107" s="13" t="str">
        <f t="shared" si="1"/>
        <v>/</v>
      </c>
      <c r="U107" s="11" t="s">
        <v>1100</v>
      </c>
      <c r="V107" s="11" t="s">
        <v>1100</v>
      </c>
      <c r="W107" s="11" t="s">
        <v>1100</v>
      </c>
      <c r="X107" s="11" t="s">
        <v>1100</v>
      </c>
      <c r="Y107" s="11" t="s">
        <v>1100</v>
      </c>
      <c r="Z107" s="11" t="s">
        <v>1100</v>
      </c>
      <c r="AA107" s="11" t="s">
        <v>1100</v>
      </c>
      <c r="AB107" s="11" t="s">
        <v>1100</v>
      </c>
      <c r="AC107" s="20" t="s">
        <v>1101</v>
      </c>
    </row>
    <row r="108" spans="2:29" ht="15.75" x14ac:dyDescent="0.25">
      <c r="B108" s="11">
        <v>97</v>
      </c>
      <c r="C108" s="12" t="s">
        <v>343</v>
      </c>
      <c r="D108" s="12" t="s">
        <v>402</v>
      </c>
      <c r="E108" s="12" t="s">
        <v>344</v>
      </c>
      <c r="F108" s="11"/>
      <c r="G108" s="13" t="s">
        <v>1105</v>
      </c>
      <c r="H108" s="13" t="s">
        <v>1032</v>
      </c>
      <c r="I108" s="21">
        <v>30225</v>
      </c>
      <c r="J108" s="15">
        <v>43</v>
      </c>
      <c r="K108" s="16" t="s">
        <v>1097</v>
      </c>
      <c r="L108" s="16" t="s">
        <v>1183</v>
      </c>
      <c r="M108" s="22" t="s">
        <v>1099</v>
      </c>
      <c r="N108" s="23"/>
      <c r="O108" s="19" t="s">
        <v>1100</v>
      </c>
      <c r="P108" s="19" t="s">
        <v>1100</v>
      </c>
      <c r="Q108" s="13" t="s">
        <v>1100</v>
      </c>
      <c r="R108" s="11"/>
      <c r="S108" s="11" t="s">
        <v>1100</v>
      </c>
      <c r="T108" s="13" t="str">
        <f t="shared" si="1"/>
        <v/>
      </c>
      <c r="U108" s="11" t="s">
        <v>1100</v>
      </c>
      <c r="V108" s="11" t="s">
        <v>1100</v>
      </c>
      <c r="W108" s="11" t="s">
        <v>1100</v>
      </c>
      <c r="X108" s="11" t="s">
        <v>1100</v>
      </c>
      <c r="Y108" s="11" t="s">
        <v>1100</v>
      </c>
      <c r="Z108" s="11" t="s">
        <v>1100</v>
      </c>
      <c r="AA108" s="11" t="s">
        <v>1100</v>
      </c>
      <c r="AB108" s="11" t="s">
        <v>1100</v>
      </c>
      <c r="AC108" s="20" t="s">
        <v>1101</v>
      </c>
    </row>
    <row r="109" spans="2:29" ht="15.75" x14ac:dyDescent="0.25">
      <c r="B109" s="11">
        <v>98</v>
      </c>
      <c r="C109" s="12" t="s">
        <v>343</v>
      </c>
      <c r="D109" s="12" t="s">
        <v>36</v>
      </c>
      <c r="E109" s="12" t="s">
        <v>344</v>
      </c>
      <c r="F109" s="11"/>
      <c r="G109" s="13" t="s">
        <v>1105</v>
      </c>
      <c r="H109" s="13" t="s">
        <v>1032</v>
      </c>
      <c r="I109" s="21">
        <v>29588</v>
      </c>
      <c r="J109" s="15">
        <v>45</v>
      </c>
      <c r="K109" s="16" t="s">
        <v>1097</v>
      </c>
      <c r="L109" s="16" t="s">
        <v>1183</v>
      </c>
      <c r="M109" s="22" t="s">
        <v>1099</v>
      </c>
      <c r="N109" s="23"/>
      <c r="O109" s="19" t="s">
        <v>1099</v>
      </c>
      <c r="P109" s="19" t="s">
        <v>1100</v>
      </c>
      <c r="Q109" s="13" t="s">
        <v>1100</v>
      </c>
      <c r="R109" s="11"/>
      <c r="S109" s="11" t="s">
        <v>1100</v>
      </c>
      <c r="T109" s="13" t="str">
        <f t="shared" si="1"/>
        <v/>
      </c>
      <c r="U109" s="11" t="s">
        <v>1100</v>
      </c>
      <c r="V109" s="11" t="s">
        <v>1100</v>
      </c>
      <c r="W109" s="11" t="s">
        <v>1100</v>
      </c>
      <c r="X109" s="11" t="s">
        <v>1100</v>
      </c>
      <c r="Y109" s="11" t="s">
        <v>1100</v>
      </c>
      <c r="Z109" s="11" t="s">
        <v>1100</v>
      </c>
      <c r="AA109" s="11" t="s">
        <v>1100</v>
      </c>
      <c r="AB109" s="11" t="s">
        <v>1100</v>
      </c>
      <c r="AC109" s="20" t="s">
        <v>1101</v>
      </c>
    </row>
    <row r="110" spans="2:29" ht="15.75" x14ac:dyDescent="0.25">
      <c r="B110" s="11">
        <v>99</v>
      </c>
      <c r="C110" s="12" t="s">
        <v>375</v>
      </c>
      <c r="D110" s="12" t="s">
        <v>376</v>
      </c>
      <c r="E110" s="12" t="s">
        <v>160</v>
      </c>
      <c r="F110" s="11"/>
      <c r="G110" s="13" t="s">
        <v>1198</v>
      </c>
      <c r="H110" s="13" t="s">
        <v>1032</v>
      </c>
      <c r="I110" s="21">
        <v>32916</v>
      </c>
      <c r="J110" s="15">
        <v>36</v>
      </c>
      <c r="K110" s="16" t="s">
        <v>1103</v>
      </c>
      <c r="L110" s="16" t="s">
        <v>1108</v>
      </c>
      <c r="M110" s="22" t="s">
        <v>1099</v>
      </c>
      <c r="N110" s="23"/>
      <c r="O110" s="19" t="s">
        <v>1100</v>
      </c>
      <c r="P110" s="19" t="s">
        <v>1100</v>
      </c>
      <c r="Q110" s="13" t="s">
        <v>1100</v>
      </c>
      <c r="R110" s="11"/>
      <c r="S110" s="11" t="s">
        <v>1100</v>
      </c>
      <c r="T110" s="13" t="str">
        <f t="shared" si="1"/>
        <v/>
      </c>
      <c r="U110" s="11" t="s">
        <v>1100</v>
      </c>
      <c r="V110" s="11" t="s">
        <v>1100</v>
      </c>
      <c r="W110" s="11" t="s">
        <v>1100</v>
      </c>
      <c r="X110" s="11" t="s">
        <v>1100</v>
      </c>
      <c r="Y110" s="11" t="s">
        <v>1100</v>
      </c>
      <c r="Z110" s="11" t="s">
        <v>1100</v>
      </c>
      <c r="AA110" s="11" t="s">
        <v>1100</v>
      </c>
      <c r="AB110" s="11" t="s">
        <v>1100</v>
      </c>
      <c r="AC110" s="20" t="s">
        <v>1101</v>
      </c>
    </row>
    <row r="111" spans="2:29" ht="15.75" x14ac:dyDescent="0.25">
      <c r="B111" s="11">
        <v>100</v>
      </c>
      <c r="C111" s="12" t="s">
        <v>399</v>
      </c>
      <c r="D111" s="12" t="s">
        <v>400</v>
      </c>
      <c r="E111" s="12" t="s">
        <v>401</v>
      </c>
      <c r="F111" s="11"/>
      <c r="G111" s="13" t="s">
        <v>1200</v>
      </c>
      <c r="H111" s="13" t="s">
        <v>1032</v>
      </c>
      <c r="I111" s="21">
        <v>28411</v>
      </c>
      <c r="J111" s="15">
        <v>48</v>
      </c>
      <c r="K111" s="16" t="s">
        <v>1097</v>
      </c>
      <c r="L111" s="16" t="s">
        <v>1183</v>
      </c>
      <c r="M111" s="22" t="s">
        <v>1099</v>
      </c>
      <c r="N111" s="23"/>
      <c r="O111" s="19" t="s">
        <v>1100</v>
      </c>
      <c r="P111" s="19" t="s">
        <v>1100</v>
      </c>
      <c r="Q111" s="13" t="s">
        <v>1100</v>
      </c>
      <c r="R111" s="11"/>
      <c r="S111" s="11" t="s">
        <v>1100</v>
      </c>
      <c r="T111" s="13" t="str">
        <f t="shared" si="1"/>
        <v/>
      </c>
      <c r="U111" s="11" t="s">
        <v>1100</v>
      </c>
      <c r="V111" s="11" t="s">
        <v>1100</v>
      </c>
      <c r="W111" s="11" t="s">
        <v>1100</v>
      </c>
      <c r="X111" s="11" t="s">
        <v>1100</v>
      </c>
      <c r="Y111" s="11" t="s">
        <v>1100</v>
      </c>
      <c r="Z111" s="11" t="s">
        <v>1100</v>
      </c>
      <c r="AA111" s="11" t="s">
        <v>1100</v>
      </c>
      <c r="AB111" s="11" t="s">
        <v>1100</v>
      </c>
      <c r="AC111" s="20" t="s">
        <v>1101</v>
      </c>
    </row>
    <row r="112" spans="2:29" ht="15.75" x14ac:dyDescent="0.25">
      <c r="B112" s="11">
        <v>101</v>
      </c>
      <c r="C112" s="12" t="s">
        <v>1167</v>
      </c>
      <c r="D112" s="12" t="s">
        <v>219</v>
      </c>
      <c r="E112" s="12" t="s">
        <v>347</v>
      </c>
      <c r="F112" s="11"/>
      <c r="G112" s="13" t="s">
        <v>1198</v>
      </c>
      <c r="H112" s="13" t="s">
        <v>1032</v>
      </c>
      <c r="I112" s="21">
        <v>23356</v>
      </c>
      <c r="J112" s="15">
        <v>62</v>
      </c>
      <c r="K112" s="16" t="s">
        <v>1097</v>
      </c>
      <c r="L112" s="16" t="s">
        <v>1102</v>
      </c>
      <c r="M112" s="22" t="s">
        <v>1099</v>
      </c>
      <c r="N112" s="23"/>
      <c r="O112" s="19" t="s">
        <v>1100</v>
      </c>
      <c r="P112" s="19" t="s">
        <v>1100</v>
      </c>
      <c r="Q112" s="13" t="s">
        <v>1100</v>
      </c>
      <c r="R112" s="11"/>
      <c r="S112" s="11" t="s">
        <v>1100</v>
      </c>
      <c r="T112" s="13" t="str">
        <f t="shared" si="1"/>
        <v>/</v>
      </c>
      <c r="U112" s="11" t="s">
        <v>1100</v>
      </c>
      <c r="V112" s="11" t="s">
        <v>1100</v>
      </c>
      <c r="W112" s="11" t="s">
        <v>1100</v>
      </c>
      <c r="X112" s="11" t="s">
        <v>1100</v>
      </c>
      <c r="Y112" s="11" t="s">
        <v>1100</v>
      </c>
      <c r="Z112" s="11" t="s">
        <v>1100</v>
      </c>
      <c r="AA112" s="11" t="s">
        <v>1100</v>
      </c>
      <c r="AB112" s="11" t="s">
        <v>1100</v>
      </c>
      <c r="AC112" s="20" t="s">
        <v>1101</v>
      </c>
    </row>
    <row r="113" spans="2:29" ht="15.75" x14ac:dyDescent="0.25">
      <c r="B113" s="11">
        <v>102</v>
      </c>
      <c r="C113" s="12" t="s">
        <v>348</v>
      </c>
      <c r="D113" s="12" t="s">
        <v>349</v>
      </c>
      <c r="E113" s="12" t="s">
        <v>350</v>
      </c>
      <c r="F113" s="11"/>
      <c r="G113" s="13" t="s">
        <v>1199</v>
      </c>
      <c r="H113" s="13" t="s">
        <v>1032</v>
      </c>
      <c r="I113" s="21">
        <v>21162</v>
      </c>
      <c r="J113" s="15">
        <v>68</v>
      </c>
      <c r="K113" s="16" t="s">
        <v>1103</v>
      </c>
      <c r="L113" s="16" t="s">
        <v>1182</v>
      </c>
      <c r="M113" s="22" t="s">
        <v>1099</v>
      </c>
      <c r="N113" s="23"/>
      <c r="O113" s="19" t="s">
        <v>1100</v>
      </c>
      <c r="P113" s="19" t="s">
        <v>1100</v>
      </c>
      <c r="Q113" s="13" t="s">
        <v>1100</v>
      </c>
      <c r="R113" s="11"/>
      <c r="S113" s="11" t="s">
        <v>1100</v>
      </c>
      <c r="T113" s="13" t="str">
        <f t="shared" si="1"/>
        <v>/</v>
      </c>
      <c r="U113" s="11" t="s">
        <v>1100</v>
      </c>
      <c r="V113" s="11" t="s">
        <v>1100</v>
      </c>
      <c r="W113" s="11" t="s">
        <v>1100</v>
      </c>
      <c r="X113" s="11" t="s">
        <v>1100</v>
      </c>
      <c r="Y113" s="11" t="s">
        <v>1100</v>
      </c>
      <c r="Z113" s="11" t="s">
        <v>1100</v>
      </c>
      <c r="AA113" s="11" t="s">
        <v>1100</v>
      </c>
      <c r="AB113" s="11" t="s">
        <v>1100</v>
      </c>
      <c r="AC113" s="20" t="s">
        <v>1101</v>
      </c>
    </row>
    <row r="114" spans="2:29" ht="15.75" x14ac:dyDescent="0.25">
      <c r="B114" s="11">
        <v>103</v>
      </c>
      <c r="C114" s="12" t="s">
        <v>387</v>
      </c>
      <c r="D114" s="12" t="s">
        <v>388</v>
      </c>
      <c r="E114" s="12" t="s">
        <v>46</v>
      </c>
      <c r="F114" s="11"/>
      <c r="G114" s="13" t="s">
        <v>1198</v>
      </c>
      <c r="H114" s="13" t="s">
        <v>1032</v>
      </c>
      <c r="I114" s="21">
        <v>27102</v>
      </c>
      <c r="J114" s="15">
        <v>51</v>
      </c>
      <c r="K114" s="16" t="s">
        <v>1097</v>
      </c>
      <c r="L114" s="16" t="s">
        <v>1183</v>
      </c>
      <c r="M114" s="22" t="s">
        <v>1099</v>
      </c>
      <c r="N114" s="23"/>
      <c r="O114" s="19" t="s">
        <v>1100</v>
      </c>
      <c r="P114" s="19" t="s">
        <v>1100</v>
      </c>
      <c r="Q114" s="13" t="s">
        <v>1100</v>
      </c>
      <c r="R114" s="11"/>
      <c r="S114" s="11" t="s">
        <v>1100</v>
      </c>
      <c r="T114" s="13" t="str">
        <f t="shared" si="1"/>
        <v/>
      </c>
      <c r="U114" s="11" t="s">
        <v>1100</v>
      </c>
      <c r="V114" s="11" t="s">
        <v>1100</v>
      </c>
      <c r="W114" s="11" t="s">
        <v>1100</v>
      </c>
      <c r="X114" s="11" t="s">
        <v>1100</v>
      </c>
      <c r="Y114" s="11" t="s">
        <v>1100</v>
      </c>
      <c r="Z114" s="11" t="s">
        <v>1100</v>
      </c>
      <c r="AA114" s="11" t="s">
        <v>1100</v>
      </c>
      <c r="AB114" s="11" t="s">
        <v>1100</v>
      </c>
      <c r="AC114" s="20" t="s">
        <v>1101</v>
      </c>
    </row>
    <row r="115" spans="2:29" ht="15.75" x14ac:dyDescent="0.25">
      <c r="B115" s="11">
        <v>104</v>
      </c>
      <c r="C115" s="12" t="s">
        <v>365</v>
      </c>
      <c r="D115" s="12" t="s">
        <v>366</v>
      </c>
      <c r="E115" s="12" t="s">
        <v>367</v>
      </c>
      <c r="F115" s="11"/>
      <c r="G115" s="13" t="s">
        <v>1198</v>
      </c>
      <c r="H115" s="13" t="s">
        <v>1032</v>
      </c>
      <c r="I115" s="21">
        <v>29424</v>
      </c>
      <c r="J115" s="15">
        <v>45</v>
      </c>
      <c r="K115" s="16" t="s">
        <v>1097</v>
      </c>
      <c r="L115" s="16" t="s">
        <v>1102</v>
      </c>
      <c r="M115" s="22" t="s">
        <v>1099</v>
      </c>
      <c r="N115" s="23"/>
      <c r="O115" s="19" t="s">
        <v>1100</v>
      </c>
      <c r="P115" s="19" t="s">
        <v>1100</v>
      </c>
      <c r="Q115" s="13" t="s">
        <v>1100</v>
      </c>
      <c r="R115" s="11"/>
      <c r="S115" s="11" t="s">
        <v>1100</v>
      </c>
      <c r="T115" s="13" t="str">
        <f t="shared" si="1"/>
        <v/>
      </c>
      <c r="U115" s="11" t="s">
        <v>1100</v>
      </c>
      <c r="V115" s="11" t="s">
        <v>1100</v>
      </c>
      <c r="W115" s="11" t="s">
        <v>1100</v>
      </c>
      <c r="X115" s="11" t="s">
        <v>1100</v>
      </c>
      <c r="Y115" s="11" t="s">
        <v>1100</v>
      </c>
      <c r="Z115" s="11" t="s">
        <v>1100</v>
      </c>
      <c r="AA115" s="11" t="s">
        <v>1100</v>
      </c>
      <c r="AB115" s="11" t="s">
        <v>1100</v>
      </c>
      <c r="AC115" s="20" t="s">
        <v>1101</v>
      </c>
    </row>
    <row r="116" spans="2:29" ht="15.75" x14ac:dyDescent="0.25">
      <c r="B116" s="11">
        <v>105</v>
      </c>
      <c r="C116" s="12" t="s">
        <v>379</v>
      </c>
      <c r="D116" s="12" t="s">
        <v>380</v>
      </c>
      <c r="E116" s="12" t="s">
        <v>221</v>
      </c>
      <c r="F116" s="11"/>
      <c r="G116" s="13" t="s">
        <v>1107</v>
      </c>
      <c r="H116" s="13" t="s">
        <v>1032</v>
      </c>
      <c r="I116" s="21">
        <v>26199</v>
      </c>
      <c r="J116" s="15">
        <v>54</v>
      </c>
      <c r="K116" s="16" t="s">
        <v>1097</v>
      </c>
      <c r="L116" s="16" t="s">
        <v>1102</v>
      </c>
      <c r="M116" s="22" t="s">
        <v>1099</v>
      </c>
      <c r="N116" s="23"/>
      <c r="O116" s="19" t="s">
        <v>1100</v>
      </c>
      <c r="P116" s="19" t="s">
        <v>1099</v>
      </c>
      <c r="Q116" s="13" t="s">
        <v>1100</v>
      </c>
      <c r="R116" s="11"/>
      <c r="S116" s="11" t="s">
        <v>1100</v>
      </c>
      <c r="T116" s="13" t="str">
        <f t="shared" si="1"/>
        <v/>
      </c>
      <c r="U116" s="11" t="s">
        <v>1100</v>
      </c>
      <c r="V116" s="11" t="s">
        <v>1100</v>
      </c>
      <c r="W116" s="11" t="s">
        <v>1100</v>
      </c>
      <c r="X116" s="11" t="s">
        <v>1100</v>
      </c>
      <c r="Y116" s="11" t="s">
        <v>1100</v>
      </c>
      <c r="Z116" s="11" t="s">
        <v>1100</v>
      </c>
      <c r="AA116" s="11" t="s">
        <v>1100</v>
      </c>
      <c r="AB116" s="11" t="s">
        <v>1100</v>
      </c>
      <c r="AC116" s="20" t="s">
        <v>1101</v>
      </c>
    </row>
    <row r="117" spans="2:29" ht="15.75" x14ac:dyDescent="0.25">
      <c r="B117" s="11">
        <v>106</v>
      </c>
      <c r="C117" s="12" t="s">
        <v>18</v>
      </c>
      <c r="D117" s="12" t="s">
        <v>351</v>
      </c>
      <c r="E117" s="12" t="s">
        <v>38</v>
      </c>
      <c r="F117" s="11"/>
      <c r="G117" s="13" t="s">
        <v>1106</v>
      </c>
      <c r="H117" s="13" t="s">
        <v>1032</v>
      </c>
      <c r="I117" s="21">
        <v>19811</v>
      </c>
      <c r="J117" s="15">
        <v>71</v>
      </c>
      <c r="K117" s="16" t="s">
        <v>1097</v>
      </c>
      <c r="L117" s="16" t="s">
        <v>1102</v>
      </c>
      <c r="M117" s="22" t="s">
        <v>1099</v>
      </c>
      <c r="N117" s="23"/>
      <c r="O117" s="19" t="s">
        <v>1100</v>
      </c>
      <c r="P117" s="19" t="s">
        <v>1099</v>
      </c>
      <c r="Q117" s="13" t="s">
        <v>1100</v>
      </c>
      <c r="R117" s="11"/>
      <c r="S117" s="11" t="s">
        <v>1100</v>
      </c>
      <c r="T117" s="13" t="str">
        <f t="shared" si="1"/>
        <v>/</v>
      </c>
      <c r="U117" s="11" t="s">
        <v>1100</v>
      </c>
      <c r="V117" s="11" t="s">
        <v>1100</v>
      </c>
      <c r="W117" s="11" t="s">
        <v>1100</v>
      </c>
      <c r="X117" s="11" t="s">
        <v>1100</v>
      </c>
      <c r="Y117" s="11" t="s">
        <v>1100</v>
      </c>
      <c r="Z117" s="11" t="s">
        <v>1100</v>
      </c>
      <c r="AA117" s="11" t="s">
        <v>1100</v>
      </c>
      <c r="AB117" s="11" t="s">
        <v>1100</v>
      </c>
      <c r="AC117" s="20" t="s">
        <v>1101</v>
      </c>
    </row>
    <row r="118" spans="2:29" ht="15.75" x14ac:dyDescent="0.25">
      <c r="B118" s="11">
        <v>107</v>
      </c>
      <c r="C118" s="12" t="s">
        <v>352</v>
      </c>
      <c r="D118" s="12" t="s">
        <v>353</v>
      </c>
      <c r="E118" s="12" t="s">
        <v>1168</v>
      </c>
      <c r="F118" s="11"/>
      <c r="G118" s="13" t="s">
        <v>1106</v>
      </c>
      <c r="H118" s="13" t="s">
        <v>1032</v>
      </c>
      <c r="I118" s="21">
        <v>30503</v>
      </c>
      <c r="J118" s="15">
        <v>42</v>
      </c>
      <c r="K118" s="16" t="s">
        <v>1103</v>
      </c>
      <c r="L118" s="16" t="s">
        <v>1102</v>
      </c>
      <c r="M118" s="22" t="s">
        <v>1099</v>
      </c>
      <c r="N118" s="23"/>
      <c r="O118" s="19" t="s">
        <v>1100</v>
      </c>
      <c r="P118" s="19" t="s">
        <v>1100</v>
      </c>
      <c r="Q118" s="13" t="s">
        <v>1100</v>
      </c>
      <c r="R118" s="11"/>
      <c r="S118" s="11" t="s">
        <v>1100</v>
      </c>
      <c r="T118" s="13" t="str">
        <f t="shared" si="1"/>
        <v/>
      </c>
      <c r="U118" s="11" t="s">
        <v>1100</v>
      </c>
      <c r="V118" s="11" t="s">
        <v>1100</v>
      </c>
      <c r="W118" s="11" t="s">
        <v>1100</v>
      </c>
      <c r="X118" s="11" t="s">
        <v>1100</v>
      </c>
      <c r="Y118" s="11" t="s">
        <v>1100</v>
      </c>
      <c r="Z118" s="11" t="s">
        <v>1100</v>
      </c>
      <c r="AA118" s="11" t="s">
        <v>1100</v>
      </c>
      <c r="AB118" s="11" t="s">
        <v>1100</v>
      </c>
      <c r="AC118" s="20" t="s">
        <v>1101</v>
      </c>
    </row>
    <row r="119" spans="2:29" ht="15.75" x14ac:dyDescent="0.25">
      <c r="B119" s="11">
        <v>108</v>
      </c>
      <c r="C119" s="12" t="s">
        <v>354</v>
      </c>
      <c r="D119" s="12" t="s">
        <v>403</v>
      </c>
      <c r="E119" s="12" t="s">
        <v>373</v>
      </c>
      <c r="F119" s="11"/>
      <c r="G119" s="13" t="s">
        <v>1106</v>
      </c>
      <c r="H119" s="13" t="s">
        <v>1032</v>
      </c>
      <c r="I119" s="21">
        <v>24404</v>
      </c>
      <c r="J119" s="15">
        <v>59</v>
      </c>
      <c r="K119" s="16" t="s">
        <v>1097</v>
      </c>
      <c r="L119" s="16" t="s">
        <v>1102</v>
      </c>
      <c r="M119" s="22" t="s">
        <v>1099</v>
      </c>
      <c r="N119" s="23"/>
      <c r="O119" s="19" t="s">
        <v>1100</v>
      </c>
      <c r="P119" s="19" t="s">
        <v>1099</v>
      </c>
      <c r="Q119" s="13" t="s">
        <v>1100</v>
      </c>
      <c r="R119" s="11"/>
      <c r="S119" s="11" t="s">
        <v>1100</v>
      </c>
      <c r="T119" s="13" t="str">
        <f t="shared" si="1"/>
        <v/>
      </c>
      <c r="U119" s="11" t="s">
        <v>1100</v>
      </c>
      <c r="V119" s="11" t="s">
        <v>1100</v>
      </c>
      <c r="W119" s="11" t="s">
        <v>1100</v>
      </c>
      <c r="X119" s="11" t="s">
        <v>1100</v>
      </c>
      <c r="Y119" s="11" t="s">
        <v>1100</v>
      </c>
      <c r="Z119" s="11" t="s">
        <v>1100</v>
      </c>
      <c r="AA119" s="11" t="s">
        <v>1100</v>
      </c>
      <c r="AB119" s="11" t="s">
        <v>1100</v>
      </c>
      <c r="AC119" s="20" t="s">
        <v>1101</v>
      </c>
    </row>
    <row r="120" spans="2:29" ht="15.75" x14ac:dyDescent="0.25">
      <c r="B120" s="11">
        <v>109</v>
      </c>
      <c r="C120" s="12" t="s">
        <v>354</v>
      </c>
      <c r="D120" s="12" t="s">
        <v>55</v>
      </c>
      <c r="E120" s="12" t="s">
        <v>355</v>
      </c>
      <c r="F120" s="11"/>
      <c r="G120" s="13" t="s">
        <v>1106</v>
      </c>
      <c r="H120" s="13" t="s">
        <v>1032</v>
      </c>
      <c r="I120" s="21">
        <v>35637</v>
      </c>
      <c r="J120" s="15">
        <v>28</v>
      </c>
      <c r="K120" s="16" t="s">
        <v>1097</v>
      </c>
      <c r="L120" s="16" t="s">
        <v>1102</v>
      </c>
      <c r="M120" s="22" t="s">
        <v>1099</v>
      </c>
      <c r="N120" s="23"/>
      <c r="O120" s="19" t="s">
        <v>1100</v>
      </c>
      <c r="P120" s="19" t="s">
        <v>1099</v>
      </c>
      <c r="Q120" s="13" t="s">
        <v>1100</v>
      </c>
      <c r="R120" s="11"/>
      <c r="S120" s="11" t="s">
        <v>1100</v>
      </c>
      <c r="T120" s="13" t="str">
        <f t="shared" si="1"/>
        <v/>
      </c>
      <c r="U120" s="11" t="s">
        <v>1100</v>
      </c>
      <c r="V120" s="11" t="s">
        <v>1100</v>
      </c>
      <c r="W120" s="11" t="s">
        <v>1100</v>
      </c>
      <c r="X120" s="11" t="s">
        <v>1100</v>
      </c>
      <c r="Y120" s="11" t="s">
        <v>1100</v>
      </c>
      <c r="Z120" s="11" t="s">
        <v>1100</v>
      </c>
      <c r="AA120" s="11" t="s">
        <v>1100</v>
      </c>
      <c r="AB120" s="11" t="s">
        <v>1100</v>
      </c>
      <c r="AC120" s="20" t="s">
        <v>1101</v>
      </c>
    </row>
    <row r="121" spans="2:29" ht="15.75" x14ac:dyDescent="0.25">
      <c r="B121" s="11">
        <v>110</v>
      </c>
      <c r="C121" s="12" t="s">
        <v>97</v>
      </c>
      <c r="D121" s="12" t="s">
        <v>371</v>
      </c>
      <c r="E121" s="12" t="s">
        <v>372</v>
      </c>
      <c r="F121" s="11"/>
      <c r="G121" s="13" t="s">
        <v>1106</v>
      </c>
      <c r="H121" s="13" t="s">
        <v>1032</v>
      </c>
      <c r="I121" s="21">
        <v>32570</v>
      </c>
      <c r="J121" s="15">
        <v>36</v>
      </c>
      <c r="K121" s="16" t="s">
        <v>1097</v>
      </c>
      <c r="L121" s="16" t="s">
        <v>1102</v>
      </c>
      <c r="M121" s="22" t="s">
        <v>1099</v>
      </c>
      <c r="N121" s="23"/>
      <c r="O121" s="19" t="s">
        <v>1099</v>
      </c>
      <c r="P121" s="19" t="s">
        <v>1100</v>
      </c>
      <c r="Q121" s="13" t="s">
        <v>1100</v>
      </c>
      <c r="R121" s="11"/>
      <c r="S121" s="11" t="s">
        <v>1100</v>
      </c>
      <c r="T121" s="13" t="str">
        <f t="shared" si="1"/>
        <v/>
      </c>
      <c r="U121" s="11" t="s">
        <v>1100</v>
      </c>
      <c r="V121" s="11" t="s">
        <v>1100</v>
      </c>
      <c r="W121" s="11" t="s">
        <v>1100</v>
      </c>
      <c r="X121" s="11" t="s">
        <v>1100</v>
      </c>
      <c r="Y121" s="11" t="s">
        <v>1100</v>
      </c>
      <c r="Z121" s="11" t="s">
        <v>1100</v>
      </c>
      <c r="AA121" s="11" t="s">
        <v>1100</v>
      </c>
      <c r="AB121" s="11" t="s">
        <v>1100</v>
      </c>
      <c r="AC121" s="20" t="s">
        <v>1101</v>
      </c>
    </row>
    <row r="122" spans="2:29" ht="15.75" x14ac:dyDescent="0.25">
      <c r="B122" s="11">
        <v>111</v>
      </c>
      <c r="C122" s="12" t="s">
        <v>396</v>
      </c>
      <c r="D122" s="12" t="s">
        <v>39</v>
      </c>
      <c r="E122" s="12" t="s">
        <v>88</v>
      </c>
      <c r="F122" s="11"/>
      <c r="G122" s="13" t="s">
        <v>1198</v>
      </c>
      <c r="H122" s="13" t="s">
        <v>1032</v>
      </c>
      <c r="I122" s="21">
        <v>29444</v>
      </c>
      <c r="J122" s="15">
        <v>45</v>
      </c>
      <c r="K122" s="16" t="s">
        <v>1097</v>
      </c>
      <c r="L122" s="16" t="s">
        <v>1102</v>
      </c>
      <c r="M122" s="22" t="s">
        <v>1099</v>
      </c>
      <c r="N122" s="23"/>
      <c r="O122" s="19" t="s">
        <v>1100</v>
      </c>
      <c r="P122" s="19" t="s">
        <v>1099</v>
      </c>
      <c r="Q122" s="13" t="s">
        <v>1100</v>
      </c>
      <c r="R122" s="11"/>
      <c r="S122" s="11" t="s">
        <v>1100</v>
      </c>
      <c r="T122" s="13" t="str">
        <f t="shared" si="1"/>
        <v/>
      </c>
      <c r="U122" s="11" t="s">
        <v>1100</v>
      </c>
      <c r="V122" s="11" t="s">
        <v>1100</v>
      </c>
      <c r="W122" s="11" t="s">
        <v>1100</v>
      </c>
      <c r="X122" s="11" t="s">
        <v>1100</v>
      </c>
      <c r="Y122" s="11" t="s">
        <v>1100</v>
      </c>
      <c r="Z122" s="11" t="s">
        <v>1100</v>
      </c>
      <c r="AA122" s="11" t="s">
        <v>1100</v>
      </c>
      <c r="AB122" s="11" t="s">
        <v>1100</v>
      </c>
      <c r="AC122" s="20" t="s">
        <v>1101</v>
      </c>
    </row>
    <row r="123" spans="2:29" ht="15.75" x14ac:dyDescent="0.25">
      <c r="B123" s="11">
        <v>112</v>
      </c>
      <c r="C123" s="12" t="s">
        <v>356</v>
      </c>
      <c r="D123" s="12" t="s">
        <v>357</v>
      </c>
      <c r="E123" s="12" t="s">
        <v>358</v>
      </c>
      <c r="F123" s="11"/>
      <c r="G123" s="13" t="s">
        <v>1200</v>
      </c>
      <c r="H123" s="13" t="s">
        <v>1032</v>
      </c>
      <c r="I123" s="21">
        <v>37432</v>
      </c>
      <c r="J123" s="15">
        <v>23</v>
      </c>
      <c r="K123" s="16" t="s">
        <v>1097</v>
      </c>
      <c r="L123" s="16" t="s">
        <v>1183</v>
      </c>
      <c r="M123" s="22" t="s">
        <v>1099</v>
      </c>
      <c r="N123" s="23"/>
      <c r="O123" s="19" t="s">
        <v>1100</v>
      </c>
      <c r="P123" s="19" t="s">
        <v>1100</v>
      </c>
      <c r="Q123" s="13" t="s">
        <v>1100</v>
      </c>
      <c r="R123" s="11"/>
      <c r="S123" s="11" t="s">
        <v>1100</v>
      </c>
      <c r="T123" s="13" t="str">
        <f t="shared" si="1"/>
        <v/>
      </c>
      <c r="U123" s="11" t="s">
        <v>1100</v>
      </c>
      <c r="V123" s="11" t="s">
        <v>1100</v>
      </c>
      <c r="W123" s="11" t="s">
        <v>1100</v>
      </c>
      <c r="X123" s="11" t="s">
        <v>1100</v>
      </c>
      <c r="Y123" s="11" t="s">
        <v>1100</v>
      </c>
      <c r="Z123" s="11" t="s">
        <v>1100</v>
      </c>
      <c r="AA123" s="11" t="s">
        <v>1100</v>
      </c>
      <c r="AB123" s="11" t="s">
        <v>1100</v>
      </c>
      <c r="AC123" s="20" t="s">
        <v>1101</v>
      </c>
    </row>
    <row r="124" spans="2:29" ht="15.75" x14ac:dyDescent="0.25">
      <c r="B124" s="11">
        <v>113</v>
      </c>
      <c r="C124" s="12" t="s">
        <v>373</v>
      </c>
      <c r="D124" s="12" t="s">
        <v>374</v>
      </c>
      <c r="E124" s="12" t="s">
        <v>38</v>
      </c>
      <c r="F124" s="11"/>
      <c r="G124" s="13" t="s">
        <v>1198</v>
      </c>
      <c r="H124" s="13" t="s">
        <v>1032</v>
      </c>
      <c r="I124" s="21">
        <v>13578</v>
      </c>
      <c r="J124" s="15">
        <v>88</v>
      </c>
      <c r="K124" s="16" t="s">
        <v>1097</v>
      </c>
      <c r="L124" s="16" t="s">
        <v>1102</v>
      </c>
      <c r="M124" s="22" t="s">
        <v>1099</v>
      </c>
      <c r="N124" s="23"/>
      <c r="O124" s="19" t="s">
        <v>1100</v>
      </c>
      <c r="P124" s="19" t="s">
        <v>1100</v>
      </c>
      <c r="Q124" s="13" t="s">
        <v>1100</v>
      </c>
      <c r="R124" s="11"/>
      <c r="S124" s="11" t="s">
        <v>1100</v>
      </c>
      <c r="T124" s="13" t="str">
        <f t="shared" si="1"/>
        <v>/</v>
      </c>
      <c r="U124" s="11" t="s">
        <v>1100</v>
      </c>
      <c r="V124" s="11" t="s">
        <v>1100</v>
      </c>
      <c r="W124" s="11" t="s">
        <v>1100</v>
      </c>
      <c r="X124" s="11" t="s">
        <v>1100</v>
      </c>
      <c r="Y124" s="11" t="s">
        <v>1100</v>
      </c>
      <c r="Z124" s="11" t="s">
        <v>1100</v>
      </c>
      <c r="AA124" s="11" t="s">
        <v>1100</v>
      </c>
      <c r="AB124" s="11" t="s">
        <v>1100</v>
      </c>
      <c r="AC124" s="20" t="s">
        <v>1101</v>
      </c>
    </row>
    <row r="125" spans="2:29" ht="15.75" x14ac:dyDescent="0.25">
      <c r="B125" s="11">
        <v>114</v>
      </c>
      <c r="C125" s="12" t="s">
        <v>373</v>
      </c>
      <c r="D125" s="12" t="s">
        <v>392</v>
      </c>
      <c r="E125" s="12" t="s">
        <v>18</v>
      </c>
      <c r="F125" s="11"/>
      <c r="G125" s="13" t="s">
        <v>1199</v>
      </c>
      <c r="H125" s="13" t="s">
        <v>1032</v>
      </c>
      <c r="I125" s="21">
        <v>25814</v>
      </c>
      <c r="J125" s="15">
        <v>55</v>
      </c>
      <c r="K125" s="16" t="s">
        <v>1097</v>
      </c>
      <c r="L125" s="16" t="s">
        <v>1102</v>
      </c>
      <c r="M125" s="22" t="s">
        <v>1099</v>
      </c>
      <c r="N125" s="23"/>
      <c r="O125" s="19" t="s">
        <v>1099</v>
      </c>
      <c r="P125" s="19" t="s">
        <v>1099</v>
      </c>
      <c r="Q125" s="13" t="s">
        <v>1100</v>
      </c>
      <c r="R125" s="11"/>
      <c r="S125" s="11" t="s">
        <v>1100</v>
      </c>
      <c r="T125" s="13" t="str">
        <f t="shared" si="1"/>
        <v/>
      </c>
      <c r="U125" s="11" t="s">
        <v>1100</v>
      </c>
      <c r="V125" s="11" t="s">
        <v>1100</v>
      </c>
      <c r="W125" s="11" t="s">
        <v>1100</v>
      </c>
      <c r="X125" s="11" t="s">
        <v>1100</v>
      </c>
      <c r="Y125" s="11" t="s">
        <v>1100</v>
      </c>
      <c r="Z125" s="11" t="s">
        <v>1100</v>
      </c>
      <c r="AA125" s="11" t="s">
        <v>1100</v>
      </c>
      <c r="AB125" s="11" t="s">
        <v>1100</v>
      </c>
      <c r="AC125" s="20" t="s">
        <v>1101</v>
      </c>
    </row>
    <row r="126" spans="2:29" ht="15.75" x14ac:dyDescent="0.25">
      <c r="B126" s="11">
        <v>115</v>
      </c>
      <c r="C126" s="12" t="s">
        <v>373</v>
      </c>
      <c r="D126" s="12" t="s">
        <v>392</v>
      </c>
      <c r="E126" s="12" t="s">
        <v>393</v>
      </c>
      <c r="F126" s="11"/>
      <c r="G126" s="13" t="s">
        <v>1106</v>
      </c>
      <c r="H126" s="13" t="s">
        <v>1032</v>
      </c>
      <c r="I126" s="21">
        <v>25534</v>
      </c>
      <c r="J126" s="15">
        <v>56</v>
      </c>
      <c r="K126" s="16" t="s">
        <v>1097</v>
      </c>
      <c r="L126" s="16" t="s">
        <v>1102</v>
      </c>
      <c r="M126" s="22" t="s">
        <v>1099</v>
      </c>
      <c r="N126" s="23"/>
      <c r="O126" s="19" t="s">
        <v>1100</v>
      </c>
      <c r="P126" s="19" t="s">
        <v>1100</v>
      </c>
      <c r="Q126" s="13" t="s">
        <v>1100</v>
      </c>
      <c r="R126" s="11"/>
      <c r="S126" s="11" t="s">
        <v>1100</v>
      </c>
      <c r="T126" s="13" t="str">
        <f t="shared" si="1"/>
        <v/>
      </c>
      <c r="U126" s="11" t="s">
        <v>1100</v>
      </c>
      <c r="V126" s="11" t="s">
        <v>1100</v>
      </c>
      <c r="W126" s="11" t="s">
        <v>1100</v>
      </c>
      <c r="X126" s="11" t="s">
        <v>1100</v>
      </c>
      <c r="Y126" s="11" t="s">
        <v>1100</v>
      </c>
      <c r="Z126" s="11" t="s">
        <v>1100</v>
      </c>
      <c r="AA126" s="11" t="s">
        <v>1100</v>
      </c>
      <c r="AB126" s="11" t="s">
        <v>1100</v>
      </c>
      <c r="AC126" s="20" t="s">
        <v>1101</v>
      </c>
    </row>
    <row r="127" spans="2:29" ht="15.75" x14ac:dyDescent="0.25">
      <c r="B127" s="11">
        <v>116</v>
      </c>
      <c r="C127" s="12" t="s">
        <v>390</v>
      </c>
      <c r="D127" s="12" t="s">
        <v>391</v>
      </c>
      <c r="E127" s="12" t="s">
        <v>65</v>
      </c>
      <c r="F127" s="11"/>
      <c r="G127" s="13" t="s">
        <v>1198</v>
      </c>
      <c r="H127" s="13" t="s">
        <v>1032</v>
      </c>
      <c r="I127" s="21">
        <v>31303</v>
      </c>
      <c r="J127" s="15">
        <v>40</v>
      </c>
      <c r="K127" s="16" t="s">
        <v>1097</v>
      </c>
      <c r="L127" s="16" t="s">
        <v>1102</v>
      </c>
      <c r="M127" s="22" t="s">
        <v>1099</v>
      </c>
      <c r="N127" s="23"/>
      <c r="O127" s="19" t="s">
        <v>1100</v>
      </c>
      <c r="P127" s="19" t="s">
        <v>1100</v>
      </c>
      <c r="Q127" s="13" t="s">
        <v>1100</v>
      </c>
      <c r="R127" s="11"/>
      <c r="S127" s="11" t="s">
        <v>1100</v>
      </c>
      <c r="T127" s="13" t="str">
        <f t="shared" si="1"/>
        <v/>
      </c>
      <c r="U127" s="11" t="s">
        <v>1100</v>
      </c>
      <c r="V127" s="11" t="s">
        <v>1100</v>
      </c>
      <c r="W127" s="11" t="s">
        <v>1100</v>
      </c>
      <c r="X127" s="11" t="s">
        <v>1100</v>
      </c>
      <c r="Y127" s="11" t="s">
        <v>1100</v>
      </c>
      <c r="Z127" s="11" t="s">
        <v>1100</v>
      </c>
      <c r="AA127" s="11" t="s">
        <v>1100</v>
      </c>
      <c r="AB127" s="11" t="s">
        <v>1100</v>
      </c>
      <c r="AC127" s="20" t="s">
        <v>1101</v>
      </c>
    </row>
    <row r="128" spans="2:29" ht="15.75" x14ac:dyDescent="0.25">
      <c r="B128" s="11">
        <v>117</v>
      </c>
      <c r="C128" s="12" t="s">
        <v>359</v>
      </c>
      <c r="D128" s="12" t="s">
        <v>360</v>
      </c>
      <c r="E128" s="12" t="s">
        <v>88</v>
      </c>
      <c r="F128" s="11"/>
      <c r="G128" s="13" t="s">
        <v>1200</v>
      </c>
      <c r="H128" s="13" t="s">
        <v>1032</v>
      </c>
      <c r="I128" s="21">
        <v>35538</v>
      </c>
      <c r="J128" s="15">
        <v>28</v>
      </c>
      <c r="K128" s="16" t="s">
        <v>1103</v>
      </c>
      <c r="L128" s="16" t="s">
        <v>1183</v>
      </c>
      <c r="M128" s="22" t="s">
        <v>1099</v>
      </c>
      <c r="N128" s="23"/>
      <c r="O128" s="19" t="s">
        <v>1100</v>
      </c>
      <c r="P128" s="19" t="s">
        <v>1100</v>
      </c>
      <c r="Q128" s="13" t="s">
        <v>1100</v>
      </c>
      <c r="R128" s="11"/>
      <c r="S128" s="11" t="s">
        <v>1100</v>
      </c>
      <c r="T128" s="13" t="str">
        <f t="shared" si="1"/>
        <v/>
      </c>
      <c r="U128" s="11" t="s">
        <v>1100</v>
      </c>
      <c r="V128" s="11" t="s">
        <v>1100</v>
      </c>
      <c r="W128" s="11" t="s">
        <v>1100</v>
      </c>
      <c r="X128" s="11" t="s">
        <v>1100</v>
      </c>
      <c r="Y128" s="11" t="s">
        <v>1100</v>
      </c>
      <c r="Z128" s="11" t="s">
        <v>1100</v>
      </c>
      <c r="AA128" s="11" t="s">
        <v>1100</v>
      </c>
      <c r="AB128" s="11" t="s">
        <v>1100</v>
      </c>
      <c r="AC128" s="20" t="s">
        <v>1101</v>
      </c>
    </row>
    <row r="129" spans="2:29" ht="15.75" x14ac:dyDescent="0.25">
      <c r="B129" s="11">
        <v>118</v>
      </c>
      <c r="C129" s="12" t="s">
        <v>157</v>
      </c>
      <c r="D129" s="12" t="s">
        <v>362</v>
      </c>
      <c r="E129" s="12" t="s">
        <v>363</v>
      </c>
      <c r="F129" s="11"/>
      <c r="G129" s="13" t="s">
        <v>1106</v>
      </c>
      <c r="H129" s="13" t="s">
        <v>1032</v>
      </c>
      <c r="I129" s="21">
        <v>34636</v>
      </c>
      <c r="J129" s="15">
        <v>31</v>
      </c>
      <c r="K129" s="16" t="s">
        <v>1097</v>
      </c>
      <c r="L129" s="16" t="s">
        <v>1183</v>
      </c>
      <c r="M129" s="22" t="s">
        <v>1099</v>
      </c>
      <c r="N129" s="23"/>
      <c r="O129" s="19" t="s">
        <v>1100</v>
      </c>
      <c r="P129" s="19" t="s">
        <v>1100</v>
      </c>
      <c r="Q129" s="13" t="s">
        <v>1100</v>
      </c>
      <c r="R129" s="11"/>
      <c r="S129" s="11" t="s">
        <v>1100</v>
      </c>
      <c r="T129" s="13" t="str">
        <f t="shared" si="1"/>
        <v/>
      </c>
      <c r="U129" s="11" t="s">
        <v>1100</v>
      </c>
      <c r="V129" s="11" t="s">
        <v>1100</v>
      </c>
      <c r="W129" s="11" t="s">
        <v>1100</v>
      </c>
      <c r="X129" s="11" t="s">
        <v>1100</v>
      </c>
      <c r="Y129" s="11" t="s">
        <v>1100</v>
      </c>
      <c r="Z129" s="11" t="s">
        <v>1100</v>
      </c>
      <c r="AA129" s="11" t="s">
        <v>1100</v>
      </c>
      <c r="AB129" s="11" t="s">
        <v>1100</v>
      </c>
      <c r="AC129" s="20" t="s">
        <v>1101</v>
      </c>
    </row>
    <row r="130" spans="2:29" ht="15.75" x14ac:dyDescent="0.25">
      <c r="B130" s="11">
        <v>119</v>
      </c>
      <c r="C130" s="12" t="s">
        <v>157</v>
      </c>
      <c r="D130" s="12" t="s">
        <v>397</v>
      </c>
      <c r="E130" s="12" t="s">
        <v>363</v>
      </c>
      <c r="F130" s="11"/>
      <c r="G130" s="13" t="s">
        <v>1106</v>
      </c>
      <c r="H130" s="13" t="s">
        <v>1032</v>
      </c>
      <c r="I130" s="21">
        <v>30479</v>
      </c>
      <c r="J130" s="15">
        <v>42</v>
      </c>
      <c r="K130" s="16" t="s">
        <v>1097</v>
      </c>
      <c r="L130" s="16" t="s">
        <v>1102</v>
      </c>
      <c r="M130" s="22" t="s">
        <v>1099</v>
      </c>
      <c r="N130" s="23"/>
      <c r="O130" s="19" t="s">
        <v>1100</v>
      </c>
      <c r="P130" s="19" t="s">
        <v>1100</v>
      </c>
      <c r="Q130" s="13" t="s">
        <v>1100</v>
      </c>
      <c r="R130" s="11"/>
      <c r="S130" s="11" t="s">
        <v>1100</v>
      </c>
      <c r="T130" s="13" t="str">
        <f t="shared" si="1"/>
        <v/>
      </c>
      <c r="U130" s="11" t="s">
        <v>1100</v>
      </c>
      <c r="V130" s="11" t="s">
        <v>1100</v>
      </c>
      <c r="W130" s="11" t="s">
        <v>1100</v>
      </c>
      <c r="X130" s="11" t="s">
        <v>1100</v>
      </c>
      <c r="Y130" s="11" t="s">
        <v>1100</v>
      </c>
      <c r="Z130" s="11" t="s">
        <v>1100</v>
      </c>
      <c r="AA130" s="11" t="s">
        <v>1100</v>
      </c>
      <c r="AB130" s="11" t="s">
        <v>1100</v>
      </c>
      <c r="AC130" s="20" t="s">
        <v>1101</v>
      </c>
    </row>
    <row r="131" spans="2:29" ht="15.75" x14ac:dyDescent="0.25">
      <c r="B131" s="11">
        <v>120</v>
      </c>
      <c r="C131" s="12" t="s">
        <v>41</v>
      </c>
      <c r="D131" s="12" t="s">
        <v>44</v>
      </c>
      <c r="E131" s="12" t="s">
        <v>361</v>
      </c>
      <c r="F131" s="11"/>
      <c r="G131" s="13" t="s">
        <v>1106</v>
      </c>
      <c r="H131" s="13" t="s">
        <v>1032</v>
      </c>
      <c r="I131" s="21">
        <v>24778</v>
      </c>
      <c r="J131" s="15">
        <v>58</v>
      </c>
      <c r="K131" s="16" t="s">
        <v>1097</v>
      </c>
      <c r="L131" s="16" t="s">
        <v>1183</v>
      </c>
      <c r="M131" s="22" t="s">
        <v>1099</v>
      </c>
      <c r="N131" s="23"/>
      <c r="O131" s="19" t="s">
        <v>1100</v>
      </c>
      <c r="P131" s="19" t="s">
        <v>1100</v>
      </c>
      <c r="Q131" s="13" t="s">
        <v>1100</v>
      </c>
      <c r="R131" s="11"/>
      <c r="S131" s="11" t="s">
        <v>1100</v>
      </c>
      <c r="T131" s="13" t="str">
        <f t="shared" si="1"/>
        <v/>
      </c>
      <c r="U131" s="11" t="s">
        <v>1100</v>
      </c>
      <c r="V131" s="11" t="s">
        <v>1100</v>
      </c>
      <c r="W131" s="11" t="s">
        <v>1100</v>
      </c>
      <c r="X131" s="11" t="s">
        <v>1100</v>
      </c>
      <c r="Y131" s="11" t="s">
        <v>1100</v>
      </c>
      <c r="Z131" s="11" t="s">
        <v>1100</v>
      </c>
      <c r="AA131" s="11" t="s">
        <v>1100</v>
      </c>
      <c r="AB131" s="11" t="s">
        <v>1100</v>
      </c>
      <c r="AC131" s="20" t="s">
        <v>1101</v>
      </c>
    </row>
    <row r="132" spans="2:29" ht="15.75" x14ac:dyDescent="0.25">
      <c r="B132" s="11">
        <v>121</v>
      </c>
      <c r="C132" s="12" t="s">
        <v>160</v>
      </c>
      <c r="D132" s="12" t="s">
        <v>383</v>
      </c>
      <c r="E132" s="12" t="s">
        <v>211</v>
      </c>
      <c r="F132" s="11"/>
      <c r="G132" s="13" t="s">
        <v>1106</v>
      </c>
      <c r="H132" s="13" t="s">
        <v>1032</v>
      </c>
      <c r="I132" s="21">
        <v>27251</v>
      </c>
      <c r="J132" s="15">
        <v>51</v>
      </c>
      <c r="K132" s="16" t="s">
        <v>1097</v>
      </c>
      <c r="L132" s="16" t="s">
        <v>1102</v>
      </c>
      <c r="M132" s="22" t="s">
        <v>1099</v>
      </c>
      <c r="N132" s="23"/>
      <c r="O132" s="19" t="s">
        <v>1100</v>
      </c>
      <c r="P132" s="19" t="s">
        <v>1100</v>
      </c>
      <c r="Q132" s="13" t="s">
        <v>1100</v>
      </c>
      <c r="R132" s="11"/>
      <c r="S132" s="11" t="s">
        <v>1100</v>
      </c>
      <c r="T132" s="13" t="str">
        <f t="shared" si="1"/>
        <v/>
      </c>
      <c r="U132" s="11" t="s">
        <v>1100</v>
      </c>
      <c r="V132" s="11" t="s">
        <v>1100</v>
      </c>
      <c r="W132" s="11" t="s">
        <v>1100</v>
      </c>
      <c r="X132" s="11" t="s">
        <v>1100</v>
      </c>
      <c r="Y132" s="11" t="s">
        <v>1100</v>
      </c>
      <c r="Z132" s="11" t="s">
        <v>1100</v>
      </c>
      <c r="AA132" s="11" t="s">
        <v>1100</v>
      </c>
      <c r="AB132" s="11" t="s">
        <v>1100</v>
      </c>
      <c r="AC132" s="20" t="s">
        <v>1101</v>
      </c>
    </row>
    <row r="133" spans="2:29" ht="15.75" x14ac:dyDescent="0.25">
      <c r="B133" s="11">
        <v>122</v>
      </c>
      <c r="C133" s="12" t="s">
        <v>160</v>
      </c>
      <c r="D133" s="12" t="s">
        <v>381</v>
      </c>
      <c r="E133" s="12" t="s">
        <v>382</v>
      </c>
      <c r="F133" s="11"/>
      <c r="G133" s="13" t="s">
        <v>1106</v>
      </c>
      <c r="H133" s="13" t="s">
        <v>1032</v>
      </c>
      <c r="I133" s="21">
        <v>18619</v>
      </c>
      <c r="J133" s="15">
        <v>75</v>
      </c>
      <c r="K133" s="16" t="s">
        <v>1097</v>
      </c>
      <c r="L133" s="16" t="s">
        <v>1102</v>
      </c>
      <c r="M133" s="22" t="s">
        <v>1099</v>
      </c>
      <c r="N133" s="23"/>
      <c r="O133" s="19" t="s">
        <v>1100</v>
      </c>
      <c r="P133" s="19" t="s">
        <v>1100</v>
      </c>
      <c r="Q133" s="13" t="s">
        <v>1100</v>
      </c>
      <c r="R133" s="11"/>
      <c r="S133" s="11" t="s">
        <v>1100</v>
      </c>
      <c r="T133" s="13" t="str">
        <f t="shared" si="1"/>
        <v>/</v>
      </c>
      <c r="U133" s="11" t="s">
        <v>1100</v>
      </c>
      <c r="V133" s="11" t="s">
        <v>1100</v>
      </c>
      <c r="W133" s="11" t="s">
        <v>1100</v>
      </c>
      <c r="X133" s="11" t="s">
        <v>1100</v>
      </c>
      <c r="Y133" s="11" t="s">
        <v>1100</v>
      </c>
      <c r="Z133" s="11" t="s">
        <v>1100</v>
      </c>
      <c r="AA133" s="11" t="s">
        <v>1100</v>
      </c>
      <c r="AB133" s="11" t="s">
        <v>1100</v>
      </c>
      <c r="AC133" s="20" t="s">
        <v>1101</v>
      </c>
    </row>
    <row r="134" spans="2:29" ht="15.75" x14ac:dyDescent="0.25">
      <c r="B134" s="11">
        <v>123</v>
      </c>
      <c r="C134" s="12" t="s">
        <v>377</v>
      </c>
      <c r="D134" s="12" t="s">
        <v>378</v>
      </c>
      <c r="E134" s="12" t="s">
        <v>33</v>
      </c>
      <c r="F134" s="11"/>
      <c r="G134" s="13" t="s">
        <v>1105</v>
      </c>
      <c r="H134" s="13" t="s">
        <v>1032</v>
      </c>
      <c r="I134" s="21">
        <v>33682</v>
      </c>
      <c r="J134" s="15">
        <v>33</v>
      </c>
      <c r="K134" s="16" t="s">
        <v>1097</v>
      </c>
      <c r="L134" s="16" t="s">
        <v>1108</v>
      </c>
      <c r="M134" s="22" t="s">
        <v>1099</v>
      </c>
      <c r="N134" s="23"/>
      <c r="O134" s="19" t="s">
        <v>1100</v>
      </c>
      <c r="P134" s="19" t="s">
        <v>1100</v>
      </c>
      <c r="Q134" s="13" t="s">
        <v>1100</v>
      </c>
      <c r="R134" s="11"/>
      <c r="S134" s="11" t="s">
        <v>1100</v>
      </c>
      <c r="T134" s="13" t="str">
        <f t="shared" si="1"/>
        <v/>
      </c>
      <c r="U134" s="11" t="s">
        <v>1100</v>
      </c>
      <c r="V134" s="11" t="s">
        <v>1100</v>
      </c>
      <c r="W134" s="11" t="s">
        <v>1100</v>
      </c>
      <c r="X134" s="11" t="s">
        <v>1100</v>
      </c>
      <c r="Y134" s="11" t="s">
        <v>1100</v>
      </c>
      <c r="Z134" s="11" t="s">
        <v>1100</v>
      </c>
      <c r="AA134" s="11" t="s">
        <v>1100</v>
      </c>
      <c r="AB134" s="11" t="s">
        <v>1100</v>
      </c>
      <c r="AC134" s="20" t="s">
        <v>1101</v>
      </c>
    </row>
    <row r="135" spans="2:29" ht="15.75" x14ac:dyDescent="0.25">
      <c r="B135" s="11">
        <v>124</v>
      </c>
      <c r="C135" s="12" t="s">
        <v>90</v>
      </c>
      <c r="D135" s="12" t="s">
        <v>364</v>
      </c>
      <c r="E135" s="12" t="s">
        <v>176</v>
      </c>
      <c r="F135" s="11"/>
      <c r="G135" s="13" t="s">
        <v>1198</v>
      </c>
      <c r="H135" s="13" t="s">
        <v>1032</v>
      </c>
      <c r="I135" s="21">
        <v>23293</v>
      </c>
      <c r="J135" s="15">
        <v>62</v>
      </c>
      <c r="K135" s="16" t="s">
        <v>1103</v>
      </c>
      <c r="L135" s="16" t="s">
        <v>1183</v>
      </c>
      <c r="M135" s="22" t="s">
        <v>1099</v>
      </c>
      <c r="N135" s="23"/>
      <c r="O135" s="19" t="s">
        <v>1100</v>
      </c>
      <c r="P135" s="19" t="s">
        <v>1099</v>
      </c>
      <c r="Q135" s="13" t="s">
        <v>1100</v>
      </c>
      <c r="R135" s="11"/>
      <c r="S135" s="11" t="s">
        <v>1100</v>
      </c>
      <c r="T135" s="13" t="str">
        <f t="shared" si="1"/>
        <v>/</v>
      </c>
      <c r="U135" s="11" t="s">
        <v>1100</v>
      </c>
      <c r="V135" s="11" t="s">
        <v>1100</v>
      </c>
      <c r="W135" s="11" t="s">
        <v>1100</v>
      </c>
      <c r="X135" s="11" t="s">
        <v>1100</v>
      </c>
      <c r="Y135" s="11" t="s">
        <v>1100</v>
      </c>
      <c r="Z135" s="11" t="s">
        <v>1100</v>
      </c>
      <c r="AA135" s="11" t="s">
        <v>1100</v>
      </c>
      <c r="AB135" s="11" t="s">
        <v>1100</v>
      </c>
      <c r="AC135" s="20" t="s">
        <v>1101</v>
      </c>
    </row>
    <row r="136" spans="2:29" ht="15.75" x14ac:dyDescent="0.25">
      <c r="B136" s="11">
        <v>125</v>
      </c>
      <c r="C136" s="12" t="s">
        <v>404</v>
      </c>
      <c r="D136" s="12" t="s">
        <v>405</v>
      </c>
      <c r="E136" s="12" t="s">
        <v>406</v>
      </c>
      <c r="F136" s="11" t="s">
        <v>106</v>
      </c>
      <c r="G136" s="13" t="s">
        <v>1110</v>
      </c>
      <c r="H136" s="13" t="s">
        <v>1033</v>
      </c>
      <c r="I136" s="21">
        <v>33900</v>
      </c>
      <c r="J136" s="15">
        <v>33</v>
      </c>
      <c r="K136" s="16" t="s">
        <v>1097</v>
      </c>
      <c r="L136" s="16" t="s">
        <v>1102</v>
      </c>
      <c r="M136" s="22" t="s">
        <v>1100</v>
      </c>
      <c r="N136" s="23" t="s">
        <v>1099</v>
      </c>
      <c r="O136" s="19" t="s">
        <v>1099</v>
      </c>
      <c r="P136" s="19" t="s">
        <v>1100</v>
      </c>
      <c r="Q136" s="13" t="s">
        <v>1100</v>
      </c>
      <c r="R136" s="11"/>
      <c r="S136" s="11" t="s">
        <v>1100</v>
      </c>
      <c r="T136" s="13" t="str">
        <f t="shared" si="1"/>
        <v/>
      </c>
      <c r="U136" s="11" t="s">
        <v>1100</v>
      </c>
      <c r="V136" s="11" t="s">
        <v>1100</v>
      </c>
      <c r="W136" s="11" t="s">
        <v>1100</v>
      </c>
      <c r="X136" s="11" t="s">
        <v>1100</v>
      </c>
      <c r="Y136" s="11" t="s">
        <v>1100</v>
      </c>
      <c r="Z136" s="11" t="s">
        <v>1100</v>
      </c>
      <c r="AA136" s="11" t="s">
        <v>1100</v>
      </c>
      <c r="AB136" s="11" t="s">
        <v>1100</v>
      </c>
      <c r="AC136" s="20" t="s">
        <v>1101</v>
      </c>
    </row>
    <row r="137" spans="2:29" ht="15.75" x14ac:dyDescent="0.25">
      <c r="B137" s="11">
        <v>126</v>
      </c>
      <c r="C137" s="12" t="s">
        <v>412</v>
      </c>
      <c r="D137" s="12" t="s">
        <v>413</v>
      </c>
      <c r="E137" s="12" t="s">
        <v>410</v>
      </c>
      <c r="F137" s="11"/>
      <c r="G137" s="13" t="s">
        <v>1110</v>
      </c>
      <c r="H137" s="13" t="s">
        <v>1033</v>
      </c>
      <c r="I137" s="21">
        <v>28754</v>
      </c>
      <c r="J137" s="15">
        <v>47</v>
      </c>
      <c r="K137" s="16" t="s">
        <v>1097</v>
      </c>
      <c r="L137" s="16"/>
      <c r="M137" s="22" t="s">
        <v>1100</v>
      </c>
      <c r="N137" s="23" t="s">
        <v>1099</v>
      </c>
      <c r="O137" s="19" t="s">
        <v>1099</v>
      </c>
      <c r="P137" s="19" t="s">
        <v>1100</v>
      </c>
      <c r="Q137" s="13" t="s">
        <v>1100</v>
      </c>
      <c r="R137" s="11"/>
      <c r="S137" s="11" t="s">
        <v>1100</v>
      </c>
      <c r="T137" s="13" t="str">
        <f t="shared" si="1"/>
        <v/>
      </c>
      <c r="U137" s="11" t="s">
        <v>1100</v>
      </c>
      <c r="V137" s="11" t="s">
        <v>1100</v>
      </c>
      <c r="W137" s="11" t="s">
        <v>1100</v>
      </c>
      <c r="X137" s="11" t="s">
        <v>1100</v>
      </c>
      <c r="Y137" s="11" t="s">
        <v>1100</v>
      </c>
      <c r="Z137" s="11" t="s">
        <v>1100</v>
      </c>
      <c r="AA137" s="11" t="s">
        <v>1100</v>
      </c>
      <c r="AB137" s="11" t="s">
        <v>1100</v>
      </c>
      <c r="AC137" s="20" t="s">
        <v>1101</v>
      </c>
    </row>
    <row r="138" spans="2:29" ht="15.75" x14ac:dyDescent="0.25">
      <c r="B138" s="11">
        <v>127</v>
      </c>
      <c r="C138" s="12" t="s">
        <v>407</v>
      </c>
      <c r="D138" s="12" t="s">
        <v>408</v>
      </c>
      <c r="E138" s="12" t="s">
        <v>409</v>
      </c>
      <c r="F138" s="11"/>
      <c r="G138" s="13" t="s">
        <v>1110</v>
      </c>
      <c r="H138" s="13" t="s">
        <v>1033</v>
      </c>
      <c r="I138" s="21">
        <v>31925</v>
      </c>
      <c r="J138" s="15">
        <v>38</v>
      </c>
      <c r="K138" s="16" t="s">
        <v>1103</v>
      </c>
      <c r="L138" s="16" t="s">
        <v>1102</v>
      </c>
      <c r="M138" s="22" t="s">
        <v>1100</v>
      </c>
      <c r="N138" s="23" t="s">
        <v>1099</v>
      </c>
      <c r="O138" s="19" t="s">
        <v>1099</v>
      </c>
      <c r="P138" s="19" t="s">
        <v>1100</v>
      </c>
      <c r="Q138" s="13" t="s">
        <v>1100</v>
      </c>
      <c r="R138" s="11"/>
      <c r="S138" s="11" t="s">
        <v>1100</v>
      </c>
      <c r="T138" s="13" t="str">
        <f t="shared" si="1"/>
        <v/>
      </c>
      <c r="U138" s="11" t="s">
        <v>1100</v>
      </c>
      <c r="V138" s="11" t="s">
        <v>1100</v>
      </c>
      <c r="W138" s="11" t="s">
        <v>1100</v>
      </c>
      <c r="X138" s="11" t="s">
        <v>1100</v>
      </c>
      <c r="Y138" s="11" t="s">
        <v>1100</v>
      </c>
      <c r="Z138" s="11" t="s">
        <v>1100</v>
      </c>
      <c r="AA138" s="11" t="s">
        <v>1100</v>
      </c>
      <c r="AB138" s="11" t="s">
        <v>1100</v>
      </c>
      <c r="AC138" s="20" t="s">
        <v>1101</v>
      </c>
    </row>
    <row r="139" spans="2:29" ht="15.75" x14ac:dyDescent="0.25">
      <c r="B139" s="11">
        <v>128</v>
      </c>
      <c r="C139" s="12" t="s">
        <v>410</v>
      </c>
      <c r="D139" s="12" t="s">
        <v>411</v>
      </c>
      <c r="E139" s="12" t="s">
        <v>211</v>
      </c>
      <c r="F139" s="11"/>
      <c r="G139" s="13" t="s">
        <v>1110</v>
      </c>
      <c r="H139" s="13" t="s">
        <v>1033</v>
      </c>
      <c r="I139" s="21">
        <v>33557</v>
      </c>
      <c r="J139" s="15">
        <v>34</v>
      </c>
      <c r="K139" s="16" t="s">
        <v>1103</v>
      </c>
      <c r="L139" s="16" t="s">
        <v>1108</v>
      </c>
      <c r="M139" s="22" t="s">
        <v>1100</v>
      </c>
      <c r="N139" s="23" t="s">
        <v>1099</v>
      </c>
      <c r="O139" s="19" t="s">
        <v>1099</v>
      </c>
      <c r="P139" s="19" t="s">
        <v>1100</v>
      </c>
      <c r="Q139" s="13" t="s">
        <v>1100</v>
      </c>
      <c r="R139" s="11"/>
      <c r="S139" s="11" t="s">
        <v>1100</v>
      </c>
      <c r="T139" s="13" t="str">
        <f t="shared" si="1"/>
        <v/>
      </c>
      <c r="U139" s="11" t="s">
        <v>1099</v>
      </c>
      <c r="V139" s="11" t="s">
        <v>1100</v>
      </c>
      <c r="W139" s="11" t="s">
        <v>1100</v>
      </c>
      <c r="X139" s="11" t="s">
        <v>1100</v>
      </c>
      <c r="Y139" s="11" t="s">
        <v>1100</v>
      </c>
      <c r="Z139" s="11" t="s">
        <v>1100</v>
      </c>
      <c r="AA139" s="11" t="s">
        <v>1100</v>
      </c>
      <c r="AB139" s="11" t="s">
        <v>1100</v>
      </c>
      <c r="AC139" s="20" t="s">
        <v>1101</v>
      </c>
    </row>
    <row r="140" spans="2:29" ht="15.75" x14ac:dyDescent="0.25">
      <c r="B140" s="11">
        <v>129</v>
      </c>
      <c r="C140" s="12" t="s">
        <v>989</v>
      </c>
      <c r="D140" s="12" t="s">
        <v>69</v>
      </c>
      <c r="E140" s="12"/>
      <c r="F140" s="11"/>
      <c r="G140" s="13" t="s">
        <v>1255</v>
      </c>
      <c r="H140" s="13" t="s">
        <v>1044</v>
      </c>
      <c r="I140" s="21">
        <v>32949</v>
      </c>
      <c r="J140" s="15">
        <v>35</v>
      </c>
      <c r="K140" s="16" t="s">
        <v>1103</v>
      </c>
      <c r="L140" s="16" t="s">
        <v>1098</v>
      </c>
      <c r="M140" s="22" t="s">
        <v>1099</v>
      </c>
      <c r="N140" s="23"/>
      <c r="O140" s="19" t="s">
        <v>1100</v>
      </c>
      <c r="P140" s="19" t="s">
        <v>1100</v>
      </c>
      <c r="Q140" s="13" t="s">
        <v>1100</v>
      </c>
      <c r="R140" s="11"/>
      <c r="S140" s="11" t="s">
        <v>1100</v>
      </c>
      <c r="T140" s="13" t="str">
        <f t="shared" ref="T140:T203" si="2">IF(J140&gt;59,"/","")</f>
        <v/>
      </c>
      <c r="U140" s="11" t="s">
        <v>1100</v>
      </c>
      <c r="V140" s="11" t="s">
        <v>1100</v>
      </c>
      <c r="W140" s="11" t="s">
        <v>1100</v>
      </c>
      <c r="X140" s="11" t="s">
        <v>1100</v>
      </c>
      <c r="Y140" s="11" t="s">
        <v>1100</v>
      </c>
      <c r="Z140" s="11" t="s">
        <v>1100</v>
      </c>
      <c r="AA140" s="11" t="s">
        <v>1100</v>
      </c>
      <c r="AB140" s="11" t="s">
        <v>1100</v>
      </c>
      <c r="AC140" s="20" t="s">
        <v>1101</v>
      </c>
    </row>
    <row r="141" spans="2:29" ht="15.75" x14ac:dyDescent="0.25">
      <c r="B141" s="11">
        <v>130</v>
      </c>
      <c r="C141" s="12" t="s">
        <v>962</v>
      </c>
      <c r="D141" s="12" t="s">
        <v>963</v>
      </c>
      <c r="E141" s="12" t="s">
        <v>964</v>
      </c>
      <c r="F141" s="11"/>
      <c r="G141" s="13" t="s">
        <v>1039</v>
      </c>
      <c r="H141" s="13" t="s">
        <v>1044</v>
      </c>
      <c r="I141" s="21">
        <v>31527</v>
      </c>
      <c r="J141" s="15">
        <v>39</v>
      </c>
      <c r="K141" s="16" t="s">
        <v>1103</v>
      </c>
      <c r="L141" s="16" t="s">
        <v>1102</v>
      </c>
      <c r="M141" s="22" t="s">
        <v>1099</v>
      </c>
      <c r="N141" s="23"/>
      <c r="O141" s="19" t="s">
        <v>1099</v>
      </c>
      <c r="P141" s="19" t="s">
        <v>1100</v>
      </c>
      <c r="Q141" s="13" t="s">
        <v>1100</v>
      </c>
      <c r="R141" s="11"/>
      <c r="S141" s="11" t="s">
        <v>1100</v>
      </c>
      <c r="T141" s="13" t="str">
        <f t="shared" si="2"/>
        <v/>
      </c>
      <c r="U141" s="11" t="s">
        <v>1100</v>
      </c>
      <c r="V141" s="11" t="s">
        <v>1100</v>
      </c>
      <c r="W141" s="11" t="s">
        <v>1100</v>
      </c>
      <c r="X141" s="11" t="s">
        <v>1100</v>
      </c>
      <c r="Y141" s="11" t="s">
        <v>1100</v>
      </c>
      <c r="Z141" s="11" t="s">
        <v>1100</v>
      </c>
      <c r="AA141" s="11" t="s">
        <v>1100</v>
      </c>
      <c r="AB141" s="11" t="s">
        <v>1100</v>
      </c>
      <c r="AC141" s="20" t="s">
        <v>1101</v>
      </c>
    </row>
    <row r="142" spans="2:29" ht="15.75" x14ac:dyDescent="0.25">
      <c r="B142" s="11">
        <v>131</v>
      </c>
      <c r="C142" s="12" t="s">
        <v>977</v>
      </c>
      <c r="D142" s="12" t="s">
        <v>978</v>
      </c>
      <c r="E142" s="12" t="s">
        <v>816</v>
      </c>
      <c r="F142" s="11"/>
      <c r="G142" s="13" t="s">
        <v>1251</v>
      </c>
      <c r="H142" s="13" t="s">
        <v>1044</v>
      </c>
      <c r="I142" s="21">
        <v>31219</v>
      </c>
      <c r="J142" s="15">
        <v>40</v>
      </c>
      <c r="K142" s="16" t="s">
        <v>1103</v>
      </c>
      <c r="L142" s="16" t="s">
        <v>1102</v>
      </c>
      <c r="M142" s="22" t="s">
        <v>1099</v>
      </c>
      <c r="N142" s="23"/>
      <c r="O142" s="19" t="s">
        <v>1100</v>
      </c>
      <c r="P142" s="19" t="s">
        <v>1100</v>
      </c>
      <c r="Q142" s="13" t="s">
        <v>1100</v>
      </c>
      <c r="R142" s="11" t="s">
        <v>1099</v>
      </c>
      <c r="S142" s="11" t="s">
        <v>1100</v>
      </c>
      <c r="T142" s="13" t="str">
        <f t="shared" si="2"/>
        <v/>
      </c>
      <c r="U142" s="11" t="s">
        <v>1100</v>
      </c>
      <c r="V142" s="11" t="s">
        <v>1100</v>
      </c>
      <c r="W142" s="11" t="s">
        <v>1100</v>
      </c>
      <c r="X142" s="11" t="s">
        <v>1100</v>
      </c>
      <c r="Y142" s="11" t="s">
        <v>1100</v>
      </c>
      <c r="Z142" s="11" t="s">
        <v>1100</v>
      </c>
      <c r="AA142" s="11" t="s">
        <v>1100</v>
      </c>
      <c r="AB142" s="11" t="s">
        <v>1100</v>
      </c>
      <c r="AC142" s="20" t="s">
        <v>1101</v>
      </c>
    </row>
    <row r="143" spans="2:29" ht="15.75" x14ac:dyDescent="0.25">
      <c r="B143" s="11">
        <v>132</v>
      </c>
      <c r="C143" s="12" t="s">
        <v>988</v>
      </c>
      <c r="D143" s="12" t="s">
        <v>36</v>
      </c>
      <c r="E143" s="12"/>
      <c r="F143" s="11"/>
      <c r="G143" s="13" t="s">
        <v>1254</v>
      </c>
      <c r="H143" s="13" t="s">
        <v>1044</v>
      </c>
      <c r="I143" s="21">
        <v>27739</v>
      </c>
      <c r="J143" s="15">
        <v>50</v>
      </c>
      <c r="K143" s="16" t="s">
        <v>1097</v>
      </c>
      <c r="L143" s="16" t="s">
        <v>1098</v>
      </c>
      <c r="M143" s="22" t="s">
        <v>1099</v>
      </c>
      <c r="N143" s="23"/>
      <c r="O143" s="19" t="s">
        <v>1100</v>
      </c>
      <c r="P143" s="19" t="s">
        <v>1100</v>
      </c>
      <c r="Q143" s="13" t="s">
        <v>1099</v>
      </c>
      <c r="R143" s="11"/>
      <c r="S143" s="11" t="s">
        <v>1100</v>
      </c>
      <c r="T143" s="13" t="str">
        <f t="shared" si="2"/>
        <v/>
      </c>
      <c r="U143" s="11" t="s">
        <v>1100</v>
      </c>
      <c r="V143" s="11" t="s">
        <v>1100</v>
      </c>
      <c r="W143" s="11" t="s">
        <v>1100</v>
      </c>
      <c r="X143" s="11" t="s">
        <v>1100</v>
      </c>
      <c r="Y143" s="11" t="s">
        <v>1100</v>
      </c>
      <c r="Z143" s="11" t="s">
        <v>1100</v>
      </c>
      <c r="AA143" s="11" t="s">
        <v>1100</v>
      </c>
      <c r="AB143" s="11" t="s">
        <v>1100</v>
      </c>
      <c r="AC143" s="20" t="s">
        <v>1101</v>
      </c>
    </row>
    <row r="144" spans="2:29" ht="15.75" x14ac:dyDescent="0.25">
      <c r="B144" s="11">
        <v>133</v>
      </c>
      <c r="C144" s="12" t="s">
        <v>975</v>
      </c>
      <c r="D144" s="12" t="s">
        <v>976</v>
      </c>
      <c r="E144" s="12" t="s">
        <v>105</v>
      </c>
      <c r="F144" s="11"/>
      <c r="G144" s="13" t="s">
        <v>1250</v>
      </c>
      <c r="H144" s="13" t="s">
        <v>1044</v>
      </c>
      <c r="I144" s="21">
        <v>20120</v>
      </c>
      <c r="J144" s="15">
        <v>71</v>
      </c>
      <c r="K144" s="16" t="s">
        <v>1103</v>
      </c>
      <c r="L144" s="16" t="s">
        <v>1104</v>
      </c>
      <c r="M144" s="22" t="s">
        <v>1099</v>
      </c>
      <c r="N144" s="23"/>
      <c r="O144" s="19" t="s">
        <v>1100</v>
      </c>
      <c r="P144" s="19" t="s">
        <v>1100</v>
      </c>
      <c r="Q144" s="13" t="s">
        <v>1100</v>
      </c>
      <c r="R144" s="11"/>
      <c r="S144" s="11" t="s">
        <v>1100</v>
      </c>
      <c r="T144" s="13" t="str">
        <f t="shared" si="2"/>
        <v>/</v>
      </c>
      <c r="U144" s="11" t="s">
        <v>1100</v>
      </c>
      <c r="V144" s="11" t="s">
        <v>1100</v>
      </c>
      <c r="W144" s="11" t="s">
        <v>1100</v>
      </c>
      <c r="X144" s="11" t="s">
        <v>1100</v>
      </c>
      <c r="Y144" s="11" t="s">
        <v>1100</v>
      </c>
      <c r="Z144" s="11" t="s">
        <v>1100</v>
      </c>
      <c r="AA144" s="11" t="s">
        <v>1100</v>
      </c>
      <c r="AB144" s="11" t="s">
        <v>1100</v>
      </c>
      <c r="AC144" s="20" t="s">
        <v>1101</v>
      </c>
    </row>
    <row r="145" spans="2:29" ht="15.75" x14ac:dyDescent="0.25">
      <c r="B145" s="11">
        <v>134</v>
      </c>
      <c r="C145" s="12" t="s">
        <v>979</v>
      </c>
      <c r="D145" s="12" t="s">
        <v>162</v>
      </c>
      <c r="E145" s="12" t="s">
        <v>960</v>
      </c>
      <c r="F145" s="11"/>
      <c r="G145" s="13" t="s">
        <v>1252</v>
      </c>
      <c r="H145" s="13" t="s">
        <v>1044</v>
      </c>
      <c r="I145" s="21">
        <v>34399</v>
      </c>
      <c r="J145" s="15">
        <v>31</v>
      </c>
      <c r="K145" s="16" t="s">
        <v>1103</v>
      </c>
      <c r="L145" s="16" t="s">
        <v>1098</v>
      </c>
      <c r="M145" s="22" t="s">
        <v>1099</v>
      </c>
      <c r="N145" s="23"/>
      <c r="O145" s="19" t="s">
        <v>1100</v>
      </c>
      <c r="P145" s="19" t="s">
        <v>1100</v>
      </c>
      <c r="Q145" s="13" t="s">
        <v>1100</v>
      </c>
      <c r="R145" s="11" t="s">
        <v>1099</v>
      </c>
      <c r="S145" s="11" t="s">
        <v>1100</v>
      </c>
      <c r="T145" s="13" t="str">
        <f t="shared" si="2"/>
        <v/>
      </c>
      <c r="U145" s="11" t="s">
        <v>1100</v>
      </c>
      <c r="V145" s="11" t="s">
        <v>1100</v>
      </c>
      <c r="W145" s="11" t="s">
        <v>1100</v>
      </c>
      <c r="X145" s="11" t="s">
        <v>1100</v>
      </c>
      <c r="Y145" s="11" t="s">
        <v>1100</v>
      </c>
      <c r="Z145" s="11" t="s">
        <v>1100</v>
      </c>
      <c r="AA145" s="11" t="s">
        <v>1100</v>
      </c>
      <c r="AB145" s="11" t="s">
        <v>1100</v>
      </c>
      <c r="AC145" s="20" t="s">
        <v>1101</v>
      </c>
    </row>
    <row r="146" spans="2:29" ht="15.75" x14ac:dyDescent="0.25">
      <c r="B146" s="11">
        <v>135</v>
      </c>
      <c r="C146" s="12" t="s">
        <v>994</v>
      </c>
      <c r="D146" s="12" t="s">
        <v>995</v>
      </c>
      <c r="E146" s="12" t="s">
        <v>129</v>
      </c>
      <c r="F146" s="11"/>
      <c r="G146" s="13" t="s">
        <v>1256</v>
      </c>
      <c r="H146" s="13" t="s">
        <v>1044</v>
      </c>
      <c r="I146" s="21">
        <v>22839</v>
      </c>
      <c r="J146" s="15">
        <v>63</v>
      </c>
      <c r="K146" s="16" t="s">
        <v>1097</v>
      </c>
      <c r="L146" s="16" t="s">
        <v>1098</v>
      </c>
      <c r="M146" s="22" t="s">
        <v>1099</v>
      </c>
      <c r="N146" s="23"/>
      <c r="O146" s="19" t="s">
        <v>1100</v>
      </c>
      <c r="P146" s="19" t="s">
        <v>1100</v>
      </c>
      <c r="Q146" s="13" t="s">
        <v>1100</v>
      </c>
      <c r="R146" s="11"/>
      <c r="S146" s="11" t="s">
        <v>1100</v>
      </c>
      <c r="T146" s="13" t="str">
        <f t="shared" si="2"/>
        <v>/</v>
      </c>
      <c r="U146" s="11" t="s">
        <v>1100</v>
      </c>
      <c r="V146" s="11" t="s">
        <v>1100</v>
      </c>
      <c r="W146" s="11" t="s">
        <v>1100</v>
      </c>
      <c r="X146" s="11" t="s">
        <v>1100</v>
      </c>
      <c r="Y146" s="11" t="s">
        <v>1100</v>
      </c>
      <c r="Z146" s="11" t="s">
        <v>1100</v>
      </c>
      <c r="AA146" s="11" t="s">
        <v>1100</v>
      </c>
      <c r="AB146" s="11" t="s">
        <v>1100</v>
      </c>
      <c r="AC146" s="20" t="s">
        <v>1101</v>
      </c>
    </row>
    <row r="147" spans="2:29" ht="15.75" x14ac:dyDescent="0.25">
      <c r="B147" s="11">
        <v>136</v>
      </c>
      <c r="C147" s="12" t="s">
        <v>786</v>
      </c>
      <c r="D147" s="12" t="s">
        <v>980</v>
      </c>
      <c r="E147" s="12" t="s">
        <v>525</v>
      </c>
      <c r="F147" s="11"/>
      <c r="G147" s="13" t="s">
        <v>1248</v>
      </c>
      <c r="H147" s="13" t="s">
        <v>1044</v>
      </c>
      <c r="I147" s="21">
        <v>23470</v>
      </c>
      <c r="J147" s="15">
        <v>61</v>
      </c>
      <c r="K147" s="16" t="s">
        <v>1103</v>
      </c>
      <c r="L147" s="16" t="s">
        <v>1104</v>
      </c>
      <c r="M147" s="22" t="s">
        <v>1099</v>
      </c>
      <c r="N147" s="23"/>
      <c r="O147" s="19" t="s">
        <v>1100</v>
      </c>
      <c r="P147" s="19" t="s">
        <v>1100</v>
      </c>
      <c r="Q147" s="13" t="s">
        <v>1100</v>
      </c>
      <c r="R147" s="11"/>
      <c r="S147" s="11" t="s">
        <v>1100</v>
      </c>
      <c r="T147" s="13" t="str">
        <f t="shared" si="2"/>
        <v>/</v>
      </c>
      <c r="U147" s="11" t="s">
        <v>1100</v>
      </c>
      <c r="V147" s="11" t="s">
        <v>1100</v>
      </c>
      <c r="W147" s="11" t="s">
        <v>1100</v>
      </c>
      <c r="X147" s="11" t="s">
        <v>1100</v>
      </c>
      <c r="Y147" s="11" t="s">
        <v>1100</v>
      </c>
      <c r="Z147" s="11" t="s">
        <v>1100</v>
      </c>
      <c r="AA147" s="11" t="s">
        <v>1100</v>
      </c>
      <c r="AB147" s="11" t="s">
        <v>1100</v>
      </c>
      <c r="AC147" s="20" t="s">
        <v>1101</v>
      </c>
    </row>
    <row r="148" spans="2:29" ht="15.75" x14ac:dyDescent="0.25">
      <c r="B148" s="11">
        <v>137</v>
      </c>
      <c r="C148" s="12" t="s">
        <v>786</v>
      </c>
      <c r="D148" s="12" t="s">
        <v>984</v>
      </c>
      <c r="E148" s="12" t="s">
        <v>985</v>
      </c>
      <c r="F148" s="11"/>
      <c r="G148" s="13" t="s">
        <v>1248</v>
      </c>
      <c r="H148" s="13" t="s">
        <v>1044</v>
      </c>
      <c r="I148" s="21">
        <v>32791</v>
      </c>
      <c r="J148" s="15">
        <v>36</v>
      </c>
      <c r="K148" s="16" t="s">
        <v>1103</v>
      </c>
      <c r="L148" s="16" t="s">
        <v>1102</v>
      </c>
      <c r="M148" s="22" t="s">
        <v>1099</v>
      </c>
      <c r="N148" s="23"/>
      <c r="O148" s="19" t="s">
        <v>1099</v>
      </c>
      <c r="P148" s="19" t="s">
        <v>1100</v>
      </c>
      <c r="Q148" s="13" t="s">
        <v>1100</v>
      </c>
      <c r="R148" s="11"/>
      <c r="S148" s="11" t="s">
        <v>1100</v>
      </c>
      <c r="T148" s="13" t="str">
        <f t="shared" si="2"/>
        <v/>
      </c>
      <c r="U148" s="11" t="s">
        <v>1100</v>
      </c>
      <c r="V148" s="11" t="s">
        <v>1100</v>
      </c>
      <c r="W148" s="11" t="s">
        <v>1100</v>
      </c>
      <c r="X148" s="11" t="s">
        <v>1100</v>
      </c>
      <c r="Y148" s="11" t="s">
        <v>1100</v>
      </c>
      <c r="Z148" s="11" t="s">
        <v>1100</v>
      </c>
      <c r="AA148" s="11" t="s">
        <v>1100</v>
      </c>
      <c r="AB148" s="11" t="s">
        <v>1100</v>
      </c>
      <c r="AC148" s="20" t="s">
        <v>1101</v>
      </c>
    </row>
    <row r="149" spans="2:29" ht="15.75" x14ac:dyDescent="0.25">
      <c r="B149" s="11">
        <v>138</v>
      </c>
      <c r="C149" s="12" t="s">
        <v>78</v>
      </c>
      <c r="D149" s="12" t="s">
        <v>991</v>
      </c>
      <c r="E149" s="12" t="s">
        <v>992</v>
      </c>
      <c r="F149" s="11"/>
      <c r="G149" s="13" t="s">
        <v>1250</v>
      </c>
      <c r="H149" s="13" t="s">
        <v>1044</v>
      </c>
      <c r="I149" s="21">
        <v>17735</v>
      </c>
      <c r="J149" s="15">
        <v>77</v>
      </c>
      <c r="K149" s="16" t="s">
        <v>1103</v>
      </c>
      <c r="L149" s="16" t="s">
        <v>1104</v>
      </c>
      <c r="M149" s="22" t="s">
        <v>1099</v>
      </c>
      <c r="N149" s="23"/>
      <c r="O149" s="19" t="s">
        <v>1100</v>
      </c>
      <c r="P149" s="19" t="s">
        <v>1100</v>
      </c>
      <c r="Q149" s="13" t="s">
        <v>1100</v>
      </c>
      <c r="R149" s="11"/>
      <c r="S149" s="11" t="s">
        <v>1100</v>
      </c>
      <c r="T149" s="13" t="str">
        <f t="shared" si="2"/>
        <v>/</v>
      </c>
      <c r="U149" s="11" t="s">
        <v>1100</v>
      </c>
      <c r="V149" s="11" t="s">
        <v>1100</v>
      </c>
      <c r="W149" s="11" t="s">
        <v>1100</v>
      </c>
      <c r="X149" s="11" t="s">
        <v>1100</v>
      </c>
      <c r="Y149" s="11" t="s">
        <v>1100</v>
      </c>
      <c r="Z149" s="11" t="s">
        <v>1100</v>
      </c>
      <c r="AA149" s="11" t="s">
        <v>1100</v>
      </c>
      <c r="AB149" s="11" t="s">
        <v>1100</v>
      </c>
      <c r="AC149" s="20" t="s">
        <v>1101</v>
      </c>
    </row>
    <row r="150" spans="2:29" ht="15.75" x14ac:dyDescent="0.25">
      <c r="B150" s="11">
        <v>139</v>
      </c>
      <c r="C150" s="12" t="s">
        <v>78</v>
      </c>
      <c r="D150" s="12" t="s">
        <v>981</v>
      </c>
      <c r="E150" s="12" t="s">
        <v>982</v>
      </c>
      <c r="F150" s="11"/>
      <c r="G150" s="13" t="s">
        <v>1253</v>
      </c>
      <c r="H150" s="13" t="s">
        <v>1044</v>
      </c>
      <c r="I150" s="21">
        <v>34235</v>
      </c>
      <c r="J150" s="15">
        <v>32</v>
      </c>
      <c r="K150" s="16" t="s">
        <v>1097</v>
      </c>
      <c r="L150" s="16" t="s">
        <v>1098</v>
      </c>
      <c r="M150" s="22" t="s">
        <v>1099</v>
      </c>
      <c r="N150" s="23"/>
      <c r="O150" s="19" t="s">
        <v>1100</v>
      </c>
      <c r="P150" s="19" t="s">
        <v>1100</v>
      </c>
      <c r="Q150" s="13" t="s">
        <v>1099</v>
      </c>
      <c r="R150" s="11"/>
      <c r="S150" s="11" t="s">
        <v>1100</v>
      </c>
      <c r="T150" s="13" t="str">
        <f t="shared" si="2"/>
        <v/>
      </c>
      <c r="U150" s="11" t="s">
        <v>1100</v>
      </c>
      <c r="V150" s="11" t="s">
        <v>1100</v>
      </c>
      <c r="W150" s="11" t="s">
        <v>1100</v>
      </c>
      <c r="X150" s="11" t="s">
        <v>1100</v>
      </c>
      <c r="Y150" s="11" t="s">
        <v>1100</v>
      </c>
      <c r="Z150" s="11" t="s">
        <v>1100</v>
      </c>
      <c r="AA150" s="11" t="s">
        <v>1100</v>
      </c>
      <c r="AB150" s="11" t="s">
        <v>1100</v>
      </c>
      <c r="AC150" s="20" t="s">
        <v>1101</v>
      </c>
    </row>
    <row r="151" spans="2:29" ht="15.75" x14ac:dyDescent="0.25">
      <c r="B151" s="11">
        <v>140</v>
      </c>
      <c r="C151" s="12" t="s">
        <v>78</v>
      </c>
      <c r="D151" s="12" t="s">
        <v>986</v>
      </c>
      <c r="E151" s="12" t="s">
        <v>987</v>
      </c>
      <c r="F151" s="11"/>
      <c r="G151" s="13" t="s">
        <v>1254</v>
      </c>
      <c r="H151" s="13" t="s">
        <v>1044</v>
      </c>
      <c r="I151" s="21">
        <v>33097</v>
      </c>
      <c r="J151" s="15">
        <v>35</v>
      </c>
      <c r="K151" s="16" t="s">
        <v>1097</v>
      </c>
      <c r="L151" s="16" t="s">
        <v>1102</v>
      </c>
      <c r="M151" s="22" t="s">
        <v>1099</v>
      </c>
      <c r="N151" s="23"/>
      <c r="O151" s="19" t="s">
        <v>1100</v>
      </c>
      <c r="P151" s="19" t="s">
        <v>1100</v>
      </c>
      <c r="Q151" s="13" t="s">
        <v>1099</v>
      </c>
      <c r="R151" s="11"/>
      <c r="S151" s="11" t="s">
        <v>1100</v>
      </c>
      <c r="T151" s="13" t="str">
        <f t="shared" si="2"/>
        <v/>
      </c>
      <c r="U151" s="11" t="s">
        <v>1100</v>
      </c>
      <c r="V151" s="11" t="s">
        <v>1100</v>
      </c>
      <c r="W151" s="11" t="s">
        <v>1100</v>
      </c>
      <c r="X151" s="11" t="s">
        <v>1100</v>
      </c>
      <c r="Y151" s="11" t="s">
        <v>1100</v>
      </c>
      <c r="Z151" s="11" t="s">
        <v>1100</v>
      </c>
      <c r="AA151" s="11" t="s">
        <v>1100</v>
      </c>
      <c r="AB151" s="11" t="s">
        <v>1100</v>
      </c>
      <c r="AC151" s="20" t="s">
        <v>1101</v>
      </c>
    </row>
    <row r="152" spans="2:29" ht="15.75" x14ac:dyDescent="0.25">
      <c r="B152" s="11">
        <v>141</v>
      </c>
      <c r="C152" s="12" t="s">
        <v>100</v>
      </c>
      <c r="D152" s="12" t="s">
        <v>156</v>
      </c>
      <c r="E152" s="12" t="s">
        <v>990</v>
      </c>
      <c r="F152" s="11"/>
      <c r="G152" s="13" t="s">
        <v>1249</v>
      </c>
      <c r="H152" s="13" t="s">
        <v>1044</v>
      </c>
      <c r="I152" s="21">
        <v>30579</v>
      </c>
      <c r="J152" s="15">
        <v>42</v>
      </c>
      <c r="K152" s="16" t="s">
        <v>1097</v>
      </c>
      <c r="L152" s="16" t="s">
        <v>1102</v>
      </c>
      <c r="M152" s="22" t="s">
        <v>1099</v>
      </c>
      <c r="N152" s="23"/>
      <c r="O152" s="19" t="s">
        <v>1100</v>
      </c>
      <c r="P152" s="19" t="s">
        <v>1100</v>
      </c>
      <c r="Q152" s="13" t="s">
        <v>1100</v>
      </c>
      <c r="R152" s="11" t="s">
        <v>1099</v>
      </c>
      <c r="S152" s="11" t="s">
        <v>1100</v>
      </c>
      <c r="T152" s="13" t="str">
        <f t="shared" si="2"/>
        <v/>
      </c>
      <c r="U152" s="11" t="s">
        <v>1100</v>
      </c>
      <c r="V152" s="11" t="s">
        <v>1100</v>
      </c>
      <c r="W152" s="11" t="s">
        <v>1100</v>
      </c>
      <c r="X152" s="11" t="s">
        <v>1100</v>
      </c>
      <c r="Y152" s="11" t="s">
        <v>1100</v>
      </c>
      <c r="Z152" s="11" t="s">
        <v>1100</v>
      </c>
      <c r="AA152" s="11" t="s">
        <v>1100</v>
      </c>
      <c r="AB152" s="11" t="s">
        <v>1100</v>
      </c>
      <c r="AC152" s="20" t="s">
        <v>1101</v>
      </c>
    </row>
    <row r="153" spans="2:29" ht="15.75" x14ac:dyDescent="0.25">
      <c r="B153" s="11">
        <v>142</v>
      </c>
      <c r="C153" s="12" t="s">
        <v>38</v>
      </c>
      <c r="D153" s="12" t="s">
        <v>68</v>
      </c>
      <c r="E153" s="12" t="s">
        <v>983</v>
      </c>
      <c r="F153" s="11"/>
      <c r="G153" s="13" t="s">
        <v>1044</v>
      </c>
      <c r="H153" s="13" t="s">
        <v>1044</v>
      </c>
      <c r="I153" s="21">
        <v>22318</v>
      </c>
      <c r="J153" s="15">
        <v>65</v>
      </c>
      <c r="K153" s="16" t="s">
        <v>1097</v>
      </c>
      <c r="L153" s="16" t="s">
        <v>1102</v>
      </c>
      <c r="M153" s="22" t="s">
        <v>1099</v>
      </c>
      <c r="N153" s="23"/>
      <c r="O153" s="19" t="s">
        <v>1100</v>
      </c>
      <c r="P153" s="19" t="s">
        <v>1100</v>
      </c>
      <c r="Q153" s="13" t="s">
        <v>1100</v>
      </c>
      <c r="R153" s="11"/>
      <c r="S153" s="11" t="s">
        <v>1100</v>
      </c>
      <c r="T153" s="13" t="str">
        <f t="shared" si="2"/>
        <v>/</v>
      </c>
      <c r="U153" s="11" t="s">
        <v>1100</v>
      </c>
      <c r="V153" s="11" t="s">
        <v>1100</v>
      </c>
      <c r="W153" s="11" t="s">
        <v>1100</v>
      </c>
      <c r="X153" s="11" t="s">
        <v>1100</v>
      </c>
      <c r="Y153" s="11" t="s">
        <v>1100</v>
      </c>
      <c r="Z153" s="11" t="s">
        <v>1100</v>
      </c>
      <c r="AA153" s="11" t="s">
        <v>1100</v>
      </c>
      <c r="AB153" s="11" t="s">
        <v>1100</v>
      </c>
      <c r="AC153" s="20" t="s">
        <v>1101</v>
      </c>
    </row>
    <row r="154" spans="2:29" ht="15.75" x14ac:dyDescent="0.25">
      <c r="B154" s="11">
        <v>143</v>
      </c>
      <c r="C154" s="12" t="s">
        <v>969</v>
      </c>
      <c r="D154" s="12" t="s">
        <v>970</v>
      </c>
      <c r="E154" s="12" t="s">
        <v>971</v>
      </c>
      <c r="F154" s="11"/>
      <c r="G154" s="13" t="s">
        <v>1248</v>
      </c>
      <c r="H154" s="13" t="s">
        <v>1044</v>
      </c>
      <c r="I154" s="21">
        <v>24743</v>
      </c>
      <c r="J154" s="15">
        <v>58</v>
      </c>
      <c r="K154" s="16" t="s">
        <v>1097</v>
      </c>
      <c r="L154" s="16" t="s">
        <v>1102</v>
      </c>
      <c r="M154" s="22" t="s">
        <v>1099</v>
      </c>
      <c r="N154" s="23"/>
      <c r="O154" s="19" t="s">
        <v>1100</v>
      </c>
      <c r="P154" s="19" t="s">
        <v>1100</v>
      </c>
      <c r="Q154" s="13" t="s">
        <v>1100</v>
      </c>
      <c r="R154" s="11" t="s">
        <v>1099</v>
      </c>
      <c r="S154" s="11" t="s">
        <v>1100</v>
      </c>
      <c r="T154" s="13" t="str">
        <f t="shared" si="2"/>
        <v/>
      </c>
      <c r="U154" s="11" t="s">
        <v>1100</v>
      </c>
      <c r="V154" s="11" t="s">
        <v>1100</v>
      </c>
      <c r="W154" s="11" t="s">
        <v>1100</v>
      </c>
      <c r="X154" s="11" t="s">
        <v>1100</v>
      </c>
      <c r="Y154" s="11" t="s">
        <v>1100</v>
      </c>
      <c r="Z154" s="11" t="s">
        <v>1100</v>
      </c>
      <c r="AA154" s="11" t="s">
        <v>1100</v>
      </c>
      <c r="AB154" s="11" t="s">
        <v>1100</v>
      </c>
      <c r="AC154" s="20" t="s">
        <v>1101</v>
      </c>
    </row>
    <row r="155" spans="2:29" ht="15.75" x14ac:dyDescent="0.25">
      <c r="B155" s="11">
        <v>144</v>
      </c>
      <c r="C155" s="12" t="s">
        <v>972</v>
      </c>
      <c r="D155" s="12" t="s">
        <v>973</v>
      </c>
      <c r="E155" s="12" t="s">
        <v>974</v>
      </c>
      <c r="F155" s="11"/>
      <c r="G155" s="13" t="s">
        <v>1249</v>
      </c>
      <c r="H155" s="13" t="s">
        <v>1044</v>
      </c>
      <c r="I155" s="21">
        <v>32507</v>
      </c>
      <c r="J155" s="15">
        <v>37</v>
      </c>
      <c r="K155" s="16" t="s">
        <v>1097</v>
      </c>
      <c r="L155" s="16" t="s">
        <v>1098</v>
      </c>
      <c r="M155" s="22" t="s">
        <v>1099</v>
      </c>
      <c r="N155" s="23"/>
      <c r="O155" s="19" t="s">
        <v>1100</v>
      </c>
      <c r="P155" s="19" t="s">
        <v>1100</v>
      </c>
      <c r="Q155" s="13" t="s">
        <v>1100</v>
      </c>
      <c r="R155" s="11" t="s">
        <v>1099</v>
      </c>
      <c r="S155" s="11" t="s">
        <v>1100</v>
      </c>
      <c r="T155" s="13" t="str">
        <f t="shared" si="2"/>
        <v/>
      </c>
      <c r="U155" s="11" t="s">
        <v>1100</v>
      </c>
      <c r="V155" s="11" t="s">
        <v>1100</v>
      </c>
      <c r="W155" s="11" t="s">
        <v>1100</v>
      </c>
      <c r="X155" s="11" t="s">
        <v>1100</v>
      </c>
      <c r="Y155" s="11" t="s">
        <v>1100</v>
      </c>
      <c r="Z155" s="11" t="s">
        <v>1100</v>
      </c>
      <c r="AA155" s="11" t="s">
        <v>1100</v>
      </c>
      <c r="AB155" s="11" t="s">
        <v>1100</v>
      </c>
      <c r="AC155" s="20" t="s">
        <v>1101</v>
      </c>
    </row>
    <row r="156" spans="2:29" ht="15.75" x14ac:dyDescent="0.25">
      <c r="B156" s="11">
        <v>145</v>
      </c>
      <c r="C156" s="12" t="s">
        <v>861</v>
      </c>
      <c r="D156" s="12" t="s">
        <v>732</v>
      </c>
      <c r="E156" s="12" t="s">
        <v>967</v>
      </c>
      <c r="F156" s="11"/>
      <c r="G156" s="13" t="s">
        <v>1039</v>
      </c>
      <c r="H156" s="13" t="s">
        <v>1044</v>
      </c>
      <c r="I156" s="21">
        <v>28850</v>
      </c>
      <c r="J156" s="15">
        <v>47</v>
      </c>
      <c r="K156" s="16" t="s">
        <v>1103</v>
      </c>
      <c r="L156" s="16" t="s">
        <v>1102</v>
      </c>
      <c r="M156" s="22" t="s">
        <v>1099</v>
      </c>
      <c r="N156" s="23"/>
      <c r="O156" s="19" t="s">
        <v>1100</v>
      </c>
      <c r="P156" s="19" t="s">
        <v>1100</v>
      </c>
      <c r="Q156" s="13" t="s">
        <v>1100</v>
      </c>
      <c r="R156" s="11"/>
      <c r="S156" s="11" t="s">
        <v>1100</v>
      </c>
      <c r="T156" s="13" t="str">
        <f t="shared" si="2"/>
        <v/>
      </c>
      <c r="U156" s="11" t="s">
        <v>1100</v>
      </c>
      <c r="V156" s="11" t="s">
        <v>1100</v>
      </c>
      <c r="W156" s="11" t="s">
        <v>1100</v>
      </c>
      <c r="X156" s="11" t="s">
        <v>1100</v>
      </c>
      <c r="Y156" s="11" t="s">
        <v>1100</v>
      </c>
      <c r="Z156" s="11" t="s">
        <v>1100</v>
      </c>
      <c r="AA156" s="11" t="s">
        <v>1100</v>
      </c>
      <c r="AB156" s="11" t="s">
        <v>1100</v>
      </c>
      <c r="AC156" s="20" t="s">
        <v>1101</v>
      </c>
    </row>
    <row r="157" spans="2:29" ht="15.75" x14ac:dyDescent="0.25">
      <c r="B157" s="11">
        <v>146</v>
      </c>
      <c r="C157" s="12" t="s">
        <v>414</v>
      </c>
      <c r="D157" s="12" t="s">
        <v>415</v>
      </c>
      <c r="E157" s="12" t="s">
        <v>78</v>
      </c>
      <c r="F157" s="11"/>
      <c r="G157" s="13" t="s">
        <v>1115</v>
      </c>
      <c r="H157" s="13" t="s">
        <v>1034</v>
      </c>
      <c r="I157" s="21">
        <v>29184</v>
      </c>
      <c r="J157" s="15">
        <v>46</v>
      </c>
      <c r="K157" s="16" t="s">
        <v>1103</v>
      </c>
      <c r="L157" s="16" t="s">
        <v>1102</v>
      </c>
      <c r="M157" s="22" t="s">
        <v>1100</v>
      </c>
      <c r="N157" s="23" t="s">
        <v>1099</v>
      </c>
      <c r="O157" s="19" t="s">
        <v>1099</v>
      </c>
      <c r="P157" s="19" t="s">
        <v>1100</v>
      </c>
      <c r="Q157" s="13" t="s">
        <v>1100</v>
      </c>
      <c r="R157" s="11"/>
      <c r="S157" s="11" t="s">
        <v>1100</v>
      </c>
      <c r="T157" s="13" t="str">
        <f t="shared" si="2"/>
        <v/>
      </c>
      <c r="U157" s="11" t="s">
        <v>1100</v>
      </c>
      <c r="V157" s="11" t="s">
        <v>1100</v>
      </c>
      <c r="W157" s="11" t="s">
        <v>1100</v>
      </c>
      <c r="X157" s="11" t="s">
        <v>1100</v>
      </c>
      <c r="Y157" s="11" t="s">
        <v>1100</v>
      </c>
      <c r="Z157" s="11" t="s">
        <v>1100</v>
      </c>
      <c r="AA157" s="11" t="s">
        <v>1100</v>
      </c>
      <c r="AB157" s="11" t="s">
        <v>1100</v>
      </c>
      <c r="AC157" s="20" t="s">
        <v>1101</v>
      </c>
    </row>
    <row r="158" spans="2:29" ht="15.75" x14ac:dyDescent="0.25">
      <c r="B158" s="11">
        <v>147</v>
      </c>
      <c r="C158" s="12" t="s">
        <v>416</v>
      </c>
      <c r="D158" s="12" t="s">
        <v>417</v>
      </c>
      <c r="E158" s="12" t="s">
        <v>418</v>
      </c>
      <c r="F158" s="11"/>
      <c r="G158" s="13" t="s">
        <v>1115</v>
      </c>
      <c r="H158" s="13" t="s">
        <v>1034</v>
      </c>
      <c r="I158" s="21">
        <v>31439</v>
      </c>
      <c r="J158" s="15">
        <v>40</v>
      </c>
      <c r="K158" s="16" t="s">
        <v>1103</v>
      </c>
      <c r="L158" s="16" t="s">
        <v>1102</v>
      </c>
      <c r="M158" s="22" t="s">
        <v>1100</v>
      </c>
      <c r="N158" s="23" t="s">
        <v>1099</v>
      </c>
      <c r="O158" s="19" t="s">
        <v>1100</v>
      </c>
      <c r="P158" s="19" t="s">
        <v>1100</v>
      </c>
      <c r="Q158" s="13" t="s">
        <v>1100</v>
      </c>
      <c r="R158" s="11"/>
      <c r="S158" s="11" t="s">
        <v>1100</v>
      </c>
      <c r="T158" s="13" t="str">
        <f t="shared" si="2"/>
        <v/>
      </c>
      <c r="U158" s="11" t="s">
        <v>1100</v>
      </c>
      <c r="V158" s="11" t="s">
        <v>1100</v>
      </c>
      <c r="W158" s="11" t="s">
        <v>1100</v>
      </c>
      <c r="X158" s="11" t="s">
        <v>1100</v>
      </c>
      <c r="Y158" s="11" t="s">
        <v>1100</v>
      </c>
      <c r="Z158" s="11" t="s">
        <v>1100</v>
      </c>
      <c r="AA158" s="11" t="s">
        <v>1100</v>
      </c>
      <c r="AB158" s="11" t="s">
        <v>1100</v>
      </c>
      <c r="AC158" s="20" t="s">
        <v>1101</v>
      </c>
    </row>
    <row r="159" spans="2:29" ht="15.75" x14ac:dyDescent="0.25">
      <c r="B159" s="11">
        <v>148</v>
      </c>
      <c r="C159" s="12" t="s">
        <v>419</v>
      </c>
      <c r="D159" s="12" t="s">
        <v>420</v>
      </c>
      <c r="E159" s="12" t="s">
        <v>421</v>
      </c>
      <c r="F159" s="11"/>
      <c r="G159" s="13" t="s">
        <v>1116</v>
      </c>
      <c r="H159" s="13" t="s">
        <v>1034</v>
      </c>
      <c r="I159" s="21">
        <v>29766</v>
      </c>
      <c r="J159" s="15">
        <v>44</v>
      </c>
      <c r="K159" s="16" t="s">
        <v>1097</v>
      </c>
      <c r="L159" s="16" t="s">
        <v>1108</v>
      </c>
      <c r="M159" s="22" t="s">
        <v>1100</v>
      </c>
      <c r="N159" s="23" t="s">
        <v>1099</v>
      </c>
      <c r="O159" s="19" t="s">
        <v>1100</v>
      </c>
      <c r="P159" s="19" t="s">
        <v>1100</v>
      </c>
      <c r="Q159" s="13" t="s">
        <v>1100</v>
      </c>
      <c r="R159" s="11"/>
      <c r="S159" s="11" t="s">
        <v>1100</v>
      </c>
      <c r="T159" s="13" t="str">
        <f t="shared" si="2"/>
        <v/>
      </c>
      <c r="U159" s="11" t="s">
        <v>1100</v>
      </c>
      <c r="V159" s="11" t="s">
        <v>1100</v>
      </c>
      <c r="W159" s="11" t="s">
        <v>1100</v>
      </c>
      <c r="X159" s="11" t="s">
        <v>1100</v>
      </c>
      <c r="Y159" s="11" t="s">
        <v>1100</v>
      </c>
      <c r="Z159" s="11" t="s">
        <v>1100</v>
      </c>
      <c r="AA159" s="11" t="s">
        <v>1100</v>
      </c>
      <c r="AB159" s="11" t="s">
        <v>1100</v>
      </c>
      <c r="AC159" s="20" t="s">
        <v>1101</v>
      </c>
    </row>
    <row r="160" spans="2:29" ht="15.75" x14ac:dyDescent="0.25">
      <c r="B160" s="11">
        <v>149</v>
      </c>
      <c r="C160" s="12" t="s">
        <v>422</v>
      </c>
      <c r="D160" s="12" t="s">
        <v>423</v>
      </c>
      <c r="E160" s="12" t="s">
        <v>1169</v>
      </c>
      <c r="F160" s="11"/>
      <c r="G160" s="13" t="s">
        <v>1118</v>
      </c>
      <c r="H160" s="13" t="s">
        <v>1034</v>
      </c>
      <c r="I160" s="21">
        <v>30516</v>
      </c>
      <c r="J160" s="15">
        <v>42</v>
      </c>
      <c r="K160" s="16" t="s">
        <v>1097</v>
      </c>
      <c r="L160" s="16" t="s">
        <v>1102</v>
      </c>
      <c r="M160" s="22" t="s">
        <v>1100</v>
      </c>
      <c r="N160" s="23" t="s">
        <v>1099</v>
      </c>
      <c r="O160" s="19" t="s">
        <v>1100</v>
      </c>
      <c r="P160" s="19" t="s">
        <v>1100</v>
      </c>
      <c r="Q160" s="13" t="s">
        <v>1100</v>
      </c>
      <c r="R160" s="11"/>
      <c r="S160" s="11" t="s">
        <v>1100</v>
      </c>
      <c r="T160" s="13" t="str">
        <f t="shared" si="2"/>
        <v/>
      </c>
      <c r="U160" s="11" t="s">
        <v>1100</v>
      </c>
      <c r="V160" s="11" t="s">
        <v>1100</v>
      </c>
      <c r="W160" s="11" t="s">
        <v>1100</v>
      </c>
      <c r="X160" s="11" t="s">
        <v>1100</v>
      </c>
      <c r="Y160" s="11" t="s">
        <v>1100</v>
      </c>
      <c r="Z160" s="11" t="s">
        <v>1100</v>
      </c>
      <c r="AA160" s="11" t="s">
        <v>1100</v>
      </c>
      <c r="AB160" s="11" t="s">
        <v>1100</v>
      </c>
      <c r="AC160" s="20" t="s">
        <v>1101</v>
      </c>
    </row>
    <row r="161" spans="2:29" ht="15.75" x14ac:dyDescent="0.25">
      <c r="B161" s="11">
        <v>150</v>
      </c>
      <c r="C161" s="12" t="s">
        <v>404</v>
      </c>
      <c r="D161" s="12" t="s">
        <v>424</v>
      </c>
      <c r="E161" s="12" t="s">
        <v>425</v>
      </c>
      <c r="F161" s="11"/>
      <c r="G161" s="13" t="s">
        <v>1115</v>
      </c>
      <c r="H161" s="13" t="s">
        <v>1034</v>
      </c>
      <c r="I161" s="21">
        <v>26055</v>
      </c>
      <c r="J161" s="15">
        <v>54</v>
      </c>
      <c r="K161" s="16" t="s">
        <v>1097</v>
      </c>
      <c r="L161" s="16" t="s">
        <v>1102</v>
      </c>
      <c r="M161" s="22" t="s">
        <v>1100</v>
      </c>
      <c r="N161" s="23" t="s">
        <v>1099</v>
      </c>
      <c r="O161" s="19" t="s">
        <v>1100</v>
      </c>
      <c r="P161" s="19" t="s">
        <v>1100</v>
      </c>
      <c r="Q161" s="13" t="s">
        <v>1100</v>
      </c>
      <c r="R161" s="11"/>
      <c r="S161" s="11" t="s">
        <v>1100</v>
      </c>
      <c r="T161" s="13" t="str">
        <f t="shared" si="2"/>
        <v/>
      </c>
      <c r="U161" s="11" t="s">
        <v>1100</v>
      </c>
      <c r="V161" s="11" t="s">
        <v>1100</v>
      </c>
      <c r="W161" s="11" t="s">
        <v>1100</v>
      </c>
      <c r="X161" s="11" t="s">
        <v>1100</v>
      </c>
      <c r="Y161" s="11" t="s">
        <v>1100</v>
      </c>
      <c r="Z161" s="11" t="s">
        <v>1100</v>
      </c>
      <c r="AA161" s="11" t="s">
        <v>1100</v>
      </c>
      <c r="AB161" s="11" t="s">
        <v>1100</v>
      </c>
      <c r="AC161" s="20" t="s">
        <v>1101</v>
      </c>
    </row>
    <row r="162" spans="2:29" ht="15.75" x14ac:dyDescent="0.25">
      <c r="B162" s="11">
        <v>151</v>
      </c>
      <c r="C162" s="12" t="s">
        <v>426</v>
      </c>
      <c r="D162" s="12" t="s">
        <v>427</v>
      </c>
      <c r="E162" s="12" t="s">
        <v>428</v>
      </c>
      <c r="F162" s="11"/>
      <c r="G162" s="13" t="s">
        <v>1118</v>
      </c>
      <c r="H162" s="13" t="s">
        <v>1034</v>
      </c>
      <c r="I162" s="21">
        <v>33476</v>
      </c>
      <c r="J162" s="15">
        <v>34</v>
      </c>
      <c r="K162" s="16" t="s">
        <v>1103</v>
      </c>
      <c r="L162" s="16" t="s">
        <v>1102</v>
      </c>
      <c r="M162" s="22" t="s">
        <v>1100</v>
      </c>
      <c r="N162" s="23" t="s">
        <v>1099</v>
      </c>
      <c r="O162" s="19" t="s">
        <v>1100</v>
      </c>
      <c r="P162" s="19" t="s">
        <v>1100</v>
      </c>
      <c r="Q162" s="13" t="s">
        <v>1100</v>
      </c>
      <c r="R162" s="11"/>
      <c r="S162" s="11" t="s">
        <v>1100</v>
      </c>
      <c r="T162" s="13" t="str">
        <f t="shared" si="2"/>
        <v/>
      </c>
      <c r="U162" s="11" t="s">
        <v>1100</v>
      </c>
      <c r="V162" s="11" t="s">
        <v>1100</v>
      </c>
      <c r="W162" s="11" t="s">
        <v>1100</v>
      </c>
      <c r="X162" s="11" t="s">
        <v>1100</v>
      </c>
      <c r="Y162" s="11" t="s">
        <v>1100</v>
      </c>
      <c r="Z162" s="11" t="s">
        <v>1100</v>
      </c>
      <c r="AA162" s="11" t="s">
        <v>1100</v>
      </c>
      <c r="AB162" s="11" t="s">
        <v>1100</v>
      </c>
      <c r="AC162" s="20" t="s">
        <v>1101</v>
      </c>
    </row>
    <row r="163" spans="2:29" ht="15.75" x14ac:dyDescent="0.25">
      <c r="B163" s="11">
        <v>152</v>
      </c>
      <c r="C163" s="12" t="s">
        <v>429</v>
      </c>
      <c r="D163" s="12" t="s">
        <v>424</v>
      </c>
      <c r="E163" s="12" t="s">
        <v>430</v>
      </c>
      <c r="F163" s="11" t="s">
        <v>22</v>
      </c>
      <c r="G163" s="13" t="s">
        <v>1115</v>
      </c>
      <c r="H163" s="13" t="s">
        <v>1034</v>
      </c>
      <c r="I163" s="21">
        <v>33095</v>
      </c>
      <c r="J163" s="15">
        <v>35</v>
      </c>
      <c r="K163" s="16" t="s">
        <v>1097</v>
      </c>
      <c r="L163" s="16" t="s">
        <v>1102</v>
      </c>
      <c r="M163" s="22" t="s">
        <v>1100</v>
      </c>
      <c r="N163" s="23" t="s">
        <v>1099</v>
      </c>
      <c r="O163" s="19" t="s">
        <v>1100</v>
      </c>
      <c r="P163" s="19" t="s">
        <v>1100</v>
      </c>
      <c r="Q163" s="13" t="s">
        <v>1100</v>
      </c>
      <c r="R163" s="11"/>
      <c r="S163" s="11" t="s">
        <v>1100</v>
      </c>
      <c r="T163" s="13" t="str">
        <f t="shared" si="2"/>
        <v/>
      </c>
      <c r="U163" s="11" t="s">
        <v>1100</v>
      </c>
      <c r="V163" s="11" t="s">
        <v>1100</v>
      </c>
      <c r="W163" s="11" t="s">
        <v>1100</v>
      </c>
      <c r="X163" s="11" t="s">
        <v>1100</v>
      </c>
      <c r="Y163" s="11" t="s">
        <v>1100</v>
      </c>
      <c r="Z163" s="11" t="s">
        <v>1100</v>
      </c>
      <c r="AA163" s="11" t="s">
        <v>1100</v>
      </c>
      <c r="AB163" s="11" t="s">
        <v>1100</v>
      </c>
      <c r="AC163" s="20" t="s">
        <v>1101</v>
      </c>
    </row>
    <row r="164" spans="2:29" ht="15.75" x14ac:dyDescent="0.25">
      <c r="B164" s="11">
        <v>153</v>
      </c>
      <c r="C164" s="12" t="s">
        <v>431</v>
      </c>
      <c r="D164" s="12" t="s">
        <v>432</v>
      </c>
      <c r="E164" s="12" t="s">
        <v>78</v>
      </c>
      <c r="F164" s="11"/>
      <c r="G164" s="13" t="s">
        <v>1115</v>
      </c>
      <c r="H164" s="13" t="s">
        <v>1034</v>
      </c>
      <c r="I164" s="21">
        <v>34997</v>
      </c>
      <c r="J164" s="15">
        <v>30</v>
      </c>
      <c r="K164" s="16" t="s">
        <v>1097</v>
      </c>
      <c r="L164" s="16" t="s">
        <v>1108</v>
      </c>
      <c r="M164" s="22" t="s">
        <v>1100</v>
      </c>
      <c r="N164" s="23" t="s">
        <v>1099</v>
      </c>
      <c r="O164" s="19" t="s">
        <v>1100</v>
      </c>
      <c r="P164" s="19" t="s">
        <v>1100</v>
      </c>
      <c r="Q164" s="13" t="s">
        <v>1100</v>
      </c>
      <c r="R164" s="11"/>
      <c r="S164" s="11" t="s">
        <v>1100</v>
      </c>
      <c r="T164" s="13" t="str">
        <f t="shared" si="2"/>
        <v/>
      </c>
      <c r="U164" s="11" t="s">
        <v>1100</v>
      </c>
      <c r="V164" s="11" t="s">
        <v>1100</v>
      </c>
      <c r="W164" s="11" t="s">
        <v>1100</v>
      </c>
      <c r="X164" s="11" t="s">
        <v>1100</v>
      </c>
      <c r="Y164" s="11" t="s">
        <v>1100</v>
      </c>
      <c r="Z164" s="11" t="s">
        <v>1100</v>
      </c>
      <c r="AA164" s="11" t="s">
        <v>1100</v>
      </c>
      <c r="AB164" s="11" t="s">
        <v>1100</v>
      </c>
      <c r="AC164" s="20" t="s">
        <v>1101</v>
      </c>
    </row>
    <row r="165" spans="2:29" ht="15.75" x14ac:dyDescent="0.25">
      <c r="B165" s="11">
        <v>154</v>
      </c>
      <c r="C165" s="12" t="s">
        <v>433</v>
      </c>
      <c r="D165" s="12" t="s">
        <v>383</v>
      </c>
      <c r="E165" s="12" t="s">
        <v>78</v>
      </c>
      <c r="F165" s="11"/>
      <c r="G165" s="13" t="s">
        <v>1116</v>
      </c>
      <c r="H165" s="13" t="s">
        <v>1034</v>
      </c>
      <c r="I165" s="21">
        <v>25571</v>
      </c>
      <c r="J165" s="15">
        <v>56</v>
      </c>
      <c r="K165" s="16" t="s">
        <v>1097</v>
      </c>
      <c r="L165" s="16" t="s">
        <v>1102</v>
      </c>
      <c r="M165" s="22" t="s">
        <v>1100</v>
      </c>
      <c r="N165" s="23" t="s">
        <v>1099</v>
      </c>
      <c r="O165" s="19" t="s">
        <v>1100</v>
      </c>
      <c r="P165" s="19" t="s">
        <v>1100</v>
      </c>
      <c r="Q165" s="13" t="s">
        <v>1100</v>
      </c>
      <c r="R165" s="11"/>
      <c r="S165" s="11" t="s">
        <v>1100</v>
      </c>
      <c r="T165" s="13" t="str">
        <f t="shared" si="2"/>
        <v/>
      </c>
      <c r="U165" s="11" t="s">
        <v>1100</v>
      </c>
      <c r="V165" s="11" t="s">
        <v>1100</v>
      </c>
      <c r="W165" s="11" t="s">
        <v>1100</v>
      </c>
      <c r="X165" s="11" t="s">
        <v>1100</v>
      </c>
      <c r="Y165" s="11" t="s">
        <v>1100</v>
      </c>
      <c r="Z165" s="11" t="s">
        <v>1100</v>
      </c>
      <c r="AA165" s="11" t="s">
        <v>1100</v>
      </c>
      <c r="AB165" s="11" t="s">
        <v>1100</v>
      </c>
      <c r="AC165" s="20" t="s">
        <v>1101</v>
      </c>
    </row>
    <row r="166" spans="2:29" ht="15.75" x14ac:dyDescent="0.25">
      <c r="B166" s="11">
        <v>155</v>
      </c>
      <c r="C166" s="12" t="s">
        <v>434</v>
      </c>
      <c r="D166" s="12" t="s">
        <v>435</v>
      </c>
      <c r="E166" s="12" t="s">
        <v>436</v>
      </c>
      <c r="F166" s="11"/>
      <c r="G166" s="13" t="s">
        <v>1116</v>
      </c>
      <c r="H166" s="13" t="s">
        <v>1034</v>
      </c>
      <c r="I166" s="21">
        <v>23089</v>
      </c>
      <c r="J166" s="15">
        <v>62</v>
      </c>
      <c r="K166" s="16" t="s">
        <v>1103</v>
      </c>
      <c r="L166" s="16" t="s">
        <v>1102</v>
      </c>
      <c r="M166" s="22" t="s">
        <v>1100</v>
      </c>
      <c r="N166" s="23" t="s">
        <v>1099</v>
      </c>
      <c r="O166" s="19" t="s">
        <v>1100</v>
      </c>
      <c r="P166" s="19" t="s">
        <v>1100</v>
      </c>
      <c r="Q166" s="13" t="s">
        <v>1100</v>
      </c>
      <c r="R166" s="11"/>
      <c r="S166" s="11" t="s">
        <v>1100</v>
      </c>
      <c r="T166" s="13" t="str">
        <f t="shared" si="2"/>
        <v>/</v>
      </c>
      <c r="U166" s="11" t="s">
        <v>1100</v>
      </c>
      <c r="V166" s="11" t="s">
        <v>1100</v>
      </c>
      <c r="W166" s="11" t="s">
        <v>1100</v>
      </c>
      <c r="X166" s="11" t="s">
        <v>1100</v>
      </c>
      <c r="Y166" s="11" t="s">
        <v>1100</v>
      </c>
      <c r="Z166" s="11" t="s">
        <v>1100</v>
      </c>
      <c r="AA166" s="11" t="s">
        <v>1100</v>
      </c>
      <c r="AB166" s="11" t="s">
        <v>1100</v>
      </c>
      <c r="AC166" s="20" t="s">
        <v>1101</v>
      </c>
    </row>
    <row r="167" spans="2:29" ht="15.75" x14ac:dyDescent="0.25">
      <c r="B167" s="11">
        <v>156</v>
      </c>
      <c r="C167" s="12" t="s">
        <v>437</v>
      </c>
      <c r="D167" s="12" t="s">
        <v>438</v>
      </c>
      <c r="E167" s="12" t="s">
        <v>439</v>
      </c>
      <c r="F167" s="11"/>
      <c r="G167" s="13" t="s">
        <v>1115</v>
      </c>
      <c r="H167" s="13" t="s">
        <v>1034</v>
      </c>
      <c r="I167" s="21">
        <v>21025</v>
      </c>
      <c r="J167" s="15">
        <v>68</v>
      </c>
      <c r="K167" s="16" t="s">
        <v>1097</v>
      </c>
      <c r="L167" s="16" t="s">
        <v>1182</v>
      </c>
      <c r="M167" s="22" t="s">
        <v>1100</v>
      </c>
      <c r="N167" s="23" t="s">
        <v>1099</v>
      </c>
      <c r="O167" s="19" t="s">
        <v>1100</v>
      </c>
      <c r="P167" s="19" t="s">
        <v>1099</v>
      </c>
      <c r="Q167" s="13" t="s">
        <v>1100</v>
      </c>
      <c r="R167" s="11"/>
      <c r="S167" s="11" t="s">
        <v>1100</v>
      </c>
      <c r="T167" s="13" t="str">
        <f t="shared" si="2"/>
        <v>/</v>
      </c>
      <c r="U167" s="11" t="s">
        <v>1100</v>
      </c>
      <c r="V167" s="11" t="s">
        <v>1100</v>
      </c>
      <c r="W167" s="11" t="s">
        <v>1100</v>
      </c>
      <c r="X167" s="11" t="s">
        <v>1100</v>
      </c>
      <c r="Y167" s="11" t="s">
        <v>1100</v>
      </c>
      <c r="Z167" s="11" t="s">
        <v>1100</v>
      </c>
      <c r="AA167" s="11" t="s">
        <v>1100</v>
      </c>
      <c r="AB167" s="11" t="s">
        <v>1100</v>
      </c>
      <c r="AC167" s="20" t="s">
        <v>1101</v>
      </c>
    </row>
    <row r="168" spans="2:29" ht="15.75" x14ac:dyDescent="0.25">
      <c r="B168" s="11">
        <v>157</v>
      </c>
      <c r="C168" s="12" t="s">
        <v>440</v>
      </c>
      <c r="D168" s="12" t="s">
        <v>441</v>
      </c>
      <c r="E168" s="12" t="s">
        <v>442</v>
      </c>
      <c r="F168" s="11"/>
      <c r="G168" s="13" t="s">
        <v>97</v>
      </c>
      <c r="H168" s="13" t="s">
        <v>1034</v>
      </c>
      <c r="I168" s="21">
        <v>31951</v>
      </c>
      <c r="J168" s="15">
        <v>38</v>
      </c>
      <c r="K168" s="16" t="s">
        <v>1103</v>
      </c>
      <c r="L168" s="16" t="s">
        <v>1108</v>
      </c>
      <c r="M168" s="22" t="s">
        <v>1100</v>
      </c>
      <c r="N168" s="23" t="s">
        <v>1099</v>
      </c>
      <c r="O168" s="19" t="s">
        <v>1100</v>
      </c>
      <c r="P168" s="19" t="s">
        <v>1100</v>
      </c>
      <c r="Q168" s="13" t="s">
        <v>1100</v>
      </c>
      <c r="R168" s="11"/>
      <c r="S168" s="11" t="s">
        <v>1100</v>
      </c>
      <c r="T168" s="13" t="str">
        <f t="shared" si="2"/>
        <v/>
      </c>
      <c r="U168" s="11" t="s">
        <v>1100</v>
      </c>
      <c r="V168" s="11" t="s">
        <v>1100</v>
      </c>
      <c r="W168" s="11" t="s">
        <v>1100</v>
      </c>
      <c r="X168" s="11" t="s">
        <v>1100</v>
      </c>
      <c r="Y168" s="11" t="s">
        <v>1100</v>
      </c>
      <c r="Z168" s="11" t="s">
        <v>1100</v>
      </c>
      <c r="AA168" s="11" t="s">
        <v>1100</v>
      </c>
      <c r="AB168" s="11" t="s">
        <v>1100</v>
      </c>
      <c r="AC168" s="20" t="s">
        <v>1101</v>
      </c>
    </row>
    <row r="169" spans="2:29" ht="15.75" x14ac:dyDescent="0.25">
      <c r="B169" s="11">
        <v>158</v>
      </c>
      <c r="C169" s="12" t="s">
        <v>443</v>
      </c>
      <c r="D169" s="12" t="s">
        <v>444</v>
      </c>
      <c r="E169" s="12" t="s">
        <v>445</v>
      </c>
      <c r="F169" s="11"/>
      <c r="G169" s="13" t="s">
        <v>1201</v>
      </c>
      <c r="H169" s="13" t="s">
        <v>1034</v>
      </c>
      <c r="I169" s="21">
        <v>30353</v>
      </c>
      <c r="J169" s="15">
        <v>43</v>
      </c>
      <c r="K169" s="16" t="s">
        <v>1103</v>
      </c>
      <c r="L169" s="16" t="s">
        <v>1102</v>
      </c>
      <c r="M169" s="22" t="s">
        <v>1100</v>
      </c>
      <c r="N169" s="23" t="s">
        <v>1099</v>
      </c>
      <c r="O169" s="19" t="s">
        <v>1100</v>
      </c>
      <c r="P169" s="19" t="s">
        <v>1100</v>
      </c>
      <c r="Q169" s="13" t="s">
        <v>1100</v>
      </c>
      <c r="R169" s="11"/>
      <c r="S169" s="11" t="s">
        <v>1100</v>
      </c>
      <c r="T169" s="13" t="str">
        <f t="shared" si="2"/>
        <v/>
      </c>
      <c r="U169" s="11" t="s">
        <v>1100</v>
      </c>
      <c r="V169" s="11" t="s">
        <v>1100</v>
      </c>
      <c r="W169" s="11" t="s">
        <v>1100</v>
      </c>
      <c r="X169" s="11" t="s">
        <v>1100</v>
      </c>
      <c r="Y169" s="11" t="s">
        <v>1100</v>
      </c>
      <c r="Z169" s="11" t="s">
        <v>1100</v>
      </c>
      <c r="AA169" s="11" t="s">
        <v>1100</v>
      </c>
      <c r="AB169" s="11" t="s">
        <v>1100</v>
      </c>
      <c r="AC169" s="20" t="s">
        <v>1101</v>
      </c>
    </row>
    <row r="170" spans="2:29" ht="15.75" x14ac:dyDescent="0.25">
      <c r="B170" s="11">
        <v>159</v>
      </c>
      <c r="C170" s="12" t="s">
        <v>81</v>
      </c>
      <c r="D170" s="12" t="s">
        <v>126</v>
      </c>
      <c r="E170" s="12" t="s">
        <v>59</v>
      </c>
      <c r="F170" s="11"/>
      <c r="G170" s="13" t="s">
        <v>1116</v>
      </c>
      <c r="H170" s="13" t="s">
        <v>1034</v>
      </c>
      <c r="I170" s="21">
        <v>31176</v>
      </c>
      <c r="J170" s="15">
        <v>40</v>
      </c>
      <c r="K170" s="16" t="s">
        <v>1097</v>
      </c>
      <c r="L170" s="16" t="s">
        <v>1108</v>
      </c>
      <c r="M170" s="22" t="s">
        <v>1100</v>
      </c>
      <c r="N170" s="23" t="s">
        <v>1099</v>
      </c>
      <c r="O170" s="19" t="s">
        <v>1100</v>
      </c>
      <c r="P170" s="19" t="s">
        <v>1100</v>
      </c>
      <c r="Q170" s="13" t="s">
        <v>1100</v>
      </c>
      <c r="R170" s="11"/>
      <c r="S170" s="11" t="s">
        <v>1100</v>
      </c>
      <c r="T170" s="13" t="str">
        <f t="shared" si="2"/>
        <v/>
      </c>
      <c r="U170" s="11" t="s">
        <v>1100</v>
      </c>
      <c r="V170" s="11" t="s">
        <v>1100</v>
      </c>
      <c r="W170" s="11" t="s">
        <v>1100</v>
      </c>
      <c r="X170" s="11" t="s">
        <v>1100</v>
      </c>
      <c r="Y170" s="11" t="s">
        <v>1100</v>
      </c>
      <c r="Z170" s="11" t="s">
        <v>1100</v>
      </c>
      <c r="AA170" s="11" t="s">
        <v>1100</v>
      </c>
      <c r="AB170" s="11" t="s">
        <v>1100</v>
      </c>
      <c r="AC170" s="20" t="s">
        <v>1101</v>
      </c>
    </row>
    <row r="171" spans="2:29" ht="15.75" x14ac:dyDescent="0.25">
      <c r="B171" s="11">
        <v>160</v>
      </c>
      <c r="C171" s="12" t="s">
        <v>446</v>
      </c>
      <c r="D171" s="12" t="s">
        <v>447</v>
      </c>
      <c r="E171" s="12" t="s">
        <v>448</v>
      </c>
      <c r="F171" s="11"/>
      <c r="G171" s="13" t="s">
        <v>1116</v>
      </c>
      <c r="H171" s="13" t="s">
        <v>1034</v>
      </c>
      <c r="I171" s="21">
        <v>31970</v>
      </c>
      <c r="J171" s="15">
        <v>38</v>
      </c>
      <c r="K171" s="16" t="s">
        <v>1103</v>
      </c>
      <c r="L171" s="16" t="s">
        <v>1108</v>
      </c>
      <c r="M171" s="22" t="s">
        <v>1100</v>
      </c>
      <c r="N171" s="23" t="s">
        <v>1099</v>
      </c>
      <c r="O171" s="19" t="s">
        <v>1100</v>
      </c>
      <c r="P171" s="19" t="s">
        <v>1100</v>
      </c>
      <c r="Q171" s="13" t="s">
        <v>1100</v>
      </c>
      <c r="R171" s="11"/>
      <c r="S171" s="11" t="s">
        <v>1100</v>
      </c>
      <c r="T171" s="13" t="str">
        <f t="shared" si="2"/>
        <v/>
      </c>
      <c r="U171" s="11" t="s">
        <v>1100</v>
      </c>
      <c r="V171" s="11" t="s">
        <v>1100</v>
      </c>
      <c r="W171" s="11" t="s">
        <v>1100</v>
      </c>
      <c r="X171" s="11" t="s">
        <v>1100</v>
      </c>
      <c r="Y171" s="11" t="s">
        <v>1100</v>
      </c>
      <c r="Z171" s="11" t="s">
        <v>1100</v>
      </c>
      <c r="AA171" s="11" t="s">
        <v>1100</v>
      </c>
      <c r="AB171" s="11" t="s">
        <v>1100</v>
      </c>
      <c r="AC171" s="20" t="s">
        <v>1101</v>
      </c>
    </row>
    <row r="172" spans="2:29" ht="15.75" x14ac:dyDescent="0.25">
      <c r="B172" s="11">
        <v>161</v>
      </c>
      <c r="C172" s="12" t="s">
        <v>38</v>
      </c>
      <c r="D172" s="12" t="s">
        <v>451</v>
      </c>
      <c r="E172" s="12" t="s">
        <v>452</v>
      </c>
      <c r="F172" s="11"/>
      <c r="G172" s="13" t="s">
        <v>1115</v>
      </c>
      <c r="H172" s="13" t="s">
        <v>1034</v>
      </c>
      <c r="I172" s="21">
        <v>34214</v>
      </c>
      <c r="J172" s="15">
        <v>32</v>
      </c>
      <c r="K172" s="16" t="s">
        <v>1103</v>
      </c>
      <c r="L172" s="16" t="s">
        <v>1102</v>
      </c>
      <c r="M172" s="22" t="s">
        <v>1100</v>
      </c>
      <c r="N172" s="23" t="s">
        <v>1099</v>
      </c>
      <c r="O172" s="19" t="s">
        <v>1100</v>
      </c>
      <c r="P172" s="19" t="s">
        <v>1100</v>
      </c>
      <c r="Q172" s="13" t="s">
        <v>1100</v>
      </c>
      <c r="R172" s="11"/>
      <c r="S172" s="11" t="s">
        <v>1100</v>
      </c>
      <c r="T172" s="13" t="str">
        <f t="shared" si="2"/>
        <v/>
      </c>
      <c r="U172" s="11" t="s">
        <v>1100</v>
      </c>
      <c r="V172" s="11" t="s">
        <v>1100</v>
      </c>
      <c r="W172" s="11" t="s">
        <v>1100</v>
      </c>
      <c r="X172" s="11" t="s">
        <v>1100</v>
      </c>
      <c r="Y172" s="11" t="s">
        <v>1100</v>
      </c>
      <c r="Z172" s="11" t="s">
        <v>1100</v>
      </c>
      <c r="AA172" s="11" t="s">
        <v>1100</v>
      </c>
      <c r="AB172" s="11" t="s">
        <v>1100</v>
      </c>
      <c r="AC172" s="20" t="s">
        <v>1101</v>
      </c>
    </row>
    <row r="173" spans="2:29" ht="15.75" x14ac:dyDescent="0.25">
      <c r="B173" s="11">
        <v>162</v>
      </c>
      <c r="C173" s="12" t="s">
        <v>38</v>
      </c>
      <c r="D173" s="12" t="s">
        <v>449</v>
      </c>
      <c r="E173" s="12" t="s">
        <v>450</v>
      </c>
      <c r="F173" s="11"/>
      <c r="G173" s="13" t="s">
        <v>1118</v>
      </c>
      <c r="H173" s="13" t="s">
        <v>1034</v>
      </c>
      <c r="I173" s="21">
        <v>31410</v>
      </c>
      <c r="J173" s="15">
        <v>40</v>
      </c>
      <c r="K173" s="16" t="s">
        <v>1097</v>
      </c>
      <c r="L173" s="16" t="s">
        <v>1102</v>
      </c>
      <c r="M173" s="22" t="s">
        <v>1100</v>
      </c>
      <c r="N173" s="23" t="s">
        <v>1099</v>
      </c>
      <c r="O173" s="19" t="s">
        <v>1099</v>
      </c>
      <c r="P173" s="19" t="s">
        <v>1100</v>
      </c>
      <c r="Q173" s="13" t="s">
        <v>1100</v>
      </c>
      <c r="R173" s="11"/>
      <c r="S173" s="11" t="s">
        <v>1100</v>
      </c>
      <c r="T173" s="13" t="str">
        <f t="shared" si="2"/>
        <v/>
      </c>
      <c r="U173" s="11" t="s">
        <v>1100</v>
      </c>
      <c r="V173" s="11" t="s">
        <v>1100</v>
      </c>
      <c r="W173" s="11" t="s">
        <v>1100</v>
      </c>
      <c r="X173" s="11" t="s">
        <v>1100</v>
      </c>
      <c r="Y173" s="11" t="s">
        <v>1100</v>
      </c>
      <c r="Z173" s="11" t="s">
        <v>1100</v>
      </c>
      <c r="AA173" s="11" t="s">
        <v>1100</v>
      </c>
      <c r="AB173" s="11" t="s">
        <v>1100</v>
      </c>
      <c r="AC173" s="20" t="s">
        <v>1101</v>
      </c>
    </row>
    <row r="174" spans="2:29" ht="15.75" x14ac:dyDescent="0.25">
      <c r="B174" s="11">
        <v>163</v>
      </c>
      <c r="C174" s="12" t="s">
        <v>453</v>
      </c>
      <c r="D174" s="12" t="s">
        <v>162</v>
      </c>
      <c r="E174" s="12" t="s">
        <v>153</v>
      </c>
      <c r="F174" s="11"/>
      <c r="G174" s="13" t="s">
        <v>1118</v>
      </c>
      <c r="H174" s="13" t="s">
        <v>1034</v>
      </c>
      <c r="I174" s="21">
        <v>27571</v>
      </c>
      <c r="J174" s="15">
        <v>50</v>
      </c>
      <c r="K174" s="16" t="s">
        <v>1103</v>
      </c>
      <c r="L174" s="16" t="s">
        <v>1102</v>
      </c>
      <c r="M174" s="22" t="s">
        <v>1100</v>
      </c>
      <c r="N174" s="23" t="s">
        <v>1099</v>
      </c>
      <c r="O174" s="19" t="s">
        <v>1100</v>
      </c>
      <c r="P174" s="19" t="s">
        <v>1100</v>
      </c>
      <c r="Q174" s="13" t="s">
        <v>1100</v>
      </c>
      <c r="R174" s="11"/>
      <c r="S174" s="11" t="s">
        <v>1100</v>
      </c>
      <c r="T174" s="13" t="str">
        <f t="shared" si="2"/>
        <v/>
      </c>
      <c r="U174" s="11" t="s">
        <v>1100</v>
      </c>
      <c r="V174" s="11" t="s">
        <v>1100</v>
      </c>
      <c r="W174" s="11" t="s">
        <v>1100</v>
      </c>
      <c r="X174" s="11" t="s">
        <v>1100</v>
      </c>
      <c r="Y174" s="11" t="s">
        <v>1100</v>
      </c>
      <c r="Z174" s="11" t="s">
        <v>1100</v>
      </c>
      <c r="AA174" s="11" t="s">
        <v>1100</v>
      </c>
      <c r="AB174" s="11" t="s">
        <v>1100</v>
      </c>
      <c r="AC174" s="20" t="s">
        <v>1101</v>
      </c>
    </row>
    <row r="175" spans="2:29" ht="15.75" x14ac:dyDescent="0.25">
      <c r="B175" s="11">
        <v>164</v>
      </c>
      <c r="C175" s="12" t="s">
        <v>454</v>
      </c>
      <c r="D175" s="12" t="s">
        <v>455</v>
      </c>
      <c r="E175" s="12" t="s">
        <v>59</v>
      </c>
      <c r="F175" s="11"/>
      <c r="G175" s="13" t="s">
        <v>1118</v>
      </c>
      <c r="H175" s="13" t="s">
        <v>1035</v>
      </c>
      <c r="I175" s="21">
        <v>22585</v>
      </c>
      <c r="J175" s="15">
        <v>64</v>
      </c>
      <c r="K175" s="16" t="s">
        <v>1097</v>
      </c>
      <c r="L175" s="16" t="s">
        <v>1102</v>
      </c>
      <c r="M175" s="22" t="s">
        <v>1100</v>
      </c>
      <c r="N175" s="23" t="s">
        <v>1099</v>
      </c>
      <c r="O175" s="19" t="s">
        <v>1100</v>
      </c>
      <c r="P175" s="19" t="s">
        <v>1100</v>
      </c>
      <c r="Q175" s="13" t="s">
        <v>1100</v>
      </c>
      <c r="R175" s="11"/>
      <c r="S175" s="11" t="s">
        <v>1099</v>
      </c>
      <c r="T175" s="13" t="str">
        <f t="shared" si="2"/>
        <v>/</v>
      </c>
      <c r="U175" s="11" t="s">
        <v>1100</v>
      </c>
      <c r="V175" s="11" t="s">
        <v>1100</v>
      </c>
      <c r="W175" s="11" t="s">
        <v>1100</v>
      </c>
      <c r="X175" s="11" t="s">
        <v>1100</v>
      </c>
      <c r="Y175" s="11" t="s">
        <v>1100</v>
      </c>
      <c r="Z175" s="11" t="s">
        <v>1100</v>
      </c>
      <c r="AA175" s="11" t="s">
        <v>1100</v>
      </c>
      <c r="AB175" s="11" t="s">
        <v>1100</v>
      </c>
      <c r="AC175" s="20" t="s">
        <v>1111</v>
      </c>
    </row>
    <row r="176" spans="2:29" ht="15.75" x14ac:dyDescent="0.25">
      <c r="B176" s="11">
        <v>165</v>
      </c>
      <c r="C176" s="12" t="s">
        <v>456</v>
      </c>
      <c r="D176" s="12" t="s">
        <v>457</v>
      </c>
      <c r="E176" s="12" t="s">
        <v>81</v>
      </c>
      <c r="F176" s="11"/>
      <c r="G176" s="13" t="s">
        <v>1118</v>
      </c>
      <c r="H176" s="13" t="s">
        <v>1035</v>
      </c>
      <c r="I176" s="21">
        <v>23778</v>
      </c>
      <c r="J176" s="15">
        <v>61</v>
      </c>
      <c r="K176" s="16" t="s">
        <v>1103</v>
      </c>
      <c r="L176" s="16" t="s">
        <v>1102</v>
      </c>
      <c r="M176" s="22" t="s">
        <v>1100</v>
      </c>
      <c r="N176" s="23" t="s">
        <v>1099</v>
      </c>
      <c r="O176" s="19" t="s">
        <v>1100</v>
      </c>
      <c r="P176" s="19" t="s">
        <v>1100</v>
      </c>
      <c r="Q176" s="13" t="s">
        <v>1100</v>
      </c>
      <c r="R176" s="11"/>
      <c r="S176" s="11" t="s">
        <v>1099</v>
      </c>
      <c r="T176" s="13" t="str">
        <f t="shared" si="2"/>
        <v>/</v>
      </c>
      <c r="U176" s="11" t="s">
        <v>1099</v>
      </c>
      <c r="V176" s="11" t="s">
        <v>1100</v>
      </c>
      <c r="W176" s="11" t="s">
        <v>1100</v>
      </c>
      <c r="X176" s="11" t="s">
        <v>1100</v>
      </c>
      <c r="Y176" s="11" t="s">
        <v>1100</v>
      </c>
      <c r="Z176" s="11" t="s">
        <v>1100</v>
      </c>
      <c r="AA176" s="11" t="s">
        <v>1100</v>
      </c>
      <c r="AB176" s="11" t="s">
        <v>1100</v>
      </c>
      <c r="AC176" s="20" t="s">
        <v>1111</v>
      </c>
    </row>
    <row r="177" spans="2:29" ht="15.75" x14ac:dyDescent="0.25">
      <c r="B177" s="11">
        <v>166</v>
      </c>
      <c r="C177" s="12" t="s">
        <v>458</v>
      </c>
      <c r="D177" s="12" t="s">
        <v>459</v>
      </c>
      <c r="E177" s="12" t="s">
        <v>460</v>
      </c>
      <c r="F177" s="11"/>
      <c r="G177" s="13" t="s">
        <v>1118</v>
      </c>
      <c r="H177" s="13" t="s">
        <v>1035</v>
      </c>
      <c r="I177" s="21">
        <v>28215</v>
      </c>
      <c r="J177" s="15">
        <v>48</v>
      </c>
      <c r="K177" s="16" t="s">
        <v>1097</v>
      </c>
      <c r="L177" s="16" t="s">
        <v>1102</v>
      </c>
      <c r="M177" s="22" t="s">
        <v>1100</v>
      </c>
      <c r="N177" s="23" t="s">
        <v>1099</v>
      </c>
      <c r="O177" s="19" t="s">
        <v>1100</v>
      </c>
      <c r="P177" s="19" t="s">
        <v>1100</v>
      </c>
      <c r="Q177" s="13" t="s">
        <v>1100</v>
      </c>
      <c r="R177" s="11"/>
      <c r="S177" s="11" t="s">
        <v>1100</v>
      </c>
      <c r="T177" s="13" t="str">
        <f t="shared" si="2"/>
        <v/>
      </c>
      <c r="U177" s="11" t="s">
        <v>1100</v>
      </c>
      <c r="V177" s="11" t="s">
        <v>1100</v>
      </c>
      <c r="W177" s="11" t="s">
        <v>1100</v>
      </c>
      <c r="X177" s="11" t="s">
        <v>1100</v>
      </c>
      <c r="Y177" s="11" t="s">
        <v>1100</v>
      </c>
      <c r="Z177" s="11" t="s">
        <v>1100</v>
      </c>
      <c r="AA177" s="11" t="s">
        <v>1100</v>
      </c>
      <c r="AB177" s="11" t="s">
        <v>1100</v>
      </c>
      <c r="AC177" s="20" t="s">
        <v>1111</v>
      </c>
    </row>
    <row r="178" spans="2:29" ht="15.75" x14ac:dyDescent="0.25">
      <c r="B178" s="11">
        <v>167</v>
      </c>
      <c r="C178" s="12" t="s">
        <v>422</v>
      </c>
      <c r="D178" s="12" t="s">
        <v>461</v>
      </c>
      <c r="E178" s="12" t="s">
        <v>462</v>
      </c>
      <c r="F178" s="11"/>
      <c r="G178" s="13" t="s">
        <v>1115</v>
      </c>
      <c r="H178" s="13" t="s">
        <v>1035</v>
      </c>
      <c r="I178" s="21">
        <v>21616</v>
      </c>
      <c r="J178" s="15">
        <v>66</v>
      </c>
      <c r="K178" s="16" t="s">
        <v>1097</v>
      </c>
      <c r="L178" s="16" t="s">
        <v>1102</v>
      </c>
      <c r="M178" s="22" t="s">
        <v>1100</v>
      </c>
      <c r="N178" s="23" t="s">
        <v>1099</v>
      </c>
      <c r="O178" s="19" t="s">
        <v>1100</v>
      </c>
      <c r="P178" s="19" t="s">
        <v>1099</v>
      </c>
      <c r="Q178" s="13" t="s">
        <v>1100</v>
      </c>
      <c r="R178" s="11"/>
      <c r="S178" s="11" t="s">
        <v>1100</v>
      </c>
      <c r="T178" s="13" t="str">
        <f t="shared" si="2"/>
        <v>/</v>
      </c>
      <c r="U178" s="11" t="s">
        <v>1100</v>
      </c>
      <c r="V178" s="11" t="s">
        <v>1100</v>
      </c>
      <c r="W178" s="11" t="s">
        <v>1100</v>
      </c>
      <c r="X178" s="11" t="s">
        <v>1100</v>
      </c>
      <c r="Y178" s="11" t="s">
        <v>1100</v>
      </c>
      <c r="Z178" s="11" t="s">
        <v>1100</v>
      </c>
      <c r="AA178" s="11" t="s">
        <v>1100</v>
      </c>
      <c r="AB178" s="11" t="s">
        <v>1100</v>
      </c>
      <c r="AC178" s="20" t="s">
        <v>1111</v>
      </c>
    </row>
    <row r="179" spans="2:29" ht="15.75" x14ac:dyDescent="0.25">
      <c r="B179" s="11">
        <v>168</v>
      </c>
      <c r="C179" s="12" t="s">
        <v>463</v>
      </c>
      <c r="D179" s="12" t="s">
        <v>84</v>
      </c>
      <c r="E179" s="12" t="s">
        <v>35</v>
      </c>
      <c r="F179" s="11"/>
      <c r="G179" s="13" t="s">
        <v>1118</v>
      </c>
      <c r="H179" s="13" t="s">
        <v>1035</v>
      </c>
      <c r="I179" s="21">
        <v>23264</v>
      </c>
      <c r="J179" s="15">
        <v>62</v>
      </c>
      <c r="K179" s="16" t="s">
        <v>1103</v>
      </c>
      <c r="L179" s="16" t="s">
        <v>1102</v>
      </c>
      <c r="M179" s="22" t="s">
        <v>1100</v>
      </c>
      <c r="N179" s="23" t="s">
        <v>1099</v>
      </c>
      <c r="O179" s="19" t="s">
        <v>1100</v>
      </c>
      <c r="P179" s="19" t="s">
        <v>1100</v>
      </c>
      <c r="Q179" s="13" t="s">
        <v>1100</v>
      </c>
      <c r="R179" s="11"/>
      <c r="S179" s="11" t="s">
        <v>1099</v>
      </c>
      <c r="T179" s="13" t="str">
        <f t="shared" si="2"/>
        <v>/</v>
      </c>
      <c r="U179" s="11" t="s">
        <v>1100</v>
      </c>
      <c r="V179" s="11" t="s">
        <v>1100</v>
      </c>
      <c r="W179" s="11" t="s">
        <v>1100</v>
      </c>
      <c r="X179" s="11" t="s">
        <v>1100</v>
      </c>
      <c r="Y179" s="11" t="s">
        <v>1100</v>
      </c>
      <c r="Z179" s="11" t="s">
        <v>1100</v>
      </c>
      <c r="AA179" s="11" t="s">
        <v>1100</v>
      </c>
      <c r="AB179" s="11" t="s">
        <v>1100</v>
      </c>
      <c r="AC179" s="20" t="s">
        <v>1111</v>
      </c>
    </row>
    <row r="180" spans="2:29" ht="15.75" x14ac:dyDescent="0.25">
      <c r="B180" s="11">
        <v>169</v>
      </c>
      <c r="C180" s="12" t="s">
        <v>464</v>
      </c>
      <c r="D180" s="12" t="s">
        <v>465</v>
      </c>
      <c r="E180" s="12" t="s">
        <v>81</v>
      </c>
      <c r="F180" s="11"/>
      <c r="G180" s="13" t="s">
        <v>1202</v>
      </c>
      <c r="H180" s="13" t="s">
        <v>1035</v>
      </c>
      <c r="I180" s="21">
        <v>23615</v>
      </c>
      <c r="J180" s="15">
        <v>61</v>
      </c>
      <c r="K180" s="16" t="s">
        <v>1097</v>
      </c>
      <c r="L180" s="16" t="s">
        <v>1102</v>
      </c>
      <c r="M180" s="22" t="s">
        <v>1100</v>
      </c>
      <c r="N180" s="23" t="s">
        <v>1099</v>
      </c>
      <c r="O180" s="19" t="s">
        <v>1100</v>
      </c>
      <c r="P180" s="19" t="s">
        <v>1100</v>
      </c>
      <c r="Q180" s="13" t="s">
        <v>1100</v>
      </c>
      <c r="R180" s="11"/>
      <c r="S180" s="11" t="s">
        <v>1100</v>
      </c>
      <c r="T180" s="13" t="str">
        <f t="shared" si="2"/>
        <v>/</v>
      </c>
      <c r="U180" s="11" t="s">
        <v>1100</v>
      </c>
      <c r="V180" s="11" t="s">
        <v>1100</v>
      </c>
      <c r="W180" s="11" t="s">
        <v>1100</v>
      </c>
      <c r="X180" s="11" t="s">
        <v>1100</v>
      </c>
      <c r="Y180" s="11" t="s">
        <v>1100</v>
      </c>
      <c r="Z180" s="11" t="s">
        <v>1100</v>
      </c>
      <c r="AA180" s="11" t="s">
        <v>1100</v>
      </c>
      <c r="AB180" s="11" t="s">
        <v>1100</v>
      </c>
      <c r="AC180" s="20" t="s">
        <v>1101</v>
      </c>
    </row>
    <row r="181" spans="2:29" ht="15.75" x14ac:dyDescent="0.25">
      <c r="B181" s="11">
        <v>170</v>
      </c>
      <c r="C181" s="12" t="s">
        <v>466</v>
      </c>
      <c r="D181" s="12" t="s">
        <v>467</v>
      </c>
      <c r="E181" s="12" t="s">
        <v>468</v>
      </c>
      <c r="F181" s="11"/>
      <c r="G181" s="13" t="s">
        <v>1118</v>
      </c>
      <c r="H181" s="13" t="s">
        <v>1035</v>
      </c>
      <c r="I181" s="21">
        <v>30202</v>
      </c>
      <c r="J181" s="15">
        <v>43</v>
      </c>
      <c r="K181" s="16" t="s">
        <v>1103</v>
      </c>
      <c r="L181" s="16" t="s">
        <v>1102</v>
      </c>
      <c r="M181" s="22" t="s">
        <v>1100</v>
      </c>
      <c r="N181" s="23" t="s">
        <v>1099</v>
      </c>
      <c r="O181" s="19" t="s">
        <v>1100</v>
      </c>
      <c r="P181" s="19" t="s">
        <v>1100</v>
      </c>
      <c r="Q181" s="13" t="s">
        <v>1100</v>
      </c>
      <c r="R181" s="11"/>
      <c r="S181" s="11" t="s">
        <v>1100</v>
      </c>
      <c r="T181" s="13" t="str">
        <f t="shared" si="2"/>
        <v/>
      </c>
      <c r="U181" s="11" t="s">
        <v>1100</v>
      </c>
      <c r="V181" s="11" t="s">
        <v>1100</v>
      </c>
      <c r="W181" s="11" t="s">
        <v>1100</v>
      </c>
      <c r="X181" s="11" t="s">
        <v>1100</v>
      </c>
      <c r="Y181" s="11" t="s">
        <v>1100</v>
      </c>
      <c r="Z181" s="11" t="s">
        <v>1100</v>
      </c>
      <c r="AA181" s="11" t="s">
        <v>1100</v>
      </c>
      <c r="AB181" s="11" t="s">
        <v>1100</v>
      </c>
      <c r="AC181" s="20" t="s">
        <v>1111</v>
      </c>
    </row>
    <row r="182" spans="2:29" ht="15.75" x14ac:dyDescent="0.25">
      <c r="B182" s="11">
        <v>171</v>
      </c>
      <c r="C182" s="12" t="s">
        <v>469</v>
      </c>
      <c r="D182" s="12" t="s">
        <v>470</v>
      </c>
      <c r="E182" s="12" t="s">
        <v>331</v>
      </c>
      <c r="F182" s="11"/>
      <c r="G182" s="13" t="s">
        <v>1203</v>
      </c>
      <c r="H182" s="13" t="s">
        <v>1035</v>
      </c>
      <c r="I182" s="21">
        <v>35137</v>
      </c>
      <c r="J182" s="15">
        <v>29</v>
      </c>
      <c r="K182" s="16" t="s">
        <v>1097</v>
      </c>
      <c r="L182" s="16" t="s">
        <v>1098</v>
      </c>
      <c r="M182" s="22" t="s">
        <v>1100</v>
      </c>
      <c r="N182" s="23" t="s">
        <v>1099</v>
      </c>
      <c r="O182" s="19" t="s">
        <v>1100</v>
      </c>
      <c r="P182" s="19" t="s">
        <v>1100</v>
      </c>
      <c r="Q182" s="13" t="s">
        <v>1100</v>
      </c>
      <c r="R182" s="11"/>
      <c r="S182" s="11" t="s">
        <v>1100</v>
      </c>
      <c r="T182" s="13" t="str">
        <f t="shared" si="2"/>
        <v/>
      </c>
      <c r="U182" s="11" t="s">
        <v>1100</v>
      </c>
      <c r="V182" s="11" t="s">
        <v>1100</v>
      </c>
      <c r="W182" s="11" t="s">
        <v>1100</v>
      </c>
      <c r="X182" s="11" t="s">
        <v>1100</v>
      </c>
      <c r="Y182" s="11" t="s">
        <v>1100</v>
      </c>
      <c r="Z182" s="11" t="s">
        <v>1100</v>
      </c>
      <c r="AA182" s="11" t="s">
        <v>1100</v>
      </c>
      <c r="AB182" s="11" t="s">
        <v>1100</v>
      </c>
      <c r="AC182" s="20" t="s">
        <v>1101</v>
      </c>
    </row>
    <row r="183" spans="2:29" ht="15.75" x14ac:dyDescent="0.25">
      <c r="B183" s="11">
        <v>172</v>
      </c>
      <c r="C183" s="12" t="s">
        <v>81</v>
      </c>
      <c r="D183" s="12" t="s">
        <v>472</v>
      </c>
      <c r="E183" s="12" t="s">
        <v>473</v>
      </c>
      <c r="F183" s="11"/>
      <c r="G183" s="13" t="s">
        <v>1118</v>
      </c>
      <c r="H183" s="13" t="s">
        <v>1035</v>
      </c>
      <c r="I183" s="21">
        <v>33756</v>
      </c>
      <c r="J183" s="15">
        <v>33</v>
      </c>
      <c r="K183" s="16" t="s">
        <v>1103</v>
      </c>
      <c r="L183" s="16" t="s">
        <v>1102</v>
      </c>
      <c r="M183" s="22" t="s">
        <v>1100</v>
      </c>
      <c r="N183" s="23" t="s">
        <v>1099</v>
      </c>
      <c r="O183" s="19" t="s">
        <v>1099</v>
      </c>
      <c r="P183" s="19" t="s">
        <v>1100</v>
      </c>
      <c r="Q183" s="13" t="s">
        <v>1100</v>
      </c>
      <c r="R183" s="11"/>
      <c r="S183" s="11" t="s">
        <v>1100</v>
      </c>
      <c r="T183" s="13" t="str">
        <f t="shared" si="2"/>
        <v/>
      </c>
      <c r="U183" s="11" t="s">
        <v>1100</v>
      </c>
      <c r="V183" s="11" t="s">
        <v>1100</v>
      </c>
      <c r="W183" s="11" t="s">
        <v>1100</v>
      </c>
      <c r="X183" s="11" t="s">
        <v>1100</v>
      </c>
      <c r="Y183" s="11" t="s">
        <v>1100</v>
      </c>
      <c r="Z183" s="11" t="s">
        <v>1100</v>
      </c>
      <c r="AA183" s="11" t="s">
        <v>1100</v>
      </c>
      <c r="AB183" s="11" t="s">
        <v>1100</v>
      </c>
      <c r="AC183" s="20" t="s">
        <v>1111</v>
      </c>
    </row>
    <row r="184" spans="2:29" ht="15.75" x14ac:dyDescent="0.25">
      <c r="B184" s="11">
        <v>173</v>
      </c>
      <c r="C184" s="12" t="s">
        <v>81</v>
      </c>
      <c r="D184" s="12" t="s">
        <v>471</v>
      </c>
      <c r="E184" s="12" t="s">
        <v>53</v>
      </c>
      <c r="F184" s="11"/>
      <c r="G184" s="13" t="s">
        <v>1118</v>
      </c>
      <c r="H184" s="13" t="s">
        <v>1035</v>
      </c>
      <c r="I184" s="21">
        <v>21684</v>
      </c>
      <c r="J184" s="15">
        <v>66</v>
      </c>
      <c r="K184" s="16" t="s">
        <v>1097</v>
      </c>
      <c r="L184" s="16" t="s">
        <v>1102</v>
      </c>
      <c r="M184" s="22" t="s">
        <v>1100</v>
      </c>
      <c r="N184" s="23" t="s">
        <v>1099</v>
      </c>
      <c r="O184" s="19" t="s">
        <v>1100</v>
      </c>
      <c r="P184" s="19" t="s">
        <v>1100</v>
      </c>
      <c r="Q184" s="13" t="s">
        <v>1100</v>
      </c>
      <c r="R184" s="11"/>
      <c r="S184" s="11" t="s">
        <v>1100</v>
      </c>
      <c r="T184" s="13" t="str">
        <f t="shared" si="2"/>
        <v>/</v>
      </c>
      <c r="U184" s="11" t="s">
        <v>1100</v>
      </c>
      <c r="V184" s="11" t="s">
        <v>1100</v>
      </c>
      <c r="W184" s="11" t="s">
        <v>1100</v>
      </c>
      <c r="X184" s="11" t="s">
        <v>1100</v>
      </c>
      <c r="Y184" s="11" t="s">
        <v>1100</v>
      </c>
      <c r="Z184" s="11" t="s">
        <v>1100</v>
      </c>
      <c r="AA184" s="11" t="s">
        <v>1100</v>
      </c>
      <c r="AB184" s="11" t="s">
        <v>1100</v>
      </c>
      <c r="AC184" s="20" t="s">
        <v>1101</v>
      </c>
    </row>
    <row r="185" spans="2:29" ht="15.75" x14ac:dyDescent="0.25">
      <c r="B185" s="11">
        <v>174</v>
      </c>
      <c r="C185" s="12" t="s">
        <v>474</v>
      </c>
      <c r="D185" s="12" t="s">
        <v>475</v>
      </c>
      <c r="E185" s="12" t="s">
        <v>476</v>
      </c>
      <c r="F185" s="11"/>
      <c r="G185" s="13" t="s">
        <v>1118</v>
      </c>
      <c r="H185" s="13" t="s">
        <v>1035</v>
      </c>
      <c r="I185" s="21">
        <v>27627</v>
      </c>
      <c r="J185" s="15">
        <v>50</v>
      </c>
      <c r="K185" s="16" t="s">
        <v>1097</v>
      </c>
      <c r="L185" s="16" t="s">
        <v>1102</v>
      </c>
      <c r="M185" s="22" t="s">
        <v>1100</v>
      </c>
      <c r="N185" s="23" t="s">
        <v>1099</v>
      </c>
      <c r="O185" s="19" t="s">
        <v>1100</v>
      </c>
      <c r="P185" s="19" t="s">
        <v>1100</v>
      </c>
      <c r="Q185" s="13" t="s">
        <v>1100</v>
      </c>
      <c r="R185" s="11"/>
      <c r="S185" s="11" t="s">
        <v>1099</v>
      </c>
      <c r="T185" s="13" t="str">
        <f t="shared" si="2"/>
        <v/>
      </c>
      <c r="U185" s="11" t="s">
        <v>1100</v>
      </c>
      <c r="V185" s="11" t="s">
        <v>1100</v>
      </c>
      <c r="W185" s="11" t="s">
        <v>1100</v>
      </c>
      <c r="X185" s="11" t="s">
        <v>1100</v>
      </c>
      <c r="Y185" s="11" t="s">
        <v>1100</v>
      </c>
      <c r="Z185" s="11" t="s">
        <v>1100</v>
      </c>
      <c r="AA185" s="11" t="s">
        <v>1100</v>
      </c>
      <c r="AB185" s="11" t="s">
        <v>1100</v>
      </c>
      <c r="AC185" s="20" t="s">
        <v>1101</v>
      </c>
    </row>
    <row r="186" spans="2:29" ht="15.75" x14ac:dyDescent="0.25">
      <c r="B186" s="11">
        <v>175</v>
      </c>
      <c r="C186" s="12" t="s">
        <v>38</v>
      </c>
      <c r="D186" s="12" t="s">
        <v>477</v>
      </c>
      <c r="E186" s="12" t="s">
        <v>81</v>
      </c>
      <c r="F186" s="11"/>
      <c r="G186" s="13" t="s">
        <v>1118</v>
      </c>
      <c r="H186" s="13" t="s">
        <v>1035</v>
      </c>
      <c r="I186" s="21">
        <v>28377</v>
      </c>
      <c r="J186" s="15">
        <v>48</v>
      </c>
      <c r="K186" s="16" t="s">
        <v>1097</v>
      </c>
      <c r="L186" s="16" t="s">
        <v>1102</v>
      </c>
      <c r="M186" s="22" t="s">
        <v>1100</v>
      </c>
      <c r="N186" s="23" t="s">
        <v>1099</v>
      </c>
      <c r="O186" s="19" t="s">
        <v>1100</v>
      </c>
      <c r="P186" s="19" t="s">
        <v>1100</v>
      </c>
      <c r="Q186" s="13" t="s">
        <v>1100</v>
      </c>
      <c r="R186" s="11"/>
      <c r="S186" s="11" t="s">
        <v>1099</v>
      </c>
      <c r="T186" s="13" t="str">
        <f t="shared" si="2"/>
        <v/>
      </c>
      <c r="U186" s="11" t="s">
        <v>1100</v>
      </c>
      <c r="V186" s="11" t="s">
        <v>1100</v>
      </c>
      <c r="W186" s="11" t="s">
        <v>1100</v>
      </c>
      <c r="X186" s="11" t="s">
        <v>1100</v>
      </c>
      <c r="Y186" s="11" t="s">
        <v>1100</v>
      </c>
      <c r="Z186" s="11" t="s">
        <v>1100</v>
      </c>
      <c r="AA186" s="11" t="s">
        <v>1100</v>
      </c>
      <c r="AB186" s="11" t="s">
        <v>1100</v>
      </c>
      <c r="AC186" s="20" t="s">
        <v>1101</v>
      </c>
    </row>
    <row r="187" spans="2:29" ht="15.75" x14ac:dyDescent="0.25">
      <c r="B187" s="11">
        <v>176</v>
      </c>
      <c r="C187" s="12" t="s">
        <v>478</v>
      </c>
      <c r="D187" s="12" t="s">
        <v>479</v>
      </c>
      <c r="E187" s="12" t="s">
        <v>480</v>
      </c>
      <c r="F187" s="11"/>
      <c r="G187" s="13" t="s">
        <v>1118</v>
      </c>
      <c r="H187" s="13" t="s">
        <v>1035</v>
      </c>
      <c r="I187" s="21">
        <v>31778</v>
      </c>
      <c r="J187" s="15">
        <v>39</v>
      </c>
      <c r="K187" s="16" t="s">
        <v>1097</v>
      </c>
      <c r="L187" s="16" t="s">
        <v>1102</v>
      </c>
      <c r="M187" s="22" t="s">
        <v>1100</v>
      </c>
      <c r="N187" s="23" t="s">
        <v>1099</v>
      </c>
      <c r="O187" s="19" t="s">
        <v>1100</v>
      </c>
      <c r="P187" s="19" t="s">
        <v>1100</v>
      </c>
      <c r="Q187" s="13" t="s">
        <v>1100</v>
      </c>
      <c r="R187" s="11"/>
      <c r="S187" s="11" t="s">
        <v>1099</v>
      </c>
      <c r="T187" s="13" t="str">
        <f t="shared" si="2"/>
        <v/>
      </c>
      <c r="U187" s="11" t="s">
        <v>1100</v>
      </c>
      <c r="V187" s="11" t="s">
        <v>1100</v>
      </c>
      <c r="W187" s="11" t="s">
        <v>1100</v>
      </c>
      <c r="X187" s="11" t="s">
        <v>1100</v>
      </c>
      <c r="Y187" s="11" t="s">
        <v>1100</v>
      </c>
      <c r="Z187" s="11" t="s">
        <v>1100</v>
      </c>
      <c r="AA187" s="11" t="s">
        <v>1100</v>
      </c>
      <c r="AB187" s="11" t="s">
        <v>1100</v>
      </c>
      <c r="AC187" s="20" t="s">
        <v>1111</v>
      </c>
    </row>
    <row r="188" spans="2:29" ht="15.75" x14ac:dyDescent="0.25">
      <c r="B188" s="11">
        <v>177</v>
      </c>
      <c r="C188" s="12" t="s">
        <v>481</v>
      </c>
      <c r="D188" s="12" t="s">
        <v>482</v>
      </c>
      <c r="E188" s="12" t="s">
        <v>483</v>
      </c>
      <c r="F188" s="11"/>
      <c r="G188" s="13" t="s">
        <v>1118</v>
      </c>
      <c r="H188" s="13" t="s">
        <v>1035</v>
      </c>
      <c r="I188" s="21">
        <v>20062</v>
      </c>
      <c r="J188" s="15">
        <v>71</v>
      </c>
      <c r="K188" s="16" t="s">
        <v>1097</v>
      </c>
      <c r="L188" s="16" t="s">
        <v>1263</v>
      </c>
      <c r="M188" s="22" t="s">
        <v>1100</v>
      </c>
      <c r="N188" s="23" t="s">
        <v>1099</v>
      </c>
      <c r="O188" s="19" t="s">
        <v>1100</v>
      </c>
      <c r="P188" s="19" t="s">
        <v>1100</v>
      </c>
      <c r="Q188" s="13" t="s">
        <v>1100</v>
      </c>
      <c r="R188" s="11"/>
      <c r="S188" s="11" t="s">
        <v>1099</v>
      </c>
      <c r="T188" s="13" t="str">
        <f t="shared" si="2"/>
        <v>/</v>
      </c>
      <c r="U188" s="11" t="s">
        <v>1100</v>
      </c>
      <c r="V188" s="11" t="s">
        <v>1100</v>
      </c>
      <c r="W188" s="11" t="s">
        <v>1100</v>
      </c>
      <c r="X188" s="11" t="s">
        <v>1100</v>
      </c>
      <c r="Y188" s="11" t="s">
        <v>1100</v>
      </c>
      <c r="Z188" s="11" t="s">
        <v>1100</v>
      </c>
      <c r="AA188" s="11" t="s">
        <v>1100</v>
      </c>
      <c r="AB188" s="11" t="s">
        <v>1100</v>
      </c>
      <c r="AC188" s="20" t="s">
        <v>1111</v>
      </c>
    </row>
    <row r="189" spans="2:29" ht="15.75" x14ac:dyDescent="0.25">
      <c r="B189" s="11">
        <v>178</v>
      </c>
      <c r="C189" s="12" t="s">
        <v>484</v>
      </c>
      <c r="D189" s="12" t="s">
        <v>487</v>
      </c>
      <c r="E189" s="12" t="s">
        <v>486</v>
      </c>
      <c r="F189" s="11"/>
      <c r="G189" s="13" t="s">
        <v>1202</v>
      </c>
      <c r="H189" s="13" t="s">
        <v>1035</v>
      </c>
      <c r="I189" s="21">
        <v>29574</v>
      </c>
      <c r="J189" s="15">
        <v>45</v>
      </c>
      <c r="K189" s="16" t="s">
        <v>1097</v>
      </c>
      <c r="L189" s="16" t="s">
        <v>1102</v>
      </c>
      <c r="M189" s="22" t="s">
        <v>1100</v>
      </c>
      <c r="N189" s="23" t="s">
        <v>1099</v>
      </c>
      <c r="O189" s="19" t="s">
        <v>1100</v>
      </c>
      <c r="P189" s="19" t="s">
        <v>1100</v>
      </c>
      <c r="Q189" s="13" t="s">
        <v>1100</v>
      </c>
      <c r="R189" s="11"/>
      <c r="S189" s="11" t="s">
        <v>1100</v>
      </c>
      <c r="T189" s="13" t="str">
        <f t="shared" si="2"/>
        <v/>
      </c>
      <c r="U189" s="11" t="s">
        <v>1100</v>
      </c>
      <c r="V189" s="11" t="s">
        <v>1100</v>
      </c>
      <c r="W189" s="11" t="s">
        <v>1100</v>
      </c>
      <c r="X189" s="11" t="s">
        <v>1100</v>
      </c>
      <c r="Y189" s="11" t="s">
        <v>1100</v>
      </c>
      <c r="Z189" s="11" t="s">
        <v>1100</v>
      </c>
      <c r="AA189" s="11" t="s">
        <v>1100</v>
      </c>
      <c r="AB189" s="11" t="s">
        <v>1100</v>
      </c>
      <c r="AC189" s="20" t="s">
        <v>1101</v>
      </c>
    </row>
    <row r="190" spans="2:29" ht="15.75" x14ac:dyDescent="0.25">
      <c r="B190" s="11">
        <v>179</v>
      </c>
      <c r="C190" s="12" t="s">
        <v>484</v>
      </c>
      <c r="D190" s="12" t="s">
        <v>485</v>
      </c>
      <c r="E190" s="12" t="s">
        <v>486</v>
      </c>
      <c r="F190" s="11"/>
      <c r="G190" s="13" t="s">
        <v>1202</v>
      </c>
      <c r="H190" s="13" t="s">
        <v>1035</v>
      </c>
      <c r="I190" s="21">
        <v>20905</v>
      </c>
      <c r="J190" s="15">
        <v>68</v>
      </c>
      <c r="K190" s="16" t="s">
        <v>1103</v>
      </c>
      <c r="L190" s="16" t="s">
        <v>1182</v>
      </c>
      <c r="M190" s="22" t="s">
        <v>1100</v>
      </c>
      <c r="N190" s="23" t="s">
        <v>1099</v>
      </c>
      <c r="O190" s="19" t="s">
        <v>1100</v>
      </c>
      <c r="P190" s="19" t="s">
        <v>1100</v>
      </c>
      <c r="Q190" s="13" t="s">
        <v>1100</v>
      </c>
      <c r="R190" s="11"/>
      <c r="S190" s="11" t="s">
        <v>1100</v>
      </c>
      <c r="T190" s="13" t="str">
        <f t="shared" si="2"/>
        <v>/</v>
      </c>
      <c r="U190" s="11" t="s">
        <v>1100</v>
      </c>
      <c r="V190" s="11" t="s">
        <v>1100</v>
      </c>
      <c r="W190" s="11" t="s">
        <v>1100</v>
      </c>
      <c r="X190" s="11" t="s">
        <v>1100</v>
      </c>
      <c r="Y190" s="11" t="s">
        <v>1100</v>
      </c>
      <c r="Z190" s="11" t="s">
        <v>1100</v>
      </c>
      <c r="AA190" s="11" t="s">
        <v>1100</v>
      </c>
      <c r="AB190" s="11" t="s">
        <v>1100</v>
      </c>
      <c r="AC190" s="20" t="s">
        <v>1101</v>
      </c>
    </row>
    <row r="191" spans="2:29" ht="15.75" x14ac:dyDescent="0.25">
      <c r="B191" s="11">
        <v>180</v>
      </c>
      <c r="C191" s="12" t="s">
        <v>62</v>
      </c>
      <c r="D191" s="12" t="s">
        <v>488</v>
      </c>
      <c r="E191" s="12" t="s">
        <v>489</v>
      </c>
      <c r="F191" s="11"/>
      <c r="G191" s="13" t="s">
        <v>1118</v>
      </c>
      <c r="H191" s="13" t="s">
        <v>1035</v>
      </c>
      <c r="I191" s="21">
        <v>34027</v>
      </c>
      <c r="J191" s="15">
        <v>32</v>
      </c>
      <c r="K191" s="16" t="s">
        <v>1097</v>
      </c>
      <c r="L191" s="16" t="s">
        <v>1098</v>
      </c>
      <c r="M191" s="22" t="s">
        <v>1100</v>
      </c>
      <c r="N191" s="23" t="s">
        <v>1099</v>
      </c>
      <c r="O191" s="19" t="s">
        <v>1100</v>
      </c>
      <c r="P191" s="19" t="s">
        <v>1100</v>
      </c>
      <c r="Q191" s="13" t="s">
        <v>1100</v>
      </c>
      <c r="R191" s="11"/>
      <c r="S191" s="11" t="s">
        <v>1100</v>
      </c>
      <c r="T191" s="13" t="str">
        <f t="shared" si="2"/>
        <v/>
      </c>
      <c r="U191" s="11" t="s">
        <v>1100</v>
      </c>
      <c r="V191" s="11" t="s">
        <v>1100</v>
      </c>
      <c r="W191" s="11" t="s">
        <v>1100</v>
      </c>
      <c r="X191" s="11" t="s">
        <v>1100</v>
      </c>
      <c r="Y191" s="11" t="s">
        <v>1100</v>
      </c>
      <c r="Z191" s="11" t="s">
        <v>1100</v>
      </c>
      <c r="AA191" s="11" t="s">
        <v>1100</v>
      </c>
      <c r="AB191" s="11" t="s">
        <v>1100</v>
      </c>
      <c r="AC191" s="20" t="s">
        <v>1101</v>
      </c>
    </row>
    <row r="192" spans="2:29" ht="15.75" x14ac:dyDescent="0.25">
      <c r="B192" s="11">
        <v>181</v>
      </c>
      <c r="C192" s="12" t="s">
        <v>62</v>
      </c>
      <c r="D192" s="12" t="s">
        <v>133</v>
      </c>
      <c r="E192" s="12" t="s">
        <v>490</v>
      </c>
      <c r="F192" s="11"/>
      <c r="G192" s="13" t="s">
        <v>1109</v>
      </c>
      <c r="H192" s="13" t="s">
        <v>1035</v>
      </c>
      <c r="I192" s="21">
        <v>27452</v>
      </c>
      <c r="J192" s="15">
        <v>50</v>
      </c>
      <c r="K192" s="16" t="s">
        <v>1097</v>
      </c>
      <c r="L192" s="16" t="s">
        <v>1108</v>
      </c>
      <c r="M192" s="22" t="s">
        <v>1100</v>
      </c>
      <c r="N192" s="23" t="s">
        <v>1099</v>
      </c>
      <c r="O192" s="19" t="s">
        <v>1100</v>
      </c>
      <c r="P192" s="19" t="s">
        <v>1099</v>
      </c>
      <c r="Q192" s="13" t="s">
        <v>1100</v>
      </c>
      <c r="R192" s="11"/>
      <c r="S192" s="11" t="s">
        <v>1100</v>
      </c>
      <c r="T192" s="13" t="str">
        <f t="shared" si="2"/>
        <v/>
      </c>
      <c r="U192" s="11" t="s">
        <v>1100</v>
      </c>
      <c r="V192" s="11" t="s">
        <v>1100</v>
      </c>
      <c r="W192" s="11" t="s">
        <v>1100</v>
      </c>
      <c r="X192" s="11" t="s">
        <v>1100</v>
      </c>
      <c r="Y192" s="11" t="s">
        <v>1100</v>
      </c>
      <c r="Z192" s="11" t="s">
        <v>1100</v>
      </c>
      <c r="AA192" s="11" t="s">
        <v>1100</v>
      </c>
      <c r="AB192" s="11" t="s">
        <v>1100</v>
      </c>
      <c r="AC192" s="20" t="s">
        <v>1101</v>
      </c>
    </row>
    <row r="193" spans="2:29" ht="15.75" x14ac:dyDescent="0.25">
      <c r="B193" s="11">
        <v>182</v>
      </c>
      <c r="C193" s="12" t="s">
        <v>62</v>
      </c>
      <c r="D193" s="12" t="s">
        <v>491</v>
      </c>
      <c r="E193" s="12" t="s">
        <v>492</v>
      </c>
      <c r="F193" s="11"/>
      <c r="G193" s="13" t="s">
        <v>1109</v>
      </c>
      <c r="H193" s="13" t="s">
        <v>1035</v>
      </c>
      <c r="I193" s="21">
        <v>30309</v>
      </c>
      <c r="J193" s="15">
        <v>43</v>
      </c>
      <c r="K193" s="16" t="s">
        <v>1097</v>
      </c>
      <c r="L193" s="16" t="s">
        <v>1102</v>
      </c>
      <c r="M193" s="22" t="s">
        <v>1100</v>
      </c>
      <c r="N193" s="23" t="s">
        <v>1099</v>
      </c>
      <c r="O193" s="19" t="s">
        <v>1099</v>
      </c>
      <c r="P193" s="19" t="s">
        <v>1099</v>
      </c>
      <c r="Q193" s="13" t="s">
        <v>1100</v>
      </c>
      <c r="R193" s="11"/>
      <c r="S193" s="11" t="s">
        <v>1099</v>
      </c>
      <c r="T193" s="13" t="str">
        <f t="shared" si="2"/>
        <v/>
      </c>
      <c r="U193" s="11" t="s">
        <v>1100</v>
      </c>
      <c r="V193" s="11" t="s">
        <v>1100</v>
      </c>
      <c r="W193" s="11" t="s">
        <v>1100</v>
      </c>
      <c r="X193" s="11" t="s">
        <v>1100</v>
      </c>
      <c r="Y193" s="11" t="s">
        <v>1100</v>
      </c>
      <c r="Z193" s="11" t="s">
        <v>1100</v>
      </c>
      <c r="AA193" s="11" t="s">
        <v>1100</v>
      </c>
      <c r="AB193" s="11" t="s">
        <v>1100</v>
      </c>
      <c r="AC193" s="20" t="s">
        <v>1111</v>
      </c>
    </row>
    <row r="194" spans="2:29" ht="15.75" x14ac:dyDescent="0.25">
      <c r="B194" s="11">
        <v>183</v>
      </c>
      <c r="C194" s="12" t="s">
        <v>493</v>
      </c>
      <c r="D194" s="12" t="s">
        <v>494</v>
      </c>
      <c r="E194" s="12" t="s">
        <v>495</v>
      </c>
      <c r="F194" s="11"/>
      <c r="G194" s="13" t="s">
        <v>1118</v>
      </c>
      <c r="H194" s="13" t="s">
        <v>1035</v>
      </c>
      <c r="I194" s="21">
        <v>31266</v>
      </c>
      <c r="J194" s="15">
        <v>40</v>
      </c>
      <c r="K194" s="16" t="s">
        <v>1097</v>
      </c>
      <c r="L194" s="16" t="s">
        <v>1102</v>
      </c>
      <c r="M194" s="22" t="s">
        <v>1100</v>
      </c>
      <c r="N194" s="23" t="s">
        <v>1099</v>
      </c>
      <c r="O194" s="19" t="s">
        <v>1099</v>
      </c>
      <c r="P194" s="19" t="s">
        <v>1100</v>
      </c>
      <c r="Q194" s="13" t="s">
        <v>1100</v>
      </c>
      <c r="R194" s="11"/>
      <c r="S194" s="11" t="s">
        <v>1100</v>
      </c>
      <c r="T194" s="13" t="str">
        <f t="shared" si="2"/>
        <v/>
      </c>
      <c r="U194" s="11" t="s">
        <v>1100</v>
      </c>
      <c r="V194" s="11" t="s">
        <v>1100</v>
      </c>
      <c r="W194" s="11" t="s">
        <v>1100</v>
      </c>
      <c r="X194" s="11" t="s">
        <v>1100</v>
      </c>
      <c r="Y194" s="11" t="s">
        <v>1100</v>
      </c>
      <c r="Z194" s="11" t="s">
        <v>1100</v>
      </c>
      <c r="AA194" s="11" t="s">
        <v>1100</v>
      </c>
      <c r="AB194" s="11" t="s">
        <v>1100</v>
      </c>
      <c r="AC194" s="20" t="s">
        <v>1101</v>
      </c>
    </row>
    <row r="195" spans="2:29" ht="15.75" x14ac:dyDescent="0.25">
      <c r="B195" s="11">
        <v>184</v>
      </c>
      <c r="C195" s="12" t="s">
        <v>496</v>
      </c>
      <c r="D195" s="12" t="s">
        <v>502</v>
      </c>
      <c r="E195" s="12" t="s">
        <v>503</v>
      </c>
      <c r="F195" s="11"/>
      <c r="G195" s="13" t="s">
        <v>1204</v>
      </c>
      <c r="H195" s="13" t="s">
        <v>1036</v>
      </c>
      <c r="I195" s="21">
        <v>25125</v>
      </c>
      <c r="J195" s="15">
        <v>57</v>
      </c>
      <c r="K195" s="16" t="s">
        <v>1097</v>
      </c>
      <c r="L195" s="16" t="s">
        <v>1108</v>
      </c>
      <c r="M195" s="22" t="s">
        <v>1099</v>
      </c>
      <c r="N195" s="23"/>
      <c r="O195" s="19" t="s">
        <v>1100</v>
      </c>
      <c r="P195" s="19" t="s">
        <v>1100</v>
      </c>
      <c r="Q195" s="13" t="s">
        <v>1100</v>
      </c>
      <c r="R195" s="11"/>
      <c r="S195" s="11" t="s">
        <v>1100</v>
      </c>
      <c r="T195" s="13" t="str">
        <f t="shared" si="2"/>
        <v/>
      </c>
      <c r="U195" s="11" t="s">
        <v>1100</v>
      </c>
      <c r="V195" s="11" t="s">
        <v>1100</v>
      </c>
      <c r="W195" s="11" t="s">
        <v>1100</v>
      </c>
      <c r="X195" s="11" t="s">
        <v>1100</v>
      </c>
      <c r="Y195" s="11" t="s">
        <v>1100</v>
      </c>
      <c r="Z195" s="11" t="s">
        <v>1100</v>
      </c>
      <c r="AA195" s="11" t="s">
        <v>1100</v>
      </c>
      <c r="AB195" s="11" t="s">
        <v>1100</v>
      </c>
      <c r="AC195" s="20" t="s">
        <v>1111</v>
      </c>
    </row>
    <row r="196" spans="2:29" ht="15.75" x14ac:dyDescent="0.25">
      <c r="B196" s="11">
        <v>185</v>
      </c>
      <c r="C196" s="12" t="s">
        <v>496</v>
      </c>
      <c r="D196" s="12" t="s">
        <v>499</v>
      </c>
      <c r="E196" s="12" t="s">
        <v>498</v>
      </c>
      <c r="F196" s="11"/>
      <c r="G196" s="13" t="s">
        <v>1204</v>
      </c>
      <c r="H196" s="13" t="s">
        <v>1036</v>
      </c>
      <c r="I196" s="21">
        <v>35594</v>
      </c>
      <c r="J196" s="15">
        <v>28</v>
      </c>
      <c r="K196" s="16" t="s">
        <v>1097</v>
      </c>
      <c r="L196" s="16" t="s">
        <v>1098</v>
      </c>
      <c r="M196" s="22" t="s">
        <v>1099</v>
      </c>
      <c r="N196" s="23"/>
      <c r="O196" s="19" t="s">
        <v>1100</v>
      </c>
      <c r="P196" s="19" t="s">
        <v>1100</v>
      </c>
      <c r="Q196" s="13" t="s">
        <v>1100</v>
      </c>
      <c r="R196" s="11"/>
      <c r="S196" s="11" t="s">
        <v>1100</v>
      </c>
      <c r="T196" s="13" t="str">
        <f t="shared" si="2"/>
        <v/>
      </c>
      <c r="U196" s="11" t="s">
        <v>1100</v>
      </c>
      <c r="V196" s="11" t="s">
        <v>1100</v>
      </c>
      <c r="W196" s="11" t="s">
        <v>1100</v>
      </c>
      <c r="X196" s="11" t="s">
        <v>1100</v>
      </c>
      <c r="Y196" s="11" t="s">
        <v>1100</v>
      </c>
      <c r="Z196" s="11" t="s">
        <v>1100</v>
      </c>
      <c r="AA196" s="11" t="s">
        <v>1100</v>
      </c>
      <c r="AB196" s="11" t="s">
        <v>1100</v>
      </c>
      <c r="AC196" s="20" t="s">
        <v>1111</v>
      </c>
    </row>
    <row r="197" spans="2:29" ht="15.75" x14ac:dyDescent="0.25">
      <c r="B197" s="11">
        <v>186</v>
      </c>
      <c r="C197" s="12" t="s">
        <v>496</v>
      </c>
      <c r="D197" s="12" t="s">
        <v>497</v>
      </c>
      <c r="E197" s="12" t="s">
        <v>498</v>
      </c>
      <c r="F197" s="11"/>
      <c r="G197" s="13" t="s">
        <v>1204</v>
      </c>
      <c r="H197" s="13" t="s">
        <v>1036</v>
      </c>
      <c r="I197" s="21">
        <v>36710</v>
      </c>
      <c r="J197" s="15">
        <v>25</v>
      </c>
      <c r="K197" s="16" t="s">
        <v>1097</v>
      </c>
      <c r="L197" s="16" t="s">
        <v>1098</v>
      </c>
      <c r="M197" s="22" t="s">
        <v>1099</v>
      </c>
      <c r="N197" s="23"/>
      <c r="O197" s="19" t="s">
        <v>1100</v>
      </c>
      <c r="P197" s="19" t="s">
        <v>1100</v>
      </c>
      <c r="Q197" s="13" t="s">
        <v>1100</v>
      </c>
      <c r="R197" s="11"/>
      <c r="S197" s="11" t="s">
        <v>1100</v>
      </c>
      <c r="T197" s="13" t="str">
        <f t="shared" si="2"/>
        <v/>
      </c>
      <c r="U197" s="11" t="s">
        <v>1100</v>
      </c>
      <c r="V197" s="11" t="s">
        <v>1100</v>
      </c>
      <c r="W197" s="11" t="s">
        <v>1100</v>
      </c>
      <c r="X197" s="11" t="s">
        <v>1100</v>
      </c>
      <c r="Y197" s="11" t="s">
        <v>1100</v>
      </c>
      <c r="Z197" s="11" t="s">
        <v>1100</v>
      </c>
      <c r="AA197" s="11" t="s">
        <v>1100</v>
      </c>
      <c r="AB197" s="11" t="s">
        <v>1100</v>
      </c>
      <c r="AC197" s="20" t="s">
        <v>1111</v>
      </c>
    </row>
    <row r="198" spans="2:29" ht="15.75" x14ac:dyDescent="0.25">
      <c r="B198" s="11">
        <v>187</v>
      </c>
      <c r="C198" s="12" t="s">
        <v>496</v>
      </c>
      <c r="D198" s="12" t="s">
        <v>247</v>
      </c>
      <c r="E198" s="12" t="s">
        <v>463</v>
      </c>
      <c r="F198" s="11"/>
      <c r="G198" s="13" t="s">
        <v>1204</v>
      </c>
      <c r="H198" s="13" t="s">
        <v>1036</v>
      </c>
      <c r="I198" s="21">
        <v>25420</v>
      </c>
      <c r="J198" s="15">
        <v>56</v>
      </c>
      <c r="K198" s="16" t="s">
        <v>1103</v>
      </c>
      <c r="L198" s="16" t="s">
        <v>1102</v>
      </c>
      <c r="M198" s="22" t="s">
        <v>1099</v>
      </c>
      <c r="N198" s="23"/>
      <c r="O198" s="19" t="s">
        <v>1099</v>
      </c>
      <c r="P198" s="19" t="s">
        <v>1100</v>
      </c>
      <c r="Q198" s="13" t="s">
        <v>1100</v>
      </c>
      <c r="R198" s="11"/>
      <c r="S198" s="11" t="s">
        <v>1100</v>
      </c>
      <c r="T198" s="13" t="str">
        <f t="shared" si="2"/>
        <v/>
      </c>
      <c r="U198" s="11" t="s">
        <v>1100</v>
      </c>
      <c r="V198" s="11" t="s">
        <v>1100</v>
      </c>
      <c r="W198" s="11" t="s">
        <v>1100</v>
      </c>
      <c r="X198" s="11" t="s">
        <v>1100</v>
      </c>
      <c r="Y198" s="11" t="s">
        <v>1100</v>
      </c>
      <c r="Z198" s="11" t="s">
        <v>1100</v>
      </c>
      <c r="AA198" s="11" t="s">
        <v>1100</v>
      </c>
      <c r="AB198" s="11" t="s">
        <v>1100</v>
      </c>
      <c r="AC198" s="20" t="s">
        <v>1111</v>
      </c>
    </row>
    <row r="199" spans="2:29" ht="15.75" x14ac:dyDescent="0.25">
      <c r="B199" s="11">
        <v>188</v>
      </c>
      <c r="C199" s="12" t="s">
        <v>496</v>
      </c>
      <c r="D199" s="12" t="s">
        <v>80</v>
      </c>
      <c r="E199" s="12" t="s">
        <v>500</v>
      </c>
      <c r="F199" s="11"/>
      <c r="G199" s="13" t="s">
        <v>1204</v>
      </c>
      <c r="H199" s="13" t="s">
        <v>1036</v>
      </c>
      <c r="I199" s="21">
        <v>32314</v>
      </c>
      <c r="J199" s="15">
        <v>37</v>
      </c>
      <c r="K199" s="16" t="s">
        <v>1103</v>
      </c>
      <c r="L199" s="16" t="s">
        <v>1102</v>
      </c>
      <c r="M199" s="22" t="s">
        <v>1099</v>
      </c>
      <c r="N199" s="23"/>
      <c r="O199" s="19" t="s">
        <v>1099</v>
      </c>
      <c r="P199" s="19" t="s">
        <v>1100</v>
      </c>
      <c r="Q199" s="13" t="s">
        <v>1100</v>
      </c>
      <c r="R199" s="11"/>
      <c r="S199" s="11" t="s">
        <v>1100</v>
      </c>
      <c r="T199" s="13" t="str">
        <f t="shared" si="2"/>
        <v/>
      </c>
      <c r="U199" s="11" t="s">
        <v>1100</v>
      </c>
      <c r="V199" s="11" t="s">
        <v>1100</v>
      </c>
      <c r="W199" s="11" t="s">
        <v>1100</v>
      </c>
      <c r="X199" s="11" t="s">
        <v>1100</v>
      </c>
      <c r="Y199" s="11" t="s">
        <v>1100</v>
      </c>
      <c r="Z199" s="11" t="s">
        <v>1100</v>
      </c>
      <c r="AA199" s="11" t="s">
        <v>1100</v>
      </c>
      <c r="AB199" s="11" t="s">
        <v>1100</v>
      </c>
      <c r="AC199" s="20" t="s">
        <v>1111</v>
      </c>
    </row>
    <row r="200" spans="2:29" ht="15.75" x14ac:dyDescent="0.25">
      <c r="B200" s="11">
        <v>189</v>
      </c>
      <c r="C200" s="12" t="s">
        <v>496</v>
      </c>
      <c r="D200" s="12" t="s">
        <v>501</v>
      </c>
      <c r="E200" s="12" t="s">
        <v>113</v>
      </c>
      <c r="F200" s="11"/>
      <c r="G200" s="13" t="s">
        <v>1204</v>
      </c>
      <c r="H200" s="13" t="s">
        <v>1036</v>
      </c>
      <c r="I200" s="21">
        <v>34091</v>
      </c>
      <c r="J200" s="15">
        <v>32</v>
      </c>
      <c r="K200" s="16" t="s">
        <v>1103</v>
      </c>
      <c r="L200" s="16" t="s">
        <v>1102</v>
      </c>
      <c r="M200" s="22" t="s">
        <v>1099</v>
      </c>
      <c r="N200" s="23"/>
      <c r="O200" s="19" t="s">
        <v>1099</v>
      </c>
      <c r="P200" s="19" t="s">
        <v>1100</v>
      </c>
      <c r="Q200" s="13" t="s">
        <v>1100</v>
      </c>
      <c r="R200" s="11"/>
      <c r="S200" s="11" t="s">
        <v>1100</v>
      </c>
      <c r="T200" s="13" t="str">
        <f t="shared" si="2"/>
        <v/>
      </c>
      <c r="U200" s="11" t="s">
        <v>1100</v>
      </c>
      <c r="V200" s="11" t="s">
        <v>1100</v>
      </c>
      <c r="W200" s="11" t="s">
        <v>1100</v>
      </c>
      <c r="X200" s="11" t="s">
        <v>1100</v>
      </c>
      <c r="Y200" s="11" t="s">
        <v>1100</v>
      </c>
      <c r="Z200" s="11" t="s">
        <v>1100</v>
      </c>
      <c r="AA200" s="11" t="s">
        <v>1100</v>
      </c>
      <c r="AB200" s="11" t="s">
        <v>1100</v>
      </c>
      <c r="AC200" s="20" t="s">
        <v>1101</v>
      </c>
    </row>
    <row r="201" spans="2:29" ht="15.75" x14ac:dyDescent="0.25">
      <c r="B201" s="11">
        <v>190</v>
      </c>
      <c r="C201" s="12" t="s">
        <v>504</v>
      </c>
      <c r="D201" s="12" t="s">
        <v>505</v>
      </c>
      <c r="E201" s="12" t="s">
        <v>506</v>
      </c>
      <c r="F201" s="11"/>
      <c r="G201" s="13" t="s">
        <v>1205</v>
      </c>
      <c r="H201" s="13" t="s">
        <v>1036</v>
      </c>
      <c r="I201" s="21">
        <v>34143</v>
      </c>
      <c r="J201" s="15">
        <v>32</v>
      </c>
      <c r="K201" s="16" t="s">
        <v>1097</v>
      </c>
      <c r="L201" s="16" t="s">
        <v>1098</v>
      </c>
      <c r="M201" s="22" t="s">
        <v>1099</v>
      </c>
      <c r="N201" s="23"/>
      <c r="O201" s="19" t="s">
        <v>1100</v>
      </c>
      <c r="P201" s="19" t="s">
        <v>1100</v>
      </c>
      <c r="Q201" s="13" t="s">
        <v>1100</v>
      </c>
      <c r="R201" s="11"/>
      <c r="S201" s="11" t="s">
        <v>1100</v>
      </c>
      <c r="T201" s="13" t="str">
        <f t="shared" si="2"/>
        <v/>
      </c>
      <c r="U201" s="11" t="s">
        <v>1100</v>
      </c>
      <c r="V201" s="11" t="s">
        <v>1100</v>
      </c>
      <c r="W201" s="11" t="s">
        <v>1100</v>
      </c>
      <c r="X201" s="11" t="s">
        <v>1100</v>
      </c>
      <c r="Y201" s="11" t="s">
        <v>1100</v>
      </c>
      <c r="Z201" s="11" t="s">
        <v>1100</v>
      </c>
      <c r="AA201" s="11" t="s">
        <v>1100</v>
      </c>
      <c r="AB201" s="11" t="s">
        <v>1100</v>
      </c>
      <c r="AC201" s="20" t="s">
        <v>1101</v>
      </c>
    </row>
    <row r="202" spans="2:29" ht="15.75" x14ac:dyDescent="0.25">
      <c r="B202" s="11">
        <v>191</v>
      </c>
      <c r="C202" s="12" t="s">
        <v>507</v>
      </c>
      <c r="D202" s="12" t="s">
        <v>89</v>
      </c>
      <c r="E202" s="12" t="s">
        <v>496</v>
      </c>
      <c r="F202" s="11"/>
      <c r="G202" s="13" t="s">
        <v>1204</v>
      </c>
      <c r="H202" s="13" t="s">
        <v>1036</v>
      </c>
      <c r="I202" s="21">
        <v>26568</v>
      </c>
      <c r="J202" s="15">
        <v>53</v>
      </c>
      <c r="K202" s="16" t="s">
        <v>1097</v>
      </c>
      <c r="L202" s="16" t="s">
        <v>1102</v>
      </c>
      <c r="M202" s="22" t="s">
        <v>1099</v>
      </c>
      <c r="N202" s="23"/>
      <c r="O202" s="19" t="s">
        <v>1099</v>
      </c>
      <c r="P202" s="19" t="s">
        <v>1100</v>
      </c>
      <c r="Q202" s="13" t="s">
        <v>1100</v>
      </c>
      <c r="R202" s="11"/>
      <c r="S202" s="11" t="s">
        <v>1100</v>
      </c>
      <c r="T202" s="13" t="str">
        <f t="shared" si="2"/>
        <v/>
      </c>
      <c r="U202" s="11" t="s">
        <v>1100</v>
      </c>
      <c r="V202" s="11" t="s">
        <v>1100</v>
      </c>
      <c r="W202" s="11" t="s">
        <v>1100</v>
      </c>
      <c r="X202" s="11" t="s">
        <v>1100</v>
      </c>
      <c r="Y202" s="11" t="s">
        <v>1100</v>
      </c>
      <c r="Z202" s="11" t="s">
        <v>1100</v>
      </c>
      <c r="AA202" s="11" t="s">
        <v>1100</v>
      </c>
      <c r="AB202" s="11" t="s">
        <v>1100</v>
      </c>
      <c r="AC202" s="20" t="s">
        <v>1111</v>
      </c>
    </row>
    <row r="203" spans="2:29" ht="15.75" x14ac:dyDescent="0.25">
      <c r="B203" s="11">
        <v>192</v>
      </c>
      <c r="C203" s="12" t="s">
        <v>508</v>
      </c>
      <c r="D203" s="12" t="s">
        <v>509</v>
      </c>
      <c r="E203" s="12" t="s">
        <v>125</v>
      </c>
      <c r="F203" s="11"/>
      <c r="G203" s="13" t="s">
        <v>1112</v>
      </c>
      <c r="H203" s="13" t="s">
        <v>1036</v>
      </c>
      <c r="I203" s="21">
        <v>28623</v>
      </c>
      <c r="J203" s="15">
        <v>47</v>
      </c>
      <c r="K203" s="16" t="s">
        <v>1097</v>
      </c>
      <c r="L203" s="16" t="s">
        <v>1102</v>
      </c>
      <c r="M203" s="22" t="s">
        <v>1099</v>
      </c>
      <c r="N203" s="23"/>
      <c r="O203" s="19" t="s">
        <v>1099</v>
      </c>
      <c r="P203" s="19" t="s">
        <v>1100</v>
      </c>
      <c r="Q203" s="13" t="s">
        <v>1100</v>
      </c>
      <c r="R203" s="11"/>
      <c r="S203" s="11" t="s">
        <v>1100</v>
      </c>
      <c r="T203" s="13" t="str">
        <f t="shared" si="2"/>
        <v/>
      </c>
      <c r="U203" s="11" t="s">
        <v>1100</v>
      </c>
      <c r="V203" s="11" t="s">
        <v>1100</v>
      </c>
      <c r="W203" s="11" t="s">
        <v>1100</v>
      </c>
      <c r="X203" s="11" t="s">
        <v>1100</v>
      </c>
      <c r="Y203" s="11" t="s">
        <v>1100</v>
      </c>
      <c r="Z203" s="11" t="s">
        <v>1100</v>
      </c>
      <c r="AA203" s="11" t="s">
        <v>1100</v>
      </c>
      <c r="AB203" s="11" t="s">
        <v>1100</v>
      </c>
      <c r="AC203" s="20" t="s">
        <v>1101</v>
      </c>
    </row>
    <row r="204" spans="2:29" ht="15.75" x14ac:dyDescent="0.25">
      <c r="B204" s="11">
        <v>193</v>
      </c>
      <c r="C204" s="12" t="s">
        <v>508</v>
      </c>
      <c r="D204" s="12" t="s">
        <v>511</v>
      </c>
      <c r="E204" s="12" t="s">
        <v>97</v>
      </c>
      <c r="F204" s="11"/>
      <c r="G204" s="13" t="s">
        <v>1207</v>
      </c>
      <c r="H204" s="13" t="s">
        <v>1036</v>
      </c>
      <c r="I204" s="21">
        <v>30827</v>
      </c>
      <c r="J204" s="15">
        <v>41</v>
      </c>
      <c r="K204" s="16" t="s">
        <v>1097</v>
      </c>
      <c r="L204" s="16" t="s">
        <v>1181</v>
      </c>
      <c r="M204" s="22" t="s">
        <v>1099</v>
      </c>
      <c r="N204" s="23"/>
      <c r="O204" s="19" t="s">
        <v>1100</v>
      </c>
      <c r="P204" s="19" t="s">
        <v>1100</v>
      </c>
      <c r="Q204" s="13" t="s">
        <v>1100</v>
      </c>
      <c r="R204" s="11"/>
      <c r="S204" s="11" t="s">
        <v>1100</v>
      </c>
      <c r="T204" s="13" t="str">
        <f t="shared" ref="T204:T267" si="3">IF(J204&gt;59,"/","")</f>
        <v/>
      </c>
      <c r="U204" s="11" t="s">
        <v>1100</v>
      </c>
      <c r="V204" s="11" t="s">
        <v>1100</v>
      </c>
      <c r="W204" s="11" t="s">
        <v>1100</v>
      </c>
      <c r="X204" s="11" t="s">
        <v>1100</v>
      </c>
      <c r="Y204" s="11" t="s">
        <v>1100</v>
      </c>
      <c r="Z204" s="11" t="s">
        <v>1100</v>
      </c>
      <c r="AA204" s="11" t="s">
        <v>1100</v>
      </c>
      <c r="AB204" s="11" t="s">
        <v>1100</v>
      </c>
      <c r="AC204" s="20" t="s">
        <v>1111</v>
      </c>
    </row>
    <row r="205" spans="2:29" ht="15.75" x14ac:dyDescent="0.25">
      <c r="B205" s="11">
        <v>194</v>
      </c>
      <c r="C205" s="12" t="s">
        <v>508</v>
      </c>
      <c r="D205" s="12" t="s">
        <v>510</v>
      </c>
      <c r="E205" s="12" t="s">
        <v>97</v>
      </c>
      <c r="F205" s="11"/>
      <c r="G205" s="13" t="s">
        <v>1206</v>
      </c>
      <c r="H205" s="13" t="s">
        <v>1036</v>
      </c>
      <c r="I205" s="21">
        <v>19481</v>
      </c>
      <c r="J205" s="15">
        <v>72</v>
      </c>
      <c r="K205" s="16" t="s">
        <v>1103</v>
      </c>
      <c r="L205" s="16" t="s">
        <v>1181</v>
      </c>
      <c r="M205" s="22" t="s">
        <v>1099</v>
      </c>
      <c r="N205" s="23"/>
      <c r="O205" s="19" t="s">
        <v>1100</v>
      </c>
      <c r="P205" s="19" t="s">
        <v>1100</v>
      </c>
      <c r="Q205" s="13" t="s">
        <v>1100</v>
      </c>
      <c r="R205" s="11"/>
      <c r="S205" s="11" t="s">
        <v>1100</v>
      </c>
      <c r="T205" s="13" t="str">
        <f t="shared" si="3"/>
        <v>/</v>
      </c>
      <c r="U205" s="11" t="s">
        <v>1100</v>
      </c>
      <c r="V205" s="11" t="s">
        <v>1100</v>
      </c>
      <c r="W205" s="11" t="s">
        <v>1100</v>
      </c>
      <c r="X205" s="11" t="s">
        <v>1100</v>
      </c>
      <c r="Y205" s="11" t="s">
        <v>1100</v>
      </c>
      <c r="Z205" s="11" t="s">
        <v>1100</v>
      </c>
      <c r="AA205" s="11" t="s">
        <v>1100</v>
      </c>
      <c r="AB205" s="11" t="s">
        <v>1100</v>
      </c>
      <c r="AC205" s="20" t="s">
        <v>1111</v>
      </c>
    </row>
    <row r="206" spans="2:29" ht="15.75" x14ac:dyDescent="0.25">
      <c r="B206" s="11">
        <v>195</v>
      </c>
      <c r="C206" s="12" t="s">
        <v>512</v>
      </c>
      <c r="D206" s="12" t="s">
        <v>513</v>
      </c>
      <c r="E206" s="12" t="s">
        <v>514</v>
      </c>
      <c r="F206" s="11"/>
      <c r="G206" s="13" t="s">
        <v>1206</v>
      </c>
      <c r="H206" s="13" t="s">
        <v>1036</v>
      </c>
      <c r="I206" s="21">
        <v>27904</v>
      </c>
      <c r="J206" s="15">
        <v>49</v>
      </c>
      <c r="K206" s="16" t="s">
        <v>1103</v>
      </c>
      <c r="L206" s="16" t="s">
        <v>1102</v>
      </c>
      <c r="M206" s="22" t="s">
        <v>1099</v>
      </c>
      <c r="N206" s="23"/>
      <c r="O206" s="19" t="s">
        <v>1100</v>
      </c>
      <c r="P206" s="19" t="s">
        <v>1100</v>
      </c>
      <c r="Q206" s="13" t="s">
        <v>1100</v>
      </c>
      <c r="R206" s="11"/>
      <c r="S206" s="11" t="s">
        <v>1100</v>
      </c>
      <c r="T206" s="13" t="str">
        <f t="shared" si="3"/>
        <v/>
      </c>
      <c r="U206" s="11" t="s">
        <v>1100</v>
      </c>
      <c r="V206" s="11" t="s">
        <v>1100</v>
      </c>
      <c r="W206" s="11" t="s">
        <v>1100</v>
      </c>
      <c r="X206" s="11" t="s">
        <v>1100</v>
      </c>
      <c r="Y206" s="11" t="s">
        <v>1100</v>
      </c>
      <c r="Z206" s="11" t="s">
        <v>1100</v>
      </c>
      <c r="AA206" s="11" t="s">
        <v>1100</v>
      </c>
      <c r="AB206" s="11" t="s">
        <v>1100</v>
      </c>
      <c r="AC206" s="20" t="s">
        <v>1101</v>
      </c>
    </row>
    <row r="207" spans="2:29" ht="15.75" x14ac:dyDescent="0.25">
      <c r="B207" s="11">
        <v>196</v>
      </c>
      <c r="C207" s="12" t="s">
        <v>515</v>
      </c>
      <c r="D207" s="12" t="s">
        <v>519</v>
      </c>
      <c r="E207" s="12" t="s">
        <v>78</v>
      </c>
      <c r="F207" s="11"/>
      <c r="G207" s="13" t="s">
        <v>1208</v>
      </c>
      <c r="H207" s="13" t="s">
        <v>1036</v>
      </c>
      <c r="I207" s="21">
        <v>33089</v>
      </c>
      <c r="J207" s="15">
        <v>35</v>
      </c>
      <c r="K207" s="16" t="s">
        <v>1097</v>
      </c>
      <c r="L207" s="16" t="s">
        <v>1102</v>
      </c>
      <c r="M207" s="22" t="s">
        <v>1099</v>
      </c>
      <c r="N207" s="23"/>
      <c r="O207" s="19" t="s">
        <v>1100</v>
      </c>
      <c r="P207" s="19" t="s">
        <v>1100</v>
      </c>
      <c r="Q207" s="13" t="s">
        <v>1100</v>
      </c>
      <c r="R207" s="11"/>
      <c r="S207" s="11" t="s">
        <v>1100</v>
      </c>
      <c r="T207" s="13" t="str">
        <f t="shared" si="3"/>
        <v/>
      </c>
      <c r="U207" s="11" t="s">
        <v>1100</v>
      </c>
      <c r="V207" s="11" t="s">
        <v>1100</v>
      </c>
      <c r="W207" s="11" t="s">
        <v>1100</v>
      </c>
      <c r="X207" s="11" t="s">
        <v>1100</v>
      </c>
      <c r="Y207" s="11" t="s">
        <v>1100</v>
      </c>
      <c r="Z207" s="11" t="s">
        <v>1100</v>
      </c>
      <c r="AA207" s="11" t="s">
        <v>1100</v>
      </c>
      <c r="AB207" s="11" t="s">
        <v>1100</v>
      </c>
      <c r="AC207" s="20" t="s">
        <v>1101</v>
      </c>
    </row>
    <row r="208" spans="2:29" ht="15.75" x14ac:dyDescent="0.25">
      <c r="B208" s="11">
        <v>197</v>
      </c>
      <c r="C208" s="12" t="s">
        <v>515</v>
      </c>
      <c r="D208" s="12" t="s">
        <v>518</v>
      </c>
      <c r="E208" s="12" t="s">
        <v>97</v>
      </c>
      <c r="F208" s="11"/>
      <c r="G208" s="13" t="s">
        <v>1208</v>
      </c>
      <c r="H208" s="13" t="s">
        <v>1036</v>
      </c>
      <c r="I208" s="21">
        <v>31849</v>
      </c>
      <c r="J208" s="15">
        <v>38</v>
      </c>
      <c r="K208" s="16" t="s">
        <v>1097</v>
      </c>
      <c r="L208" s="16" t="s">
        <v>1102</v>
      </c>
      <c r="M208" s="22" t="s">
        <v>1099</v>
      </c>
      <c r="N208" s="23"/>
      <c r="O208" s="19" t="s">
        <v>1099</v>
      </c>
      <c r="P208" s="19" t="s">
        <v>1100</v>
      </c>
      <c r="Q208" s="13" t="s">
        <v>1100</v>
      </c>
      <c r="R208" s="11"/>
      <c r="S208" s="11" t="s">
        <v>1100</v>
      </c>
      <c r="T208" s="13" t="str">
        <f t="shared" si="3"/>
        <v/>
      </c>
      <c r="U208" s="11" t="s">
        <v>1100</v>
      </c>
      <c r="V208" s="11" t="s">
        <v>1100</v>
      </c>
      <c r="W208" s="11" t="s">
        <v>1100</v>
      </c>
      <c r="X208" s="11" t="s">
        <v>1100</v>
      </c>
      <c r="Y208" s="11" t="s">
        <v>1100</v>
      </c>
      <c r="Z208" s="11" t="s">
        <v>1100</v>
      </c>
      <c r="AA208" s="11" t="s">
        <v>1100</v>
      </c>
      <c r="AB208" s="11" t="s">
        <v>1100</v>
      </c>
      <c r="AC208" s="20" t="s">
        <v>1111</v>
      </c>
    </row>
    <row r="209" spans="2:29" ht="15.75" x14ac:dyDescent="0.25">
      <c r="B209" s="11">
        <v>198</v>
      </c>
      <c r="C209" s="12" t="s">
        <v>515</v>
      </c>
      <c r="D209" s="12" t="s">
        <v>516</v>
      </c>
      <c r="E209" s="12" t="s">
        <v>517</v>
      </c>
      <c r="F209" s="11"/>
      <c r="G209" s="13" t="s">
        <v>1208</v>
      </c>
      <c r="H209" s="13" t="s">
        <v>1036</v>
      </c>
      <c r="I209" s="21">
        <v>31778</v>
      </c>
      <c r="J209" s="15">
        <v>39</v>
      </c>
      <c r="K209" s="16" t="s">
        <v>1103</v>
      </c>
      <c r="L209" s="16" t="s">
        <v>1098</v>
      </c>
      <c r="M209" s="22" t="s">
        <v>1099</v>
      </c>
      <c r="N209" s="23"/>
      <c r="O209" s="19" t="s">
        <v>1100</v>
      </c>
      <c r="P209" s="19" t="s">
        <v>1100</v>
      </c>
      <c r="Q209" s="13" t="s">
        <v>1100</v>
      </c>
      <c r="R209" s="11"/>
      <c r="S209" s="11" t="s">
        <v>1100</v>
      </c>
      <c r="T209" s="13" t="str">
        <f t="shared" si="3"/>
        <v/>
      </c>
      <c r="U209" s="11" t="s">
        <v>1100</v>
      </c>
      <c r="V209" s="11" t="s">
        <v>1100</v>
      </c>
      <c r="W209" s="11" t="s">
        <v>1100</v>
      </c>
      <c r="X209" s="11" t="s">
        <v>1100</v>
      </c>
      <c r="Y209" s="11" t="s">
        <v>1100</v>
      </c>
      <c r="Z209" s="11" t="s">
        <v>1100</v>
      </c>
      <c r="AA209" s="11" t="s">
        <v>1100</v>
      </c>
      <c r="AB209" s="11" t="s">
        <v>1100</v>
      </c>
      <c r="AC209" s="20" t="s">
        <v>1111</v>
      </c>
    </row>
    <row r="210" spans="2:29" ht="15.75" x14ac:dyDescent="0.25">
      <c r="B210" s="11">
        <v>199</v>
      </c>
      <c r="C210" s="12" t="s">
        <v>520</v>
      </c>
      <c r="D210" s="12" t="s">
        <v>521</v>
      </c>
      <c r="E210" s="12" t="s">
        <v>522</v>
      </c>
      <c r="F210" s="11"/>
      <c r="G210" s="13" t="s">
        <v>1204</v>
      </c>
      <c r="H210" s="13" t="s">
        <v>1036</v>
      </c>
      <c r="I210" s="21">
        <v>33212</v>
      </c>
      <c r="J210" s="15">
        <v>35</v>
      </c>
      <c r="K210" s="16" t="s">
        <v>1103</v>
      </c>
      <c r="L210" s="16" t="s">
        <v>1102</v>
      </c>
      <c r="M210" s="22" t="s">
        <v>1099</v>
      </c>
      <c r="N210" s="23"/>
      <c r="O210" s="19" t="s">
        <v>1100</v>
      </c>
      <c r="P210" s="19" t="s">
        <v>1100</v>
      </c>
      <c r="Q210" s="13" t="s">
        <v>1100</v>
      </c>
      <c r="R210" s="11"/>
      <c r="S210" s="11" t="s">
        <v>1100</v>
      </c>
      <c r="T210" s="13" t="str">
        <f t="shared" si="3"/>
        <v/>
      </c>
      <c r="U210" s="11" t="s">
        <v>1100</v>
      </c>
      <c r="V210" s="11" t="s">
        <v>1100</v>
      </c>
      <c r="W210" s="11" t="s">
        <v>1100</v>
      </c>
      <c r="X210" s="11" t="s">
        <v>1100</v>
      </c>
      <c r="Y210" s="11" t="s">
        <v>1100</v>
      </c>
      <c r="Z210" s="11" t="s">
        <v>1100</v>
      </c>
      <c r="AA210" s="11" t="s">
        <v>1100</v>
      </c>
      <c r="AB210" s="11" t="s">
        <v>1100</v>
      </c>
      <c r="AC210" s="20" t="s">
        <v>1101</v>
      </c>
    </row>
    <row r="211" spans="2:29" ht="15.75" x14ac:dyDescent="0.25">
      <c r="B211" s="11">
        <v>200</v>
      </c>
      <c r="C211" s="12" t="s">
        <v>121</v>
      </c>
      <c r="D211" s="12" t="s">
        <v>523</v>
      </c>
      <c r="E211" s="12" t="s">
        <v>524</v>
      </c>
      <c r="F211" s="11"/>
      <c r="G211" s="13" t="s">
        <v>1205</v>
      </c>
      <c r="H211" s="13" t="s">
        <v>1036</v>
      </c>
      <c r="I211" s="21">
        <v>36534</v>
      </c>
      <c r="J211" s="15">
        <v>26</v>
      </c>
      <c r="K211" s="16" t="s">
        <v>1097</v>
      </c>
      <c r="L211" s="16" t="s">
        <v>1098</v>
      </c>
      <c r="M211" s="22" t="s">
        <v>1099</v>
      </c>
      <c r="N211" s="23"/>
      <c r="O211" s="19" t="s">
        <v>1100</v>
      </c>
      <c r="P211" s="19" t="s">
        <v>1100</v>
      </c>
      <c r="Q211" s="13" t="s">
        <v>1100</v>
      </c>
      <c r="R211" s="11"/>
      <c r="S211" s="11" t="s">
        <v>1100</v>
      </c>
      <c r="T211" s="13" t="str">
        <f t="shared" si="3"/>
        <v/>
      </c>
      <c r="U211" s="11" t="s">
        <v>1100</v>
      </c>
      <c r="V211" s="11" t="s">
        <v>1100</v>
      </c>
      <c r="W211" s="11" t="s">
        <v>1100</v>
      </c>
      <c r="X211" s="11" t="s">
        <v>1100</v>
      </c>
      <c r="Y211" s="11" t="s">
        <v>1100</v>
      </c>
      <c r="Z211" s="11" t="s">
        <v>1100</v>
      </c>
      <c r="AA211" s="11" t="s">
        <v>1100</v>
      </c>
      <c r="AB211" s="11" t="s">
        <v>1100</v>
      </c>
      <c r="AC211" s="20" t="s">
        <v>1111</v>
      </c>
    </row>
    <row r="212" spans="2:29" ht="15.75" x14ac:dyDescent="0.25">
      <c r="B212" s="11">
        <v>201</v>
      </c>
      <c r="C212" s="12" t="s">
        <v>525</v>
      </c>
      <c r="D212" s="12" t="s">
        <v>527</v>
      </c>
      <c r="E212" s="12" t="s">
        <v>528</v>
      </c>
      <c r="F212" s="11"/>
      <c r="G212" s="13" t="s">
        <v>1208</v>
      </c>
      <c r="H212" s="13" t="s">
        <v>1036</v>
      </c>
      <c r="I212" s="21">
        <v>36111</v>
      </c>
      <c r="J212" s="15">
        <v>27</v>
      </c>
      <c r="K212" s="16" t="s">
        <v>1097</v>
      </c>
      <c r="L212" s="16" t="s">
        <v>1102</v>
      </c>
      <c r="M212" s="22" t="s">
        <v>1099</v>
      </c>
      <c r="N212" s="23"/>
      <c r="O212" s="19" t="s">
        <v>1100</v>
      </c>
      <c r="P212" s="19" t="s">
        <v>1100</v>
      </c>
      <c r="Q212" s="13" t="s">
        <v>1100</v>
      </c>
      <c r="R212" s="11"/>
      <c r="S212" s="11" t="s">
        <v>1100</v>
      </c>
      <c r="T212" s="13" t="str">
        <f t="shared" si="3"/>
        <v/>
      </c>
      <c r="U212" s="11" t="s">
        <v>1100</v>
      </c>
      <c r="V212" s="11" t="s">
        <v>1100</v>
      </c>
      <c r="W212" s="11" t="s">
        <v>1100</v>
      </c>
      <c r="X212" s="11" t="s">
        <v>1100</v>
      </c>
      <c r="Y212" s="11" t="s">
        <v>1100</v>
      </c>
      <c r="Z212" s="11" t="s">
        <v>1100</v>
      </c>
      <c r="AA212" s="11" t="s">
        <v>1100</v>
      </c>
      <c r="AB212" s="11" t="s">
        <v>1100</v>
      </c>
      <c r="AC212" s="20" t="s">
        <v>1111</v>
      </c>
    </row>
    <row r="213" spans="2:29" ht="15.75" x14ac:dyDescent="0.25">
      <c r="B213" s="11">
        <v>202</v>
      </c>
      <c r="C213" s="12" t="s">
        <v>525</v>
      </c>
      <c r="D213" s="12" t="s">
        <v>526</v>
      </c>
      <c r="E213" s="12" t="s">
        <v>97</v>
      </c>
      <c r="F213" s="11" t="s">
        <v>67</v>
      </c>
      <c r="G213" s="13" t="s">
        <v>1208</v>
      </c>
      <c r="H213" s="13" t="s">
        <v>1036</v>
      </c>
      <c r="I213" s="21">
        <v>32060</v>
      </c>
      <c r="J213" s="15">
        <v>38</v>
      </c>
      <c r="K213" s="16" t="s">
        <v>1097</v>
      </c>
      <c r="L213" s="16" t="s">
        <v>1102</v>
      </c>
      <c r="M213" s="22" t="s">
        <v>1099</v>
      </c>
      <c r="N213" s="23"/>
      <c r="O213" s="19" t="s">
        <v>1100</v>
      </c>
      <c r="P213" s="19" t="s">
        <v>1100</v>
      </c>
      <c r="Q213" s="13" t="s">
        <v>1100</v>
      </c>
      <c r="R213" s="11"/>
      <c r="S213" s="11" t="s">
        <v>1100</v>
      </c>
      <c r="T213" s="13" t="str">
        <f t="shared" si="3"/>
        <v/>
      </c>
      <c r="U213" s="11" t="s">
        <v>1100</v>
      </c>
      <c r="V213" s="11" t="s">
        <v>1100</v>
      </c>
      <c r="W213" s="11" t="s">
        <v>1100</v>
      </c>
      <c r="X213" s="11" t="s">
        <v>1100</v>
      </c>
      <c r="Y213" s="11" t="s">
        <v>1100</v>
      </c>
      <c r="Z213" s="11" t="s">
        <v>1100</v>
      </c>
      <c r="AA213" s="11" t="s">
        <v>1100</v>
      </c>
      <c r="AB213" s="11" t="s">
        <v>1100</v>
      </c>
      <c r="AC213" s="20" t="s">
        <v>1101</v>
      </c>
    </row>
    <row r="214" spans="2:29" ht="15.75" x14ac:dyDescent="0.25">
      <c r="B214" s="11">
        <v>203</v>
      </c>
      <c r="C214" s="12" t="s">
        <v>525</v>
      </c>
      <c r="D214" s="12" t="s">
        <v>529</v>
      </c>
      <c r="E214" s="12" t="s">
        <v>97</v>
      </c>
      <c r="F214" s="11"/>
      <c r="G214" s="13" t="s">
        <v>1208</v>
      </c>
      <c r="H214" s="13" t="s">
        <v>1036</v>
      </c>
      <c r="I214" s="21">
        <v>25647</v>
      </c>
      <c r="J214" s="15">
        <v>55</v>
      </c>
      <c r="K214" s="16" t="s">
        <v>1097</v>
      </c>
      <c r="L214" s="16" t="s">
        <v>1102</v>
      </c>
      <c r="M214" s="22" t="s">
        <v>1099</v>
      </c>
      <c r="N214" s="23"/>
      <c r="O214" s="19" t="s">
        <v>1099</v>
      </c>
      <c r="P214" s="19" t="s">
        <v>1100</v>
      </c>
      <c r="Q214" s="13" t="s">
        <v>1100</v>
      </c>
      <c r="R214" s="11"/>
      <c r="S214" s="11" t="s">
        <v>1100</v>
      </c>
      <c r="T214" s="13" t="str">
        <f t="shared" si="3"/>
        <v/>
      </c>
      <c r="U214" s="11" t="s">
        <v>1100</v>
      </c>
      <c r="V214" s="11" t="s">
        <v>1100</v>
      </c>
      <c r="W214" s="11" t="s">
        <v>1100</v>
      </c>
      <c r="X214" s="11" t="s">
        <v>1100</v>
      </c>
      <c r="Y214" s="11" t="s">
        <v>1100</v>
      </c>
      <c r="Z214" s="11" t="s">
        <v>1100</v>
      </c>
      <c r="AA214" s="11" t="s">
        <v>1100</v>
      </c>
      <c r="AB214" s="11" t="s">
        <v>1100</v>
      </c>
      <c r="AC214" s="20" t="s">
        <v>1111</v>
      </c>
    </row>
    <row r="215" spans="2:29" ht="15.75" x14ac:dyDescent="0.25">
      <c r="B215" s="11">
        <v>204</v>
      </c>
      <c r="C215" s="12" t="s">
        <v>525</v>
      </c>
      <c r="D215" s="12" t="s">
        <v>532</v>
      </c>
      <c r="E215" s="12" t="s">
        <v>533</v>
      </c>
      <c r="F215" s="11"/>
      <c r="G215" s="13" t="s">
        <v>1208</v>
      </c>
      <c r="H215" s="13" t="s">
        <v>1036</v>
      </c>
      <c r="I215" s="21">
        <v>28630</v>
      </c>
      <c r="J215" s="15">
        <v>47</v>
      </c>
      <c r="K215" s="16" t="s">
        <v>1103</v>
      </c>
      <c r="L215" s="16" t="s">
        <v>1102</v>
      </c>
      <c r="M215" s="22" t="s">
        <v>1099</v>
      </c>
      <c r="N215" s="23"/>
      <c r="O215" s="19" t="s">
        <v>1100</v>
      </c>
      <c r="P215" s="19" t="s">
        <v>1100</v>
      </c>
      <c r="Q215" s="13" t="s">
        <v>1100</v>
      </c>
      <c r="R215" s="11"/>
      <c r="S215" s="11" t="s">
        <v>1100</v>
      </c>
      <c r="T215" s="13" t="str">
        <f t="shared" si="3"/>
        <v/>
      </c>
      <c r="U215" s="11" t="s">
        <v>1100</v>
      </c>
      <c r="V215" s="11" t="s">
        <v>1100</v>
      </c>
      <c r="W215" s="11" t="s">
        <v>1100</v>
      </c>
      <c r="X215" s="11" t="s">
        <v>1100</v>
      </c>
      <c r="Y215" s="11" t="s">
        <v>1100</v>
      </c>
      <c r="Z215" s="11" t="s">
        <v>1100</v>
      </c>
      <c r="AA215" s="11" t="s">
        <v>1100</v>
      </c>
      <c r="AB215" s="11" t="s">
        <v>1100</v>
      </c>
      <c r="AC215" s="20" t="s">
        <v>1111</v>
      </c>
    </row>
    <row r="216" spans="2:29" ht="15.75" x14ac:dyDescent="0.25">
      <c r="B216" s="11">
        <v>205</v>
      </c>
      <c r="C216" s="12" t="s">
        <v>525</v>
      </c>
      <c r="D216" s="12" t="s">
        <v>530</v>
      </c>
      <c r="E216" s="12" t="s">
        <v>531</v>
      </c>
      <c r="F216" s="11"/>
      <c r="G216" s="13" t="s">
        <v>1208</v>
      </c>
      <c r="H216" s="13" t="s">
        <v>1036</v>
      </c>
      <c r="I216" s="21">
        <v>28932</v>
      </c>
      <c r="J216" s="15">
        <v>46</v>
      </c>
      <c r="K216" s="16" t="s">
        <v>1103</v>
      </c>
      <c r="L216" s="16" t="s">
        <v>1102</v>
      </c>
      <c r="M216" s="22" t="s">
        <v>1099</v>
      </c>
      <c r="N216" s="23"/>
      <c r="O216" s="19" t="s">
        <v>1099</v>
      </c>
      <c r="P216" s="19" t="s">
        <v>1100</v>
      </c>
      <c r="Q216" s="13" t="s">
        <v>1100</v>
      </c>
      <c r="R216" s="11"/>
      <c r="S216" s="11" t="s">
        <v>1100</v>
      </c>
      <c r="T216" s="13" t="str">
        <f t="shared" si="3"/>
        <v/>
      </c>
      <c r="U216" s="11" t="s">
        <v>1100</v>
      </c>
      <c r="V216" s="11" t="s">
        <v>1100</v>
      </c>
      <c r="W216" s="11" t="s">
        <v>1100</v>
      </c>
      <c r="X216" s="11" t="s">
        <v>1100</v>
      </c>
      <c r="Y216" s="11" t="s">
        <v>1100</v>
      </c>
      <c r="Z216" s="11" t="s">
        <v>1100</v>
      </c>
      <c r="AA216" s="11" t="s">
        <v>1100</v>
      </c>
      <c r="AB216" s="11" t="s">
        <v>1100</v>
      </c>
      <c r="AC216" s="20" t="s">
        <v>1111</v>
      </c>
    </row>
    <row r="217" spans="2:29" ht="15.75" x14ac:dyDescent="0.25">
      <c r="B217" s="11">
        <v>206</v>
      </c>
      <c r="C217" s="12" t="s">
        <v>176</v>
      </c>
      <c r="D217" s="12" t="s">
        <v>226</v>
      </c>
      <c r="E217" s="12" t="s">
        <v>534</v>
      </c>
      <c r="F217" s="11"/>
      <c r="G217" s="13" t="s">
        <v>1112</v>
      </c>
      <c r="H217" s="13" t="s">
        <v>1036</v>
      </c>
      <c r="I217" s="21">
        <v>35895</v>
      </c>
      <c r="J217" s="15">
        <v>27</v>
      </c>
      <c r="K217" s="16" t="s">
        <v>1097</v>
      </c>
      <c r="L217" s="16" t="s">
        <v>1098</v>
      </c>
      <c r="M217" s="22" t="s">
        <v>1099</v>
      </c>
      <c r="N217" s="23"/>
      <c r="O217" s="19" t="s">
        <v>1100</v>
      </c>
      <c r="P217" s="19" t="s">
        <v>1100</v>
      </c>
      <c r="Q217" s="13" t="s">
        <v>1100</v>
      </c>
      <c r="R217" s="11"/>
      <c r="S217" s="11" t="s">
        <v>1100</v>
      </c>
      <c r="T217" s="13" t="str">
        <f t="shared" si="3"/>
        <v/>
      </c>
      <c r="U217" s="11" t="s">
        <v>1100</v>
      </c>
      <c r="V217" s="11" t="s">
        <v>1100</v>
      </c>
      <c r="W217" s="11" t="s">
        <v>1100</v>
      </c>
      <c r="X217" s="11" t="s">
        <v>1100</v>
      </c>
      <c r="Y217" s="11" t="s">
        <v>1100</v>
      </c>
      <c r="Z217" s="11" t="s">
        <v>1100</v>
      </c>
      <c r="AA217" s="11" t="s">
        <v>1100</v>
      </c>
      <c r="AB217" s="11" t="s">
        <v>1100</v>
      </c>
      <c r="AC217" s="20" t="s">
        <v>1101</v>
      </c>
    </row>
    <row r="218" spans="2:29" ht="15.75" x14ac:dyDescent="0.25">
      <c r="B218" s="11">
        <v>207</v>
      </c>
      <c r="C218" s="12" t="s">
        <v>460</v>
      </c>
      <c r="D218" s="12" t="s">
        <v>535</v>
      </c>
      <c r="E218" s="12" t="s">
        <v>508</v>
      </c>
      <c r="F218" s="11"/>
      <c r="G218" s="13" t="s">
        <v>1206</v>
      </c>
      <c r="H218" s="13" t="s">
        <v>1036</v>
      </c>
      <c r="I218" s="21">
        <v>27320</v>
      </c>
      <c r="J218" s="15">
        <v>51</v>
      </c>
      <c r="K218" s="16" t="s">
        <v>1103</v>
      </c>
      <c r="L218" s="16" t="s">
        <v>1102</v>
      </c>
      <c r="M218" s="22" t="s">
        <v>1099</v>
      </c>
      <c r="N218" s="23"/>
      <c r="O218" s="19" t="s">
        <v>1100</v>
      </c>
      <c r="P218" s="19" t="s">
        <v>1100</v>
      </c>
      <c r="Q218" s="13" t="s">
        <v>1100</v>
      </c>
      <c r="R218" s="11"/>
      <c r="S218" s="11" t="s">
        <v>1100</v>
      </c>
      <c r="T218" s="13" t="str">
        <f t="shared" si="3"/>
        <v/>
      </c>
      <c r="U218" s="11" t="s">
        <v>1100</v>
      </c>
      <c r="V218" s="11" t="s">
        <v>1100</v>
      </c>
      <c r="W218" s="11" t="s">
        <v>1100</v>
      </c>
      <c r="X218" s="11" t="s">
        <v>1100</v>
      </c>
      <c r="Y218" s="11" t="s">
        <v>1100</v>
      </c>
      <c r="Z218" s="11" t="s">
        <v>1100</v>
      </c>
      <c r="AA218" s="11" t="s">
        <v>1100</v>
      </c>
      <c r="AB218" s="11" t="s">
        <v>1100</v>
      </c>
      <c r="AC218" s="20" t="s">
        <v>1101</v>
      </c>
    </row>
    <row r="219" spans="2:29" ht="15.75" x14ac:dyDescent="0.25">
      <c r="B219" s="11">
        <v>208</v>
      </c>
      <c r="C219" s="12" t="s">
        <v>536</v>
      </c>
      <c r="D219" s="12" t="s">
        <v>537</v>
      </c>
      <c r="E219" s="12" t="s">
        <v>538</v>
      </c>
      <c r="F219" s="11"/>
      <c r="G219" s="13" t="s">
        <v>1206</v>
      </c>
      <c r="H219" s="13" t="s">
        <v>1036</v>
      </c>
      <c r="I219" s="21">
        <v>36049</v>
      </c>
      <c r="J219" s="15">
        <v>27</v>
      </c>
      <c r="K219" s="16" t="s">
        <v>1097</v>
      </c>
      <c r="L219" s="16" t="s">
        <v>1098</v>
      </c>
      <c r="M219" s="22" t="s">
        <v>1099</v>
      </c>
      <c r="N219" s="23"/>
      <c r="O219" s="19" t="s">
        <v>1100</v>
      </c>
      <c r="P219" s="19" t="s">
        <v>1100</v>
      </c>
      <c r="Q219" s="13" t="s">
        <v>1100</v>
      </c>
      <c r="R219" s="11"/>
      <c r="S219" s="11" t="s">
        <v>1100</v>
      </c>
      <c r="T219" s="13" t="str">
        <f t="shared" si="3"/>
        <v/>
      </c>
      <c r="U219" s="11" t="s">
        <v>1100</v>
      </c>
      <c r="V219" s="11" t="s">
        <v>1100</v>
      </c>
      <c r="W219" s="11" t="s">
        <v>1100</v>
      </c>
      <c r="X219" s="11" t="s">
        <v>1100</v>
      </c>
      <c r="Y219" s="11" t="s">
        <v>1100</v>
      </c>
      <c r="Z219" s="11" t="s">
        <v>1100</v>
      </c>
      <c r="AA219" s="11" t="s">
        <v>1100</v>
      </c>
      <c r="AB219" s="11" t="s">
        <v>1100</v>
      </c>
      <c r="AC219" s="20" t="s">
        <v>1111</v>
      </c>
    </row>
    <row r="220" spans="2:29" ht="15.75" x14ac:dyDescent="0.25">
      <c r="B220" s="11">
        <v>209</v>
      </c>
      <c r="C220" s="12" t="s">
        <v>539</v>
      </c>
      <c r="D220" s="12" t="s">
        <v>540</v>
      </c>
      <c r="E220" s="12" t="s">
        <v>302</v>
      </c>
      <c r="F220" s="11"/>
      <c r="G220" s="13" t="s">
        <v>1204</v>
      </c>
      <c r="H220" s="13" t="s">
        <v>1036</v>
      </c>
      <c r="I220" s="21">
        <v>2139</v>
      </c>
      <c r="J220" s="15">
        <v>120</v>
      </c>
      <c r="K220" s="16" t="s">
        <v>1097</v>
      </c>
      <c r="L220" s="16" t="s">
        <v>1102</v>
      </c>
      <c r="M220" s="22" t="s">
        <v>1099</v>
      </c>
      <c r="N220" s="23"/>
      <c r="O220" s="19" t="s">
        <v>1100</v>
      </c>
      <c r="P220" s="19" t="s">
        <v>1100</v>
      </c>
      <c r="Q220" s="13" t="s">
        <v>1100</v>
      </c>
      <c r="R220" s="11"/>
      <c r="S220" s="11" t="s">
        <v>1100</v>
      </c>
      <c r="T220" s="13" t="str">
        <f t="shared" si="3"/>
        <v>/</v>
      </c>
      <c r="U220" s="11" t="s">
        <v>1100</v>
      </c>
      <c r="V220" s="11" t="s">
        <v>1100</v>
      </c>
      <c r="W220" s="11" t="s">
        <v>1100</v>
      </c>
      <c r="X220" s="11" t="s">
        <v>1100</v>
      </c>
      <c r="Y220" s="11" t="s">
        <v>1100</v>
      </c>
      <c r="Z220" s="11" t="s">
        <v>1100</v>
      </c>
      <c r="AA220" s="11" t="s">
        <v>1100</v>
      </c>
      <c r="AB220" s="11" t="s">
        <v>1100</v>
      </c>
      <c r="AC220" s="20" t="s">
        <v>1111</v>
      </c>
    </row>
    <row r="221" spans="2:29" ht="15.75" x14ac:dyDescent="0.25">
      <c r="B221" s="11">
        <v>210</v>
      </c>
      <c r="C221" s="12" t="s">
        <v>78</v>
      </c>
      <c r="D221" s="12" t="s">
        <v>541</v>
      </c>
      <c r="E221" s="12" t="s">
        <v>508</v>
      </c>
      <c r="F221" s="11"/>
      <c r="G221" s="13" t="s">
        <v>1206</v>
      </c>
      <c r="H221" s="13" t="s">
        <v>1036</v>
      </c>
      <c r="I221" s="21">
        <v>37300</v>
      </c>
      <c r="J221" s="15">
        <v>24</v>
      </c>
      <c r="K221" s="16" t="s">
        <v>1103</v>
      </c>
      <c r="L221" s="16" t="s">
        <v>1098</v>
      </c>
      <c r="M221" s="22" t="s">
        <v>1099</v>
      </c>
      <c r="N221" s="23"/>
      <c r="O221" s="19" t="s">
        <v>1100</v>
      </c>
      <c r="P221" s="19" t="s">
        <v>1100</v>
      </c>
      <c r="Q221" s="13" t="s">
        <v>1100</v>
      </c>
      <c r="R221" s="11"/>
      <c r="S221" s="11" t="s">
        <v>1100</v>
      </c>
      <c r="T221" s="13" t="str">
        <f t="shared" si="3"/>
        <v/>
      </c>
      <c r="U221" s="11" t="s">
        <v>1100</v>
      </c>
      <c r="V221" s="11" t="s">
        <v>1100</v>
      </c>
      <c r="W221" s="11" t="s">
        <v>1100</v>
      </c>
      <c r="X221" s="11" t="s">
        <v>1100</v>
      </c>
      <c r="Y221" s="11" t="s">
        <v>1100</v>
      </c>
      <c r="Z221" s="11" t="s">
        <v>1100</v>
      </c>
      <c r="AA221" s="11" t="s">
        <v>1100</v>
      </c>
      <c r="AB221" s="11" t="s">
        <v>1100</v>
      </c>
      <c r="AC221" s="20" t="s">
        <v>1101</v>
      </c>
    </row>
    <row r="222" spans="2:29" ht="15.75" x14ac:dyDescent="0.25">
      <c r="B222" s="11">
        <v>211</v>
      </c>
      <c r="C222" s="12" t="s">
        <v>542</v>
      </c>
      <c r="D222" s="12" t="s">
        <v>543</v>
      </c>
      <c r="E222" s="12" t="s">
        <v>544</v>
      </c>
      <c r="F222" s="11"/>
      <c r="G222" s="13" t="s">
        <v>1209</v>
      </c>
      <c r="H222" s="13" t="s">
        <v>1036</v>
      </c>
      <c r="I222" s="21">
        <v>30960</v>
      </c>
      <c r="J222" s="15">
        <v>41</v>
      </c>
      <c r="K222" s="16" t="s">
        <v>1097</v>
      </c>
      <c r="L222" s="16" t="s">
        <v>1102</v>
      </c>
      <c r="M222" s="22" t="s">
        <v>1099</v>
      </c>
      <c r="N222" s="23"/>
      <c r="O222" s="19" t="s">
        <v>1100</v>
      </c>
      <c r="P222" s="19" t="s">
        <v>1100</v>
      </c>
      <c r="Q222" s="13" t="s">
        <v>1100</v>
      </c>
      <c r="R222" s="11"/>
      <c r="S222" s="11" t="s">
        <v>1100</v>
      </c>
      <c r="T222" s="13" t="str">
        <f t="shared" si="3"/>
        <v/>
      </c>
      <c r="U222" s="11" t="s">
        <v>1100</v>
      </c>
      <c r="V222" s="11" t="s">
        <v>1100</v>
      </c>
      <c r="W222" s="11" t="s">
        <v>1100</v>
      </c>
      <c r="X222" s="11" t="s">
        <v>1100</v>
      </c>
      <c r="Y222" s="11" t="s">
        <v>1100</v>
      </c>
      <c r="Z222" s="11" t="s">
        <v>1100</v>
      </c>
      <c r="AA222" s="11" t="s">
        <v>1100</v>
      </c>
      <c r="AB222" s="11" t="s">
        <v>1100</v>
      </c>
      <c r="AC222" s="20" t="s">
        <v>1101</v>
      </c>
    </row>
    <row r="223" spans="2:29" ht="15.75" x14ac:dyDescent="0.25">
      <c r="B223" s="11">
        <v>212</v>
      </c>
      <c r="C223" s="12" t="s">
        <v>545</v>
      </c>
      <c r="D223" s="12" t="s">
        <v>546</v>
      </c>
      <c r="E223" s="12" t="s">
        <v>460</v>
      </c>
      <c r="F223" s="11"/>
      <c r="G223" s="13" t="s">
        <v>1206</v>
      </c>
      <c r="H223" s="13" t="s">
        <v>1036</v>
      </c>
      <c r="I223" s="21">
        <v>30532</v>
      </c>
      <c r="J223" s="15">
        <v>42</v>
      </c>
      <c r="K223" s="16" t="s">
        <v>1103</v>
      </c>
      <c r="L223" s="16" t="s">
        <v>1102</v>
      </c>
      <c r="M223" s="22" t="s">
        <v>1099</v>
      </c>
      <c r="N223" s="23"/>
      <c r="O223" s="19" t="s">
        <v>1100</v>
      </c>
      <c r="P223" s="19" t="s">
        <v>1100</v>
      </c>
      <c r="Q223" s="13" t="s">
        <v>1100</v>
      </c>
      <c r="R223" s="11"/>
      <c r="S223" s="11" t="s">
        <v>1100</v>
      </c>
      <c r="T223" s="13" t="str">
        <f t="shared" si="3"/>
        <v/>
      </c>
      <c r="U223" s="11" t="s">
        <v>1100</v>
      </c>
      <c r="V223" s="11" t="s">
        <v>1100</v>
      </c>
      <c r="W223" s="11" t="s">
        <v>1100</v>
      </c>
      <c r="X223" s="11" t="s">
        <v>1100</v>
      </c>
      <c r="Y223" s="11" t="s">
        <v>1100</v>
      </c>
      <c r="Z223" s="11" t="s">
        <v>1100</v>
      </c>
      <c r="AA223" s="11" t="s">
        <v>1100</v>
      </c>
      <c r="AB223" s="11" t="s">
        <v>1100</v>
      </c>
      <c r="AC223" s="20" t="s">
        <v>1101</v>
      </c>
    </row>
    <row r="224" spans="2:29" ht="15.75" x14ac:dyDescent="0.25">
      <c r="B224" s="11">
        <v>213</v>
      </c>
      <c r="C224" s="12" t="s">
        <v>547</v>
      </c>
      <c r="D224" s="12" t="s">
        <v>548</v>
      </c>
      <c r="E224" s="12" t="s">
        <v>549</v>
      </c>
      <c r="F224" s="11"/>
      <c r="G224" s="13" t="s">
        <v>1112</v>
      </c>
      <c r="H224" s="13" t="s">
        <v>1036</v>
      </c>
      <c r="I224" s="21">
        <v>26134</v>
      </c>
      <c r="J224" s="15">
        <v>54</v>
      </c>
      <c r="K224" s="16" t="s">
        <v>1097</v>
      </c>
      <c r="L224" s="16" t="s">
        <v>1102</v>
      </c>
      <c r="M224" s="22" t="s">
        <v>1099</v>
      </c>
      <c r="N224" s="23"/>
      <c r="O224" s="19" t="s">
        <v>1100</v>
      </c>
      <c r="P224" s="19" t="s">
        <v>1100</v>
      </c>
      <c r="Q224" s="13" t="s">
        <v>1100</v>
      </c>
      <c r="R224" s="11"/>
      <c r="S224" s="11" t="s">
        <v>1100</v>
      </c>
      <c r="T224" s="13" t="str">
        <f t="shared" si="3"/>
        <v/>
      </c>
      <c r="U224" s="11" t="s">
        <v>1100</v>
      </c>
      <c r="V224" s="11" t="s">
        <v>1100</v>
      </c>
      <c r="W224" s="11" t="s">
        <v>1100</v>
      </c>
      <c r="X224" s="11" t="s">
        <v>1100</v>
      </c>
      <c r="Y224" s="11" t="s">
        <v>1100</v>
      </c>
      <c r="Z224" s="11" t="s">
        <v>1100</v>
      </c>
      <c r="AA224" s="11" t="s">
        <v>1100</v>
      </c>
      <c r="AB224" s="11" t="s">
        <v>1100</v>
      </c>
      <c r="AC224" s="20" t="s">
        <v>1101</v>
      </c>
    </row>
    <row r="225" spans="2:29" ht="15.75" x14ac:dyDescent="0.25">
      <c r="B225" s="11">
        <v>214</v>
      </c>
      <c r="C225" s="12" t="s">
        <v>97</v>
      </c>
      <c r="D225" s="12" t="s">
        <v>526</v>
      </c>
      <c r="E225" s="12" t="s">
        <v>531</v>
      </c>
      <c r="F225" s="11"/>
      <c r="G225" s="13" t="s">
        <v>1208</v>
      </c>
      <c r="H225" s="13" t="s">
        <v>1036</v>
      </c>
      <c r="I225" s="21">
        <v>20412</v>
      </c>
      <c r="J225" s="15">
        <v>70</v>
      </c>
      <c r="K225" s="16" t="s">
        <v>1097</v>
      </c>
      <c r="L225" s="16" t="s">
        <v>1102</v>
      </c>
      <c r="M225" s="22" t="s">
        <v>1099</v>
      </c>
      <c r="N225" s="23"/>
      <c r="O225" s="19" t="s">
        <v>1099</v>
      </c>
      <c r="P225" s="19" t="s">
        <v>1100</v>
      </c>
      <c r="Q225" s="13" t="s">
        <v>1100</v>
      </c>
      <c r="R225" s="11"/>
      <c r="S225" s="11" t="s">
        <v>1100</v>
      </c>
      <c r="T225" s="13" t="str">
        <f t="shared" si="3"/>
        <v>/</v>
      </c>
      <c r="U225" s="11" t="s">
        <v>1100</v>
      </c>
      <c r="V225" s="11" t="s">
        <v>1100</v>
      </c>
      <c r="W225" s="11" t="s">
        <v>1100</v>
      </c>
      <c r="X225" s="11" t="s">
        <v>1100</v>
      </c>
      <c r="Y225" s="11" t="s">
        <v>1100</v>
      </c>
      <c r="Z225" s="11" t="s">
        <v>1100</v>
      </c>
      <c r="AA225" s="11" t="s">
        <v>1100</v>
      </c>
      <c r="AB225" s="11" t="s">
        <v>1100</v>
      </c>
      <c r="AC225" s="20" t="s">
        <v>1101</v>
      </c>
    </row>
    <row r="226" spans="2:29" ht="15.75" x14ac:dyDescent="0.25">
      <c r="B226" s="11">
        <v>215</v>
      </c>
      <c r="C226" s="12" t="s">
        <v>211</v>
      </c>
      <c r="D226" s="12" t="s">
        <v>550</v>
      </c>
      <c r="E226" s="12" t="s">
        <v>372</v>
      </c>
      <c r="F226" s="11"/>
      <c r="G226" s="13" t="s">
        <v>1206</v>
      </c>
      <c r="H226" s="13" t="s">
        <v>1036</v>
      </c>
      <c r="I226" s="21">
        <v>27369</v>
      </c>
      <c r="J226" s="15">
        <v>51</v>
      </c>
      <c r="K226" s="16" t="s">
        <v>1097</v>
      </c>
      <c r="L226" s="16" t="s">
        <v>1102</v>
      </c>
      <c r="M226" s="22" t="s">
        <v>1099</v>
      </c>
      <c r="N226" s="23"/>
      <c r="O226" s="19" t="s">
        <v>1099</v>
      </c>
      <c r="P226" s="19" t="s">
        <v>1100</v>
      </c>
      <c r="Q226" s="13" t="s">
        <v>1100</v>
      </c>
      <c r="R226" s="11"/>
      <c r="S226" s="11" t="s">
        <v>1100</v>
      </c>
      <c r="T226" s="13" t="str">
        <f t="shared" si="3"/>
        <v/>
      </c>
      <c r="U226" s="11" t="s">
        <v>1100</v>
      </c>
      <c r="V226" s="11" t="s">
        <v>1100</v>
      </c>
      <c r="W226" s="11" t="s">
        <v>1100</v>
      </c>
      <c r="X226" s="11" t="s">
        <v>1100</v>
      </c>
      <c r="Y226" s="11" t="s">
        <v>1100</v>
      </c>
      <c r="Z226" s="11" t="s">
        <v>1100</v>
      </c>
      <c r="AA226" s="11" t="s">
        <v>1100</v>
      </c>
      <c r="AB226" s="11" t="s">
        <v>1100</v>
      </c>
      <c r="AC226" s="20" t="s">
        <v>1101</v>
      </c>
    </row>
    <row r="227" spans="2:29" ht="15.75" x14ac:dyDescent="0.25">
      <c r="B227" s="11">
        <v>216</v>
      </c>
      <c r="C227" s="12" t="s">
        <v>1170</v>
      </c>
      <c r="D227" s="12" t="s">
        <v>75</v>
      </c>
      <c r="E227" s="12" t="s">
        <v>551</v>
      </c>
      <c r="F227" s="11"/>
      <c r="G227" s="13" t="s">
        <v>1206</v>
      </c>
      <c r="H227" s="13" t="s">
        <v>1036</v>
      </c>
      <c r="I227" s="21">
        <v>31865</v>
      </c>
      <c r="J227" s="15">
        <v>38</v>
      </c>
      <c r="K227" s="16" t="s">
        <v>1097</v>
      </c>
      <c r="L227" s="16" t="s">
        <v>1102</v>
      </c>
      <c r="M227" s="22" t="s">
        <v>1099</v>
      </c>
      <c r="N227" s="23"/>
      <c r="O227" s="19" t="s">
        <v>1100</v>
      </c>
      <c r="P227" s="19" t="s">
        <v>1100</v>
      </c>
      <c r="Q227" s="13" t="s">
        <v>1100</v>
      </c>
      <c r="R227" s="11"/>
      <c r="S227" s="11" t="s">
        <v>1100</v>
      </c>
      <c r="T227" s="13" t="str">
        <f t="shared" si="3"/>
        <v/>
      </c>
      <c r="U227" s="11" t="s">
        <v>1100</v>
      </c>
      <c r="V227" s="11" t="s">
        <v>1100</v>
      </c>
      <c r="W227" s="11" t="s">
        <v>1100</v>
      </c>
      <c r="X227" s="11" t="s">
        <v>1100</v>
      </c>
      <c r="Y227" s="11" t="s">
        <v>1100</v>
      </c>
      <c r="Z227" s="11" t="s">
        <v>1100</v>
      </c>
      <c r="AA227" s="11" t="s">
        <v>1100</v>
      </c>
      <c r="AB227" s="11" t="s">
        <v>1100</v>
      </c>
      <c r="AC227" s="20" t="s">
        <v>1111</v>
      </c>
    </row>
    <row r="228" spans="2:29" ht="15.75" x14ac:dyDescent="0.25">
      <c r="B228" s="11">
        <v>217</v>
      </c>
      <c r="C228" s="12" t="s">
        <v>552</v>
      </c>
      <c r="D228" s="12" t="s">
        <v>553</v>
      </c>
      <c r="E228" s="12" t="s">
        <v>176</v>
      </c>
      <c r="F228" s="11"/>
      <c r="G228" s="13" t="s">
        <v>1206</v>
      </c>
      <c r="H228" s="13" t="s">
        <v>1036</v>
      </c>
      <c r="I228" s="21">
        <v>26195</v>
      </c>
      <c r="J228" s="15">
        <v>54</v>
      </c>
      <c r="K228" s="16" t="s">
        <v>1103</v>
      </c>
      <c r="L228" s="16" t="s">
        <v>1102</v>
      </c>
      <c r="M228" s="22" t="s">
        <v>1099</v>
      </c>
      <c r="N228" s="23"/>
      <c r="O228" s="19" t="s">
        <v>1100</v>
      </c>
      <c r="P228" s="19" t="s">
        <v>1100</v>
      </c>
      <c r="Q228" s="13" t="s">
        <v>1100</v>
      </c>
      <c r="R228" s="11"/>
      <c r="S228" s="11" t="s">
        <v>1100</v>
      </c>
      <c r="T228" s="13" t="str">
        <f t="shared" si="3"/>
        <v/>
      </c>
      <c r="U228" s="11" t="s">
        <v>1100</v>
      </c>
      <c r="V228" s="11" t="s">
        <v>1100</v>
      </c>
      <c r="W228" s="11" t="s">
        <v>1100</v>
      </c>
      <c r="X228" s="11" t="s">
        <v>1100</v>
      </c>
      <c r="Y228" s="11" t="s">
        <v>1100</v>
      </c>
      <c r="Z228" s="11" t="s">
        <v>1100</v>
      </c>
      <c r="AA228" s="11" t="s">
        <v>1100</v>
      </c>
      <c r="AB228" s="11" t="s">
        <v>1100</v>
      </c>
      <c r="AC228" s="20" t="s">
        <v>1101</v>
      </c>
    </row>
    <row r="229" spans="2:29" ht="15.75" x14ac:dyDescent="0.25">
      <c r="B229" s="11">
        <v>218</v>
      </c>
      <c r="C229" s="12" t="s">
        <v>554</v>
      </c>
      <c r="D229" s="12" t="s">
        <v>555</v>
      </c>
      <c r="E229" s="12" t="s">
        <v>556</v>
      </c>
      <c r="F229" s="11"/>
      <c r="G229" s="13" t="s">
        <v>1206</v>
      </c>
      <c r="H229" s="13" t="s">
        <v>1036</v>
      </c>
      <c r="I229" s="21">
        <v>33300</v>
      </c>
      <c r="J229" s="15">
        <v>34</v>
      </c>
      <c r="K229" s="16" t="s">
        <v>1103</v>
      </c>
      <c r="L229" s="16" t="s">
        <v>1098</v>
      </c>
      <c r="M229" s="22" t="s">
        <v>1099</v>
      </c>
      <c r="N229" s="23"/>
      <c r="O229" s="19" t="s">
        <v>1100</v>
      </c>
      <c r="P229" s="19" t="s">
        <v>1100</v>
      </c>
      <c r="Q229" s="13" t="s">
        <v>1100</v>
      </c>
      <c r="R229" s="11"/>
      <c r="S229" s="11" t="s">
        <v>1100</v>
      </c>
      <c r="T229" s="13" t="str">
        <f t="shared" si="3"/>
        <v/>
      </c>
      <c r="U229" s="11" t="s">
        <v>1100</v>
      </c>
      <c r="V229" s="11" t="s">
        <v>1100</v>
      </c>
      <c r="W229" s="11" t="s">
        <v>1100</v>
      </c>
      <c r="X229" s="11" t="s">
        <v>1100</v>
      </c>
      <c r="Y229" s="11" t="s">
        <v>1100</v>
      </c>
      <c r="Z229" s="11" t="s">
        <v>1100</v>
      </c>
      <c r="AA229" s="11" t="s">
        <v>1100</v>
      </c>
      <c r="AB229" s="11" t="s">
        <v>1100</v>
      </c>
      <c r="AC229" s="20" t="s">
        <v>1101</v>
      </c>
    </row>
    <row r="230" spans="2:29" ht="15.75" x14ac:dyDescent="0.25">
      <c r="B230" s="11">
        <v>219</v>
      </c>
      <c r="C230" s="12" t="s">
        <v>557</v>
      </c>
      <c r="D230" s="12" t="s">
        <v>558</v>
      </c>
      <c r="E230" s="12" t="s">
        <v>164</v>
      </c>
      <c r="F230" s="11"/>
      <c r="G230" s="13" t="s">
        <v>1206</v>
      </c>
      <c r="H230" s="13" t="s">
        <v>1036</v>
      </c>
      <c r="I230" s="21">
        <v>32935</v>
      </c>
      <c r="J230" s="15">
        <v>35</v>
      </c>
      <c r="K230" s="16" t="s">
        <v>1103</v>
      </c>
      <c r="L230" s="16" t="s">
        <v>1102</v>
      </c>
      <c r="M230" s="22" t="s">
        <v>1099</v>
      </c>
      <c r="N230" s="23"/>
      <c r="O230" s="19" t="s">
        <v>1100</v>
      </c>
      <c r="P230" s="19" t="s">
        <v>1100</v>
      </c>
      <c r="Q230" s="13" t="s">
        <v>1100</v>
      </c>
      <c r="R230" s="11"/>
      <c r="S230" s="11" t="s">
        <v>1100</v>
      </c>
      <c r="T230" s="13" t="str">
        <f t="shared" si="3"/>
        <v/>
      </c>
      <c r="U230" s="11" t="s">
        <v>1100</v>
      </c>
      <c r="V230" s="11" t="s">
        <v>1100</v>
      </c>
      <c r="W230" s="11" t="s">
        <v>1100</v>
      </c>
      <c r="X230" s="11" t="s">
        <v>1100</v>
      </c>
      <c r="Y230" s="11" t="s">
        <v>1100</v>
      </c>
      <c r="Z230" s="11" t="s">
        <v>1100</v>
      </c>
      <c r="AA230" s="11" t="s">
        <v>1100</v>
      </c>
      <c r="AB230" s="11" t="s">
        <v>1100</v>
      </c>
      <c r="AC230" s="20" t="s">
        <v>1101</v>
      </c>
    </row>
    <row r="231" spans="2:29" ht="15.75" x14ac:dyDescent="0.25">
      <c r="B231" s="11">
        <v>220</v>
      </c>
      <c r="C231" s="12" t="s">
        <v>559</v>
      </c>
      <c r="D231" s="12" t="s">
        <v>231</v>
      </c>
      <c r="E231" s="12" t="s">
        <v>460</v>
      </c>
      <c r="F231" s="11"/>
      <c r="G231" s="13" t="s">
        <v>1206</v>
      </c>
      <c r="H231" s="13" t="s">
        <v>1036</v>
      </c>
      <c r="I231" s="21">
        <v>29041</v>
      </c>
      <c r="J231" s="15">
        <v>46</v>
      </c>
      <c r="K231" s="16" t="s">
        <v>1097</v>
      </c>
      <c r="L231" s="16" t="s">
        <v>1102</v>
      </c>
      <c r="M231" s="22" t="s">
        <v>1099</v>
      </c>
      <c r="N231" s="23"/>
      <c r="O231" s="19" t="s">
        <v>1100</v>
      </c>
      <c r="P231" s="19" t="s">
        <v>1100</v>
      </c>
      <c r="Q231" s="13" t="s">
        <v>1100</v>
      </c>
      <c r="R231" s="11"/>
      <c r="S231" s="11" t="s">
        <v>1100</v>
      </c>
      <c r="T231" s="13" t="str">
        <f t="shared" si="3"/>
        <v/>
      </c>
      <c r="U231" s="11" t="s">
        <v>1100</v>
      </c>
      <c r="V231" s="11" t="s">
        <v>1100</v>
      </c>
      <c r="W231" s="11" t="s">
        <v>1100</v>
      </c>
      <c r="X231" s="11" t="s">
        <v>1100</v>
      </c>
      <c r="Y231" s="11" t="s">
        <v>1100</v>
      </c>
      <c r="Z231" s="11" t="s">
        <v>1100</v>
      </c>
      <c r="AA231" s="11" t="s">
        <v>1100</v>
      </c>
      <c r="AB231" s="11" t="s">
        <v>1100</v>
      </c>
      <c r="AC231" s="20" t="s">
        <v>1101</v>
      </c>
    </row>
    <row r="232" spans="2:29" ht="15.75" x14ac:dyDescent="0.25">
      <c r="B232" s="11">
        <v>221</v>
      </c>
      <c r="C232" s="12" t="s">
        <v>559</v>
      </c>
      <c r="D232" s="12" t="s">
        <v>392</v>
      </c>
      <c r="E232" s="12" t="s">
        <v>125</v>
      </c>
      <c r="F232" s="11"/>
      <c r="G232" s="13" t="s">
        <v>1209</v>
      </c>
      <c r="H232" s="13" t="s">
        <v>1036</v>
      </c>
      <c r="I232" s="21">
        <v>36114</v>
      </c>
      <c r="J232" s="15">
        <v>27</v>
      </c>
      <c r="K232" s="16" t="s">
        <v>1097</v>
      </c>
      <c r="L232" s="16" t="s">
        <v>1098</v>
      </c>
      <c r="M232" s="22" t="s">
        <v>1099</v>
      </c>
      <c r="N232" s="23"/>
      <c r="O232" s="19" t="s">
        <v>1100</v>
      </c>
      <c r="P232" s="19" t="s">
        <v>1100</v>
      </c>
      <c r="Q232" s="13" t="s">
        <v>1100</v>
      </c>
      <c r="R232" s="11"/>
      <c r="S232" s="11" t="s">
        <v>1100</v>
      </c>
      <c r="T232" s="13" t="str">
        <f t="shared" si="3"/>
        <v/>
      </c>
      <c r="U232" s="11" t="s">
        <v>1100</v>
      </c>
      <c r="V232" s="11" t="s">
        <v>1100</v>
      </c>
      <c r="W232" s="11" t="s">
        <v>1100</v>
      </c>
      <c r="X232" s="11" t="s">
        <v>1100</v>
      </c>
      <c r="Y232" s="11" t="s">
        <v>1100</v>
      </c>
      <c r="Z232" s="11" t="s">
        <v>1100</v>
      </c>
      <c r="AA232" s="11" t="s">
        <v>1100</v>
      </c>
      <c r="AB232" s="11" t="s">
        <v>1100</v>
      </c>
      <c r="AC232" s="20" t="s">
        <v>1111</v>
      </c>
    </row>
    <row r="233" spans="2:29" ht="15.75" x14ac:dyDescent="0.25">
      <c r="B233" s="11">
        <v>222</v>
      </c>
      <c r="C233" s="12" t="s">
        <v>164</v>
      </c>
      <c r="D233" s="12" t="s">
        <v>162</v>
      </c>
      <c r="E233" s="12" t="s">
        <v>556</v>
      </c>
      <c r="F233" s="11"/>
      <c r="G233" s="13" t="s">
        <v>1206</v>
      </c>
      <c r="H233" s="13" t="s">
        <v>1036</v>
      </c>
      <c r="I233" s="21">
        <v>36716</v>
      </c>
      <c r="J233" s="15">
        <v>25</v>
      </c>
      <c r="K233" s="16" t="s">
        <v>1103</v>
      </c>
      <c r="L233" s="16" t="s">
        <v>1098</v>
      </c>
      <c r="M233" s="22" t="s">
        <v>1099</v>
      </c>
      <c r="N233" s="23"/>
      <c r="O233" s="19" t="s">
        <v>1100</v>
      </c>
      <c r="P233" s="19" t="s">
        <v>1100</v>
      </c>
      <c r="Q233" s="13" t="s">
        <v>1100</v>
      </c>
      <c r="R233" s="11"/>
      <c r="S233" s="11" t="s">
        <v>1100</v>
      </c>
      <c r="T233" s="13" t="str">
        <f t="shared" si="3"/>
        <v/>
      </c>
      <c r="U233" s="11" t="s">
        <v>1100</v>
      </c>
      <c r="V233" s="11" t="s">
        <v>1100</v>
      </c>
      <c r="W233" s="11" t="s">
        <v>1100</v>
      </c>
      <c r="X233" s="11" t="s">
        <v>1100</v>
      </c>
      <c r="Y233" s="11" t="s">
        <v>1100</v>
      </c>
      <c r="Z233" s="11" t="s">
        <v>1100</v>
      </c>
      <c r="AA233" s="11" t="s">
        <v>1100</v>
      </c>
      <c r="AB233" s="11" t="s">
        <v>1100</v>
      </c>
      <c r="AC233" s="20" t="s">
        <v>1101</v>
      </c>
    </row>
    <row r="234" spans="2:29" ht="15.75" x14ac:dyDescent="0.25">
      <c r="B234" s="11">
        <v>223</v>
      </c>
      <c r="C234" s="12" t="s">
        <v>560</v>
      </c>
      <c r="D234" s="12" t="s">
        <v>561</v>
      </c>
      <c r="E234" s="12" t="s">
        <v>562</v>
      </c>
      <c r="F234" s="11"/>
      <c r="G234" s="13" t="s">
        <v>1210</v>
      </c>
      <c r="H234" s="13" t="s">
        <v>1036</v>
      </c>
      <c r="I234" s="21">
        <v>34231</v>
      </c>
      <c r="J234" s="15">
        <v>32</v>
      </c>
      <c r="K234" s="16" t="s">
        <v>1103</v>
      </c>
      <c r="L234" s="16" t="s">
        <v>1102</v>
      </c>
      <c r="M234" s="22" t="s">
        <v>1099</v>
      </c>
      <c r="N234" s="23"/>
      <c r="O234" s="19" t="s">
        <v>1100</v>
      </c>
      <c r="P234" s="19" t="s">
        <v>1100</v>
      </c>
      <c r="Q234" s="13" t="s">
        <v>1100</v>
      </c>
      <c r="R234" s="11"/>
      <c r="S234" s="11" t="s">
        <v>1100</v>
      </c>
      <c r="T234" s="13" t="str">
        <f t="shared" si="3"/>
        <v/>
      </c>
      <c r="U234" s="11" t="s">
        <v>1100</v>
      </c>
      <c r="V234" s="11" t="s">
        <v>1100</v>
      </c>
      <c r="W234" s="11" t="s">
        <v>1100</v>
      </c>
      <c r="X234" s="11" t="s">
        <v>1100</v>
      </c>
      <c r="Y234" s="11" t="s">
        <v>1100</v>
      </c>
      <c r="Z234" s="11" t="s">
        <v>1100</v>
      </c>
      <c r="AA234" s="11" t="s">
        <v>1100</v>
      </c>
      <c r="AB234" s="11" t="s">
        <v>1100</v>
      </c>
      <c r="AC234" s="20" t="s">
        <v>1101</v>
      </c>
    </row>
    <row r="235" spans="2:29" ht="15.75" x14ac:dyDescent="0.25">
      <c r="B235" s="11">
        <v>224</v>
      </c>
      <c r="C235" s="12" t="s">
        <v>563</v>
      </c>
      <c r="D235" s="12" t="s">
        <v>72</v>
      </c>
      <c r="E235" s="12" t="s">
        <v>564</v>
      </c>
      <c r="F235" s="11"/>
      <c r="G235" s="13" t="s">
        <v>1211</v>
      </c>
      <c r="H235" s="13" t="s">
        <v>1037</v>
      </c>
      <c r="I235" s="21">
        <v>27844</v>
      </c>
      <c r="J235" s="15">
        <v>49</v>
      </c>
      <c r="K235" s="16" t="s">
        <v>1097</v>
      </c>
      <c r="L235" s="16" t="s">
        <v>1102</v>
      </c>
      <c r="M235" s="22" t="s">
        <v>1100</v>
      </c>
      <c r="N235" s="23" t="s">
        <v>1099</v>
      </c>
      <c r="O235" s="19" t="s">
        <v>1100</v>
      </c>
      <c r="P235" s="19" t="s">
        <v>1100</v>
      </c>
      <c r="Q235" s="13" t="s">
        <v>1100</v>
      </c>
      <c r="R235" s="11"/>
      <c r="S235" s="11" t="s">
        <v>1100</v>
      </c>
      <c r="T235" s="13" t="str">
        <f t="shared" si="3"/>
        <v/>
      </c>
      <c r="U235" s="11" t="s">
        <v>1100</v>
      </c>
      <c r="V235" s="11" t="s">
        <v>1100</v>
      </c>
      <c r="W235" s="11" t="s">
        <v>1100</v>
      </c>
      <c r="X235" s="11" t="s">
        <v>1100</v>
      </c>
      <c r="Y235" s="11" t="s">
        <v>1100</v>
      </c>
      <c r="Z235" s="11" t="s">
        <v>1100</v>
      </c>
      <c r="AA235" s="11" t="s">
        <v>1100</v>
      </c>
      <c r="AB235" s="11" t="s">
        <v>1100</v>
      </c>
      <c r="AC235" s="20" t="s">
        <v>1101</v>
      </c>
    </row>
    <row r="236" spans="2:29" ht="15.75" x14ac:dyDescent="0.25">
      <c r="B236" s="11">
        <v>225</v>
      </c>
      <c r="C236" s="12" t="s">
        <v>1177</v>
      </c>
      <c r="D236" s="12" t="s">
        <v>1178</v>
      </c>
      <c r="E236" s="12" t="s">
        <v>1179</v>
      </c>
      <c r="F236" s="11"/>
      <c r="G236" s="13" t="s">
        <v>1262</v>
      </c>
      <c r="H236" s="13" t="s">
        <v>1037</v>
      </c>
      <c r="I236" s="21">
        <v>35980</v>
      </c>
      <c r="J236" s="15">
        <v>27</v>
      </c>
      <c r="K236" s="16" t="s">
        <v>1097</v>
      </c>
      <c r="L236" s="16" t="s">
        <v>1098</v>
      </c>
      <c r="M236" s="22" t="s">
        <v>1099</v>
      </c>
      <c r="N236" s="23"/>
      <c r="O236" s="19" t="s">
        <v>1100</v>
      </c>
      <c r="P236" s="19" t="s">
        <v>1100</v>
      </c>
      <c r="Q236" s="13" t="s">
        <v>1100</v>
      </c>
      <c r="R236" s="11" t="s">
        <v>1099</v>
      </c>
      <c r="S236" s="11" t="s">
        <v>1100</v>
      </c>
      <c r="T236" s="13" t="str">
        <f t="shared" si="3"/>
        <v/>
      </c>
      <c r="U236" s="11" t="s">
        <v>1100</v>
      </c>
      <c r="V236" s="11" t="s">
        <v>1100</v>
      </c>
      <c r="W236" s="11" t="s">
        <v>1100</v>
      </c>
      <c r="X236" s="11" t="s">
        <v>1100</v>
      </c>
      <c r="Y236" s="11" t="s">
        <v>1100</v>
      </c>
      <c r="Z236" s="11" t="s">
        <v>1100</v>
      </c>
      <c r="AA236" s="11" t="s">
        <v>1100</v>
      </c>
      <c r="AB236" s="11" t="s">
        <v>1100</v>
      </c>
      <c r="AC236" s="20" t="s">
        <v>1101</v>
      </c>
    </row>
    <row r="237" spans="2:29" ht="15.75" x14ac:dyDescent="0.25">
      <c r="B237" s="11">
        <v>226</v>
      </c>
      <c r="C237" s="12" t="s">
        <v>426</v>
      </c>
      <c r="D237" s="12" t="s">
        <v>961</v>
      </c>
      <c r="E237" s="12" t="s">
        <v>41</v>
      </c>
      <c r="F237" s="11"/>
      <c r="G237" s="13" t="s">
        <v>1224</v>
      </c>
      <c r="H237" s="13" t="s">
        <v>1043</v>
      </c>
      <c r="I237" s="21">
        <v>28853</v>
      </c>
      <c r="J237" s="15">
        <v>47</v>
      </c>
      <c r="K237" s="16" t="s">
        <v>1097</v>
      </c>
      <c r="L237" s="16" t="s">
        <v>1265</v>
      </c>
      <c r="M237" s="22" t="s">
        <v>1099</v>
      </c>
      <c r="N237" s="23"/>
      <c r="O237" s="19" t="s">
        <v>1100</v>
      </c>
      <c r="P237" s="19" t="s">
        <v>1099</v>
      </c>
      <c r="Q237" s="13" t="s">
        <v>1100</v>
      </c>
      <c r="R237" s="11"/>
      <c r="S237" s="11" t="s">
        <v>1100</v>
      </c>
      <c r="T237" s="13" t="str">
        <f t="shared" si="3"/>
        <v/>
      </c>
      <c r="U237" s="11" t="s">
        <v>1099</v>
      </c>
      <c r="V237" s="11" t="s">
        <v>1100</v>
      </c>
      <c r="W237" s="11" t="s">
        <v>1100</v>
      </c>
      <c r="X237" s="11" t="s">
        <v>1100</v>
      </c>
      <c r="Y237" s="11" t="s">
        <v>1100</v>
      </c>
      <c r="Z237" s="11" t="s">
        <v>1100</v>
      </c>
      <c r="AA237" s="11" t="s">
        <v>1100</v>
      </c>
      <c r="AB237" s="11" t="s">
        <v>1100</v>
      </c>
      <c r="AC237" s="20" t="s">
        <v>1111</v>
      </c>
    </row>
    <row r="238" spans="2:29" ht="15.75" x14ac:dyDescent="0.25">
      <c r="B238" s="11">
        <v>227</v>
      </c>
      <c r="C238" s="12" t="s">
        <v>956</v>
      </c>
      <c r="D238" s="12" t="s">
        <v>68</v>
      </c>
      <c r="E238" s="12" t="s">
        <v>642</v>
      </c>
      <c r="F238" s="11"/>
      <c r="G238" s="13" t="s">
        <v>1246</v>
      </c>
      <c r="H238" s="13" t="s">
        <v>1043</v>
      </c>
      <c r="I238" s="21">
        <v>26393</v>
      </c>
      <c r="J238" s="15">
        <v>53</v>
      </c>
      <c r="K238" s="16" t="s">
        <v>1097</v>
      </c>
      <c r="L238" s="16" t="s">
        <v>1102</v>
      </c>
      <c r="M238" s="22" t="s">
        <v>1099</v>
      </c>
      <c r="N238" s="23"/>
      <c r="O238" s="19" t="s">
        <v>1100</v>
      </c>
      <c r="P238" s="19" t="s">
        <v>1099</v>
      </c>
      <c r="Q238" s="13" t="s">
        <v>1100</v>
      </c>
      <c r="R238" s="11"/>
      <c r="S238" s="11" t="s">
        <v>1100</v>
      </c>
      <c r="T238" s="13" t="str">
        <f t="shared" si="3"/>
        <v/>
      </c>
      <c r="U238" s="11" t="s">
        <v>1100</v>
      </c>
      <c r="V238" s="11" t="s">
        <v>1100</v>
      </c>
      <c r="W238" s="11" t="s">
        <v>1100</v>
      </c>
      <c r="X238" s="11" t="s">
        <v>1100</v>
      </c>
      <c r="Y238" s="11" t="s">
        <v>1100</v>
      </c>
      <c r="Z238" s="11" t="s">
        <v>1100</v>
      </c>
      <c r="AA238" s="11" t="s">
        <v>1100</v>
      </c>
      <c r="AB238" s="11" t="s">
        <v>1100</v>
      </c>
      <c r="AC238" s="20" t="s">
        <v>1111</v>
      </c>
    </row>
    <row r="239" spans="2:29" ht="15.75" x14ac:dyDescent="0.25">
      <c r="B239" s="11">
        <v>228</v>
      </c>
      <c r="C239" s="12" t="s">
        <v>965</v>
      </c>
      <c r="D239" s="12" t="s">
        <v>966</v>
      </c>
      <c r="E239" s="12"/>
      <c r="F239" s="11"/>
      <c r="G239" s="13" t="s">
        <v>1224</v>
      </c>
      <c r="H239" s="13" t="s">
        <v>1043</v>
      </c>
      <c r="I239" s="21">
        <v>33140</v>
      </c>
      <c r="J239" s="15">
        <v>35</v>
      </c>
      <c r="K239" s="16" t="s">
        <v>1097</v>
      </c>
      <c r="L239" s="16" t="s">
        <v>1098</v>
      </c>
      <c r="M239" s="22" t="s">
        <v>1099</v>
      </c>
      <c r="N239" s="23"/>
      <c r="O239" s="19" t="s">
        <v>1100</v>
      </c>
      <c r="P239" s="19" t="s">
        <v>1099</v>
      </c>
      <c r="Q239" s="13" t="s">
        <v>1100</v>
      </c>
      <c r="R239" s="11"/>
      <c r="S239" s="11" t="s">
        <v>1100</v>
      </c>
      <c r="T239" s="13" t="str">
        <f t="shared" si="3"/>
        <v/>
      </c>
      <c r="U239" s="11" t="s">
        <v>1100</v>
      </c>
      <c r="V239" s="11" t="s">
        <v>1100</v>
      </c>
      <c r="W239" s="11" t="s">
        <v>1100</v>
      </c>
      <c r="X239" s="11" t="s">
        <v>1100</v>
      </c>
      <c r="Y239" s="11" t="s">
        <v>1100</v>
      </c>
      <c r="Z239" s="11" t="s">
        <v>1100</v>
      </c>
      <c r="AA239" s="11" t="s">
        <v>1100</v>
      </c>
      <c r="AB239" s="11" t="s">
        <v>1100</v>
      </c>
      <c r="AC239" s="20" t="s">
        <v>1101</v>
      </c>
    </row>
    <row r="240" spans="2:29" ht="15.75" x14ac:dyDescent="0.25">
      <c r="B240" s="11">
        <v>229</v>
      </c>
      <c r="C240" s="12" t="s">
        <v>957</v>
      </c>
      <c r="D240" s="12" t="s">
        <v>958</v>
      </c>
      <c r="E240" s="12" t="s">
        <v>959</v>
      </c>
      <c r="F240" s="11"/>
      <c r="G240" s="13" t="s">
        <v>1247</v>
      </c>
      <c r="H240" s="13" t="s">
        <v>1043</v>
      </c>
      <c r="I240" s="21">
        <v>32790</v>
      </c>
      <c r="J240" s="15">
        <v>36</v>
      </c>
      <c r="K240" s="16" t="s">
        <v>1097</v>
      </c>
      <c r="L240" s="16" t="s">
        <v>1098</v>
      </c>
      <c r="M240" s="22" t="s">
        <v>1099</v>
      </c>
      <c r="N240" s="23"/>
      <c r="O240" s="19" t="s">
        <v>1100</v>
      </c>
      <c r="P240" s="19" t="s">
        <v>1100</v>
      </c>
      <c r="Q240" s="13" t="s">
        <v>1100</v>
      </c>
      <c r="R240" s="11" t="s">
        <v>1099</v>
      </c>
      <c r="S240" s="11" t="s">
        <v>1099</v>
      </c>
      <c r="T240" s="13" t="str">
        <f t="shared" si="3"/>
        <v/>
      </c>
      <c r="U240" s="11" t="s">
        <v>1100</v>
      </c>
      <c r="V240" s="11" t="s">
        <v>1100</v>
      </c>
      <c r="W240" s="11" t="s">
        <v>1100</v>
      </c>
      <c r="X240" s="11" t="s">
        <v>1100</v>
      </c>
      <c r="Y240" s="11" t="s">
        <v>1100</v>
      </c>
      <c r="Z240" s="11" t="s">
        <v>1100</v>
      </c>
      <c r="AA240" s="11" t="s">
        <v>1100</v>
      </c>
      <c r="AB240" s="11" t="s">
        <v>1100</v>
      </c>
      <c r="AC240" s="20" t="s">
        <v>1111</v>
      </c>
    </row>
    <row r="241" spans="2:29" ht="15.75" x14ac:dyDescent="0.25">
      <c r="B241" s="11">
        <v>230</v>
      </c>
      <c r="C241" s="12" t="s">
        <v>642</v>
      </c>
      <c r="D241" s="12" t="s">
        <v>247</v>
      </c>
      <c r="E241" s="12" t="s">
        <v>90</v>
      </c>
      <c r="F241" s="11"/>
      <c r="G241" s="13" t="s">
        <v>1224</v>
      </c>
      <c r="H241" s="13" t="s">
        <v>1043</v>
      </c>
      <c r="I241" s="21">
        <v>25514</v>
      </c>
      <c r="J241" s="15">
        <v>56</v>
      </c>
      <c r="K241" s="16" t="s">
        <v>1103</v>
      </c>
      <c r="L241" s="16" t="s">
        <v>1102</v>
      </c>
      <c r="M241" s="22" t="s">
        <v>1099</v>
      </c>
      <c r="N241" s="23"/>
      <c r="O241" s="19" t="s">
        <v>1099</v>
      </c>
      <c r="P241" s="19" t="s">
        <v>1099</v>
      </c>
      <c r="Q241" s="13" t="s">
        <v>1100</v>
      </c>
      <c r="R241" s="11"/>
      <c r="S241" s="11" t="s">
        <v>1100</v>
      </c>
      <c r="T241" s="13" t="str">
        <f t="shared" si="3"/>
        <v/>
      </c>
      <c r="U241" s="11" t="s">
        <v>1100</v>
      </c>
      <c r="V241" s="11" t="s">
        <v>1100</v>
      </c>
      <c r="W241" s="11" t="s">
        <v>1100</v>
      </c>
      <c r="X241" s="11" t="s">
        <v>1100</v>
      </c>
      <c r="Y241" s="11" t="s">
        <v>1100</v>
      </c>
      <c r="Z241" s="11" t="s">
        <v>1100</v>
      </c>
      <c r="AA241" s="11" t="s">
        <v>1100</v>
      </c>
      <c r="AB241" s="11" t="s">
        <v>1100</v>
      </c>
      <c r="AC241" s="20" t="s">
        <v>1111</v>
      </c>
    </row>
    <row r="242" spans="2:29" ht="15.75" x14ac:dyDescent="0.25">
      <c r="B242" s="11">
        <v>231</v>
      </c>
      <c r="C242" s="12" t="s">
        <v>524</v>
      </c>
      <c r="D242" s="12" t="s">
        <v>107</v>
      </c>
      <c r="E242" s="12" t="s">
        <v>956</v>
      </c>
      <c r="F242" s="11"/>
      <c r="G242" s="13" t="s">
        <v>1106</v>
      </c>
      <c r="H242" s="13" t="s">
        <v>1043</v>
      </c>
      <c r="I242" s="21">
        <v>28447</v>
      </c>
      <c r="J242" s="15">
        <v>48</v>
      </c>
      <c r="K242" s="16" t="s">
        <v>1103</v>
      </c>
      <c r="L242" s="16" t="s">
        <v>1108</v>
      </c>
      <c r="M242" s="22" t="s">
        <v>1100</v>
      </c>
      <c r="N242" s="23" t="s">
        <v>1099</v>
      </c>
      <c r="O242" s="19" t="s">
        <v>1100</v>
      </c>
      <c r="P242" s="19" t="s">
        <v>1099</v>
      </c>
      <c r="Q242" s="13" t="s">
        <v>1100</v>
      </c>
      <c r="R242" s="11"/>
      <c r="S242" s="11" t="s">
        <v>1100</v>
      </c>
      <c r="T242" s="13" t="str">
        <f t="shared" si="3"/>
        <v/>
      </c>
      <c r="U242" s="11" t="s">
        <v>1100</v>
      </c>
      <c r="V242" s="11" t="s">
        <v>1100</v>
      </c>
      <c r="W242" s="11" t="s">
        <v>1100</v>
      </c>
      <c r="X242" s="11" t="s">
        <v>1100</v>
      </c>
      <c r="Y242" s="11" t="s">
        <v>1100</v>
      </c>
      <c r="Z242" s="11" t="s">
        <v>1100</v>
      </c>
      <c r="AA242" s="11" t="s">
        <v>1100</v>
      </c>
      <c r="AB242" s="11" t="s">
        <v>1099</v>
      </c>
      <c r="AC242" s="20" t="s">
        <v>1101</v>
      </c>
    </row>
    <row r="243" spans="2:29" ht="15.75" x14ac:dyDescent="0.25">
      <c r="B243" s="11">
        <v>232</v>
      </c>
      <c r="C243" s="12" t="s">
        <v>18</v>
      </c>
      <c r="D243" s="12" t="s">
        <v>26</v>
      </c>
      <c r="E243" s="12" t="s">
        <v>952</v>
      </c>
      <c r="F243" s="11" t="s">
        <v>22</v>
      </c>
      <c r="G243" s="13" t="s">
        <v>1244</v>
      </c>
      <c r="H243" s="13" t="s">
        <v>1043</v>
      </c>
      <c r="I243" s="21">
        <v>27894</v>
      </c>
      <c r="J243" s="15">
        <v>49</v>
      </c>
      <c r="K243" s="16" t="s">
        <v>1097</v>
      </c>
      <c r="L243" s="16" t="s">
        <v>1102</v>
      </c>
      <c r="M243" s="22" t="s">
        <v>1099</v>
      </c>
      <c r="N243" s="23"/>
      <c r="O243" s="19" t="s">
        <v>1099</v>
      </c>
      <c r="P243" s="19" t="s">
        <v>1100</v>
      </c>
      <c r="Q243" s="13" t="s">
        <v>1100</v>
      </c>
      <c r="R243" s="11"/>
      <c r="S243" s="11" t="s">
        <v>1100</v>
      </c>
      <c r="T243" s="13" t="str">
        <f t="shared" si="3"/>
        <v/>
      </c>
      <c r="U243" s="11" t="s">
        <v>1100</v>
      </c>
      <c r="V243" s="11" t="s">
        <v>1100</v>
      </c>
      <c r="W243" s="11" t="s">
        <v>1100</v>
      </c>
      <c r="X243" s="11" t="s">
        <v>1100</v>
      </c>
      <c r="Y243" s="11" t="s">
        <v>1100</v>
      </c>
      <c r="Z243" s="11" t="s">
        <v>1100</v>
      </c>
      <c r="AA243" s="11" t="s">
        <v>1100</v>
      </c>
      <c r="AB243" s="11" t="s">
        <v>1100</v>
      </c>
      <c r="AC243" s="20" t="s">
        <v>1101</v>
      </c>
    </row>
    <row r="244" spans="2:29" ht="15.75" x14ac:dyDescent="0.25">
      <c r="B244" s="11">
        <v>233</v>
      </c>
      <c r="C244" s="12" t="s">
        <v>356</v>
      </c>
      <c r="D244" s="12" t="s">
        <v>138</v>
      </c>
      <c r="E244" s="12" t="s">
        <v>534</v>
      </c>
      <c r="F244" s="11"/>
      <c r="G244" s="13" t="s">
        <v>1244</v>
      </c>
      <c r="H244" s="13" t="s">
        <v>1043</v>
      </c>
      <c r="I244" s="21">
        <v>29070</v>
      </c>
      <c r="J244" s="15">
        <v>46</v>
      </c>
      <c r="K244" s="16" t="s">
        <v>1097</v>
      </c>
      <c r="L244" s="16" t="s">
        <v>1102</v>
      </c>
      <c r="M244" s="22" t="s">
        <v>1099</v>
      </c>
      <c r="N244" s="23"/>
      <c r="O244" s="19" t="s">
        <v>1099</v>
      </c>
      <c r="P244" s="19" t="s">
        <v>1099</v>
      </c>
      <c r="Q244" s="13" t="s">
        <v>1100</v>
      </c>
      <c r="R244" s="11"/>
      <c r="S244" s="11" t="s">
        <v>1100</v>
      </c>
      <c r="T244" s="13" t="str">
        <f t="shared" si="3"/>
        <v/>
      </c>
      <c r="U244" s="11" t="s">
        <v>1100</v>
      </c>
      <c r="V244" s="11" t="s">
        <v>1100</v>
      </c>
      <c r="W244" s="11" t="s">
        <v>1100</v>
      </c>
      <c r="X244" s="11" t="s">
        <v>1100</v>
      </c>
      <c r="Y244" s="11" t="s">
        <v>1100</v>
      </c>
      <c r="Z244" s="11" t="s">
        <v>1100</v>
      </c>
      <c r="AA244" s="11" t="s">
        <v>1100</v>
      </c>
      <c r="AB244" s="11" t="s">
        <v>1100</v>
      </c>
      <c r="AC244" s="20" t="s">
        <v>1111</v>
      </c>
    </row>
    <row r="245" spans="2:29" ht="15.75" x14ac:dyDescent="0.25">
      <c r="B245" s="11">
        <v>234</v>
      </c>
      <c r="C245" s="12" t="s">
        <v>356</v>
      </c>
      <c r="D245" s="12" t="s">
        <v>57</v>
      </c>
      <c r="E245" s="12" t="s">
        <v>551</v>
      </c>
      <c r="F245" s="11"/>
      <c r="G245" s="13" t="s">
        <v>1224</v>
      </c>
      <c r="H245" s="13" t="s">
        <v>1043</v>
      </c>
      <c r="I245" s="21">
        <v>25059</v>
      </c>
      <c r="J245" s="15">
        <v>57</v>
      </c>
      <c r="K245" s="16" t="s">
        <v>1097</v>
      </c>
      <c r="L245" s="16" t="s">
        <v>1104</v>
      </c>
      <c r="M245" s="22" t="s">
        <v>1099</v>
      </c>
      <c r="N245" s="23"/>
      <c r="O245" s="19" t="s">
        <v>1100</v>
      </c>
      <c r="P245" s="19" t="s">
        <v>1099</v>
      </c>
      <c r="Q245" s="13" t="s">
        <v>1100</v>
      </c>
      <c r="R245" s="11" t="s">
        <v>1099</v>
      </c>
      <c r="S245" s="11" t="s">
        <v>1099</v>
      </c>
      <c r="T245" s="13" t="str">
        <f t="shared" si="3"/>
        <v/>
      </c>
      <c r="U245" s="11" t="s">
        <v>1099</v>
      </c>
      <c r="V245" s="11" t="s">
        <v>1100</v>
      </c>
      <c r="W245" s="11" t="s">
        <v>1100</v>
      </c>
      <c r="X245" s="11" t="s">
        <v>1100</v>
      </c>
      <c r="Y245" s="11" t="s">
        <v>1100</v>
      </c>
      <c r="Z245" s="11" t="s">
        <v>1100</v>
      </c>
      <c r="AA245" s="11" t="s">
        <v>1100</v>
      </c>
      <c r="AB245" s="11" t="s">
        <v>1100</v>
      </c>
      <c r="AC245" s="20" t="s">
        <v>1111</v>
      </c>
    </row>
    <row r="246" spans="2:29" ht="15.75" x14ac:dyDescent="0.25">
      <c r="B246" s="11">
        <v>235</v>
      </c>
      <c r="C246" s="12" t="s">
        <v>949</v>
      </c>
      <c r="D246" s="12" t="s">
        <v>950</v>
      </c>
      <c r="E246" s="12" t="s">
        <v>951</v>
      </c>
      <c r="F246" s="11"/>
      <c r="G246" s="13" t="s">
        <v>1224</v>
      </c>
      <c r="H246" s="13" t="s">
        <v>1043</v>
      </c>
      <c r="I246" s="21">
        <v>34447</v>
      </c>
      <c r="J246" s="15">
        <v>31</v>
      </c>
      <c r="K246" s="16" t="s">
        <v>1097</v>
      </c>
      <c r="L246" s="16" t="s">
        <v>1098</v>
      </c>
      <c r="M246" s="22" t="s">
        <v>1099</v>
      </c>
      <c r="N246" s="23"/>
      <c r="O246" s="19" t="s">
        <v>1099</v>
      </c>
      <c r="P246" s="19" t="s">
        <v>1099</v>
      </c>
      <c r="Q246" s="13" t="s">
        <v>1100</v>
      </c>
      <c r="R246" s="11"/>
      <c r="S246" s="11" t="s">
        <v>1100</v>
      </c>
      <c r="T246" s="13" t="str">
        <f t="shared" si="3"/>
        <v/>
      </c>
      <c r="U246" s="11" t="s">
        <v>1100</v>
      </c>
      <c r="V246" s="11" t="s">
        <v>1100</v>
      </c>
      <c r="W246" s="11" t="s">
        <v>1100</v>
      </c>
      <c r="X246" s="11" t="s">
        <v>1100</v>
      </c>
      <c r="Y246" s="11" t="s">
        <v>1100</v>
      </c>
      <c r="Z246" s="11" t="s">
        <v>1100</v>
      </c>
      <c r="AA246" s="11" t="s">
        <v>1100</v>
      </c>
      <c r="AB246" s="11" t="s">
        <v>1100</v>
      </c>
      <c r="AC246" s="20" t="s">
        <v>1111</v>
      </c>
    </row>
    <row r="247" spans="2:29" ht="15.75" x14ac:dyDescent="0.25">
      <c r="B247" s="11">
        <v>236</v>
      </c>
      <c r="C247" s="12" t="s">
        <v>947</v>
      </c>
      <c r="D247" s="12" t="s">
        <v>216</v>
      </c>
      <c r="E247" s="12" t="s">
        <v>948</v>
      </c>
      <c r="F247" s="11"/>
      <c r="G247" s="13" t="s">
        <v>1224</v>
      </c>
      <c r="H247" s="13" t="s">
        <v>1043</v>
      </c>
      <c r="I247" s="21">
        <v>33549</v>
      </c>
      <c r="J247" s="15">
        <v>34</v>
      </c>
      <c r="K247" s="16" t="s">
        <v>1103</v>
      </c>
      <c r="L247" s="16" t="s">
        <v>1098</v>
      </c>
      <c r="M247" s="22" t="s">
        <v>1099</v>
      </c>
      <c r="N247" s="23"/>
      <c r="O247" s="19" t="s">
        <v>1100</v>
      </c>
      <c r="P247" s="19" t="s">
        <v>1099</v>
      </c>
      <c r="Q247" s="13" t="s">
        <v>1100</v>
      </c>
      <c r="R247" s="11"/>
      <c r="S247" s="11" t="s">
        <v>1100</v>
      </c>
      <c r="T247" s="13" t="str">
        <f t="shared" si="3"/>
        <v/>
      </c>
      <c r="U247" s="11" t="s">
        <v>1100</v>
      </c>
      <c r="V247" s="11" t="s">
        <v>1100</v>
      </c>
      <c r="W247" s="11" t="s">
        <v>1100</v>
      </c>
      <c r="X247" s="11" t="s">
        <v>1100</v>
      </c>
      <c r="Y247" s="11" t="s">
        <v>1100</v>
      </c>
      <c r="Z247" s="11" t="s">
        <v>1100</v>
      </c>
      <c r="AA247" s="11" t="s">
        <v>1100</v>
      </c>
      <c r="AB247" s="11" t="s">
        <v>1100</v>
      </c>
      <c r="AC247" s="20" t="s">
        <v>1111</v>
      </c>
    </row>
    <row r="248" spans="2:29" ht="15.75" x14ac:dyDescent="0.25">
      <c r="B248" s="11">
        <v>237</v>
      </c>
      <c r="C248" s="12" t="s">
        <v>534</v>
      </c>
      <c r="D248" s="12" t="s">
        <v>968</v>
      </c>
      <c r="E248" s="12" t="s">
        <v>168</v>
      </c>
      <c r="F248" s="11"/>
      <c r="G248" s="13" t="s">
        <v>1224</v>
      </c>
      <c r="H248" s="13" t="s">
        <v>1043</v>
      </c>
      <c r="I248" s="21">
        <v>26610</v>
      </c>
      <c r="J248" s="15">
        <v>53</v>
      </c>
      <c r="K248" s="16" t="s">
        <v>1097</v>
      </c>
      <c r="L248" s="16" t="s">
        <v>1102</v>
      </c>
      <c r="M248" s="22" t="s">
        <v>1099</v>
      </c>
      <c r="N248" s="23"/>
      <c r="O248" s="19" t="s">
        <v>1100</v>
      </c>
      <c r="P248" s="19" t="s">
        <v>1099</v>
      </c>
      <c r="Q248" s="13" t="s">
        <v>1100</v>
      </c>
      <c r="R248" s="11"/>
      <c r="S248" s="11" t="s">
        <v>1100</v>
      </c>
      <c r="T248" s="13" t="str">
        <f t="shared" si="3"/>
        <v/>
      </c>
      <c r="U248" s="11" t="s">
        <v>1100</v>
      </c>
      <c r="V248" s="11" t="s">
        <v>1100</v>
      </c>
      <c r="W248" s="11" t="s">
        <v>1100</v>
      </c>
      <c r="X248" s="11" t="s">
        <v>1100</v>
      </c>
      <c r="Y248" s="11" t="s">
        <v>1100</v>
      </c>
      <c r="Z248" s="11" t="s">
        <v>1100</v>
      </c>
      <c r="AA248" s="11" t="s">
        <v>1100</v>
      </c>
      <c r="AB248" s="11" t="s">
        <v>1100</v>
      </c>
      <c r="AC248" s="20" t="s">
        <v>1101</v>
      </c>
    </row>
    <row r="249" spans="2:29" ht="15.75" x14ac:dyDescent="0.25">
      <c r="B249" s="11">
        <v>238</v>
      </c>
      <c r="C249" s="12" t="s">
        <v>565</v>
      </c>
      <c r="D249" s="12" t="s">
        <v>566</v>
      </c>
      <c r="E249" s="12" t="s">
        <v>78</v>
      </c>
      <c r="F249" s="11"/>
      <c r="G249" s="13" t="s">
        <v>1212</v>
      </c>
      <c r="H249" s="13" t="s">
        <v>1038</v>
      </c>
      <c r="I249" s="21">
        <v>24752</v>
      </c>
      <c r="J249" s="15">
        <v>58</v>
      </c>
      <c r="K249" s="16" t="s">
        <v>1103</v>
      </c>
      <c r="L249" s="16" t="s">
        <v>1181</v>
      </c>
      <c r="M249" s="22" t="s">
        <v>1099</v>
      </c>
      <c r="N249" s="23"/>
      <c r="O249" s="19" t="s">
        <v>1100</v>
      </c>
      <c r="P249" s="19" t="s">
        <v>1100</v>
      </c>
      <c r="Q249" s="13" t="s">
        <v>1100</v>
      </c>
      <c r="R249" s="11"/>
      <c r="S249" s="11" t="s">
        <v>1100</v>
      </c>
      <c r="T249" s="13" t="str">
        <f t="shared" si="3"/>
        <v/>
      </c>
      <c r="U249" s="11" t="s">
        <v>1100</v>
      </c>
      <c r="V249" s="11" t="s">
        <v>1100</v>
      </c>
      <c r="W249" s="11" t="s">
        <v>1100</v>
      </c>
      <c r="X249" s="11" t="s">
        <v>1100</v>
      </c>
      <c r="Y249" s="11" t="s">
        <v>1100</v>
      </c>
      <c r="Z249" s="11" t="s">
        <v>1100</v>
      </c>
      <c r="AA249" s="11" t="s">
        <v>1100</v>
      </c>
      <c r="AB249" s="11" t="s">
        <v>1100</v>
      </c>
      <c r="AC249" s="20" t="s">
        <v>1101</v>
      </c>
    </row>
    <row r="250" spans="2:29" ht="15.75" x14ac:dyDescent="0.25">
      <c r="B250" s="11">
        <v>239</v>
      </c>
      <c r="C250" s="12" t="s">
        <v>567</v>
      </c>
      <c r="D250" s="12" t="s">
        <v>568</v>
      </c>
      <c r="E250" s="12" t="s">
        <v>569</v>
      </c>
      <c r="F250" s="11"/>
      <c r="G250" s="13" t="s">
        <v>1213</v>
      </c>
      <c r="H250" s="13" t="s">
        <v>1038</v>
      </c>
      <c r="I250" s="21">
        <v>34496</v>
      </c>
      <c r="J250" s="15">
        <v>31</v>
      </c>
      <c r="K250" s="16" t="s">
        <v>1097</v>
      </c>
      <c r="L250" s="16" t="s">
        <v>1108</v>
      </c>
      <c r="M250" s="22" t="s">
        <v>1099</v>
      </c>
      <c r="N250" s="23"/>
      <c r="O250" s="19" t="s">
        <v>1099</v>
      </c>
      <c r="P250" s="19" t="s">
        <v>1100</v>
      </c>
      <c r="Q250" s="13" t="s">
        <v>1100</v>
      </c>
      <c r="R250" s="11"/>
      <c r="S250" s="11" t="s">
        <v>1100</v>
      </c>
      <c r="T250" s="13" t="str">
        <f t="shared" si="3"/>
        <v/>
      </c>
      <c r="U250" s="11" t="s">
        <v>1100</v>
      </c>
      <c r="V250" s="11" t="s">
        <v>1100</v>
      </c>
      <c r="W250" s="11" t="s">
        <v>1100</v>
      </c>
      <c r="X250" s="11" t="s">
        <v>1100</v>
      </c>
      <c r="Y250" s="11" t="s">
        <v>1100</v>
      </c>
      <c r="Z250" s="11" t="s">
        <v>1100</v>
      </c>
      <c r="AA250" s="11" t="s">
        <v>1100</v>
      </c>
      <c r="AB250" s="11" t="s">
        <v>1100</v>
      </c>
      <c r="AC250" s="20" t="s">
        <v>1101</v>
      </c>
    </row>
    <row r="251" spans="2:29" ht="15.75" x14ac:dyDescent="0.25">
      <c r="B251" s="11">
        <v>240</v>
      </c>
      <c r="C251" s="12" t="s">
        <v>78</v>
      </c>
      <c r="D251" s="12" t="s">
        <v>570</v>
      </c>
      <c r="E251" s="12" t="s">
        <v>97</v>
      </c>
      <c r="F251" s="11"/>
      <c r="G251" s="13" t="s">
        <v>1214</v>
      </c>
      <c r="H251" s="13" t="s">
        <v>1038</v>
      </c>
      <c r="I251" s="21">
        <v>15600</v>
      </c>
      <c r="J251" s="15">
        <v>83</v>
      </c>
      <c r="K251" s="16" t="s">
        <v>1103</v>
      </c>
      <c r="L251" s="16" t="s">
        <v>1181</v>
      </c>
      <c r="M251" s="22" t="s">
        <v>1099</v>
      </c>
      <c r="N251" s="23"/>
      <c r="O251" s="19" t="s">
        <v>1100</v>
      </c>
      <c r="P251" s="19" t="s">
        <v>1100</v>
      </c>
      <c r="Q251" s="13" t="s">
        <v>1100</v>
      </c>
      <c r="R251" s="11"/>
      <c r="S251" s="11" t="s">
        <v>1100</v>
      </c>
      <c r="T251" s="13" t="str">
        <f t="shared" si="3"/>
        <v>/</v>
      </c>
      <c r="U251" s="11" t="s">
        <v>1100</v>
      </c>
      <c r="V251" s="11" t="s">
        <v>1100</v>
      </c>
      <c r="W251" s="11" t="s">
        <v>1100</v>
      </c>
      <c r="X251" s="11" t="s">
        <v>1100</v>
      </c>
      <c r="Y251" s="11" t="s">
        <v>1100</v>
      </c>
      <c r="Z251" s="11" t="s">
        <v>1100</v>
      </c>
      <c r="AA251" s="11" t="s">
        <v>1100</v>
      </c>
      <c r="AB251" s="11" t="s">
        <v>1100</v>
      </c>
      <c r="AC251" s="20" t="s">
        <v>1101</v>
      </c>
    </row>
    <row r="252" spans="2:29" ht="15.75" x14ac:dyDescent="0.25">
      <c r="B252" s="11">
        <v>241</v>
      </c>
      <c r="C252" s="12" t="s">
        <v>571</v>
      </c>
      <c r="D252" s="12" t="s">
        <v>572</v>
      </c>
      <c r="E252" s="12" t="s">
        <v>131</v>
      </c>
      <c r="F252" s="11"/>
      <c r="G252" s="13" t="s">
        <v>1215</v>
      </c>
      <c r="H252" s="13" t="s">
        <v>1038</v>
      </c>
      <c r="I252" s="21">
        <v>24482</v>
      </c>
      <c r="J252" s="15">
        <v>59</v>
      </c>
      <c r="K252" s="16" t="s">
        <v>1103</v>
      </c>
      <c r="L252" s="16" t="s">
        <v>1181</v>
      </c>
      <c r="M252" s="22" t="s">
        <v>1099</v>
      </c>
      <c r="N252" s="23"/>
      <c r="O252" s="19" t="s">
        <v>1100</v>
      </c>
      <c r="P252" s="19" t="s">
        <v>1100</v>
      </c>
      <c r="Q252" s="13" t="s">
        <v>1100</v>
      </c>
      <c r="R252" s="11"/>
      <c r="S252" s="11" t="s">
        <v>1100</v>
      </c>
      <c r="T252" s="13" t="str">
        <f t="shared" si="3"/>
        <v/>
      </c>
      <c r="U252" s="11" t="s">
        <v>1100</v>
      </c>
      <c r="V252" s="11" t="s">
        <v>1100</v>
      </c>
      <c r="W252" s="11" t="s">
        <v>1100</v>
      </c>
      <c r="X252" s="11" t="s">
        <v>1100</v>
      </c>
      <c r="Y252" s="11" t="s">
        <v>1100</v>
      </c>
      <c r="Z252" s="11" t="s">
        <v>1100</v>
      </c>
      <c r="AA252" s="11" t="s">
        <v>1100</v>
      </c>
      <c r="AB252" s="11" t="s">
        <v>1100</v>
      </c>
      <c r="AC252" s="20" t="s">
        <v>1101</v>
      </c>
    </row>
    <row r="253" spans="2:29" ht="15.75" x14ac:dyDescent="0.25">
      <c r="B253" s="11">
        <v>242</v>
      </c>
      <c r="C253" s="12" t="s">
        <v>573</v>
      </c>
      <c r="D253" s="12" t="s">
        <v>574</v>
      </c>
      <c r="E253" s="12" t="s">
        <v>575</v>
      </c>
      <c r="F253" s="11"/>
      <c r="G253" s="13" t="s">
        <v>1216</v>
      </c>
      <c r="H253" s="13" t="s">
        <v>1038</v>
      </c>
      <c r="I253" s="21">
        <v>27204</v>
      </c>
      <c r="J253" s="15">
        <v>51</v>
      </c>
      <c r="K253" s="16" t="s">
        <v>1097</v>
      </c>
      <c r="L253" s="16" t="s">
        <v>1102</v>
      </c>
      <c r="M253" s="22" t="s">
        <v>1099</v>
      </c>
      <c r="N253" s="23"/>
      <c r="O253" s="19" t="s">
        <v>1100</v>
      </c>
      <c r="P253" s="19" t="s">
        <v>1100</v>
      </c>
      <c r="Q253" s="13" t="s">
        <v>1100</v>
      </c>
      <c r="R253" s="11"/>
      <c r="S253" s="11" t="s">
        <v>1100</v>
      </c>
      <c r="T253" s="13" t="str">
        <f t="shared" si="3"/>
        <v/>
      </c>
      <c r="U253" s="11" t="s">
        <v>1100</v>
      </c>
      <c r="V253" s="11" t="s">
        <v>1100</v>
      </c>
      <c r="W253" s="11" t="s">
        <v>1100</v>
      </c>
      <c r="X253" s="11" t="s">
        <v>1100</v>
      </c>
      <c r="Y253" s="11" t="s">
        <v>1100</v>
      </c>
      <c r="Z253" s="11" t="s">
        <v>1100</v>
      </c>
      <c r="AA253" s="11" t="s">
        <v>1100</v>
      </c>
      <c r="AB253" s="11" t="s">
        <v>1100</v>
      </c>
      <c r="AC253" s="20" t="s">
        <v>1101</v>
      </c>
    </row>
    <row r="254" spans="2:29" ht="15.75" x14ac:dyDescent="0.25">
      <c r="B254" s="11">
        <v>243</v>
      </c>
      <c r="C254" s="12" t="s">
        <v>38</v>
      </c>
      <c r="D254" s="12" t="s">
        <v>576</v>
      </c>
      <c r="E254" s="12" t="s">
        <v>577</v>
      </c>
      <c r="F254" s="11"/>
      <c r="G254" s="13" t="s">
        <v>1217</v>
      </c>
      <c r="H254" s="13" t="s">
        <v>1038</v>
      </c>
      <c r="I254" s="21">
        <v>19647</v>
      </c>
      <c r="J254" s="15">
        <v>72</v>
      </c>
      <c r="K254" s="16" t="s">
        <v>1103</v>
      </c>
      <c r="L254" s="16" t="s">
        <v>1108</v>
      </c>
      <c r="M254" s="22" t="s">
        <v>1099</v>
      </c>
      <c r="N254" s="23"/>
      <c r="O254" s="19" t="s">
        <v>1100</v>
      </c>
      <c r="P254" s="19" t="s">
        <v>1100</v>
      </c>
      <c r="Q254" s="13" t="s">
        <v>1100</v>
      </c>
      <c r="R254" s="11"/>
      <c r="S254" s="11" t="s">
        <v>1100</v>
      </c>
      <c r="T254" s="13" t="str">
        <f t="shared" si="3"/>
        <v>/</v>
      </c>
      <c r="U254" s="11" t="s">
        <v>1100</v>
      </c>
      <c r="V254" s="11" t="s">
        <v>1100</v>
      </c>
      <c r="W254" s="11" t="s">
        <v>1100</v>
      </c>
      <c r="X254" s="11" t="s">
        <v>1100</v>
      </c>
      <c r="Y254" s="11" t="s">
        <v>1100</v>
      </c>
      <c r="Z254" s="11" t="s">
        <v>1100</v>
      </c>
      <c r="AA254" s="11" t="s">
        <v>1100</v>
      </c>
      <c r="AB254" s="11" t="s">
        <v>1100</v>
      </c>
      <c r="AC254" s="20" t="s">
        <v>1111</v>
      </c>
    </row>
    <row r="255" spans="2:29" ht="15.75" x14ac:dyDescent="0.25">
      <c r="B255" s="11">
        <v>244</v>
      </c>
      <c r="C255" s="12" t="s">
        <v>569</v>
      </c>
      <c r="D255" s="12" t="s">
        <v>579</v>
      </c>
      <c r="E255" s="12" t="s">
        <v>578</v>
      </c>
      <c r="F255" s="11"/>
      <c r="G255" s="13" t="s">
        <v>1219</v>
      </c>
      <c r="H255" s="13" t="s">
        <v>1038</v>
      </c>
      <c r="I255" s="21">
        <v>32083</v>
      </c>
      <c r="J255" s="15">
        <v>38</v>
      </c>
      <c r="K255" s="16" t="s">
        <v>1097</v>
      </c>
      <c r="L255" s="16" t="s">
        <v>1108</v>
      </c>
      <c r="M255" s="22" t="s">
        <v>1099</v>
      </c>
      <c r="N255" s="23"/>
      <c r="O255" s="19" t="s">
        <v>1100</v>
      </c>
      <c r="P255" s="19" t="s">
        <v>1100</v>
      </c>
      <c r="Q255" s="13" t="s">
        <v>1100</v>
      </c>
      <c r="R255" s="11"/>
      <c r="S255" s="11" t="s">
        <v>1100</v>
      </c>
      <c r="T255" s="13" t="str">
        <f t="shared" si="3"/>
        <v/>
      </c>
      <c r="U255" s="11" t="s">
        <v>1100</v>
      </c>
      <c r="V255" s="11" t="s">
        <v>1100</v>
      </c>
      <c r="W255" s="11" t="s">
        <v>1100</v>
      </c>
      <c r="X255" s="11" t="s">
        <v>1100</v>
      </c>
      <c r="Y255" s="11" t="s">
        <v>1100</v>
      </c>
      <c r="Z255" s="11" t="s">
        <v>1100</v>
      </c>
      <c r="AA255" s="11" t="s">
        <v>1100</v>
      </c>
      <c r="AB255" s="11" t="s">
        <v>1100</v>
      </c>
      <c r="AC255" s="20" t="s">
        <v>1101</v>
      </c>
    </row>
    <row r="256" spans="2:29" ht="15.75" x14ac:dyDescent="0.25">
      <c r="B256" s="11">
        <v>245</v>
      </c>
      <c r="C256" s="12" t="s">
        <v>569</v>
      </c>
      <c r="D256" s="12" t="s">
        <v>163</v>
      </c>
      <c r="E256" s="12" t="s">
        <v>578</v>
      </c>
      <c r="F256" s="11"/>
      <c r="G256" s="13" t="s">
        <v>1218</v>
      </c>
      <c r="H256" s="13" t="s">
        <v>1038</v>
      </c>
      <c r="I256" s="21">
        <v>35177</v>
      </c>
      <c r="J256" s="15">
        <v>29</v>
      </c>
      <c r="K256" s="16" t="s">
        <v>1103</v>
      </c>
      <c r="L256" s="16" t="s">
        <v>1108</v>
      </c>
      <c r="M256" s="22" t="s">
        <v>1099</v>
      </c>
      <c r="N256" s="23"/>
      <c r="O256" s="19" t="s">
        <v>1100</v>
      </c>
      <c r="P256" s="19" t="s">
        <v>1100</v>
      </c>
      <c r="Q256" s="13" t="s">
        <v>1100</v>
      </c>
      <c r="R256" s="11"/>
      <c r="S256" s="11" t="s">
        <v>1100</v>
      </c>
      <c r="T256" s="13" t="str">
        <f t="shared" si="3"/>
        <v/>
      </c>
      <c r="U256" s="11" t="s">
        <v>1100</v>
      </c>
      <c r="V256" s="11" t="s">
        <v>1100</v>
      </c>
      <c r="W256" s="11" t="s">
        <v>1100</v>
      </c>
      <c r="X256" s="11" t="s">
        <v>1100</v>
      </c>
      <c r="Y256" s="11" t="s">
        <v>1100</v>
      </c>
      <c r="Z256" s="11" t="s">
        <v>1100</v>
      </c>
      <c r="AA256" s="11" t="s">
        <v>1100</v>
      </c>
      <c r="AB256" s="11" t="s">
        <v>1100</v>
      </c>
      <c r="AC256" s="20" t="s">
        <v>1101</v>
      </c>
    </row>
    <row r="257" spans="2:29" ht="15.75" x14ac:dyDescent="0.25">
      <c r="B257" s="11">
        <v>246</v>
      </c>
      <c r="C257" s="12" t="s">
        <v>580</v>
      </c>
      <c r="D257" s="12" t="s">
        <v>558</v>
      </c>
      <c r="E257" s="12" t="s">
        <v>78</v>
      </c>
      <c r="F257" s="11"/>
      <c r="G257" s="13" t="s">
        <v>1220</v>
      </c>
      <c r="H257" s="13" t="s">
        <v>1038</v>
      </c>
      <c r="I257" s="21">
        <v>29795</v>
      </c>
      <c r="J257" s="15">
        <v>44</v>
      </c>
      <c r="K257" s="16" t="s">
        <v>1103</v>
      </c>
      <c r="L257" s="16" t="s">
        <v>1102</v>
      </c>
      <c r="M257" s="22" t="s">
        <v>1099</v>
      </c>
      <c r="N257" s="23"/>
      <c r="O257" s="19" t="s">
        <v>1100</v>
      </c>
      <c r="P257" s="19" t="s">
        <v>1100</v>
      </c>
      <c r="Q257" s="13" t="s">
        <v>1100</v>
      </c>
      <c r="R257" s="11"/>
      <c r="S257" s="11" t="s">
        <v>1100</v>
      </c>
      <c r="T257" s="13" t="str">
        <f t="shared" si="3"/>
        <v/>
      </c>
      <c r="U257" s="11" t="s">
        <v>1100</v>
      </c>
      <c r="V257" s="11" t="s">
        <v>1100</v>
      </c>
      <c r="W257" s="11" t="s">
        <v>1100</v>
      </c>
      <c r="X257" s="11" t="s">
        <v>1100</v>
      </c>
      <c r="Y257" s="11" t="s">
        <v>1100</v>
      </c>
      <c r="Z257" s="11" t="s">
        <v>1100</v>
      </c>
      <c r="AA257" s="11" t="s">
        <v>1100</v>
      </c>
      <c r="AB257" s="11" t="s">
        <v>1100</v>
      </c>
      <c r="AC257" s="20" t="s">
        <v>1111</v>
      </c>
    </row>
    <row r="258" spans="2:29" ht="15.75" x14ac:dyDescent="0.25">
      <c r="B258" s="11">
        <v>247</v>
      </c>
      <c r="C258" s="12" t="s">
        <v>581</v>
      </c>
      <c r="D258" s="12" t="s">
        <v>582</v>
      </c>
      <c r="E258" s="12" t="s">
        <v>134</v>
      </c>
      <c r="F258" s="11"/>
      <c r="G258" s="13" t="s">
        <v>1221</v>
      </c>
      <c r="H258" s="13" t="s">
        <v>1039</v>
      </c>
      <c r="I258" s="21">
        <v>18967</v>
      </c>
      <c r="J258" s="15">
        <v>74</v>
      </c>
      <c r="K258" s="16" t="s">
        <v>1103</v>
      </c>
      <c r="L258" s="16" t="s">
        <v>1182</v>
      </c>
      <c r="M258" s="22" t="s">
        <v>1099</v>
      </c>
      <c r="N258" s="23"/>
      <c r="O258" s="19" t="s">
        <v>1100</v>
      </c>
      <c r="P258" s="19" t="s">
        <v>1100</v>
      </c>
      <c r="Q258" s="13" t="s">
        <v>1100</v>
      </c>
      <c r="R258" s="11"/>
      <c r="S258" s="11" t="s">
        <v>1100</v>
      </c>
      <c r="T258" s="13" t="str">
        <f t="shared" si="3"/>
        <v>/</v>
      </c>
      <c r="U258" s="11" t="s">
        <v>1100</v>
      </c>
      <c r="V258" s="11" t="s">
        <v>1100</v>
      </c>
      <c r="W258" s="11" t="s">
        <v>1100</v>
      </c>
      <c r="X258" s="11" t="s">
        <v>1100</v>
      </c>
      <c r="Y258" s="11" t="s">
        <v>1100</v>
      </c>
      <c r="Z258" s="11" t="s">
        <v>1100</v>
      </c>
      <c r="AA258" s="11" t="s">
        <v>1100</v>
      </c>
      <c r="AB258" s="11" t="s">
        <v>1100</v>
      </c>
      <c r="AC258" s="20" t="s">
        <v>1101</v>
      </c>
    </row>
    <row r="259" spans="2:29" ht="15.75" x14ac:dyDescent="0.25">
      <c r="B259" s="11">
        <v>248</v>
      </c>
      <c r="C259" s="12" t="s">
        <v>583</v>
      </c>
      <c r="D259" s="12" t="s">
        <v>137</v>
      </c>
      <c r="E259" s="12" t="s">
        <v>584</v>
      </c>
      <c r="F259" s="11"/>
      <c r="G259" s="13" t="s">
        <v>1222</v>
      </c>
      <c r="H259" s="13" t="s">
        <v>1039</v>
      </c>
      <c r="I259" s="21">
        <v>30958</v>
      </c>
      <c r="J259" s="15">
        <v>41</v>
      </c>
      <c r="K259" s="16" t="s">
        <v>1097</v>
      </c>
      <c r="L259" s="16" t="s">
        <v>1102</v>
      </c>
      <c r="M259" s="22" t="s">
        <v>1099</v>
      </c>
      <c r="N259" s="23"/>
      <c r="O259" s="19" t="s">
        <v>1100</v>
      </c>
      <c r="P259" s="19" t="s">
        <v>1100</v>
      </c>
      <c r="Q259" s="13" t="s">
        <v>1100</v>
      </c>
      <c r="R259" s="11"/>
      <c r="S259" s="11" t="s">
        <v>1100</v>
      </c>
      <c r="T259" s="13" t="str">
        <f t="shared" si="3"/>
        <v/>
      </c>
      <c r="U259" s="11" t="s">
        <v>1100</v>
      </c>
      <c r="V259" s="11" t="s">
        <v>1100</v>
      </c>
      <c r="W259" s="11" t="s">
        <v>1100</v>
      </c>
      <c r="X259" s="11" t="s">
        <v>1100</v>
      </c>
      <c r="Y259" s="11" t="s">
        <v>1100</v>
      </c>
      <c r="Z259" s="11" t="s">
        <v>1100</v>
      </c>
      <c r="AA259" s="11" t="s">
        <v>1100</v>
      </c>
      <c r="AB259" s="11" t="s">
        <v>1100</v>
      </c>
      <c r="AC259" s="20" t="s">
        <v>1101</v>
      </c>
    </row>
    <row r="260" spans="2:29" ht="15.75" x14ac:dyDescent="0.25">
      <c r="B260" s="11">
        <v>249</v>
      </c>
      <c r="C260" s="12" t="s">
        <v>585</v>
      </c>
      <c r="D260" s="12" t="s">
        <v>586</v>
      </c>
      <c r="E260" s="12" t="s">
        <v>97</v>
      </c>
      <c r="F260" s="11"/>
      <c r="G260" s="13" t="s">
        <v>1222</v>
      </c>
      <c r="H260" s="13" t="s">
        <v>1039</v>
      </c>
      <c r="I260" s="21">
        <v>18600</v>
      </c>
      <c r="J260" s="15">
        <v>75</v>
      </c>
      <c r="K260" s="16" t="s">
        <v>1097</v>
      </c>
      <c r="L260" s="16" t="s">
        <v>1102</v>
      </c>
      <c r="M260" s="22" t="s">
        <v>1099</v>
      </c>
      <c r="N260" s="23"/>
      <c r="O260" s="19" t="s">
        <v>1100</v>
      </c>
      <c r="P260" s="19" t="s">
        <v>1099</v>
      </c>
      <c r="Q260" s="13" t="s">
        <v>1100</v>
      </c>
      <c r="R260" s="11"/>
      <c r="S260" s="11" t="s">
        <v>1100</v>
      </c>
      <c r="T260" s="13" t="str">
        <f t="shared" si="3"/>
        <v>/</v>
      </c>
      <c r="U260" s="11" t="s">
        <v>1100</v>
      </c>
      <c r="V260" s="11" t="s">
        <v>1100</v>
      </c>
      <c r="W260" s="11" t="s">
        <v>1100</v>
      </c>
      <c r="X260" s="11" t="s">
        <v>1100</v>
      </c>
      <c r="Y260" s="11" t="s">
        <v>1100</v>
      </c>
      <c r="Z260" s="11" t="s">
        <v>1100</v>
      </c>
      <c r="AA260" s="11" t="s">
        <v>1100</v>
      </c>
      <c r="AB260" s="11" t="s">
        <v>1100</v>
      </c>
      <c r="AC260" s="20" t="s">
        <v>1101</v>
      </c>
    </row>
    <row r="261" spans="2:29" ht="15.75" x14ac:dyDescent="0.25">
      <c r="B261" s="11">
        <v>250</v>
      </c>
      <c r="C261" s="12" t="s">
        <v>585</v>
      </c>
      <c r="D261" s="12" t="s">
        <v>158</v>
      </c>
      <c r="E261" s="12" t="s">
        <v>587</v>
      </c>
      <c r="F261" s="11"/>
      <c r="G261" s="13" t="s">
        <v>1222</v>
      </c>
      <c r="H261" s="13" t="s">
        <v>1039</v>
      </c>
      <c r="I261" s="21">
        <v>27693</v>
      </c>
      <c r="J261" s="15">
        <v>50</v>
      </c>
      <c r="K261" s="16" t="s">
        <v>1103</v>
      </c>
      <c r="L261" s="16" t="s">
        <v>1182</v>
      </c>
      <c r="M261" s="22" t="s">
        <v>1099</v>
      </c>
      <c r="N261" s="23"/>
      <c r="O261" s="19" t="s">
        <v>1100</v>
      </c>
      <c r="P261" s="19" t="s">
        <v>1100</v>
      </c>
      <c r="Q261" s="13" t="s">
        <v>1100</v>
      </c>
      <c r="R261" s="11"/>
      <c r="S261" s="11" t="s">
        <v>1100</v>
      </c>
      <c r="T261" s="13" t="str">
        <f t="shared" si="3"/>
        <v/>
      </c>
      <c r="U261" s="11" t="s">
        <v>1100</v>
      </c>
      <c r="V261" s="11" t="s">
        <v>1100</v>
      </c>
      <c r="W261" s="11" t="s">
        <v>1100</v>
      </c>
      <c r="X261" s="11" t="s">
        <v>1100</v>
      </c>
      <c r="Y261" s="11" t="s">
        <v>1100</v>
      </c>
      <c r="Z261" s="11" t="s">
        <v>1100</v>
      </c>
      <c r="AA261" s="11" t="s">
        <v>1100</v>
      </c>
      <c r="AB261" s="11" t="s">
        <v>1100</v>
      </c>
      <c r="AC261" s="20" t="s">
        <v>1101</v>
      </c>
    </row>
    <row r="262" spans="2:29" ht="15.75" x14ac:dyDescent="0.25">
      <c r="B262" s="11">
        <v>251</v>
      </c>
      <c r="C262" s="12" t="s">
        <v>588</v>
      </c>
      <c r="D262" s="12" t="s">
        <v>529</v>
      </c>
      <c r="E262" s="12" t="s">
        <v>97</v>
      </c>
      <c r="F262" s="11"/>
      <c r="G262" s="13" t="s">
        <v>1113</v>
      </c>
      <c r="H262" s="13" t="s">
        <v>1039</v>
      </c>
      <c r="I262" s="21">
        <v>31965</v>
      </c>
      <c r="J262" s="15">
        <v>38</v>
      </c>
      <c r="K262" s="16" t="s">
        <v>1097</v>
      </c>
      <c r="L262" s="16" t="s">
        <v>1102</v>
      </c>
      <c r="M262" s="22" t="s">
        <v>1099</v>
      </c>
      <c r="N262" s="23"/>
      <c r="O262" s="19" t="s">
        <v>1100</v>
      </c>
      <c r="P262" s="19" t="s">
        <v>1100</v>
      </c>
      <c r="Q262" s="13" t="s">
        <v>1100</v>
      </c>
      <c r="R262" s="11"/>
      <c r="S262" s="11" t="s">
        <v>1100</v>
      </c>
      <c r="T262" s="13" t="str">
        <f t="shared" si="3"/>
        <v/>
      </c>
      <c r="U262" s="11" t="s">
        <v>1100</v>
      </c>
      <c r="V262" s="11" t="s">
        <v>1100</v>
      </c>
      <c r="W262" s="11" t="s">
        <v>1100</v>
      </c>
      <c r="X262" s="11" t="s">
        <v>1100</v>
      </c>
      <c r="Y262" s="11" t="s">
        <v>1100</v>
      </c>
      <c r="Z262" s="11" t="s">
        <v>1100</v>
      </c>
      <c r="AA262" s="11" t="s">
        <v>1100</v>
      </c>
      <c r="AB262" s="11" t="s">
        <v>1100</v>
      </c>
      <c r="AC262" s="20" t="s">
        <v>1101</v>
      </c>
    </row>
    <row r="263" spans="2:29" ht="15.75" x14ac:dyDescent="0.25">
      <c r="B263" s="11">
        <v>252</v>
      </c>
      <c r="C263" s="12" t="s">
        <v>589</v>
      </c>
      <c r="D263" s="12" t="s">
        <v>36</v>
      </c>
      <c r="E263" s="12" t="s">
        <v>590</v>
      </c>
      <c r="F263" s="11"/>
      <c r="G263" s="13" t="s">
        <v>1223</v>
      </c>
      <c r="H263" s="13" t="s">
        <v>1039</v>
      </c>
      <c r="I263" s="21">
        <v>32809</v>
      </c>
      <c r="J263" s="15">
        <v>36</v>
      </c>
      <c r="K263" s="16" t="s">
        <v>1097</v>
      </c>
      <c r="L263" s="16" t="s">
        <v>1102</v>
      </c>
      <c r="M263" s="22" t="s">
        <v>1099</v>
      </c>
      <c r="N263" s="23"/>
      <c r="O263" s="19" t="s">
        <v>1100</v>
      </c>
      <c r="P263" s="19" t="s">
        <v>1100</v>
      </c>
      <c r="Q263" s="13" t="s">
        <v>1100</v>
      </c>
      <c r="R263" s="11"/>
      <c r="S263" s="11" t="s">
        <v>1100</v>
      </c>
      <c r="T263" s="13" t="str">
        <f t="shared" si="3"/>
        <v/>
      </c>
      <c r="U263" s="11" t="s">
        <v>1100</v>
      </c>
      <c r="V263" s="11" t="s">
        <v>1100</v>
      </c>
      <c r="W263" s="11" t="s">
        <v>1100</v>
      </c>
      <c r="X263" s="11" t="s">
        <v>1100</v>
      </c>
      <c r="Y263" s="11" t="s">
        <v>1100</v>
      </c>
      <c r="Z263" s="11" t="s">
        <v>1100</v>
      </c>
      <c r="AA263" s="11" t="s">
        <v>1100</v>
      </c>
      <c r="AB263" s="11" t="s">
        <v>1100</v>
      </c>
      <c r="AC263" s="20" t="s">
        <v>1101</v>
      </c>
    </row>
    <row r="264" spans="2:29" ht="15.75" x14ac:dyDescent="0.25">
      <c r="B264" s="11">
        <v>253</v>
      </c>
      <c r="C264" s="12" t="s">
        <v>591</v>
      </c>
      <c r="D264" s="12" t="s">
        <v>31</v>
      </c>
      <c r="E264" s="12" t="s">
        <v>112</v>
      </c>
      <c r="F264" s="11"/>
      <c r="G264" s="13" t="s">
        <v>1221</v>
      </c>
      <c r="H264" s="13" t="s">
        <v>1039</v>
      </c>
      <c r="I264" s="21">
        <v>25413</v>
      </c>
      <c r="J264" s="15">
        <v>56</v>
      </c>
      <c r="K264" s="16" t="s">
        <v>1097</v>
      </c>
      <c r="L264" s="16" t="s">
        <v>1102</v>
      </c>
      <c r="M264" s="22" t="s">
        <v>1099</v>
      </c>
      <c r="N264" s="23"/>
      <c r="O264" s="19" t="s">
        <v>1100</v>
      </c>
      <c r="P264" s="19" t="s">
        <v>1100</v>
      </c>
      <c r="Q264" s="13" t="s">
        <v>1100</v>
      </c>
      <c r="R264" s="11"/>
      <c r="S264" s="11" t="s">
        <v>1100</v>
      </c>
      <c r="T264" s="13" t="str">
        <f t="shared" si="3"/>
        <v/>
      </c>
      <c r="U264" s="11" t="s">
        <v>1100</v>
      </c>
      <c r="V264" s="11" t="s">
        <v>1100</v>
      </c>
      <c r="W264" s="11" t="s">
        <v>1100</v>
      </c>
      <c r="X264" s="11" t="s">
        <v>1100</v>
      </c>
      <c r="Y264" s="11" t="s">
        <v>1100</v>
      </c>
      <c r="Z264" s="11" t="s">
        <v>1100</v>
      </c>
      <c r="AA264" s="11" t="s">
        <v>1100</v>
      </c>
      <c r="AB264" s="11" t="s">
        <v>1100</v>
      </c>
      <c r="AC264" s="20" t="s">
        <v>1101</v>
      </c>
    </row>
    <row r="265" spans="2:29" ht="15.75" x14ac:dyDescent="0.25">
      <c r="B265" s="11">
        <v>254</v>
      </c>
      <c r="C265" s="12" t="s">
        <v>135</v>
      </c>
      <c r="D265" s="12" t="s">
        <v>592</v>
      </c>
      <c r="E265" s="12" t="s">
        <v>190</v>
      </c>
      <c r="F265" s="11"/>
      <c r="G265" s="13" t="s">
        <v>1224</v>
      </c>
      <c r="H265" s="13" t="s">
        <v>1039</v>
      </c>
      <c r="I265" s="21">
        <v>29831</v>
      </c>
      <c r="J265" s="15">
        <v>44</v>
      </c>
      <c r="K265" s="16" t="s">
        <v>1097</v>
      </c>
      <c r="L265" s="16" t="s">
        <v>1102</v>
      </c>
      <c r="M265" s="22" t="s">
        <v>1099</v>
      </c>
      <c r="N265" s="23"/>
      <c r="O265" s="19" t="s">
        <v>1100</v>
      </c>
      <c r="P265" s="19" t="s">
        <v>1100</v>
      </c>
      <c r="Q265" s="13" t="s">
        <v>1100</v>
      </c>
      <c r="R265" s="11"/>
      <c r="S265" s="11" t="s">
        <v>1100</v>
      </c>
      <c r="T265" s="13" t="str">
        <f t="shared" si="3"/>
        <v/>
      </c>
      <c r="U265" s="11" t="s">
        <v>1100</v>
      </c>
      <c r="V265" s="11" t="s">
        <v>1100</v>
      </c>
      <c r="W265" s="11" t="s">
        <v>1100</v>
      </c>
      <c r="X265" s="11" t="s">
        <v>1100</v>
      </c>
      <c r="Y265" s="11" t="s">
        <v>1100</v>
      </c>
      <c r="Z265" s="11" t="s">
        <v>1100</v>
      </c>
      <c r="AA265" s="11" t="s">
        <v>1100</v>
      </c>
      <c r="AB265" s="11" t="s">
        <v>1100</v>
      </c>
      <c r="AC265" s="20" t="s">
        <v>1101</v>
      </c>
    </row>
    <row r="266" spans="2:29" ht="15.75" x14ac:dyDescent="0.25">
      <c r="B266" s="11">
        <v>255</v>
      </c>
      <c r="C266" s="12" t="s">
        <v>593</v>
      </c>
      <c r="D266" s="12" t="s">
        <v>594</v>
      </c>
      <c r="E266" s="12" t="s">
        <v>595</v>
      </c>
      <c r="F266" s="11"/>
      <c r="G266" s="13" t="s">
        <v>1114</v>
      </c>
      <c r="H266" s="13" t="s">
        <v>1039</v>
      </c>
      <c r="I266" s="21">
        <v>30410</v>
      </c>
      <c r="J266" s="15">
        <v>42</v>
      </c>
      <c r="K266" s="16" t="s">
        <v>1097</v>
      </c>
      <c r="L266" s="16" t="s">
        <v>1102</v>
      </c>
      <c r="M266" s="22" t="s">
        <v>1099</v>
      </c>
      <c r="N266" s="23"/>
      <c r="O266" s="19" t="s">
        <v>1100</v>
      </c>
      <c r="P266" s="19" t="s">
        <v>1100</v>
      </c>
      <c r="Q266" s="13" t="s">
        <v>1100</v>
      </c>
      <c r="R266" s="11"/>
      <c r="S266" s="11" t="s">
        <v>1100</v>
      </c>
      <c r="T266" s="13" t="str">
        <f t="shared" si="3"/>
        <v/>
      </c>
      <c r="U266" s="11" t="s">
        <v>1100</v>
      </c>
      <c r="V266" s="11" t="s">
        <v>1100</v>
      </c>
      <c r="W266" s="11" t="s">
        <v>1100</v>
      </c>
      <c r="X266" s="11" t="s">
        <v>1100</v>
      </c>
      <c r="Y266" s="11" t="s">
        <v>1100</v>
      </c>
      <c r="Z266" s="11" t="s">
        <v>1100</v>
      </c>
      <c r="AA266" s="11" t="s">
        <v>1100</v>
      </c>
      <c r="AB266" s="11" t="s">
        <v>1100</v>
      </c>
      <c r="AC266" s="20" t="s">
        <v>1101</v>
      </c>
    </row>
    <row r="267" spans="2:29" ht="15.75" x14ac:dyDescent="0.25">
      <c r="B267" s="11">
        <v>256</v>
      </c>
      <c r="C267" s="12" t="s">
        <v>596</v>
      </c>
      <c r="D267" s="12" t="s">
        <v>148</v>
      </c>
      <c r="E267" s="12" t="s">
        <v>597</v>
      </c>
      <c r="F267" s="11"/>
      <c r="G267" s="13" t="s">
        <v>1222</v>
      </c>
      <c r="H267" s="13" t="s">
        <v>1039</v>
      </c>
      <c r="I267" s="21">
        <v>33292</v>
      </c>
      <c r="J267" s="15">
        <v>34</v>
      </c>
      <c r="K267" s="16" t="s">
        <v>1097</v>
      </c>
      <c r="L267" s="16" t="s">
        <v>1108</v>
      </c>
      <c r="M267" s="22" t="s">
        <v>1099</v>
      </c>
      <c r="N267" s="23"/>
      <c r="O267" s="19" t="s">
        <v>1100</v>
      </c>
      <c r="P267" s="19" t="s">
        <v>1100</v>
      </c>
      <c r="Q267" s="13" t="s">
        <v>1100</v>
      </c>
      <c r="R267" s="11"/>
      <c r="S267" s="11" t="s">
        <v>1100</v>
      </c>
      <c r="T267" s="13" t="str">
        <f t="shared" si="3"/>
        <v/>
      </c>
      <c r="U267" s="11" t="s">
        <v>1100</v>
      </c>
      <c r="V267" s="11" t="s">
        <v>1100</v>
      </c>
      <c r="W267" s="11" t="s">
        <v>1100</v>
      </c>
      <c r="X267" s="11" t="s">
        <v>1100</v>
      </c>
      <c r="Y267" s="11" t="s">
        <v>1100</v>
      </c>
      <c r="Z267" s="11" t="s">
        <v>1100</v>
      </c>
      <c r="AA267" s="11" t="s">
        <v>1100</v>
      </c>
      <c r="AB267" s="11" t="s">
        <v>1100</v>
      </c>
      <c r="AC267" s="20" t="s">
        <v>1101</v>
      </c>
    </row>
    <row r="268" spans="2:29" ht="15.75" x14ac:dyDescent="0.25">
      <c r="B268" s="11">
        <v>257</v>
      </c>
      <c r="C268" s="12" t="s">
        <v>598</v>
      </c>
      <c r="D268" s="12" t="s">
        <v>599</v>
      </c>
      <c r="E268" s="12" t="s">
        <v>600</v>
      </c>
      <c r="F268" s="11"/>
      <c r="G268" s="13" t="s">
        <v>1224</v>
      </c>
      <c r="H268" s="13" t="s">
        <v>1039</v>
      </c>
      <c r="I268" s="21">
        <v>25297</v>
      </c>
      <c r="J268" s="15">
        <v>56</v>
      </c>
      <c r="K268" s="16" t="s">
        <v>1097</v>
      </c>
      <c r="L268" s="16" t="s">
        <v>1102</v>
      </c>
      <c r="M268" s="22" t="s">
        <v>1099</v>
      </c>
      <c r="N268" s="23"/>
      <c r="O268" s="19" t="s">
        <v>1100</v>
      </c>
      <c r="P268" s="19" t="s">
        <v>1100</v>
      </c>
      <c r="Q268" s="13" t="s">
        <v>1100</v>
      </c>
      <c r="R268" s="11"/>
      <c r="S268" s="11" t="s">
        <v>1100</v>
      </c>
      <c r="T268" s="13" t="str">
        <f t="shared" ref="T268:T331" si="4">IF(J268&gt;59,"/","")</f>
        <v/>
      </c>
      <c r="U268" s="11" t="s">
        <v>1100</v>
      </c>
      <c r="V268" s="11" t="s">
        <v>1100</v>
      </c>
      <c r="W268" s="11" t="s">
        <v>1100</v>
      </c>
      <c r="X268" s="11" t="s">
        <v>1100</v>
      </c>
      <c r="Y268" s="11" t="s">
        <v>1100</v>
      </c>
      <c r="Z268" s="11" t="s">
        <v>1100</v>
      </c>
      <c r="AA268" s="11" t="s">
        <v>1100</v>
      </c>
      <c r="AB268" s="11" t="s">
        <v>1100</v>
      </c>
      <c r="AC268" s="20" t="s">
        <v>1101</v>
      </c>
    </row>
    <row r="269" spans="2:29" ht="15.75" x14ac:dyDescent="0.25">
      <c r="B269" s="11">
        <v>258</v>
      </c>
      <c r="C269" s="12" t="s">
        <v>601</v>
      </c>
      <c r="D269" s="12" t="s">
        <v>161</v>
      </c>
      <c r="E269" s="12" t="s">
        <v>298</v>
      </c>
      <c r="F269" s="11"/>
      <c r="G269" s="13" t="s">
        <v>1225</v>
      </c>
      <c r="H269" s="13" t="s">
        <v>1039</v>
      </c>
      <c r="I269" s="21">
        <v>27091</v>
      </c>
      <c r="J269" s="15">
        <v>51</v>
      </c>
      <c r="K269" s="16" t="s">
        <v>1103</v>
      </c>
      <c r="L269" s="16" t="s">
        <v>1102</v>
      </c>
      <c r="M269" s="22" t="s">
        <v>1099</v>
      </c>
      <c r="N269" s="23"/>
      <c r="O269" s="19" t="s">
        <v>1100</v>
      </c>
      <c r="P269" s="19" t="s">
        <v>1100</v>
      </c>
      <c r="Q269" s="13" t="s">
        <v>1100</v>
      </c>
      <c r="R269" s="11"/>
      <c r="S269" s="11" t="s">
        <v>1100</v>
      </c>
      <c r="T269" s="13" t="str">
        <f t="shared" si="4"/>
        <v/>
      </c>
      <c r="U269" s="11" t="s">
        <v>1100</v>
      </c>
      <c r="V269" s="11" t="s">
        <v>1100</v>
      </c>
      <c r="W269" s="11" t="s">
        <v>1100</v>
      </c>
      <c r="X269" s="11" t="s">
        <v>1100</v>
      </c>
      <c r="Y269" s="11" t="s">
        <v>1100</v>
      </c>
      <c r="Z269" s="11" t="s">
        <v>1100</v>
      </c>
      <c r="AA269" s="11" t="s">
        <v>1100</v>
      </c>
      <c r="AB269" s="11" t="s">
        <v>1100</v>
      </c>
      <c r="AC269" s="20" t="s">
        <v>1101</v>
      </c>
    </row>
    <row r="270" spans="2:29" ht="15.75" x14ac:dyDescent="0.25">
      <c r="B270" s="11">
        <v>259</v>
      </c>
      <c r="C270" s="12" t="s">
        <v>70</v>
      </c>
      <c r="D270" s="12" t="s">
        <v>392</v>
      </c>
      <c r="E270" s="12" t="s">
        <v>602</v>
      </c>
      <c r="F270" s="11"/>
      <c r="G270" s="13" t="s">
        <v>1224</v>
      </c>
      <c r="H270" s="13" t="s">
        <v>1039</v>
      </c>
      <c r="I270" s="21">
        <v>30224</v>
      </c>
      <c r="J270" s="15">
        <v>43</v>
      </c>
      <c r="K270" s="16" t="s">
        <v>1097</v>
      </c>
      <c r="L270" s="16" t="s">
        <v>1102</v>
      </c>
      <c r="M270" s="22" t="s">
        <v>1099</v>
      </c>
      <c r="N270" s="23"/>
      <c r="O270" s="19" t="s">
        <v>1100</v>
      </c>
      <c r="P270" s="19" t="s">
        <v>1100</v>
      </c>
      <c r="Q270" s="13" t="s">
        <v>1099</v>
      </c>
      <c r="R270" s="11"/>
      <c r="S270" s="11" t="s">
        <v>1100</v>
      </c>
      <c r="T270" s="13" t="str">
        <f t="shared" si="4"/>
        <v/>
      </c>
      <c r="U270" s="11" t="s">
        <v>1100</v>
      </c>
      <c r="V270" s="11" t="s">
        <v>1100</v>
      </c>
      <c r="W270" s="11" t="s">
        <v>1100</v>
      </c>
      <c r="X270" s="11" t="s">
        <v>1100</v>
      </c>
      <c r="Y270" s="11" t="s">
        <v>1100</v>
      </c>
      <c r="Z270" s="11" t="s">
        <v>1100</v>
      </c>
      <c r="AA270" s="11" t="s">
        <v>1100</v>
      </c>
      <c r="AB270" s="11" t="s">
        <v>1100</v>
      </c>
      <c r="AC270" s="20" t="s">
        <v>1101</v>
      </c>
    </row>
    <row r="271" spans="2:29" ht="15.75" x14ac:dyDescent="0.25">
      <c r="B271" s="11">
        <v>260</v>
      </c>
      <c r="C271" s="12" t="s">
        <v>603</v>
      </c>
      <c r="D271" s="12" t="s">
        <v>604</v>
      </c>
      <c r="E271" s="12" t="s">
        <v>155</v>
      </c>
      <c r="F271" s="11"/>
      <c r="G271" s="13" t="s">
        <v>1222</v>
      </c>
      <c r="H271" s="13" t="s">
        <v>1039</v>
      </c>
      <c r="I271" s="21">
        <v>19959</v>
      </c>
      <c r="J271" s="15">
        <v>71</v>
      </c>
      <c r="K271" s="16" t="s">
        <v>1103</v>
      </c>
      <c r="L271" s="16" t="s">
        <v>1102</v>
      </c>
      <c r="M271" s="22" t="s">
        <v>1099</v>
      </c>
      <c r="N271" s="23"/>
      <c r="O271" s="19" t="s">
        <v>1100</v>
      </c>
      <c r="P271" s="19" t="s">
        <v>1100</v>
      </c>
      <c r="Q271" s="13" t="s">
        <v>1100</v>
      </c>
      <c r="R271" s="11"/>
      <c r="S271" s="11" t="s">
        <v>1100</v>
      </c>
      <c r="T271" s="13" t="str">
        <f t="shared" si="4"/>
        <v>/</v>
      </c>
      <c r="U271" s="11" t="s">
        <v>1100</v>
      </c>
      <c r="V271" s="11" t="s">
        <v>1100</v>
      </c>
      <c r="W271" s="11" t="s">
        <v>1100</v>
      </c>
      <c r="X271" s="11" t="s">
        <v>1100</v>
      </c>
      <c r="Y271" s="11" t="s">
        <v>1100</v>
      </c>
      <c r="Z271" s="11" t="s">
        <v>1100</v>
      </c>
      <c r="AA271" s="11" t="s">
        <v>1100</v>
      </c>
      <c r="AB271" s="11" t="s">
        <v>1100</v>
      </c>
      <c r="AC271" s="20" t="s">
        <v>1101</v>
      </c>
    </row>
    <row r="272" spans="2:29" ht="15.75" x14ac:dyDescent="0.25">
      <c r="B272" s="11">
        <v>261</v>
      </c>
      <c r="C272" s="12" t="s">
        <v>605</v>
      </c>
      <c r="D272" s="12" t="s">
        <v>606</v>
      </c>
      <c r="E272" s="12" t="s">
        <v>155</v>
      </c>
      <c r="F272" s="11"/>
      <c r="G272" s="13" t="s">
        <v>1222</v>
      </c>
      <c r="H272" s="13" t="s">
        <v>1039</v>
      </c>
      <c r="I272" s="21">
        <v>30023</v>
      </c>
      <c r="J272" s="15">
        <v>43</v>
      </c>
      <c r="K272" s="16" t="s">
        <v>1097</v>
      </c>
      <c r="L272" s="16" t="s">
        <v>1098</v>
      </c>
      <c r="M272" s="22" t="s">
        <v>1099</v>
      </c>
      <c r="N272" s="23"/>
      <c r="O272" s="19" t="s">
        <v>1100</v>
      </c>
      <c r="P272" s="19" t="s">
        <v>1100</v>
      </c>
      <c r="Q272" s="13" t="s">
        <v>1100</v>
      </c>
      <c r="R272" s="11"/>
      <c r="S272" s="11" t="s">
        <v>1100</v>
      </c>
      <c r="T272" s="13" t="str">
        <f t="shared" si="4"/>
        <v/>
      </c>
      <c r="U272" s="11" t="s">
        <v>1100</v>
      </c>
      <c r="V272" s="11" t="s">
        <v>1100</v>
      </c>
      <c r="W272" s="11" t="s">
        <v>1100</v>
      </c>
      <c r="X272" s="11" t="s">
        <v>1100</v>
      </c>
      <c r="Y272" s="11" t="s">
        <v>1100</v>
      </c>
      <c r="Z272" s="11" t="s">
        <v>1100</v>
      </c>
      <c r="AA272" s="11" t="s">
        <v>1100</v>
      </c>
      <c r="AB272" s="11" t="s">
        <v>1100</v>
      </c>
      <c r="AC272" s="20" t="s">
        <v>1101</v>
      </c>
    </row>
    <row r="273" spans="2:29" ht="15.75" x14ac:dyDescent="0.25">
      <c r="B273" s="11">
        <v>262</v>
      </c>
      <c r="C273" s="12" t="s">
        <v>1001</v>
      </c>
      <c r="D273" s="12" t="s">
        <v>849</v>
      </c>
      <c r="E273" s="12" t="s">
        <v>1002</v>
      </c>
      <c r="F273" s="11"/>
      <c r="G273" s="13" t="s">
        <v>1224</v>
      </c>
      <c r="H273" s="13" t="s">
        <v>1039</v>
      </c>
      <c r="I273" s="21">
        <v>32741</v>
      </c>
      <c r="J273" s="15">
        <v>36</v>
      </c>
      <c r="K273" s="16" t="s">
        <v>1103</v>
      </c>
      <c r="L273" s="16" t="s">
        <v>1098</v>
      </c>
      <c r="M273" s="22" t="s">
        <v>1099</v>
      </c>
      <c r="N273" s="23"/>
      <c r="O273" s="19" t="s">
        <v>1100</v>
      </c>
      <c r="P273" s="19" t="s">
        <v>1100</v>
      </c>
      <c r="Q273" s="13" t="s">
        <v>1100</v>
      </c>
      <c r="R273" s="11"/>
      <c r="S273" s="11" t="s">
        <v>1100</v>
      </c>
      <c r="T273" s="13" t="str">
        <f t="shared" si="4"/>
        <v/>
      </c>
      <c r="U273" s="11" t="s">
        <v>1100</v>
      </c>
      <c r="V273" s="11" t="s">
        <v>1100</v>
      </c>
      <c r="W273" s="11" t="s">
        <v>1100</v>
      </c>
      <c r="X273" s="11" t="s">
        <v>1100</v>
      </c>
      <c r="Y273" s="11" t="s">
        <v>1100</v>
      </c>
      <c r="Z273" s="11" t="s">
        <v>1100</v>
      </c>
      <c r="AA273" s="11" t="s">
        <v>1100</v>
      </c>
      <c r="AB273" s="11" t="s">
        <v>1100</v>
      </c>
      <c r="AC273" s="20" t="s">
        <v>1101</v>
      </c>
    </row>
    <row r="274" spans="2:29" ht="15.75" x14ac:dyDescent="0.25">
      <c r="B274" s="11">
        <v>263</v>
      </c>
      <c r="C274" s="12" t="s">
        <v>607</v>
      </c>
      <c r="D274" s="12" t="s">
        <v>424</v>
      </c>
      <c r="E274" s="12" t="s">
        <v>97</v>
      </c>
      <c r="F274" s="11" t="s">
        <v>608</v>
      </c>
      <c r="G274" s="13" t="s">
        <v>1223</v>
      </c>
      <c r="H274" s="13" t="s">
        <v>1039</v>
      </c>
      <c r="I274" s="21">
        <v>31001</v>
      </c>
      <c r="J274" s="15">
        <v>41</v>
      </c>
      <c r="K274" s="16" t="s">
        <v>1097</v>
      </c>
      <c r="L274" s="16" t="s">
        <v>1102</v>
      </c>
      <c r="M274" s="22" t="s">
        <v>1099</v>
      </c>
      <c r="N274" s="23"/>
      <c r="O274" s="19" t="s">
        <v>1100</v>
      </c>
      <c r="P274" s="19" t="s">
        <v>1100</v>
      </c>
      <c r="Q274" s="13" t="s">
        <v>1100</v>
      </c>
      <c r="R274" s="11"/>
      <c r="S274" s="11" t="s">
        <v>1100</v>
      </c>
      <c r="T274" s="13" t="str">
        <f t="shared" si="4"/>
        <v/>
      </c>
      <c r="U274" s="11" t="s">
        <v>1100</v>
      </c>
      <c r="V274" s="11" t="s">
        <v>1100</v>
      </c>
      <c r="W274" s="11" t="s">
        <v>1100</v>
      </c>
      <c r="X274" s="11" t="s">
        <v>1100</v>
      </c>
      <c r="Y274" s="11" t="s">
        <v>1100</v>
      </c>
      <c r="Z274" s="11" t="s">
        <v>1100</v>
      </c>
      <c r="AA274" s="11" t="s">
        <v>1100</v>
      </c>
      <c r="AB274" s="11" t="s">
        <v>1100</v>
      </c>
      <c r="AC274" s="20" t="s">
        <v>1101</v>
      </c>
    </row>
    <row r="275" spans="2:29" ht="15.75" x14ac:dyDescent="0.25">
      <c r="B275" s="11">
        <v>264</v>
      </c>
      <c r="C275" s="12" t="s">
        <v>88</v>
      </c>
      <c r="D275" s="12" t="s">
        <v>146</v>
      </c>
      <c r="E275" s="12" t="s">
        <v>609</v>
      </c>
      <c r="F275" s="11" t="s">
        <v>67</v>
      </c>
      <c r="G275" s="13" t="s">
        <v>1222</v>
      </c>
      <c r="H275" s="13" t="s">
        <v>1039</v>
      </c>
      <c r="I275" s="21">
        <v>30103</v>
      </c>
      <c r="J275" s="15">
        <v>43</v>
      </c>
      <c r="K275" s="16" t="s">
        <v>1097</v>
      </c>
      <c r="L275" s="16" t="s">
        <v>1098</v>
      </c>
      <c r="M275" s="22" t="s">
        <v>1099</v>
      </c>
      <c r="N275" s="23"/>
      <c r="O275" s="19" t="s">
        <v>1100</v>
      </c>
      <c r="P275" s="19" t="s">
        <v>1100</v>
      </c>
      <c r="Q275" s="13" t="s">
        <v>1100</v>
      </c>
      <c r="R275" s="11"/>
      <c r="S275" s="11" t="s">
        <v>1100</v>
      </c>
      <c r="T275" s="13" t="str">
        <f t="shared" si="4"/>
        <v/>
      </c>
      <c r="U275" s="11" t="s">
        <v>1100</v>
      </c>
      <c r="V275" s="11" t="s">
        <v>1100</v>
      </c>
      <c r="W275" s="11" t="s">
        <v>1100</v>
      </c>
      <c r="X275" s="11" t="s">
        <v>1100</v>
      </c>
      <c r="Y275" s="11" t="s">
        <v>1100</v>
      </c>
      <c r="Z275" s="11" t="s">
        <v>1100</v>
      </c>
      <c r="AA275" s="11" t="s">
        <v>1100</v>
      </c>
      <c r="AB275" s="11" t="s">
        <v>1100</v>
      </c>
      <c r="AC275" s="20" t="s">
        <v>1101</v>
      </c>
    </row>
    <row r="276" spans="2:29" ht="15.75" x14ac:dyDescent="0.25">
      <c r="B276" s="11">
        <v>265</v>
      </c>
      <c r="C276" s="12" t="s">
        <v>88</v>
      </c>
      <c r="D276" s="12" t="s">
        <v>614</v>
      </c>
      <c r="E276" s="12" t="s">
        <v>359</v>
      </c>
      <c r="F276" s="11" t="s">
        <v>67</v>
      </c>
      <c r="G276" s="13" t="s">
        <v>1222</v>
      </c>
      <c r="H276" s="13" t="s">
        <v>1039</v>
      </c>
      <c r="I276" s="21">
        <v>25260</v>
      </c>
      <c r="J276" s="15">
        <v>56</v>
      </c>
      <c r="K276" s="16" t="s">
        <v>1097</v>
      </c>
      <c r="L276" s="16" t="s">
        <v>1102</v>
      </c>
      <c r="M276" s="22" t="s">
        <v>1099</v>
      </c>
      <c r="N276" s="23"/>
      <c r="O276" s="19" t="s">
        <v>1100</v>
      </c>
      <c r="P276" s="19" t="s">
        <v>1100</v>
      </c>
      <c r="Q276" s="13" t="s">
        <v>1100</v>
      </c>
      <c r="R276" s="11"/>
      <c r="S276" s="11" t="s">
        <v>1100</v>
      </c>
      <c r="T276" s="13" t="str">
        <f t="shared" si="4"/>
        <v/>
      </c>
      <c r="U276" s="11" t="s">
        <v>1100</v>
      </c>
      <c r="V276" s="11" t="s">
        <v>1100</v>
      </c>
      <c r="W276" s="11" t="s">
        <v>1100</v>
      </c>
      <c r="X276" s="11" t="s">
        <v>1100</v>
      </c>
      <c r="Y276" s="11" t="s">
        <v>1100</v>
      </c>
      <c r="Z276" s="11" t="s">
        <v>1100</v>
      </c>
      <c r="AA276" s="11" t="s">
        <v>1100</v>
      </c>
      <c r="AB276" s="11" t="s">
        <v>1100</v>
      </c>
      <c r="AC276" s="20" t="s">
        <v>1101</v>
      </c>
    </row>
    <row r="277" spans="2:29" ht="15.75" x14ac:dyDescent="0.25">
      <c r="B277" s="11">
        <v>266</v>
      </c>
      <c r="C277" s="12" t="s">
        <v>88</v>
      </c>
      <c r="D277" s="12" t="s">
        <v>612</v>
      </c>
      <c r="E277" s="12" t="s">
        <v>613</v>
      </c>
      <c r="F277" s="11"/>
      <c r="G277" s="13" t="s">
        <v>1222</v>
      </c>
      <c r="H277" s="13" t="s">
        <v>1039</v>
      </c>
      <c r="I277" s="21">
        <v>17436</v>
      </c>
      <c r="J277" s="15">
        <v>78</v>
      </c>
      <c r="K277" s="16" t="s">
        <v>1097</v>
      </c>
      <c r="L277" s="16" t="s">
        <v>1102</v>
      </c>
      <c r="M277" s="22" t="s">
        <v>1099</v>
      </c>
      <c r="N277" s="23"/>
      <c r="O277" s="19" t="s">
        <v>1100</v>
      </c>
      <c r="P277" s="19" t="s">
        <v>1100</v>
      </c>
      <c r="Q277" s="13" t="s">
        <v>1100</v>
      </c>
      <c r="R277" s="11"/>
      <c r="S277" s="11" t="s">
        <v>1100</v>
      </c>
      <c r="T277" s="13" t="str">
        <f t="shared" si="4"/>
        <v>/</v>
      </c>
      <c r="U277" s="11" t="s">
        <v>1100</v>
      </c>
      <c r="V277" s="11" t="s">
        <v>1100</v>
      </c>
      <c r="W277" s="11" t="s">
        <v>1100</v>
      </c>
      <c r="X277" s="11" t="s">
        <v>1100</v>
      </c>
      <c r="Y277" s="11" t="s">
        <v>1100</v>
      </c>
      <c r="Z277" s="11" t="s">
        <v>1100</v>
      </c>
      <c r="AA277" s="11" t="s">
        <v>1100</v>
      </c>
      <c r="AB277" s="11" t="s">
        <v>1100</v>
      </c>
      <c r="AC277" s="20" t="s">
        <v>1101</v>
      </c>
    </row>
    <row r="278" spans="2:29" ht="15.75" x14ac:dyDescent="0.25">
      <c r="B278" s="11">
        <v>267</v>
      </c>
      <c r="C278" s="12" t="s">
        <v>88</v>
      </c>
      <c r="D278" s="12" t="s">
        <v>170</v>
      </c>
      <c r="E278" s="12" t="s">
        <v>609</v>
      </c>
      <c r="F278" s="11"/>
      <c r="G278" s="13" t="s">
        <v>1222</v>
      </c>
      <c r="H278" s="13" t="s">
        <v>1039</v>
      </c>
      <c r="I278" s="21">
        <v>31304</v>
      </c>
      <c r="J278" s="15">
        <v>40</v>
      </c>
      <c r="K278" s="16" t="s">
        <v>1097</v>
      </c>
      <c r="L278" s="16" t="s">
        <v>1102</v>
      </c>
      <c r="M278" s="22" t="s">
        <v>1099</v>
      </c>
      <c r="N278" s="23"/>
      <c r="O278" s="19" t="s">
        <v>1100</v>
      </c>
      <c r="P278" s="19" t="s">
        <v>1100</v>
      </c>
      <c r="Q278" s="13" t="s">
        <v>1100</v>
      </c>
      <c r="R278" s="11"/>
      <c r="S278" s="11" t="s">
        <v>1100</v>
      </c>
      <c r="T278" s="13" t="str">
        <f t="shared" si="4"/>
        <v/>
      </c>
      <c r="U278" s="11" t="s">
        <v>1100</v>
      </c>
      <c r="V278" s="11" t="s">
        <v>1100</v>
      </c>
      <c r="W278" s="11" t="s">
        <v>1100</v>
      </c>
      <c r="X278" s="11" t="s">
        <v>1100</v>
      </c>
      <c r="Y278" s="11" t="s">
        <v>1100</v>
      </c>
      <c r="Z278" s="11" t="s">
        <v>1100</v>
      </c>
      <c r="AA278" s="11" t="s">
        <v>1100</v>
      </c>
      <c r="AB278" s="11" t="s">
        <v>1100</v>
      </c>
      <c r="AC278" s="20" t="s">
        <v>1101</v>
      </c>
    </row>
    <row r="279" spans="2:29" ht="15.75" x14ac:dyDescent="0.25">
      <c r="B279" s="11">
        <v>268</v>
      </c>
      <c r="C279" s="12" t="s">
        <v>88</v>
      </c>
      <c r="D279" s="12" t="s">
        <v>43</v>
      </c>
      <c r="E279" s="12" t="s">
        <v>359</v>
      </c>
      <c r="F279" s="11"/>
      <c r="G279" s="13" t="s">
        <v>1222</v>
      </c>
      <c r="H279" s="13" t="s">
        <v>1039</v>
      </c>
      <c r="I279" s="21">
        <v>32140</v>
      </c>
      <c r="J279" s="15">
        <v>38</v>
      </c>
      <c r="K279" s="16" t="s">
        <v>1103</v>
      </c>
      <c r="L279" s="16" t="s">
        <v>1098</v>
      </c>
      <c r="M279" s="22" t="s">
        <v>1099</v>
      </c>
      <c r="N279" s="23"/>
      <c r="O279" s="19" t="s">
        <v>1100</v>
      </c>
      <c r="P279" s="19" t="s">
        <v>1100</v>
      </c>
      <c r="Q279" s="13" t="s">
        <v>1100</v>
      </c>
      <c r="R279" s="11"/>
      <c r="S279" s="11" t="s">
        <v>1100</v>
      </c>
      <c r="T279" s="13" t="str">
        <f t="shared" si="4"/>
        <v/>
      </c>
      <c r="U279" s="11" t="s">
        <v>1100</v>
      </c>
      <c r="V279" s="11" t="s">
        <v>1100</v>
      </c>
      <c r="W279" s="11" t="s">
        <v>1100</v>
      </c>
      <c r="X279" s="11" t="s">
        <v>1100</v>
      </c>
      <c r="Y279" s="11" t="s">
        <v>1100</v>
      </c>
      <c r="Z279" s="11" t="s">
        <v>1100</v>
      </c>
      <c r="AA279" s="11" t="s">
        <v>1100</v>
      </c>
      <c r="AB279" s="11" t="s">
        <v>1100</v>
      </c>
      <c r="AC279" s="20" t="s">
        <v>1101</v>
      </c>
    </row>
    <row r="280" spans="2:29" ht="15.75" x14ac:dyDescent="0.25">
      <c r="B280" s="11">
        <v>269</v>
      </c>
      <c r="C280" s="12" t="s">
        <v>88</v>
      </c>
      <c r="D280" s="12" t="s">
        <v>610</v>
      </c>
      <c r="E280" s="12" t="s">
        <v>611</v>
      </c>
      <c r="F280" s="11"/>
      <c r="G280" s="13" t="s">
        <v>1222</v>
      </c>
      <c r="H280" s="13" t="s">
        <v>1039</v>
      </c>
      <c r="I280" s="21">
        <v>28551</v>
      </c>
      <c r="J280" s="15">
        <v>47</v>
      </c>
      <c r="K280" s="16" t="s">
        <v>1097</v>
      </c>
      <c r="L280" s="16" t="s">
        <v>1102</v>
      </c>
      <c r="M280" s="22" t="s">
        <v>1099</v>
      </c>
      <c r="N280" s="23"/>
      <c r="O280" s="19" t="s">
        <v>1100</v>
      </c>
      <c r="P280" s="19" t="s">
        <v>1100</v>
      </c>
      <c r="Q280" s="13" t="s">
        <v>1099</v>
      </c>
      <c r="R280" s="11"/>
      <c r="S280" s="11" t="s">
        <v>1100</v>
      </c>
      <c r="T280" s="13" t="str">
        <f t="shared" si="4"/>
        <v/>
      </c>
      <c r="U280" s="11" t="s">
        <v>1100</v>
      </c>
      <c r="V280" s="11" t="s">
        <v>1100</v>
      </c>
      <c r="W280" s="11" t="s">
        <v>1100</v>
      </c>
      <c r="X280" s="11" t="s">
        <v>1100</v>
      </c>
      <c r="Y280" s="11" t="s">
        <v>1100</v>
      </c>
      <c r="Z280" s="11" t="s">
        <v>1100</v>
      </c>
      <c r="AA280" s="11" t="s">
        <v>1100</v>
      </c>
      <c r="AB280" s="11" t="s">
        <v>1100</v>
      </c>
      <c r="AC280" s="20" t="s">
        <v>1101</v>
      </c>
    </row>
    <row r="281" spans="2:29" ht="15.75" x14ac:dyDescent="0.25">
      <c r="B281" s="11">
        <v>270</v>
      </c>
      <c r="C281" s="12" t="s">
        <v>615</v>
      </c>
      <c r="D281" s="12" t="s">
        <v>151</v>
      </c>
      <c r="E281" s="12" t="s">
        <v>616</v>
      </c>
      <c r="F281" s="11" t="s">
        <v>67</v>
      </c>
      <c r="G281" s="13" t="s">
        <v>1222</v>
      </c>
      <c r="H281" s="13" t="s">
        <v>1039</v>
      </c>
      <c r="I281" s="21">
        <v>29167</v>
      </c>
      <c r="J281" s="15">
        <v>46</v>
      </c>
      <c r="K281" s="16" t="s">
        <v>1097</v>
      </c>
      <c r="L281" s="16" t="s">
        <v>1102</v>
      </c>
      <c r="M281" s="22" t="s">
        <v>1099</v>
      </c>
      <c r="N281" s="23"/>
      <c r="O281" s="19" t="s">
        <v>1100</v>
      </c>
      <c r="P281" s="19" t="s">
        <v>1100</v>
      </c>
      <c r="Q281" s="13" t="s">
        <v>1100</v>
      </c>
      <c r="R281" s="11"/>
      <c r="S281" s="11" t="s">
        <v>1100</v>
      </c>
      <c r="T281" s="13" t="str">
        <f t="shared" si="4"/>
        <v/>
      </c>
      <c r="U281" s="11" t="s">
        <v>1100</v>
      </c>
      <c r="V281" s="11" t="s">
        <v>1100</v>
      </c>
      <c r="W281" s="11" t="s">
        <v>1100</v>
      </c>
      <c r="X281" s="11" t="s">
        <v>1100</v>
      </c>
      <c r="Y281" s="11" t="s">
        <v>1100</v>
      </c>
      <c r="Z281" s="11" t="s">
        <v>1100</v>
      </c>
      <c r="AA281" s="11" t="s">
        <v>1100</v>
      </c>
      <c r="AB281" s="11" t="s">
        <v>1100</v>
      </c>
      <c r="AC281" s="20" t="s">
        <v>1101</v>
      </c>
    </row>
    <row r="282" spans="2:29" ht="15.75" x14ac:dyDescent="0.25">
      <c r="B282" s="11">
        <v>271</v>
      </c>
      <c r="C282" s="12" t="s">
        <v>139</v>
      </c>
      <c r="D282" s="12" t="s">
        <v>96</v>
      </c>
      <c r="E282" s="12" t="s">
        <v>617</v>
      </c>
      <c r="F282" s="11"/>
      <c r="G282" s="13" t="s">
        <v>1221</v>
      </c>
      <c r="H282" s="13" t="s">
        <v>1039</v>
      </c>
      <c r="I282" s="21">
        <v>25780</v>
      </c>
      <c r="J282" s="15">
        <v>55</v>
      </c>
      <c r="K282" s="16" t="s">
        <v>1097</v>
      </c>
      <c r="L282" s="16" t="s">
        <v>1102</v>
      </c>
      <c r="M282" s="22" t="s">
        <v>1099</v>
      </c>
      <c r="N282" s="23"/>
      <c r="O282" s="19" t="s">
        <v>1100</v>
      </c>
      <c r="P282" s="19" t="s">
        <v>1100</v>
      </c>
      <c r="Q282" s="13" t="s">
        <v>1100</v>
      </c>
      <c r="R282" s="11"/>
      <c r="S282" s="11" t="s">
        <v>1100</v>
      </c>
      <c r="T282" s="13" t="str">
        <f t="shared" si="4"/>
        <v/>
      </c>
      <c r="U282" s="11" t="s">
        <v>1100</v>
      </c>
      <c r="V282" s="11" t="s">
        <v>1100</v>
      </c>
      <c r="W282" s="11" t="s">
        <v>1100</v>
      </c>
      <c r="X282" s="11" t="s">
        <v>1100</v>
      </c>
      <c r="Y282" s="11" t="s">
        <v>1100</v>
      </c>
      <c r="Z282" s="11" t="s">
        <v>1100</v>
      </c>
      <c r="AA282" s="11" t="s">
        <v>1100</v>
      </c>
      <c r="AB282" s="11" t="s">
        <v>1100</v>
      </c>
      <c r="AC282" s="20" t="s">
        <v>1101</v>
      </c>
    </row>
    <row r="283" spans="2:29" ht="15.75" x14ac:dyDescent="0.25">
      <c r="B283" s="11">
        <v>272</v>
      </c>
      <c r="C283" s="12" t="s">
        <v>188</v>
      </c>
      <c r="D283" s="12" t="s">
        <v>620</v>
      </c>
      <c r="E283" s="12" t="s">
        <v>621</v>
      </c>
      <c r="F283" s="11" t="s">
        <v>76</v>
      </c>
      <c r="G283" s="13" t="s">
        <v>1114</v>
      </c>
      <c r="H283" s="13" t="s">
        <v>1039</v>
      </c>
      <c r="I283" s="21">
        <v>13571</v>
      </c>
      <c r="J283" s="15">
        <v>88</v>
      </c>
      <c r="K283" s="16" t="s">
        <v>1097</v>
      </c>
      <c r="L283" s="16" t="s">
        <v>1102</v>
      </c>
      <c r="M283" s="22" t="s">
        <v>1099</v>
      </c>
      <c r="N283" s="23"/>
      <c r="O283" s="19" t="s">
        <v>1100</v>
      </c>
      <c r="P283" s="19" t="s">
        <v>1099</v>
      </c>
      <c r="Q283" s="13" t="s">
        <v>1100</v>
      </c>
      <c r="R283" s="11"/>
      <c r="S283" s="11" t="s">
        <v>1100</v>
      </c>
      <c r="T283" s="13" t="str">
        <f t="shared" si="4"/>
        <v>/</v>
      </c>
      <c r="U283" s="11" t="s">
        <v>1100</v>
      </c>
      <c r="V283" s="11" t="s">
        <v>1100</v>
      </c>
      <c r="W283" s="11" t="s">
        <v>1100</v>
      </c>
      <c r="X283" s="11" t="s">
        <v>1100</v>
      </c>
      <c r="Y283" s="11" t="s">
        <v>1100</v>
      </c>
      <c r="Z283" s="11" t="s">
        <v>1100</v>
      </c>
      <c r="AA283" s="11" t="s">
        <v>1100</v>
      </c>
      <c r="AB283" s="11" t="s">
        <v>1100</v>
      </c>
      <c r="AC283" s="20" t="s">
        <v>1101</v>
      </c>
    </row>
    <row r="284" spans="2:29" ht="15.75" x14ac:dyDescent="0.25">
      <c r="B284" s="11">
        <v>273</v>
      </c>
      <c r="C284" s="12" t="s">
        <v>188</v>
      </c>
      <c r="D284" s="12" t="s">
        <v>668</v>
      </c>
      <c r="E284" s="12" t="s">
        <v>591</v>
      </c>
      <c r="F284" s="11"/>
      <c r="G284" s="13" t="s">
        <v>1114</v>
      </c>
      <c r="H284" s="13" t="s">
        <v>1039</v>
      </c>
      <c r="I284" s="21">
        <v>24432</v>
      </c>
      <c r="J284" s="15">
        <v>59</v>
      </c>
      <c r="K284" s="16" t="s">
        <v>1097</v>
      </c>
      <c r="L284" s="16" t="s">
        <v>1182</v>
      </c>
      <c r="M284" s="22" t="s">
        <v>1099</v>
      </c>
      <c r="N284" s="23"/>
      <c r="O284" s="19" t="s">
        <v>1100</v>
      </c>
      <c r="P284" s="19" t="s">
        <v>1100</v>
      </c>
      <c r="Q284" s="13" t="s">
        <v>1100</v>
      </c>
      <c r="R284" s="11"/>
      <c r="S284" s="11" t="s">
        <v>1100</v>
      </c>
      <c r="T284" s="13" t="str">
        <f t="shared" si="4"/>
        <v/>
      </c>
      <c r="U284" s="11" t="s">
        <v>1100</v>
      </c>
      <c r="V284" s="11" t="s">
        <v>1100</v>
      </c>
      <c r="W284" s="11" t="s">
        <v>1100</v>
      </c>
      <c r="X284" s="11" t="s">
        <v>1100</v>
      </c>
      <c r="Y284" s="11" t="s">
        <v>1100</v>
      </c>
      <c r="Z284" s="11" t="s">
        <v>1100</v>
      </c>
      <c r="AA284" s="11" t="s">
        <v>1100</v>
      </c>
      <c r="AB284" s="11" t="s">
        <v>1100</v>
      </c>
      <c r="AC284" s="20" t="s">
        <v>1101</v>
      </c>
    </row>
    <row r="285" spans="2:29" ht="15.75" x14ac:dyDescent="0.25">
      <c r="B285" s="11">
        <v>274</v>
      </c>
      <c r="C285" s="12" t="s">
        <v>188</v>
      </c>
      <c r="D285" s="12" t="s">
        <v>618</v>
      </c>
      <c r="E285" s="12" t="s">
        <v>619</v>
      </c>
      <c r="F285" s="11"/>
      <c r="G285" s="13" t="s">
        <v>1114</v>
      </c>
      <c r="H285" s="13" t="s">
        <v>1039</v>
      </c>
      <c r="I285" s="21">
        <v>27170</v>
      </c>
      <c r="J285" s="15">
        <v>51</v>
      </c>
      <c r="K285" s="16" t="s">
        <v>1097</v>
      </c>
      <c r="L285" s="16" t="s">
        <v>1102</v>
      </c>
      <c r="M285" s="22" t="s">
        <v>1099</v>
      </c>
      <c r="N285" s="23"/>
      <c r="O285" s="19" t="s">
        <v>1100</v>
      </c>
      <c r="P285" s="19" t="s">
        <v>1100</v>
      </c>
      <c r="Q285" s="13" t="s">
        <v>1100</v>
      </c>
      <c r="R285" s="11"/>
      <c r="S285" s="11" t="s">
        <v>1100</v>
      </c>
      <c r="T285" s="13" t="str">
        <f t="shared" si="4"/>
        <v/>
      </c>
      <c r="U285" s="11" t="s">
        <v>1100</v>
      </c>
      <c r="V285" s="11" t="s">
        <v>1100</v>
      </c>
      <c r="W285" s="11" t="s">
        <v>1100</v>
      </c>
      <c r="X285" s="11" t="s">
        <v>1100</v>
      </c>
      <c r="Y285" s="11" t="s">
        <v>1100</v>
      </c>
      <c r="Z285" s="11" t="s">
        <v>1100</v>
      </c>
      <c r="AA285" s="11" t="s">
        <v>1100</v>
      </c>
      <c r="AB285" s="11" t="s">
        <v>1100</v>
      </c>
      <c r="AC285" s="20" t="s">
        <v>1101</v>
      </c>
    </row>
    <row r="286" spans="2:29" ht="15.75" x14ac:dyDescent="0.25">
      <c r="B286" s="11">
        <v>275</v>
      </c>
      <c r="C286" s="12" t="s">
        <v>622</v>
      </c>
      <c r="D286" s="12" t="s">
        <v>623</v>
      </c>
      <c r="E286" s="12" t="s">
        <v>624</v>
      </c>
      <c r="F286" s="11"/>
      <c r="G286" s="13" t="s">
        <v>1223</v>
      </c>
      <c r="H286" s="13" t="s">
        <v>1039</v>
      </c>
      <c r="I286" s="21">
        <v>26307</v>
      </c>
      <c r="J286" s="15">
        <v>54</v>
      </c>
      <c r="K286" s="16" t="s">
        <v>1097</v>
      </c>
      <c r="L286" s="16" t="s">
        <v>1108</v>
      </c>
      <c r="M286" s="22" t="s">
        <v>1099</v>
      </c>
      <c r="N286" s="23"/>
      <c r="O286" s="19" t="s">
        <v>1100</v>
      </c>
      <c r="P286" s="19" t="s">
        <v>1100</v>
      </c>
      <c r="Q286" s="13" t="s">
        <v>1100</v>
      </c>
      <c r="R286" s="11"/>
      <c r="S286" s="11" t="s">
        <v>1100</v>
      </c>
      <c r="T286" s="13" t="str">
        <f t="shared" si="4"/>
        <v/>
      </c>
      <c r="U286" s="11" t="s">
        <v>1100</v>
      </c>
      <c r="V286" s="11" t="s">
        <v>1100</v>
      </c>
      <c r="W286" s="11" t="s">
        <v>1100</v>
      </c>
      <c r="X286" s="11" t="s">
        <v>1100</v>
      </c>
      <c r="Y286" s="11" t="s">
        <v>1100</v>
      </c>
      <c r="Z286" s="11" t="s">
        <v>1100</v>
      </c>
      <c r="AA286" s="11" t="s">
        <v>1100</v>
      </c>
      <c r="AB286" s="11" t="s">
        <v>1100</v>
      </c>
      <c r="AC286" s="20" t="s">
        <v>1101</v>
      </c>
    </row>
    <row r="287" spans="2:29" ht="15.75" x14ac:dyDescent="0.25">
      <c r="B287" s="11">
        <v>276</v>
      </c>
      <c r="C287" s="12" t="s">
        <v>125</v>
      </c>
      <c r="D287" s="12" t="s">
        <v>625</v>
      </c>
      <c r="E287" s="12" t="s">
        <v>626</v>
      </c>
      <c r="F287" s="11"/>
      <c r="G287" s="13" t="s">
        <v>1114</v>
      </c>
      <c r="H287" s="13" t="s">
        <v>1039</v>
      </c>
      <c r="I287" s="21">
        <v>27177</v>
      </c>
      <c r="J287" s="15">
        <v>51</v>
      </c>
      <c r="K287" s="16" t="s">
        <v>1097</v>
      </c>
      <c r="L287" s="16" t="s">
        <v>1102</v>
      </c>
      <c r="M287" s="22" t="s">
        <v>1099</v>
      </c>
      <c r="N287" s="23"/>
      <c r="O287" s="19" t="s">
        <v>1100</v>
      </c>
      <c r="P287" s="19" t="s">
        <v>1100</v>
      </c>
      <c r="Q287" s="13" t="s">
        <v>1100</v>
      </c>
      <c r="R287" s="11"/>
      <c r="S287" s="11" t="s">
        <v>1100</v>
      </c>
      <c r="T287" s="13" t="str">
        <f t="shared" si="4"/>
        <v/>
      </c>
      <c r="U287" s="11" t="s">
        <v>1100</v>
      </c>
      <c r="V287" s="11" t="s">
        <v>1100</v>
      </c>
      <c r="W287" s="11" t="s">
        <v>1100</v>
      </c>
      <c r="X287" s="11" t="s">
        <v>1100</v>
      </c>
      <c r="Y287" s="11" t="s">
        <v>1100</v>
      </c>
      <c r="Z287" s="11" t="s">
        <v>1100</v>
      </c>
      <c r="AA287" s="11" t="s">
        <v>1100</v>
      </c>
      <c r="AB287" s="11" t="s">
        <v>1100</v>
      </c>
      <c r="AC287" s="20" t="s">
        <v>1101</v>
      </c>
    </row>
    <row r="288" spans="2:29" ht="15.75" x14ac:dyDescent="0.25">
      <c r="B288" s="11">
        <v>277</v>
      </c>
      <c r="C288" s="12" t="s">
        <v>627</v>
      </c>
      <c r="D288" s="12" t="s">
        <v>628</v>
      </c>
      <c r="E288" s="12" t="s">
        <v>97</v>
      </c>
      <c r="F288" s="11"/>
      <c r="G288" s="13" t="s">
        <v>1224</v>
      </c>
      <c r="H288" s="13" t="s">
        <v>1039</v>
      </c>
      <c r="I288" s="21">
        <v>30388</v>
      </c>
      <c r="J288" s="15">
        <v>42</v>
      </c>
      <c r="K288" s="16" t="s">
        <v>1103</v>
      </c>
      <c r="L288" s="16" t="s">
        <v>1181</v>
      </c>
      <c r="M288" s="22" t="s">
        <v>1099</v>
      </c>
      <c r="N288" s="23"/>
      <c r="O288" s="19" t="s">
        <v>1100</v>
      </c>
      <c r="P288" s="19" t="s">
        <v>1100</v>
      </c>
      <c r="Q288" s="13" t="s">
        <v>1100</v>
      </c>
      <c r="R288" s="11"/>
      <c r="S288" s="11" t="s">
        <v>1100</v>
      </c>
      <c r="T288" s="13" t="str">
        <f t="shared" si="4"/>
        <v/>
      </c>
      <c r="U288" s="11" t="s">
        <v>1100</v>
      </c>
      <c r="V288" s="11" t="s">
        <v>1100</v>
      </c>
      <c r="W288" s="11" t="s">
        <v>1100</v>
      </c>
      <c r="X288" s="11" t="s">
        <v>1100</v>
      </c>
      <c r="Y288" s="11" t="s">
        <v>1100</v>
      </c>
      <c r="Z288" s="11" t="s">
        <v>1100</v>
      </c>
      <c r="AA288" s="11" t="s">
        <v>1100</v>
      </c>
      <c r="AB288" s="11" t="s">
        <v>1100</v>
      </c>
      <c r="AC288" s="20" t="s">
        <v>1101</v>
      </c>
    </row>
    <row r="289" spans="2:29" ht="15.75" x14ac:dyDescent="0.25">
      <c r="B289" s="11">
        <v>278</v>
      </c>
      <c r="C289" s="12" t="s">
        <v>629</v>
      </c>
      <c r="D289" s="12" t="s">
        <v>60</v>
      </c>
      <c r="E289" s="12" t="s">
        <v>630</v>
      </c>
      <c r="F289" s="11"/>
      <c r="G289" s="13" t="s">
        <v>1114</v>
      </c>
      <c r="H289" s="13" t="s">
        <v>1039</v>
      </c>
      <c r="I289" s="21">
        <v>26529</v>
      </c>
      <c r="J289" s="15">
        <v>53</v>
      </c>
      <c r="K289" s="16" t="s">
        <v>1097</v>
      </c>
      <c r="L289" s="16" t="s">
        <v>1108</v>
      </c>
      <c r="M289" s="22" t="s">
        <v>1099</v>
      </c>
      <c r="N289" s="23"/>
      <c r="O289" s="19" t="s">
        <v>1100</v>
      </c>
      <c r="P289" s="19" t="s">
        <v>1100</v>
      </c>
      <c r="Q289" s="13" t="s">
        <v>1100</v>
      </c>
      <c r="R289" s="11"/>
      <c r="S289" s="11" t="s">
        <v>1100</v>
      </c>
      <c r="T289" s="13" t="str">
        <f t="shared" si="4"/>
        <v/>
      </c>
      <c r="U289" s="11" t="s">
        <v>1100</v>
      </c>
      <c r="V289" s="11" t="s">
        <v>1100</v>
      </c>
      <c r="W289" s="11" t="s">
        <v>1100</v>
      </c>
      <c r="X289" s="11" t="s">
        <v>1100</v>
      </c>
      <c r="Y289" s="11" t="s">
        <v>1100</v>
      </c>
      <c r="Z289" s="11" t="s">
        <v>1100</v>
      </c>
      <c r="AA289" s="11" t="s">
        <v>1100</v>
      </c>
      <c r="AB289" s="11" t="s">
        <v>1100</v>
      </c>
      <c r="AC289" s="20" t="s">
        <v>1101</v>
      </c>
    </row>
    <row r="290" spans="2:29" ht="15.75" x14ac:dyDescent="0.25">
      <c r="B290" s="11">
        <v>279</v>
      </c>
      <c r="C290" s="12" t="s">
        <v>631</v>
      </c>
      <c r="D290" s="12" t="s">
        <v>632</v>
      </c>
      <c r="E290" s="12" t="s">
        <v>633</v>
      </c>
      <c r="F290" s="11"/>
      <c r="G290" s="13" t="s">
        <v>1226</v>
      </c>
      <c r="H290" s="13" t="s">
        <v>1039</v>
      </c>
      <c r="I290" s="21">
        <v>34448</v>
      </c>
      <c r="J290" s="15">
        <v>31</v>
      </c>
      <c r="K290" s="16" t="s">
        <v>1103</v>
      </c>
      <c r="L290" s="16" t="s">
        <v>1102</v>
      </c>
      <c r="M290" s="22" t="s">
        <v>1099</v>
      </c>
      <c r="N290" s="23"/>
      <c r="O290" s="19" t="s">
        <v>1100</v>
      </c>
      <c r="P290" s="19" t="s">
        <v>1100</v>
      </c>
      <c r="Q290" s="13" t="s">
        <v>1100</v>
      </c>
      <c r="R290" s="11"/>
      <c r="S290" s="11" t="s">
        <v>1100</v>
      </c>
      <c r="T290" s="13" t="str">
        <f t="shared" si="4"/>
        <v/>
      </c>
      <c r="U290" s="11" t="s">
        <v>1100</v>
      </c>
      <c r="V290" s="11" t="s">
        <v>1100</v>
      </c>
      <c r="W290" s="11" t="s">
        <v>1100</v>
      </c>
      <c r="X290" s="11" t="s">
        <v>1100</v>
      </c>
      <c r="Y290" s="11" t="s">
        <v>1100</v>
      </c>
      <c r="Z290" s="11" t="s">
        <v>1100</v>
      </c>
      <c r="AA290" s="11" t="s">
        <v>1100</v>
      </c>
      <c r="AB290" s="11" t="s">
        <v>1100</v>
      </c>
      <c r="AC290" s="20" t="s">
        <v>1101</v>
      </c>
    </row>
    <row r="291" spans="2:29" ht="15.75" x14ac:dyDescent="0.25">
      <c r="B291" s="11">
        <v>280</v>
      </c>
      <c r="C291" s="12" t="s">
        <v>634</v>
      </c>
      <c r="D291" s="12" t="s">
        <v>635</v>
      </c>
      <c r="E291" s="12" t="s">
        <v>88</v>
      </c>
      <c r="F291" s="11"/>
      <c r="G291" s="13" t="s">
        <v>1222</v>
      </c>
      <c r="H291" s="13" t="s">
        <v>1039</v>
      </c>
      <c r="I291" s="21">
        <v>24328</v>
      </c>
      <c r="J291" s="15">
        <v>59</v>
      </c>
      <c r="K291" s="16" t="s">
        <v>1103</v>
      </c>
      <c r="L291" s="16" t="s">
        <v>1102</v>
      </c>
      <c r="M291" s="22" t="s">
        <v>1099</v>
      </c>
      <c r="N291" s="23"/>
      <c r="O291" s="19" t="s">
        <v>1100</v>
      </c>
      <c r="P291" s="19" t="s">
        <v>1100</v>
      </c>
      <c r="Q291" s="13" t="s">
        <v>1100</v>
      </c>
      <c r="R291" s="11"/>
      <c r="S291" s="11" t="s">
        <v>1100</v>
      </c>
      <c r="T291" s="13" t="str">
        <f t="shared" si="4"/>
        <v/>
      </c>
      <c r="U291" s="11" t="s">
        <v>1100</v>
      </c>
      <c r="V291" s="11" t="s">
        <v>1100</v>
      </c>
      <c r="W291" s="11" t="s">
        <v>1100</v>
      </c>
      <c r="X291" s="11" t="s">
        <v>1100</v>
      </c>
      <c r="Y291" s="11" t="s">
        <v>1100</v>
      </c>
      <c r="Z291" s="11" t="s">
        <v>1100</v>
      </c>
      <c r="AA291" s="11" t="s">
        <v>1100</v>
      </c>
      <c r="AB291" s="11" t="s">
        <v>1100</v>
      </c>
      <c r="AC291" s="20" t="s">
        <v>1101</v>
      </c>
    </row>
    <row r="292" spans="2:29" ht="15.75" x14ac:dyDescent="0.25">
      <c r="B292" s="11">
        <v>281</v>
      </c>
      <c r="C292" s="12" t="s">
        <v>16</v>
      </c>
      <c r="D292" s="12" t="s">
        <v>144</v>
      </c>
      <c r="E292" s="12" t="s">
        <v>636</v>
      </c>
      <c r="F292" s="11"/>
      <c r="G292" s="13" t="s">
        <v>1224</v>
      </c>
      <c r="H292" s="13" t="s">
        <v>1039</v>
      </c>
      <c r="I292" s="21">
        <v>30282</v>
      </c>
      <c r="J292" s="15">
        <v>43</v>
      </c>
      <c r="K292" s="16" t="s">
        <v>1103</v>
      </c>
      <c r="L292" s="16" t="s">
        <v>1108</v>
      </c>
      <c r="M292" s="22" t="s">
        <v>1099</v>
      </c>
      <c r="N292" s="23"/>
      <c r="O292" s="19" t="s">
        <v>1100</v>
      </c>
      <c r="P292" s="19" t="s">
        <v>1100</v>
      </c>
      <c r="Q292" s="13" t="s">
        <v>1100</v>
      </c>
      <c r="R292" s="11"/>
      <c r="S292" s="11" t="s">
        <v>1100</v>
      </c>
      <c r="T292" s="13" t="str">
        <f t="shared" si="4"/>
        <v/>
      </c>
      <c r="U292" s="11" t="s">
        <v>1100</v>
      </c>
      <c r="V292" s="11" t="s">
        <v>1100</v>
      </c>
      <c r="W292" s="11" t="s">
        <v>1100</v>
      </c>
      <c r="X292" s="11" t="s">
        <v>1100</v>
      </c>
      <c r="Y292" s="11" t="s">
        <v>1100</v>
      </c>
      <c r="Z292" s="11" t="s">
        <v>1100</v>
      </c>
      <c r="AA292" s="11" t="s">
        <v>1100</v>
      </c>
      <c r="AB292" s="11" t="s">
        <v>1100</v>
      </c>
      <c r="AC292" s="20" t="s">
        <v>1101</v>
      </c>
    </row>
    <row r="293" spans="2:29" ht="15.75" x14ac:dyDescent="0.25">
      <c r="B293" s="11">
        <v>282</v>
      </c>
      <c r="C293" s="12" t="s">
        <v>16</v>
      </c>
      <c r="D293" s="12" t="s">
        <v>637</v>
      </c>
      <c r="E293" s="12" t="s">
        <v>28</v>
      </c>
      <c r="F293" s="11"/>
      <c r="G293" s="13" t="s">
        <v>1224</v>
      </c>
      <c r="H293" s="13" t="s">
        <v>1039</v>
      </c>
      <c r="I293" s="21">
        <v>31092</v>
      </c>
      <c r="J293" s="15">
        <v>41</v>
      </c>
      <c r="K293" s="16" t="s">
        <v>1103</v>
      </c>
      <c r="L293" s="16" t="s">
        <v>1102</v>
      </c>
      <c r="M293" s="22" t="s">
        <v>1099</v>
      </c>
      <c r="N293" s="23"/>
      <c r="O293" s="19" t="s">
        <v>1100</v>
      </c>
      <c r="P293" s="19" t="s">
        <v>1100</v>
      </c>
      <c r="Q293" s="13" t="s">
        <v>1099</v>
      </c>
      <c r="R293" s="11"/>
      <c r="S293" s="11" t="s">
        <v>1100</v>
      </c>
      <c r="T293" s="13" t="str">
        <f t="shared" si="4"/>
        <v/>
      </c>
      <c r="U293" s="11" t="s">
        <v>1100</v>
      </c>
      <c r="V293" s="11" t="s">
        <v>1100</v>
      </c>
      <c r="W293" s="11" t="s">
        <v>1100</v>
      </c>
      <c r="X293" s="11" t="s">
        <v>1100</v>
      </c>
      <c r="Y293" s="11" t="s">
        <v>1100</v>
      </c>
      <c r="Z293" s="11" t="s">
        <v>1100</v>
      </c>
      <c r="AA293" s="11" t="s">
        <v>1100</v>
      </c>
      <c r="AB293" s="11" t="s">
        <v>1100</v>
      </c>
      <c r="AC293" s="20" t="s">
        <v>1101</v>
      </c>
    </row>
    <row r="294" spans="2:29" ht="15.75" x14ac:dyDescent="0.25">
      <c r="B294" s="11">
        <v>283</v>
      </c>
      <c r="C294" s="12" t="s">
        <v>638</v>
      </c>
      <c r="D294" s="12" t="s">
        <v>639</v>
      </c>
      <c r="E294" s="12" t="s">
        <v>176</v>
      </c>
      <c r="F294" s="11"/>
      <c r="G294" s="13" t="s">
        <v>1223</v>
      </c>
      <c r="H294" s="13" t="s">
        <v>1039</v>
      </c>
      <c r="I294" s="21">
        <v>19003</v>
      </c>
      <c r="J294" s="15">
        <v>74</v>
      </c>
      <c r="K294" s="16" t="s">
        <v>1097</v>
      </c>
      <c r="L294" s="16" t="s">
        <v>1181</v>
      </c>
      <c r="M294" s="22" t="s">
        <v>1099</v>
      </c>
      <c r="N294" s="23"/>
      <c r="O294" s="19" t="s">
        <v>1100</v>
      </c>
      <c r="P294" s="19" t="s">
        <v>1100</v>
      </c>
      <c r="Q294" s="13" t="s">
        <v>1100</v>
      </c>
      <c r="R294" s="11"/>
      <c r="S294" s="11" t="s">
        <v>1100</v>
      </c>
      <c r="T294" s="13" t="str">
        <f t="shared" si="4"/>
        <v>/</v>
      </c>
      <c r="U294" s="11" t="s">
        <v>1100</v>
      </c>
      <c r="V294" s="11" t="s">
        <v>1100</v>
      </c>
      <c r="W294" s="11" t="s">
        <v>1100</v>
      </c>
      <c r="X294" s="11" t="s">
        <v>1100</v>
      </c>
      <c r="Y294" s="11" t="s">
        <v>1100</v>
      </c>
      <c r="Z294" s="11" t="s">
        <v>1100</v>
      </c>
      <c r="AA294" s="11" t="s">
        <v>1100</v>
      </c>
      <c r="AB294" s="11" t="s">
        <v>1100</v>
      </c>
      <c r="AC294" s="20" t="s">
        <v>1101</v>
      </c>
    </row>
    <row r="295" spans="2:29" ht="15.75" x14ac:dyDescent="0.25">
      <c r="B295" s="11">
        <v>284</v>
      </c>
      <c r="C295" s="12" t="s">
        <v>638</v>
      </c>
      <c r="D295" s="12" t="s">
        <v>640</v>
      </c>
      <c r="E295" s="12" t="s">
        <v>18</v>
      </c>
      <c r="F295" s="11"/>
      <c r="G295" s="13" t="s">
        <v>1223</v>
      </c>
      <c r="H295" s="13" t="s">
        <v>1039</v>
      </c>
      <c r="I295" s="21">
        <v>30999</v>
      </c>
      <c r="J295" s="15">
        <v>41</v>
      </c>
      <c r="K295" s="16" t="s">
        <v>1103</v>
      </c>
      <c r="L295" s="16" t="s">
        <v>1102</v>
      </c>
      <c r="M295" s="22" t="s">
        <v>1099</v>
      </c>
      <c r="N295" s="23"/>
      <c r="O295" s="19" t="s">
        <v>1100</v>
      </c>
      <c r="P295" s="19" t="s">
        <v>1099</v>
      </c>
      <c r="Q295" s="13" t="s">
        <v>1100</v>
      </c>
      <c r="R295" s="11"/>
      <c r="S295" s="11" t="s">
        <v>1100</v>
      </c>
      <c r="T295" s="13" t="str">
        <f t="shared" si="4"/>
        <v/>
      </c>
      <c r="U295" s="11" t="s">
        <v>1100</v>
      </c>
      <c r="V295" s="11" t="s">
        <v>1100</v>
      </c>
      <c r="W295" s="11" t="s">
        <v>1100</v>
      </c>
      <c r="X295" s="11" t="s">
        <v>1100</v>
      </c>
      <c r="Y295" s="11" t="s">
        <v>1100</v>
      </c>
      <c r="Z295" s="11" t="s">
        <v>1100</v>
      </c>
      <c r="AA295" s="11" t="s">
        <v>1100</v>
      </c>
      <c r="AB295" s="11" t="s">
        <v>1100</v>
      </c>
      <c r="AC295" s="20" t="s">
        <v>1101</v>
      </c>
    </row>
    <row r="296" spans="2:29" ht="15.75" x14ac:dyDescent="0.25">
      <c r="B296" s="11">
        <v>285</v>
      </c>
      <c r="C296" s="12" t="s">
        <v>642</v>
      </c>
      <c r="D296" s="12" t="s">
        <v>40</v>
      </c>
      <c r="E296" s="12" t="s">
        <v>1005</v>
      </c>
      <c r="F296" s="11"/>
      <c r="G296" s="13" t="s">
        <v>1224</v>
      </c>
      <c r="H296" s="13" t="s">
        <v>1039</v>
      </c>
      <c r="I296" s="21">
        <v>34197</v>
      </c>
      <c r="J296" s="15">
        <v>32</v>
      </c>
      <c r="K296" s="16" t="s">
        <v>1097</v>
      </c>
      <c r="L296" s="16" t="s">
        <v>1102</v>
      </c>
      <c r="M296" s="22" t="s">
        <v>1099</v>
      </c>
      <c r="N296" s="23"/>
      <c r="O296" s="19" t="s">
        <v>1100</v>
      </c>
      <c r="P296" s="19" t="s">
        <v>1100</v>
      </c>
      <c r="Q296" s="13" t="s">
        <v>1100</v>
      </c>
      <c r="R296" s="11" t="s">
        <v>1099</v>
      </c>
      <c r="S296" s="11" t="s">
        <v>1100</v>
      </c>
      <c r="T296" s="13" t="str">
        <f t="shared" si="4"/>
        <v/>
      </c>
      <c r="U296" s="11" t="s">
        <v>1100</v>
      </c>
      <c r="V296" s="11" t="s">
        <v>1100</v>
      </c>
      <c r="W296" s="11" t="s">
        <v>1100</v>
      </c>
      <c r="X296" s="11" t="s">
        <v>1100</v>
      </c>
      <c r="Y296" s="11" t="s">
        <v>1100</v>
      </c>
      <c r="Z296" s="11" t="s">
        <v>1100</v>
      </c>
      <c r="AA296" s="11" t="s">
        <v>1100</v>
      </c>
      <c r="AB296" s="11" t="s">
        <v>1100</v>
      </c>
      <c r="AC296" s="20" t="s">
        <v>1101</v>
      </c>
    </row>
    <row r="297" spans="2:29" ht="15.75" x14ac:dyDescent="0.25">
      <c r="B297" s="11">
        <v>286</v>
      </c>
      <c r="C297" s="12" t="s">
        <v>78</v>
      </c>
      <c r="D297" s="12" t="s">
        <v>101</v>
      </c>
      <c r="E297" s="12" t="s">
        <v>584</v>
      </c>
      <c r="F297" s="11"/>
      <c r="G297" s="13" t="s">
        <v>1222</v>
      </c>
      <c r="H297" s="13" t="s">
        <v>1039</v>
      </c>
      <c r="I297" s="21">
        <v>24030</v>
      </c>
      <c r="J297" s="15">
        <v>60</v>
      </c>
      <c r="K297" s="16" t="s">
        <v>1097</v>
      </c>
      <c r="L297" s="16" t="s">
        <v>1102</v>
      </c>
      <c r="M297" s="22" t="s">
        <v>1099</v>
      </c>
      <c r="N297" s="23"/>
      <c r="O297" s="19" t="s">
        <v>1100</v>
      </c>
      <c r="P297" s="19" t="s">
        <v>1100</v>
      </c>
      <c r="Q297" s="13" t="s">
        <v>1100</v>
      </c>
      <c r="R297" s="11"/>
      <c r="S297" s="11" t="s">
        <v>1100</v>
      </c>
      <c r="T297" s="13" t="str">
        <f t="shared" si="4"/>
        <v>/</v>
      </c>
      <c r="U297" s="11" t="s">
        <v>1100</v>
      </c>
      <c r="V297" s="11" t="s">
        <v>1100</v>
      </c>
      <c r="W297" s="11" t="s">
        <v>1100</v>
      </c>
      <c r="X297" s="11" t="s">
        <v>1100</v>
      </c>
      <c r="Y297" s="11" t="s">
        <v>1100</v>
      </c>
      <c r="Z297" s="11" t="s">
        <v>1100</v>
      </c>
      <c r="AA297" s="11" t="s">
        <v>1100</v>
      </c>
      <c r="AB297" s="11" t="s">
        <v>1100</v>
      </c>
      <c r="AC297" s="20" t="s">
        <v>1101</v>
      </c>
    </row>
    <row r="298" spans="2:29" ht="15.75" x14ac:dyDescent="0.25">
      <c r="B298" s="11">
        <v>287</v>
      </c>
      <c r="C298" s="12" t="s">
        <v>78</v>
      </c>
      <c r="D298" s="12" t="s">
        <v>641</v>
      </c>
      <c r="E298" s="12" t="s">
        <v>642</v>
      </c>
      <c r="F298" s="11"/>
      <c r="G298" s="13" t="s">
        <v>1114</v>
      </c>
      <c r="H298" s="13" t="s">
        <v>1039</v>
      </c>
      <c r="I298" s="21">
        <v>32094</v>
      </c>
      <c r="J298" s="15">
        <v>38</v>
      </c>
      <c r="K298" s="16" t="s">
        <v>1103</v>
      </c>
      <c r="L298" s="16" t="s">
        <v>1102</v>
      </c>
      <c r="M298" s="22" t="s">
        <v>1099</v>
      </c>
      <c r="N298" s="23"/>
      <c r="O298" s="19" t="s">
        <v>1100</v>
      </c>
      <c r="P298" s="19" t="s">
        <v>1100</v>
      </c>
      <c r="Q298" s="13" t="s">
        <v>1100</v>
      </c>
      <c r="R298" s="11"/>
      <c r="S298" s="11" t="s">
        <v>1100</v>
      </c>
      <c r="T298" s="13" t="str">
        <f t="shared" si="4"/>
        <v/>
      </c>
      <c r="U298" s="11" t="s">
        <v>1100</v>
      </c>
      <c r="V298" s="11" t="s">
        <v>1100</v>
      </c>
      <c r="W298" s="11" t="s">
        <v>1100</v>
      </c>
      <c r="X298" s="11" t="s">
        <v>1100</v>
      </c>
      <c r="Y298" s="11" t="s">
        <v>1100</v>
      </c>
      <c r="Z298" s="11" t="s">
        <v>1100</v>
      </c>
      <c r="AA298" s="11" t="s">
        <v>1100</v>
      </c>
      <c r="AB298" s="11" t="s">
        <v>1100</v>
      </c>
      <c r="AC298" s="20" t="s">
        <v>1101</v>
      </c>
    </row>
    <row r="299" spans="2:29" ht="15.75" x14ac:dyDescent="0.25">
      <c r="B299" s="11">
        <v>288</v>
      </c>
      <c r="C299" s="12" t="s">
        <v>54</v>
      </c>
      <c r="D299" s="12" t="s">
        <v>116</v>
      </c>
      <c r="E299" s="12" t="s">
        <v>643</v>
      </c>
      <c r="F299" s="11"/>
      <c r="G299" s="13"/>
      <c r="H299" s="13" t="s">
        <v>1039</v>
      </c>
      <c r="I299" s="21">
        <v>18113</v>
      </c>
      <c r="J299" s="15">
        <v>76</v>
      </c>
      <c r="K299" s="16" t="s">
        <v>1097</v>
      </c>
      <c r="L299" s="16" t="s">
        <v>1108</v>
      </c>
      <c r="M299" s="22" t="s">
        <v>1099</v>
      </c>
      <c r="N299" s="23"/>
      <c r="O299" s="19" t="s">
        <v>1100</v>
      </c>
      <c r="P299" s="19" t="s">
        <v>1100</v>
      </c>
      <c r="Q299" s="13" t="s">
        <v>1100</v>
      </c>
      <c r="R299" s="11"/>
      <c r="S299" s="11" t="s">
        <v>1100</v>
      </c>
      <c r="T299" s="13" t="str">
        <f t="shared" si="4"/>
        <v>/</v>
      </c>
      <c r="U299" s="11" t="s">
        <v>1100</v>
      </c>
      <c r="V299" s="11" t="s">
        <v>1100</v>
      </c>
      <c r="W299" s="11" t="s">
        <v>1100</v>
      </c>
      <c r="X299" s="11" t="s">
        <v>1100</v>
      </c>
      <c r="Y299" s="11" t="s">
        <v>1100</v>
      </c>
      <c r="Z299" s="11" t="s">
        <v>1100</v>
      </c>
      <c r="AA299" s="11" t="s">
        <v>1100</v>
      </c>
      <c r="AB299" s="11" t="s">
        <v>1100</v>
      </c>
      <c r="AC299" s="20" t="s">
        <v>1101</v>
      </c>
    </row>
    <row r="300" spans="2:29" ht="15.75" x14ac:dyDescent="0.25">
      <c r="B300" s="11">
        <v>289</v>
      </c>
      <c r="C300" s="12" t="s">
        <v>81</v>
      </c>
      <c r="D300" s="12" t="s">
        <v>644</v>
      </c>
      <c r="E300" s="12" t="s">
        <v>645</v>
      </c>
      <c r="F300" s="11"/>
      <c r="G300" s="13" t="s">
        <v>1224</v>
      </c>
      <c r="H300" s="13" t="s">
        <v>1039</v>
      </c>
      <c r="I300" s="21">
        <v>44863</v>
      </c>
      <c r="J300" s="15">
        <v>3</v>
      </c>
      <c r="K300" s="16" t="s">
        <v>1103</v>
      </c>
      <c r="L300" s="16" t="s">
        <v>1108</v>
      </c>
      <c r="M300" s="22" t="s">
        <v>1099</v>
      </c>
      <c r="N300" s="23"/>
      <c r="O300" s="19" t="s">
        <v>1100</v>
      </c>
      <c r="P300" s="19" t="s">
        <v>1100</v>
      </c>
      <c r="Q300" s="13" t="s">
        <v>1100</v>
      </c>
      <c r="R300" s="11"/>
      <c r="S300" s="11" t="s">
        <v>1100</v>
      </c>
      <c r="T300" s="13" t="str">
        <f t="shared" si="4"/>
        <v/>
      </c>
      <c r="U300" s="11" t="s">
        <v>1100</v>
      </c>
      <c r="V300" s="11" t="s">
        <v>1100</v>
      </c>
      <c r="W300" s="11" t="s">
        <v>1100</v>
      </c>
      <c r="X300" s="11" t="s">
        <v>1100</v>
      </c>
      <c r="Y300" s="11" t="s">
        <v>1100</v>
      </c>
      <c r="Z300" s="11" t="s">
        <v>1100</v>
      </c>
      <c r="AA300" s="11" t="s">
        <v>1100</v>
      </c>
      <c r="AB300" s="11" t="s">
        <v>1100</v>
      </c>
      <c r="AC300" s="20" t="s">
        <v>1101</v>
      </c>
    </row>
    <row r="301" spans="2:29" ht="15.75" x14ac:dyDescent="0.25">
      <c r="B301" s="11">
        <v>290</v>
      </c>
      <c r="C301" s="12" t="s">
        <v>646</v>
      </c>
      <c r="D301" s="12" t="s">
        <v>647</v>
      </c>
      <c r="E301" s="12" t="s">
        <v>88</v>
      </c>
      <c r="F301" s="11" t="s">
        <v>67</v>
      </c>
      <c r="G301" s="13" t="s">
        <v>1223</v>
      </c>
      <c r="H301" s="13" t="s">
        <v>1039</v>
      </c>
      <c r="I301" s="21">
        <v>27626</v>
      </c>
      <c r="J301" s="15">
        <v>50</v>
      </c>
      <c r="K301" s="16" t="s">
        <v>1097</v>
      </c>
      <c r="L301" s="16" t="s">
        <v>1102</v>
      </c>
      <c r="M301" s="22" t="s">
        <v>1099</v>
      </c>
      <c r="N301" s="23"/>
      <c r="O301" s="19" t="s">
        <v>1100</v>
      </c>
      <c r="P301" s="19" t="s">
        <v>1100</v>
      </c>
      <c r="Q301" s="13" t="s">
        <v>1100</v>
      </c>
      <c r="R301" s="11"/>
      <c r="S301" s="11" t="s">
        <v>1100</v>
      </c>
      <c r="T301" s="13" t="str">
        <f t="shared" si="4"/>
        <v/>
      </c>
      <c r="U301" s="11" t="s">
        <v>1100</v>
      </c>
      <c r="V301" s="11" t="s">
        <v>1100</v>
      </c>
      <c r="W301" s="11" t="s">
        <v>1100</v>
      </c>
      <c r="X301" s="11" t="s">
        <v>1100</v>
      </c>
      <c r="Y301" s="11" t="s">
        <v>1100</v>
      </c>
      <c r="Z301" s="11" t="s">
        <v>1100</v>
      </c>
      <c r="AA301" s="11" t="s">
        <v>1100</v>
      </c>
      <c r="AB301" s="11" t="s">
        <v>1100</v>
      </c>
      <c r="AC301" s="20" t="s">
        <v>1101</v>
      </c>
    </row>
    <row r="302" spans="2:29" ht="15.75" x14ac:dyDescent="0.25">
      <c r="B302" s="11">
        <v>291</v>
      </c>
      <c r="C302" s="12" t="s">
        <v>646</v>
      </c>
      <c r="D302" s="12" t="s">
        <v>648</v>
      </c>
      <c r="E302" s="12" t="s">
        <v>88</v>
      </c>
      <c r="F302" s="11" t="s">
        <v>76</v>
      </c>
      <c r="G302" s="13" t="s">
        <v>1223</v>
      </c>
      <c r="H302" s="13" t="s">
        <v>1039</v>
      </c>
      <c r="I302" s="21">
        <v>24335</v>
      </c>
      <c r="J302" s="15">
        <v>59</v>
      </c>
      <c r="K302" s="16" t="s">
        <v>1097</v>
      </c>
      <c r="L302" s="16" t="s">
        <v>1102</v>
      </c>
      <c r="M302" s="22" t="s">
        <v>1099</v>
      </c>
      <c r="N302" s="23"/>
      <c r="O302" s="19" t="s">
        <v>1100</v>
      </c>
      <c r="P302" s="19" t="s">
        <v>1099</v>
      </c>
      <c r="Q302" s="13" t="s">
        <v>1100</v>
      </c>
      <c r="R302" s="11"/>
      <c r="S302" s="11" t="s">
        <v>1100</v>
      </c>
      <c r="T302" s="13" t="str">
        <f t="shared" si="4"/>
        <v/>
      </c>
      <c r="U302" s="11" t="s">
        <v>1100</v>
      </c>
      <c r="V302" s="11" t="s">
        <v>1100</v>
      </c>
      <c r="W302" s="11" t="s">
        <v>1100</v>
      </c>
      <c r="X302" s="11" t="s">
        <v>1100</v>
      </c>
      <c r="Y302" s="11" t="s">
        <v>1100</v>
      </c>
      <c r="Z302" s="11" t="s">
        <v>1100</v>
      </c>
      <c r="AA302" s="11" t="s">
        <v>1100</v>
      </c>
      <c r="AB302" s="11" t="s">
        <v>1100</v>
      </c>
      <c r="AC302" s="20" t="s">
        <v>1111</v>
      </c>
    </row>
    <row r="303" spans="2:29" ht="15.75" x14ac:dyDescent="0.25">
      <c r="B303" s="11">
        <v>292</v>
      </c>
      <c r="C303" s="12" t="s">
        <v>646</v>
      </c>
      <c r="D303" s="12" t="s">
        <v>648</v>
      </c>
      <c r="E303" s="12" t="s">
        <v>97</v>
      </c>
      <c r="F303" s="11" t="s">
        <v>67</v>
      </c>
      <c r="G303" s="13" t="s">
        <v>1222</v>
      </c>
      <c r="H303" s="13" t="s">
        <v>1039</v>
      </c>
      <c r="I303" s="21">
        <v>34938</v>
      </c>
      <c r="J303" s="15">
        <v>30</v>
      </c>
      <c r="K303" s="16" t="s">
        <v>1097</v>
      </c>
      <c r="L303" s="16" t="s">
        <v>1108</v>
      </c>
      <c r="M303" s="22" t="s">
        <v>1099</v>
      </c>
      <c r="N303" s="23"/>
      <c r="O303" s="19" t="s">
        <v>1100</v>
      </c>
      <c r="P303" s="19" t="s">
        <v>1100</v>
      </c>
      <c r="Q303" s="13" t="s">
        <v>1100</v>
      </c>
      <c r="R303" s="11"/>
      <c r="S303" s="11" t="s">
        <v>1100</v>
      </c>
      <c r="T303" s="13" t="str">
        <f t="shared" si="4"/>
        <v/>
      </c>
      <c r="U303" s="11" t="s">
        <v>1100</v>
      </c>
      <c r="V303" s="11" t="s">
        <v>1100</v>
      </c>
      <c r="W303" s="11" t="s">
        <v>1100</v>
      </c>
      <c r="X303" s="11" t="s">
        <v>1100</v>
      </c>
      <c r="Y303" s="11" t="s">
        <v>1100</v>
      </c>
      <c r="Z303" s="11" t="s">
        <v>1100</v>
      </c>
      <c r="AA303" s="11" t="s">
        <v>1100</v>
      </c>
      <c r="AB303" s="11" t="s">
        <v>1100</v>
      </c>
      <c r="AC303" s="20" t="s">
        <v>1101</v>
      </c>
    </row>
    <row r="304" spans="2:29" ht="15.75" x14ac:dyDescent="0.25">
      <c r="B304" s="11">
        <v>293</v>
      </c>
      <c r="C304" s="12" t="s">
        <v>649</v>
      </c>
      <c r="D304" s="12" t="s">
        <v>21</v>
      </c>
      <c r="E304" s="12" t="s">
        <v>650</v>
      </c>
      <c r="F304" s="11"/>
      <c r="G304" s="13" t="s">
        <v>1222</v>
      </c>
      <c r="H304" s="13" t="s">
        <v>1039</v>
      </c>
      <c r="I304" s="21">
        <v>20754</v>
      </c>
      <c r="J304" s="15">
        <v>69</v>
      </c>
      <c r="K304" s="16" t="s">
        <v>1097</v>
      </c>
      <c r="L304" s="16" t="s">
        <v>1102</v>
      </c>
      <c r="M304" s="22" t="s">
        <v>1099</v>
      </c>
      <c r="N304" s="23"/>
      <c r="O304" s="19" t="s">
        <v>1100</v>
      </c>
      <c r="P304" s="19" t="s">
        <v>1099</v>
      </c>
      <c r="Q304" s="13" t="s">
        <v>1100</v>
      </c>
      <c r="R304" s="11"/>
      <c r="S304" s="11" t="s">
        <v>1100</v>
      </c>
      <c r="T304" s="13" t="str">
        <f t="shared" si="4"/>
        <v>/</v>
      </c>
      <c r="U304" s="11" t="s">
        <v>1100</v>
      </c>
      <c r="V304" s="11" t="s">
        <v>1100</v>
      </c>
      <c r="W304" s="11" t="s">
        <v>1100</v>
      </c>
      <c r="X304" s="11" t="s">
        <v>1100</v>
      </c>
      <c r="Y304" s="11" t="s">
        <v>1100</v>
      </c>
      <c r="Z304" s="11" t="s">
        <v>1100</v>
      </c>
      <c r="AA304" s="11" t="s">
        <v>1100</v>
      </c>
      <c r="AB304" s="11" t="s">
        <v>1100</v>
      </c>
      <c r="AC304" s="20" t="s">
        <v>1101</v>
      </c>
    </row>
    <row r="305" spans="2:29" ht="15.75" x14ac:dyDescent="0.25">
      <c r="B305" s="11">
        <v>294</v>
      </c>
      <c r="C305" s="12" t="s">
        <v>651</v>
      </c>
      <c r="D305" s="12" t="s">
        <v>652</v>
      </c>
      <c r="E305" s="12" t="s">
        <v>176</v>
      </c>
      <c r="F305" s="11"/>
      <c r="G305" s="13" t="s">
        <v>1224</v>
      </c>
      <c r="H305" s="13" t="s">
        <v>1039</v>
      </c>
      <c r="I305" s="21">
        <v>26392</v>
      </c>
      <c r="J305" s="15">
        <v>53</v>
      </c>
      <c r="K305" s="16" t="s">
        <v>1103</v>
      </c>
      <c r="L305" s="16" t="s">
        <v>1102</v>
      </c>
      <c r="M305" s="22" t="s">
        <v>1099</v>
      </c>
      <c r="N305" s="23"/>
      <c r="O305" s="19" t="s">
        <v>1100</v>
      </c>
      <c r="P305" s="19" t="s">
        <v>1100</v>
      </c>
      <c r="Q305" s="13" t="s">
        <v>1100</v>
      </c>
      <c r="R305" s="11"/>
      <c r="S305" s="11" t="s">
        <v>1100</v>
      </c>
      <c r="T305" s="13" t="str">
        <f t="shared" si="4"/>
        <v/>
      </c>
      <c r="U305" s="11" t="s">
        <v>1100</v>
      </c>
      <c r="V305" s="11" t="s">
        <v>1100</v>
      </c>
      <c r="W305" s="11" t="s">
        <v>1100</v>
      </c>
      <c r="X305" s="11" t="s">
        <v>1100</v>
      </c>
      <c r="Y305" s="11" t="s">
        <v>1100</v>
      </c>
      <c r="Z305" s="11" t="s">
        <v>1100</v>
      </c>
      <c r="AA305" s="11" t="s">
        <v>1100</v>
      </c>
      <c r="AB305" s="11" t="s">
        <v>1100</v>
      </c>
      <c r="AC305" s="20" t="s">
        <v>1101</v>
      </c>
    </row>
    <row r="306" spans="2:29" ht="15.75" x14ac:dyDescent="0.25">
      <c r="B306" s="11">
        <v>295</v>
      </c>
      <c r="C306" s="12" t="s">
        <v>1171</v>
      </c>
      <c r="D306" s="12" t="s">
        <v>653</v>
      </c>
      <c r="E306" s="12" t="s">
        <v>654</v>
      </c>
      <c r="F306" s="11"/>
      <c r="G306" s="13" t="s">
        <v>1224</v>
      </c>
      <c r="H306" s="13" t="s">
        <v>1039</v>
      </c>
      <c r="I306" s="21">
        <v>32045</v>
      </c>
      <c r="J306" s="15">
        <v>38</v>
      </c>
      <c r="K306" s="16" t="s">
        <v>1097</v>
      </c>
      <c r="L306" s="16" t="s">
        <v>1108</v>
      </c>
      <c r="M306" s="22" t="s">
        <v>1099</v>
      </c>
      <c r="N306" s="23"/>
      <c r="O306" s="19" t="s">
        <v>1100</v>
      </c>
      <c r="P306" s="19" t="s">
        <v>1100</v>
      </c>
      <c r="Q306" s="13" t="s">
        <v>1100</v>
      </c>
      <c r="R306" s="11"/>
      <c r="S306" s="11" t="s">
        <v>1100</v>
      </c>
      <c r="T306" s="13" t="str">
        <f t="shared" si="4"/>
        <v/>
      </c>
      <c r="U306" s="11" t="s">
        <v>1100</v>
      </c>
      <c r="V306" s="11" t="s">
        <v>1100</v>
      </c>
      <c r="W306" s="11" t="s">
        <v>1100</v>
      </c>
      <c r="X306" s="11" t="s">
        <v>1100</v>
      </c>
      <c r="Y306" s="11" t="s">
        <v>1100</v>
      </c>
      <c r="Z306" s="11" t="s">
        <v>1100</v>
      </c>
      <c r="AA306" s="11" t="s">
        <v>1100</v>
      </c>
      <c r="AB306" s="11" t="s">
        <v>1100</v>
      </c>
      <c r="AC306" s="20" t="s">
        <v>1101</v>
      </c>
    </row>
    <row r="307" spans="2:29" ht="15.75" x14ac:dyDescent="0.25">
      <c r="B307" s="11">
        <v>296</v>
      </c>
      <c r="C307" s="12" t="s">
        <v>97</v>
      </c>
      <c r="D307" s="12" t="s">
        <v>167</v>
      </c>
      <c r="E307" s="12" t="s">
        <v>112</v>
      </c>
      <c r="F307" s="11"/>
      <c r="G307" s="13" t="s">
        <v>1224</v>
      </c>
      <c r="H307" s="13" t="s">
        <v>1039</v>
      </c>
      <c r="I307" s="21">
        <v>23817</v>
      </c>
      <c r="J307" s="15">
        <v>60</v>
      </c>
      <c r="K307" s="16" t="s">
        <v>1097</v>
      </c>
      <c r="L307" s="16" t="s">
        <v>1102</v>
      </c>
      <c r="M307" s="22" t="s">
        <v>1099</v>
      </c>
      <c r="N307" s="23"/>
      <c r="O307" s="19" t="s">
        <v>1100</v>
      </c>
      <c r="P307" s="19" t="s">
        <v>1099</v>
      </c>
      <c r="Q307" s="13" t="s">
        <v>1100</v>
      </c>
      <c r="R307" s="11"/>
      <c r="S307" s="11" t="s">
        <v>1100</v>
      </c>
      <c r="T307" s="13" t="str">
        <f t="shared" si="4"/>
        <v>/</v>
      </c>
      <c r="U307" s="11" t="s">
        <v>1100</v>
      </c>
      <c r="V307" s="11" t="s">
        <v>1100</v>
      </c>
      <c r="W307" s="11" t="s">
        <v>1100</v>
      </c>
      <c r="X307" s="11" t="s">
        <v>1100</v>
      </c>
      <c r="Y307" s="11" t="s">
        <v>1100</v>
      </c>
      <c r="Z307" s="11" t="s">
        <v>1100</v>
      </c>
      <c r="AA307" s="11" t="s">
        <v>1100</v>
      </c>
      <c r="AB307" s="11" t="s">
        <v>1100</v>
      </c>
      <c r="AC307" s="20" t="s">
        <v>1101</v>
      </c>
    </row>
    <row r="308" spans="2:29" ht="15.75" x14ac:dyDescent="0.25">
      <c r="B308" s="11">
        <v>297</v>
      </c>
      <c r="C308" s="12" t="s">
        <v>97</v>
      </c>
      <c r="D308" s="12" t="s">
        <v>656</v>
      </c>
      <c r="E308" s="12" t="s">
        <v>109</v>
      </c>
      <c r="F308" s="11"/>
      <c r="G308" s="13" t="s">
        <v>1222</v>
      </c>
      <c r="H308" s="13" t="s">
        <v>1039</v>
      </c>
      <c r="I308" s="21">
        <v>34376</v>
      </c>
      <c r="J308" s="15">
        <v>32</v>
      </c>
      <c r="K308" s="16" t="s">
        <v>1097</v>
      </c>
      <c r="L308" s="16" t="s">
        <v>1102</v>
      </c>
      <c r="M308" s="22" t="s">
        <v>1099</v>
      </c>
      <c r="N308" s="23"/>
      <c r="O308" s="19" t="s">
        <v>1100</v>
      </c>
      <c r="P308" s="19" t="s">
        <v>1100</v>
      </c>
      <c r="Q308" s="13" t="s">
        <v>1100</v>
      </c>
      <c r="R308" s="11"/>
      <c r="S308" s="11" t="s">
        <v>1100</v>
      </c>
      <c r="T308" s="13" t="str">
        <f t="shared" si="4"/>
        <v/>
      </c>
      <c r="U308" s="11" t="s">
        <v>1100</v>
      </c>
      <c r="V308" s="11" t="s">
        <v>1100</v>
      </c>
      <c r="W308" s="11" t="s">
        <v>1100</v>
      </c>
      <c r="X308" s="11" t="s">
        <v>1100</v>
      </c>
      <c r="Y308" s="11" t="s">
        <v>1100</v>
      </c>
      <c r="Z308" s="11" t="s">
        <v>1100</v>
      </c>
      <c r="AA308" s="11" t="s">
        <v>1100</v>
      </c>
      <c r="AB308" s="11" t="s">
        <v>1100</v>
      </c>
      <c r="AC308" s="20" t="s">
        <v>1101</v>
      </c>
    </row>
    <row r="309" spans="2:29" ht="15.75" x14ac:dyDescent="0.25">
      <c r="B309" s="11">
        <v>298</v>
      </c>
      <c r="C309" s="12" t="s">
        <v>97</v>
      </c>
      <c r="D309" s="12" t="s">
        <v>60</v>
      </c>
      <c r="E309" s="12" t="s">
        <v>655</v>
      </c>
      <c r="F309" s="11" t="s">
        <v>76</v>
      </c>
      <c r="G309" s="13" t="s">
        <v>1222</v>
      </c>
      <c r="H309" s="13" t="s">
        <v>1039</v>
      </c>
      <c r="I309" s="21">
        <v>25291</v>
      </c>
      <c r="J309" s="15">
        <v>56</v>
      </c>
      <c r="K309" s="16" t="s">
        <v>1097</v>
      </c>
      <c r="L309" s="16" t="s">
        <v>1102</v>
      </c>
      <c r="M309" s="22" t="s">
        <v>1099</v>
      </c>
      <c r="N309" s="23"/>
      <c r="O309" s="19" t="s">
        <v>1100</v>
      </c>
      <c r="P309" s="19" t="s">
        <v>1100</v>
      </c>
      <c r="Q309" s="13" t="s">
        <v>1100</v>
      </c>
      <c r="R309" s="11"/>
      <c r="S309" s="11" t="s">
        <v>1100</v>
      </c>
      <c r="T309" s="13" t="str">
        <f t="shared" si="4"/>
        <v/>
      </c>
      <c r="U309" s="11" t="s">
        <v>1100</v>
      </c>
      <c r="V309" s="11" t="s">
        <v>1100</v>
      </c>
      <c r="W309" s="11" t="s">
        <v>1100</v>
      </c>
      <c r="X309" s="11" t="s">
        <v>1100</v>
      </c>
      <c r="Y309" s="11" t="s">
        <v>1100</v>
      </c>
      <c r="Z309" s="11" t="s">
        <v>1100</v>
      </c>
      <c r="AA309" s="11" t="s">
        <v>1100</v>
      </c>
      <c r="AB309" s="11" t="s">
        <v>1100</v>
      </c>
      <c r="AC309" s="20" t="s">
        <v>1101</v>
      </c>
    </row>
    <row r="310" spans="2:29" ht="15.75" x14ac:dyDescent="0.25">
      <c r="B310" s="11">
        <v>299</v>
      </c>
      <c r="C310" s="12" t="s">
        <v>1172</v>
      </c>
      <c r="D310" s="12" t="s">
        <v>25</v>
      </c>
      <c r="E310" s="12" t="s">
        <v>657</v>
      </c>
      <c r="F310" s="11" t="s">
        <v>67</v>
      </c>
      <c r="G310" s="13" t="s">
        <v>1223</v>
      </c>
      <c r="H310" s="13" t="s">
        <v>1039</v>
      </c>
      <c r="I310" s="21">
        <v>31599</v>
      </c>
      <c r="J310" s="15">
        <v>39</v>
      </c>
      <c r="K310" s="16" t="s">
        <v>1097</v>
      </c>
      <c r="L310" s="16" t="s">
        <v>1108</v>
      </c>
      <c r="M310" s="22" t="s">
        <v>1099</v>
      </c>
      <c r="N310" s="23"/>
      <c r="O310" s="19" t="s">
        <v>1100</v>
      </c>
      <c r="P310" s="19" t="s">
        <v>1100</v>
      </c>
      <c r="Q310" s="13" t="s">
        <v>1100</v>
      </c>
      <c r="R310" s="11"/>
      <c r="S310" s="11" t="s">
        <v>1100</v>
      </c>
      <c r="T310" s="13" t="str">
        <f t="shared" si="4"/>
        <v/>
      </c>
      <c r="U310" s="11" t="s">
        <v>1100</v>
      </c>
      <c r="V310" s="11" t="s">
        <v>1100</v>
      </c>
      <c r="W310" s="11" t="s">
        <v>1100</v>
      </c>
      <c r="X310" s="11" t="s">
        <v>1100</v>
      </c>
      <c r="Y310" s="11" t="s">
        <v>1100</v>
      </c>
      <c r="Z310" s="11" t="s">
        <v>1100</v>
      </c>
      <c r="AA310" s="11" t="s">
        <v>1100</v>
      </c>
      <c r="AB310" s="11" t="s">
        <v>1100</v>
      </c>
      <c r="AC310" s="20" t="s">
        <v>1101</v>
      </c>
    </row>
    <row r="311" spans="2:29" ht="15.75" x14ac:dyDescent="0.25">
      <c r="B311" s="11">
        <v>300</v>
      </c>
      <c r="C311" s="12" t="s">
        <v>1172</v>
      </c>
      <c r="D311" s="12" t="s">
        <v>659</v>
      </c>
      <c r="E311" s="12" t="s">
        <v>657</v>
      </c>
      <c r="F311" s="11"/>
      <c r="G311" s="13" t="s">
        <v>1223</v>
      </c>
      <c r="H311" s="13" t="s">
        <v>1039</v>
      </c>
      <c r="I311" s="21">
        <v>22788</v>
      </c>
      <c r="J311" s="15">
        <v>63</v>
      </c>
      <c r="K311" s="16" t="s">
        <v>1103</v>
      </c>
      <c r="L311" s="16" t="s">
        <v>1181</v>
      </c>
      <c r="M311" s="22" t="s">
        <v>1099</v>
      </c>
      <c r="N311" s="23"/>
      <c r="O311" s="19" t="s">
        <v>1100</v>
      </c>
      <c r="P311" s="19" t="s">
        <v>1100</v>
      </c>
      <c r="Q311" s="13" t="s">
        <v>1100</v>
      </c>
      <c r="R311" s="11"/>
      <c r="S311" s="11" t="s">
        <v>1100</v>
      </c>
      <c r="T311" s="13" t="str">
        <f t="shared" si="4"/>
        <v>/</v>
      </c>
      <c r="U311" s="11" t="s">
        <v>1100</v>
      </c>
      <c r="V311" s="11" t="s">
        <v>1100</v>
      </c>
      <c r="W311" s="11" t="s">
        <v>1100</v>
      </c>
      <c r="X311" s="11" t="s">
        <v>1100</v>
      </c>
      <c r="Y311" s="11" t="s">
        <v>1100</v>
      </c>
      <c r="Z311" s="11" t="s">
        <v>1100</v>
      </c>
      <c r="AA311" s="11" t="s">
        <v>1100</v>
      </c>
      <c r="AB311" s="11" t="s">
        <v>1100</v>
      </c>
      <c r="AC311" s="20" t="s">
        <v>1101</v>
      </c>
    </row>
    <row r="312" spans="2:29" ht="15.75" x14ac:dyDescent="0.25">
      <c r="B312" s="11">
        <v>301</v>
      </c>
      <c r="C312" s="12" t="s">
        <v>1172</v>
      </c>
      <c r="D312" s="12" t="s">
        <v>658</v>
      </c>
      <c r="E312" s="12" t="s">
        <v>174</v>
      </c>
      <c r="F312" s="11"/>
      <c r="G312" s="13" t="s">
        <v>1223</v>
      </c>
      <c r="H312" s="13" t="s">
        <v>1039</v>
      </c>
      <c r="I312" s="21">
        <v>33863</v>
      </c>
      <c r="J312" s="15">
        <v>33</v>
      </c>
      <c r="K312" s="16" t="s">
        <v>1103</v>
      </c>
      <c r="L312" s="16" t="s">
        <v>1108</v>
      </c>
      <c r="M312" s="22" t="s">
        <v>1099</v>
      </c>
      <c r="N312" s="23"/>
      <c r="O312" s="19" t="s">
        <v>1100</v>
      </c>
      <c r="P312" s="19" t="s">
        <v>1100</v>
      </c>
      <c r="Q312" s="13" t="s">
        <v>1100</v>
      </c>
      <c r="R312" s="11"/>
      <c r="S312" s="11" t="s">
        <v>1100</v>
      </c>
      <c r="T312" s="13" t="str">
        <f t="shared" si="4"/>
        <v/>
      </c>
      <c r="U312" s="11" t="s">
        <v>1100</v>
      </c>
      <c r="V312" s="11" t="s">
        <v>1100</v>
      </c>
      <c r="W312" s="11" t="s">
        <v>1100</v>
      </c>
      <c r="X312" s="11" t="s">
        <v>1100</v>
      </c>
      <c r="Y312" s="11" t="s">
        <v>1100</v>
      </c>
      <c r="Z312" s="11" t="s">
        <v>1100</v>
      </c>
      <c r="AA312" s="11" t="s">
        <v>1100</v>
      </c>
      <c r="AB312" s="11" t="s">
        <v>1100</v>
      </c>
      <c r="AC312" s="20" t="s">
        <v>1101</v>
      </c>
    </row>
    <row r="313" spans="2:29" ht="15.75" x14ac:dyDescent="0.25">
      <c r="B313" s="11">
        <v>302</v>
      </c>
      <c r="C313" s="12" t="s">
        <v>1003</v>
      </c>
      <c r="D313" s="12" t="s">
        <v>1004</v>
      </c>
      <c r="E313" s="12"/>
      <c r="F313" s="11"/>
      <c r="G313" s="13" t="s">
        <v>1224</v>
      </c>
      <c r="H313" s="13" t="s">
        <v>1039</v>
      </c>
      <c r="I313" s="21">
        <v>31189</v>
      </c>
      <c r="J313" s="15">
        <v>40</v>
      </c>
      <c r="K313" s="16" t="s">
        <v>1097</v>
      </c>
      <c r="L313" s="16" t="s">
        <v>1102</v>
      </c>
      <c r="M313" s="22" t="s">
        <v>1099</v>
      </c>
      <c r="N313" s="23"/>
      <c r="O313" s="19" t="s">
        <v>1100</v>
      </c>
      <c r="P313" s="19" t="s">
        <v>1100</v>
      </c>
      <c r="Q313" s="13" t="s">
        <v>1100</v>
      </c>
      <c r="R313" s="11" t="s">
        <v>1099</v>
      </c>
      <c r="S313" s="11" t="s">
        <v>1100</v>
      </c>
      <c r="T313" s="13" t="str">
        <f t="shared" si="4"/>
        <v/>
      </c>
      <c r="U313" s="11" t="s">
        <v>1100</v>
      </c>
      <c r="V313" s="11" t="s">
        <v>1100</v>
      </c>
      <c r="W313" s="11" t="s">
        <v>1100</v>
      </c>
      <c r="X313" s="11" t="s">
        <v>1100</v>
      </c>
      <c r="Y313" s="11" t="s">
        <v>1100</v>
      </c>
      <c r="Z313" s="11" t="s">
        <v>1100</v>
      </c>
      <c r="AA313" s="11" t="s">
        <v>1100</v>
      </c>
      <c r="AB313" s="11" t="s">
        <v>1100</v>
      </c>
      <c r="AC313" s="20" t="s">
        <v>1101</v>
      </c>
    </row>
    <row r="314" spans="2:29" ht="15.75" x14ac:dyDescent="0.25">
      <c r="B314" s="11">
        <v>303</v>
      </c>
      <c r="C314" s="12" t="s">
        <v>58</v>
      </c>
      <c r="D314" s="12" t="s">
        <v>660</v>
      </c>
      <c r="E314" s="12" t="s">
        <v>661</v>
      </c>
      <c r="F314" s="11" t="s">
        <v>67</v>
      </c>
      <c r="G314" s="13" t="s">
        <v>1222</v>
      </c>
      <c r="H314" s="13" t="s">
        <v>1039</v>
      </c>
      <c r="I314" s="21">
        <v>19918</v>
      </c>
      <c r="J314" s="15">
        <v>71</v>
      </c>
      <c r="K314" s="16" t="s">
        <v>1097</v>
      </c>
      <c r="L314" s="16" t="s">
        <v>1102</v>
      </c>
      <c r="M314" s="22" t="s">
        <v>1099</v>
      </c>
      <c r="N314" s="23"/>
      <c r="O314" s="19" t="s">
        <v>1100</v>
      </c>
      <c r="P314" s="19" t="s">
        <v>1100</v>
      </c>
      <c r="Q314" s="13" t="s">
        <v>1100</v>
      </c>
      <c r="R314" s="11"/>
      <c r="S314" s="11" t="s">
        <v>1100</v>
      </c>
      <c r="T314" s="13" t="str">
        <f t="shared" si="4"/>
        <v>/</v>
      </c>
      <c r="U314" s="11" t="s">
        <v>1100</v>
      </c>
      <c r="V314" s="11" t="s">
        <v>1100</v>
      </c>
      <c r="W314" s="11" t="s">
        <v>1100</v>
      </c>
      <c r="X314" s="11" t="s">
        <v>1100</v>
      </c>
      <c r="Y314" s="11" t="s">
        <v>1100</v>
      </c>
      <c r="Z314" s="11" t="s">
        <v>1100</v>
      </c>
      <c r="AA314" s="11" t="s">
        <v>1100</v>
      </c>
      <c r="AB314" s="11" t="s">
        <v>1100</v>
      </c>
      <c r="AC314" s="20" t="s">
        <v>1101</v>
      </c>
    </row>
    <row r="315" spans="2:29" ht="15.75" x14ac:dyDescent="0.25">
      <c r="B315" s="11">
        <v>304</v>
      </c>
      <c r="C315" s="12" t="s">
        <v>662</v>
      </c>
      <c r="D315" s="12" t="s">
        <v>663</v>
      </c>
      <c r="E315" s="12" t="s">
        <v>664</v>
      </c>
      <c r="F315" s="11"/>
      <c r="G315" s="13" t="s">
        <v>1223</v>
      </c>
      <c r="H315" s="13" t="s">
        <v>1039</v>
      </c>
      <c r="I315" s="21">
        <v>33066</v>
      </c>
      <c r="J315" s="15">
        <v>35</v>
      </c>
      <c r="K315" s="16" t="s">
        <v>1103</v>
      </c>
      <c r="L315" s="16" t="s">
        <v>1102</v>
      </c>
      <c r="M315" s="22" t="s">
        <v>1099</v>
      </c>
      <c r="N315" s="23"/>
      <c r="O315" s="19" t="s">
        <v>1100</v>
      </c>
      <c r="P315" s="19" t="s">
        <v>1100</v>
      </c>
      <c r="Q315" s="13" t="s">
        <v>1100</v>
      </c>
      <c r="R315" s="11"/>
      <c r="S315" s="11" t="s">
        <v>1100</v>
      </c>
      <c r="T315" s="13" t="str">
        <f t="shared" si="4"/>
        <v/>
      </c>
      <c r="U315" s="11" t="s">
        <v>1100</v>
      </c>
      <c r="V315" s="11" t="s">
        <v>1100</v>
      </c>
      <c r="W315" s="11" t="s">
        <v>1100</v>
      </c>
      <c r="X315" s="11" t="s">
        <v>1100</v>
      </c>
      <c r="Y315" s="11" t="s">
        <v>1100</v>
      </c>
      <c r="Z315" s="11" t="s">
        <v>1100</v>
      </c>
      <c r="AA315" s="11" t="s">
        <v>1100</v>
      </c>
      <c r="AB315" s="11" t="s">
        <v>1100</v>
      </c>
      <c r="AC315" s="20" t="s">
        <v>1101</v>
      </c>
    </row>
    <row r="316" spans="2:29" ht="15.75" x14ac:dyDescent="0.25">
      <c r="B316" s="11">
        <v>305</v>
      </c>
      <c r="C316" s="12" t="s">
        <v>534</v>
      </c>
      <c r="D316" s="12" t="s">
        <v>665</v>
      </c>
      <c r="E316" s="12" t="s">
        <v>666</v>
      </c>
      <c r="F316" s="11"/>
      <c r="G316" s="13" t="s">
        <v>1113</v>
      </c>
      <c r="H316" s="13" t="s">
        <v>1039</v>
      </c>
      <c r="I316" s="21">
        <v>24373</v>
      </c>
      <c r="J316" s="15">
        <v>59</v>
      </c>
      <c r="K316" s="16" t="s">
        <v>1103</v>
      </c>
      <c r="L316" s="16" t="s">
        <v>1102</v>
      </c>
      <c r="M316" s="22" t="s">
        <v>1099</v>
      </c>
      <c r="N316" s="23"/>
      <c r="O316" s="19" t="s">
        <v>1100</v>
      </c>
      <c r="P316" s="19" t="s">
        <v>1100</v>
      </c>
      <c r="Q316" s="13" t="s">
        <v>1100</v>
      </c>
      <c r="R316" s="11"/>
      <c r="S316" s="11" t="s">
        <v>1100</v>
      </c>
      <c r="T316" s="13" t="str">
        <f t="shared" si="4"/>
        <v/>
      </c>
      <c r="U316" s="11" t="s">
        <v>1100</v>
      </c>
      <c r="V316" s="11" t="s">
        <v>1100</v>
      </c>
      <c r="W316" s="11" t="s">
        <v>1100</v>
      </c>
      <c r="X316" s="11" t="s">
        <v>1100</v>
      </c>
      <c r="Y316" s="11" t="s">
        <v>1100</v>
      </c>
      <c r="Z316" s="11" t="s">
        <v>1100</v>
      </c>
      <c r="AA316" s="11" t="s">
        <v>1100</v>
      </c>
      <c r="AB316" s="11" t="s">
        <v>1100</v>
      </c>
      <c r="AC316" s="20" t="s">
        <v>1101</v>
      </c>
    </row>
    <row r="317" spans="2:29" ht="15.75" x14ac:dyDescent="0.25">
      <c r="B317" s="11">
        <v>306</v>
      </c>
      <c r="C317" s="12" t="s">
        <v>155</v>
      </c>
      <c r="D317" s="12" t="s">
        <v>667</v>
      </c>
      <c r="E317" s="12" t="s">
        <v>88</v>
      </c>
      <c r="F317" s="11"/>
      <c r="G317" s="13" t="s">
        <v>1222</v>
      </c>
      <c r="H317" s="13" t="s">
        <v>1039</v>
      </c>
      <c r="I317" s="21">
        <v>21130</v>
      </c>
      <c r="J317" s="15">
        <v>68</v>
      </c>
      <c r="K317" s="16" t="s">
        <v>1097</v>
      </c>
      <c r="L317" s="16" t="s">
        <v>1102</v>
      </c>
      <c r="M317" s="22" t="s">
        <v>1099</v>
      </c>
      <c r="N317" s="23"/>
      <c r="O317" s="19" t="s">
        <v>1100</v>
      </c>
      <c r="P317" s="19" t="s">
        <v>1100</v>
      </c>
      <c r="Q317" s="13" t="s">
        <v>1100</v>
      </c>
      <c r="R317" s="11"/>
      <c r="S317" s="11" t="s">
        <v>1100</v>
      </c>
      <c r="T317" s="13" t="str">
        <f t="shared" si="4"/>
        <v>/</v>
      </c>
      <c r="U317" s="11" t="s">
        <v>1100</v>
      </c>
      <c r="V317" s="11" t="s">
        <v>1100</v>
      </c>
      <c r="W317" s="11" t="s">
        <v>1100</v>
      </c>
      <c r="X317" s="11" t="s">
        <v>1100</v>
      </c>
      <c r="Y317" s="11" t="s">
        <v>1100</v>
      </c>
      <c r="Z317" s="11" t="s">
        <v>1100</v>
      </c>
      <c r="AA317" s="11" t="s">
        <v>1100</v>
      </c>
      <c r="AB317" s="11" t="s">
        <v>1100</v>
      </c>
      <c r="AC317" s="20" t="s">
        <v>1101</v>
      </c>
    </row>
    <row r="318" spans="2:29" ht="15.75" x14ac:dyDescent="0.25">
      <c r="B318" s="11">
        <v>307</v>
      </c>
      <c r="C318" s="12" t="s">
        <v>669</v>
      </c>
      <c r="D318" s="12" t="s">
        <v>670</v>
      </c>
      <c r="E318" s="12" t="s">
        <v>671</v>
      </c>
      <c r="F318" s="11"/>
      <c r="G318" s="13" t="s">
        <v>1227</v>
      </c>
      <c r="H318" s="13" t="s">
        <v>1040</v>
      </c>
      <c r="I318" s="21">
        <v>25688</v>
      </c>
      <c r="J318" s="15">
        <v>55</v>
      </c>
      <c r="K318" s="16" t="s">
        <v>1103</v>
      </c>
      <c r="L318" s="16" t="s">
        <v>1181</v>
      </c>
      <c r="M318" s="22" t="s">
        <v>1100</v>
      </c>
      <c r="N318" s="23" t="s">
        <v>1099</v>
      </c>
      <c r="O318" s="19" t="s">
        <v>1100</v>
      </c>
      <c r="P318" s="19" t="s">
        <v>1100</v>
      </c>
      <c r="Q318" s="13" t="s">
        <v>1100</v>
      </c>
      <c r="R318" s="11"/>
      <c r="S318" s="11" t="s">
        <v>1100</v>
      </c>
      <c r="T318" s="13" t="str">
        <f t="shared" si="4"/>
        <v/>
      </c>
      <c r="U318" s="11" t="s">
        <v>1100</v>
      </c>
      <c r="V318" s="11" t="s">
        <v>1100</v>
      </c>
      <c r="W318" s="11" t="s">
        <v>1100</v>
      </c>
      <c r="X318" s="11" t="s">
        <v>1100</v>
      </c>
      <c r="Y318" s="11" t="s">
        <v>1100</v>
      </c>
      <c r="Z318" s="11" t="s">
        <v>1100</v>
      </c>
      <c r="AA318" s="11" t="s">
        <v>1100</v>
      </c>
      <c r="AB318" s="11" t="s">
        <v>1100</v>
      </c>
      <c r="AC318" s="20" t="s">
        <v>1101</v>
      </c>
    </row>
    <row r="319" spans="2:29" ht="15.75" x14ac:dyDescent="0.25">
      <c r="B319" s="11">
        <v>308</v>
      </c>
      <c r="C319" s="12" t="s">
        <v>672</v>
      </c>
      <c r="D319" s="12" t="s">
        <v>673</v>
      </c>
      <c r="E319" s="12" t="s">
        <v>674</v>
      </c>
      <c r="F319" s="11" t="s">
        <v>76</v>
      </c>
      <c r="G319" s="13" t="s">
        <v>1227</v>
      </c>
      <c r="H319" s="13" t="s">
        <v>1040</v>
      </c>
      <c r="I319" s="21">
        <v>23983</v>
      </c>
      <c r="J319" s="15">
        <v>60</v>
      </c>
      <c r="K319" s="16" t="s">
        <v>1097</v>
      </c>
      <c r="L319" s="16" t="s">
        <v>1102</v>
      </c>
      <c r="M319" s="22" t="s">
        <v>1099</v>
      </c>
      <c r="N319" s="23"/>
      <c r="O319" s="19" t="s">
        <v>1100</v>
      </c>
      <c r="P319" s="19" t="s">
        <v>1100</v>
      </c>
      <c r="Q319" s="13" t="s">
        <v>1100</v>
      </c>
      <c r="R319" s="11"/>
      <c r="S319" s="11" t="s">
        <v>1100</v>
      </c>
      <c r="T319" s="13" t="str">
        <f t="shared" si="4"/>
        <v>/</v>
      </c>
      <c r="U319" s="11" t="s">
        <v>1100</v>
      </c>
      <c r="V319" s="11" t="s">
        <v>1100</v>
      </c>
      <c r="W319" s="11" t="s">
        <v>1100</v>
      </c>
      <c r="X319" s="11" t="s">
        <v>1100</v>
      </c>
      <c r="Y319" s="11" t="s">
        <v>1100</v>
      </c>
      <c r="Z319" s="11" t="s">
        <v>1100</v>
      </c>
      <c r="AA319" s="11" t="s">
        <v>1100</v>
      </c>
      <c r="AB319" s="11" t="s">
        <v>1100</v>
      </c>
      <c r="AC319" s="20" t="s">
        <v>1101</v>
      </c>
    </row>
    <row r="320" spans="2:29" ht="15.75" x14ac:dyDescent="0.25">
      <c r="B320" s="11">
        <v>309</v>
      </c>
      <c r="C320" s="12" t="s">
        <v>675</v>
      </c>
      <c r="D320" s="12" t="s">
        <v>676</v>
      </c>
      <c r="E320" s="12" t="s">
        <v>672</v>
      </c>
      <c r="F320" s="11"/>
      <c r="G320" s="13" t="s">
        <v>1228</v>
      </c>
      <c r="H320" s="13" t="s">
        <v>1040</v>
      </c>
      <c r="I320" s="21">
        <v>34242</v>
      </c>
      <c r="J320" s="15">
        <v>32</v>
      </c>
      <c r="K320" s="16" t="s">
        <v>1097</v>
      </c>
      <c r="L320" s="16" t="s">
        <v>1102</v>
      </c>
      <c r="M320" s="22" t="s">
        <v>1099</v>
      </c>
      <c r="N320" s="23"/>
      <c r="O320" s="19" t="s">
        <v>1100</v>
      </c>
      <c r="P320" s="19" t="s">
        <v>1100</v>
      </c>
      <c r="Q320" s="13" t="s">
        <v>1100</v>
      </c>
      <c r="R320" s="11"/>
      <c r="S320" s="11" t="s">
        <v>1100</v>
      </c>
      <c r="T320" s="13" t="str">
        <f t="shared" si="4"/>
        <v/>
      </c>
      <c r="U320" s="11" t="s">
        <v>1100</v>
      </c>
      <c r="V320" s="11" t="s">
        <v>1100</v>
      </c>
      <c r="W320" s="11" t="s">
        <v>1100</v>
      </c>
      <c r="X320" s="11" t="s">
        <v>1100</v>
      </c>
      <c r="Y320" s="11" t="s">
        <v>1100</v>
      </c>
      <c r="Z320" s="11" t="s">
        <v>1100</v>
      </c>
      <c r="AA320" s="11" t="s">
        <v>1100</v>
      </c>
      <c r="AB320" s="11" t="s">
        <v>1100</v>
      </c>
      <c r="AC320" s="20" t="s">
        <v>1101</v>
      </c>
    </row>
    <row r="321" spans="2:29" ht="15.75" x14ac:dyDescent="0.25">
      <c r="B321" s="11">
        <v>310</v>
      </c>
      <c r="C321" s="12" t="s">
        <v>230</v>
      </c>
      <c r="D321" s="12" t="s">
        <v>677</v>
      </c>
      <c r="E321" s="12" t="s">
        <v>387</v>
      </c>
      <c r="F321" s="11"/>
      <c r="G321" s="13" t="s">
        <v>1229</v>
      </c>
      <c r="H321" s="13" t="s">
        <v>1040</v>
      </c>
      <c r="I321" s="21">
        <v>31364</v>
      </c>
      <c r="J321" s="15">
        <v>40</v>
      </c>
      <c r="K321" s="16" t="s">
        <v>1097</v>
      </c>
      <c r="L321" s="16" t="s">
        <v>1108</v>
      </c>
      <c r="M321" s="22" t="s">
        <v>1099</v>
      </c>
      <c r="N321" s="23"/>
      <c r="O321" s="19" t="s">
        <v>1100</v>
      </c>
      <c r="P321" s="19" t="s">
        <v>1100</v>
      </c>
      <c r="Q321" s="13" t="s">
        <v>1100</v>
      </c>
      <c r="R321" s="11"/>
      <c r="S321" s="11" t="s">
        <v>1100</v>
      </c>
      <c r="T321" s="13" t="str">
        <f t="shared" si="4"/>
        <v/>
      </c>
      <c r="U321" s="11" t="s">
        <v>1100</v>
      </c>
      <c r="V321" s="11" t="s">
        <v>1100</v>
      </c>
      <c r="W321" s="11" t="s">
        <v>1100</v>
      </c>
      <c r="X321" s="11" t="s">
        <v>1100</v>
      </c>
      <c r="Y321" s="11" t="s">
        <v>1100</v>
      </c>
      <c r="Z321" s="11" t="s">
        <v>1100</v>
      </c>
      <c r="AA321" s="11" t="s">
        <v>1100</v>
      </c>
      <c r="AB321" s="11" t="s">
        <v>1100</v>
      </c>
      <c r="AC321" s="20" t="s">
        <v>1101</v>
      </c>
    </row>
    <row r="322" spans="2:29" ht="15.75" x14ac:dyDescent="0.25">
      <c r="B322" s="11">
        <v>311</v>
      </c>
      <c r="C322" s="12" t="s">
        <v>1024</v>
      </c>
      <c r="D322" s="12" t="s">
        <v>970</v>
      </c>
      <c r="E322" s="12"/>
      <c r="F322" s="11"/>
      <c r="G322" s="13" t="s">
        <v>1261</v>
      </c>
      <c r="H322" s="13" t="s">
        <v>1040</v>
      </c>
      <c r="I322" s="21">
        <v>36173</v>
      </c>
      <c r="J322" s="15">
        <v>27</v>
      </c>
      <c r="K322" s="16" t="s">
        <v>1097</v>
      </c>
      <c r="L322" s="16" t="s">
        <v>1102</v>
      </c>
      <c r="M322" s="22" t="s">
        <v>1099</v>
      </c>
      <c r="N322" s="23"/>
      <c r="O322" s="19" t="s">
        <v>1100</v>
      </c>
      <c r="P322" s="19" t="s">
        <v>1100</v>
      </c>
      <c r="Q322" s="13" t="s">
        <v>1100</v>
      </c>
      <c r="R322" s="11" t="s">
        <v>1099</v>
      </c>
      <c r="S322" s="11" t="s">
        <v>1100</v>
      </c>
      <c r="T322" s="13" t="str">
        <f t="shared" si="4"/>
        <v/>
      </c>
      <c r="U322" s="11" t="s">
        <v>1100</v>
      </c>
      <c r="V322" s="11" t="s">
        <v>1100</v>
      </c>
      <c r="W322" s="11" t="s">
        <v>1100</v>
      </c>
      <c r="X322" s="11" t="s">
        <v>1100</v>
      </c>
      <c r="Y322" s="11" t="s">
        <v>1100</v>
      </c>
      <c r="Z322" s="11" t="s">
        <v>1100</v>
      </c>
      <c r="AA322" s="11" t="s">
        <v>1100</v>
      </c>
      <c r="AB322" s="11" t="s">
        <v>1100</v>
      </c>
      <c r="AC322" s="20" t="s">
        <v>1111</v>
      </c>
    </row>
    <row r="323" spans="2:29" ht="15.75" x14ac:dyDescent="0.25">
      <c r="B323" s="11">
        <v>312</v>
      </c>
      <c r="C323" s="12" t="s">
        <v>678</v>
      </c>
      <c r="D323" s="12" t="s">
        <v>34</v>
      </c>
      <c r="E323" s="12" t="s">
        <v>428</v>
      </c>
      <c r="F323" s="11"/>
      <c r="G323" s="13" t="s">
        <v>1117</v>
      </c>
      <c r="H323" s="13" t="s">
        <v>1040</v>
      </c>
      <c r="I323" s="21">
        <v>28302</v>
      </c>
      <c r="J323" s="15">
        <v>48</v>
      </c>
      <c r="K323" s="16" t="s">
        <v>1103</v>
      </c>
      <c r="L323" s="16" t="s">
        <v>1102</v>
      </c>
      <c r="M323" s="22" t="s">
        <v>1099</v>
      </c>
      <c r="N323" s="23"/>
      <c r="O323" s="19" t="s">
        <v>1100</v>
      </c>
      <c r="P323" s="19" t="s">
        <v>1100</v>
      </c>
      <c r="Q323" s="13" t="s">
        <v>1100</v>
      </c>
      <c r="R323" s="11"/>
      <c r="S323" s="11" t="s">
        <v>1100</v>
      </c>
      <c r="T323" s="13" t="str">
        <f t="shared" si="4"/>
        <v/>
      </c>
      <c r="U323" s="11" t="s">
        <v>1100</v>
      </c>
      <c r="V323" s="11" t="s">
        <v>1100</v>
      </c>
      <c r="W323" s="11" t="s">
        <v>1100</v>
      </c>
      <c r="X323" s="11" t="s">
        <v>1100</v>
      </c>
      <c r="Y323" s="11" t="s">
        <v>1100</v>
      </c>
      <c r="Z323" s="11" t="s">
        <v>1100</v>
      </c>
      <c r="AA323" s="11" t="s">
        <v>1100</v>
      </c>
      <c r="AB323" s="11" t="s">
        <v>1100</v>
      </c>
      <c r="AC323" s="20" t="s">
        <v>1101</v>
      </c>
    </row>
    <row r="324" spans="2:29" ht="15.75" x14ac:dyDescent="0.25">
      <c r="B324" s="11">
        <v>313</v>
      </c>
      <c r="C324" s="12" t="s">
        <v>679</v>
      </c>
      <c r="D324" s="12" t="s">
        <v>57</v>
      </c>
      <c r="E324" s="12" t="s">
        <v>680</v>
      </c>
      <c r="F324" s="11"/>
      <c r="G324" s="13" t="s">
        <v>1227</v>
      </c>
      <c r="H324" s="13" t="s">
        <v>1040</v>
      </c>
      <c r="I324" s="21">
        <v>28489</v>
      </c>
      <c r="J324" s="15">
        <v>48</v>
      </c>
      <c r="K324" s="16" t="s">
        <v>1097</v>
      </c>
      <c r="L324" s="16" t="s">
        <v>1102</v>
      </c>
      <c r="M324" s="22" t="s">
        <v>1099</v>
      </c>
      <c r="N324" s="23"/>
      <c r="O324" s="19" t="s">
        <v>1100</v>
      </c>
      <c r="P324" s="19" t="s">
        <v>1100</v>
      </c>
      <c r="Q324" s="13" t="s">
        <v>1100</v>
      </c>
      <c r="R324" s="11"/>
      <c r="S324" s="11" t="s">
        <v>1100</v>
      </c>
      <c r="T324" s="13" t="str">
        <f t="shared" si="4"/>
        <v/>
      </c>
      <c r="U324" s="11" t="s">
        <v>1100</v>
      </c>
      <c r="V324" s="11" t="s">
        <v>1100</v>
      </c>
      <c r="W324" s="11" t="s">
        <v>1100</v>
      </c>
      <c r="X324" s="11" t="s">
        <v>1100</v>
      </c>
      <c r="Y324" s="11" t="s">
        <v>1100</v>
      </c>
      <c r="Z324" s="11" t="s">
        <v>1100</v>
      </c>
      <c r="AA324" s="11" t="s">
        <v>1100</v>
      </c>
      <c r="AB324" s="11" t="s">
        <v>1100</v>
      </c>
      <c r="AC324" s="20" t="s">
        <v>1101</v>
      </c>
    </row>
    <row r="325" spans="2:29" ht="15.75" x14ac:dyDescent="0.25">
      <c r="B325" s="11">
        <v>314</v>
      </c>
      <c r="C325" s="12" t="s">
        <v>575</v>
      </c>
      <c r="D325" s="12" t="s">
        <v>996</v>
      </c>
      <c r="E325" s="12" t="s">
        <v>997</v>
      </c>
      <c r="F325" s="11"/>
      <c r="G325" s="13" t="s">
        <v>1257</v>
      </c>
      <c r="H325" s="13" t="s">
        <v>127</v>
      </c>
      <c r="I325" s="21">
        <v>33913</v>
      </c>
      <c r="J325" s="15">
        <v>33</v>
      </c>
      <c r="K325" s="16" t="s">
        <v>1103</v>
      </c>
      <c r="L325" s="16" t="s">
        <v>1102</v>
      </c>
      <c r="M325" s="22" t="s">
        <v>1099</v>
      </c>
      <c r="N325" s="23"/>
      <c r="O325" s="19" t="s">
        <v>1100</v>
      </c>
      <c r="P325" s="19" t="s">
        <v>1100</v>
      </c>
      <c r="Q325" s="13" t="s">
        <v>1100</v>
      </c>
      <c r="R325" s="11" t="s">
        <v>1099</v>
      </c>
      <c r="S325" s="11" t="s">
        <v>1100</v>
      </c>
      <c r="T325" s="13" t="str">
        <f t="shared" si="4"/>
        <v/>
      </c>
      <c r="U325" s="11" t="s">
        <v>1100</v>
      </c>
      <c r="V325" s="11" t="s">
        <v>1100</v>
      </c>
      <c r="W325" s="11" t="s">
        <v>1100</v>
      </c>
      <c r="X325" s="11" t="s">
        <v>1100</v>
      </c>
      <c r="Y325" s="11" t="s">
        <v>1100</v>
      </c>
      <c r="Z325" s="11" t="s">
        <v>1100</v>
      </c>
      <c r="AA325" s="11" t="s">
        <v>1100</v>
      </c>
      <c r="AB325" s="11" t="s">
        <v>1100</v>
      </c>
      <c r="AC325" s="20" t="s">
        <v>1101</v>
      </c>
    </row>
    <row r="326" spans="2:29" ht="15.75" x14ac:dyDescent="0.25">
      <c r="B326" s="11">
        <v>315</v>
      </c>
      <c r="C326" s="12" t="s">
        <v>998</v>
      </c>
      <c r="D326" s="12" t="s">
        <v>999</v>
      </c>
      <c r="E326" s="12" t="s">
        <v>1000</v>
      </c>
      <c r="F326" s="11"/>
      <c r="G326" s="13" t="s">
        <v>1258</v>
      </c>
      <c r="H326" s="13" t="s">
        <v>1045</v>
      </c>
      <c r="I326" s="21">
        <v>29365</v>
      </c>
      <c r="J326" s="15">
        <v>45</v>
      </c>
      <c r="K326" s="16" t="s">
        <v>1097</v>
      </c>
      <c r="L326" s="16" t="s">
        <v>1102</v>
      </c>
      <c r="M326" s="22" t="s">
        <v>1099</v>
      </c>
      <c r="N326" s="23"/>
      <c r="O326" s="19" t="s">
        <v>1100</v>
      </c>
      <c r="P326" s="19" t="s">
        <v>1100</v>
      </c>
      <c r="Q326" s="13" t="s">
        <v>1100</v>
      </c>
      <c r="R326" s="11" t="s">
        <v>1099</v>
      </c>
      <c r="S326" s="11" t="s">
        <v>1100</v>
      </c>
      <c r="T326" s="13" t="str">
        <f t="shared" si="4"/>
        <v/>
      </c>
      <c r="U326" s="11" t="s">
        <v>1100</v>
      </c>
      <c r="V326" s="11" t="s">
        <v>1100</v>
      </c>
      <c r="W326" s="11" t="s">
        <v>1100</v>
      </c>
      <c r="X326" s="11" t="s">
        <v>1100</v>
      </c>
      <c r="Y326" s="11" t="s">
        <v>1100</v>
      </c>
      <c r="Z326" s="11" t="s">
        <v>1100</v>
      </c>
      <c r="AA326" s="11" t="s">
        <v>1100</v>
      </c>
      <c r="AB326" s="11" t="s">
        <v>1100</v>
      </c>
      <c r="AC326" s="20" t="s">
        <v>1101</v>
      </c>
    </row>
    <row r="327" spans="2:29" ht="15.75" x14ac:dyDescent="0.25">
      <c r="B327" s="11">
        <v>316</v>
      </c>
      <c r="C327" s="12" t="s">
        <v>681</v>
      </c>
      <c r="D327" s="12" t="s">
        <v>682</v>
      </c>
      <c r="E327" s="12" t="s">
        <v>73</v>
      </c>
      <c r="F327" s="11"/>
      <c r="G327" s="13" t="s">
        <v>1110</v>
      </c>
      <c r="H327" s="13" t="s">
        <v>1041</v>
      </c>
      <c r="I327" s="21">
        <v>28874</v>
      </c>
      <c r="J327" s="15">
        <v>47</v>
      </c>
      <c r="K327" s="16" t="s">
        <v>1097</v>
      </c>
      <c r="L327" s="16" t="s">
        <v>1108</v>
      </c>
      <c r="M327" s="22" t="s">
        <v>1099</v>
      </c>
      <c r="N327" s="23"/>
      <c r="O327" s="19" t="s">
        <v>1100</v>
      </c>
      <c r="P327" s="19" t="s">
        <v>1100</v>
      </c>
      <c r="Q327" s="13" t="s">
        <v>1100</v>
      </c>
      <c r="R327" s="11"/>
      <c r="S327" s="11" t="s">
        <v>1100</v>
      </c>
      <c r="T327" s="13" t="str">
        <f t="shared" si="4"/>
        <v/>
      </c>
      <c r="U327" s="11" t="s">
        <v>1100</v>
      </c>
      <c r="V327" s="11" t="s">
        <v>1100</v>
      </c>
      <c r="W327" s="11" t="s">
        <v>1100</v>
      </c>
      <c r="X327" s="11" t="s">
        <v>1100</v>
      </c>
      <c r="Y327" s="11" t="s">
        <v>1100</v>
      </c>
      <c r="Z327" s="11" t="s">
        <v>1100</v>
      </c>
      <c r="AA327" s="11" t="s">
        <v>1100</v>
      </c>
      <c r="AB327" s="11" t="s">
        <v>1100</v>
      </c>
      <c r="AC327" s="20" t="s">
        <v>1101</v>
      </c>
    </row>
    <row r="328" spans="2:29" ht="15.75" x14ac:dyDescent="0.25">
      <c r="B328" s="11">
        <v>317</v>
      </c>
      <c r="C328" s="12" t="s">
        <v>683</v>
      </c>
      <c r="D328" s="12" t="s">
        <v>548</v>
      </c>
      <c r="E328" s="12" t="s">
        <v>684</v>
      </c>
      <c r="F328" s="11"/>
      <c r="G328" s="13" t="s">
        <v>1110</v>
      </c>
      <c r="H328" s="13" t="s">
        <v>1041</v>
      </c>
      <c r="I328" s="21">
        <v>34336</v>
      </c>
      <c r="J328" s="15">
        <v>32</v>
      </c>
      <c r="K328" s="16" t="s">
        <v>1097</v>
      </c>
      <c r="L328" s="16" t="s">
        <v>1108</v>
      </c>
      <c r="M328" s="22" t="s">
        <v>1099</v>
      </c>
      <c r="N328" s="23"/>
      <c r="O328" s="19" t="s">
        <v>1099</v>
      </c>
      <c r="P328" s="19" t="s">
        <v>1100</v>
      </c>
      <c r="Q328" s="13" t="s">
        <v>1100</v>
      </c>
      <c r="R328" s="11"/>
      <c r="S328" s="11" t="s">
        <v>1100</v>
      </c>
      <c r="T328" s="13" t="str">
        <f t="shared" si="4"/>
        <v/>
      </c>
      <c r="U328" s="11" t="s">
        <v>1100</v>
      </c>
      <c r="V328" s="11" t="s">
        <v>1100</v>
      </c>
      <c r="W328" s="11" t="s">
        <v>1100</v>
      </c>
      <c r="X328" s="11" t="s">
        <v>1100</v>
      </c>
      <c r="Y328" s="11" t="s">
        <v>1100</v>
      </c>
      <c r="Z328" s="11" t="s">
        <v>1100</v>
      </c>
      <c r="AA328" s="11" t="s">
        <v>1100</v>
      </c>
      <c r="AB328" s="11" t="s">
        <v>1100</v>
      </c>
      <c r="AC328" s="20" t="s">
        <v>1101</v>
      </c>
    </row>
    <row r="329" spans="2:29" ht="15.75" x14ac:dyDescent="0.25">
      <c r="B329" s="11">
        <v>318</v>
      </c>
      <c r="C329" s="12" t="s">
        <v>685</v>
      </c>
      <c r="D329" s="12" t="s">
        <v>686</v>
      </c>
      <c r="E329" s="12" t="s">
        <v>687</v>
      </c>
      <c r="F329" s="11"/>
      <c r="G329" s="13" t="s">
        <v>1230</v>
      </c>
      <c r="H329" s="13" t="s">
        <v>1041</v>
      </c>
      <c r="I329" s="21">
        <v>20489</v>
      </c>
      <c r="J329" s="15">
        <v>70</v>
      </c>
      <c r="K329" s="16" t="s">
        <v>1103</v>
      </c>
      <c r="L329" s="16" t="s">
        <v>1182</v>
      </c>
      <c r="M329" s="22" t="s">
        <v>1099</v>
      </c>
      <c r="N329" s="23"/>
      <c r="O329" s="19" t="s">
        <v>1100</v>
      </c>
      <c r="P329" s="19" t="s">
        <v>1100</v>
      </c>
      <c r="Q329" s="13" t="s">
        <v>1100</v>
      </c>
      <c r="R329" s="11"/>
      <c r="S329" s="11" t="s">
        <v>1100</v>
      </c>
      <c r="T329" s="13" t="str">
        <f t="shared" si="4"/>
        <v>/</v>
      </c>
      <c r="U329" s="11" t="s">
        <v>1100</v>
      </c>
      <c r="V329" s="11" t="s">
        <v>1100</v>
      </c>
      <c r="W329" s="11" t="s">
        <v>1100</v>
      </c>
      <c r="X329" s="11" t="s">
        <v>1100</v>
      </c>
      <c r="Y329" s="11" t="s">
        <v>1100</v>
      </c>
      <c r="Z329" s="11" t="s">
        <v>1100</v>
      </c>
      <c r="AA329" s="11" t="s">
        <v>1100</v>
      </c>
      <c r="AB329" s="11" t="s">
        <v>1100</v>
      </c>
      <c r="AC329" s="20" t="s">
        <v>1101</v>
      </c>
    </row>
    <row r="330" spans="2:29" ht="15.75" x14ac:dyDescent="0.25">
      <c r="B330" s="11">
        <v>319</v>
      </c>
      <c r="C330" s="12" t="s">
        <v>688</v>
      </c>
      <c r="D330" s="12" t="s">
        <v>689</v>
      </c>
      <c r="E330" s="12" t="s">
        <v>690</v>
      </c>
      <c r="F330" s="11"/>
      <c r="G330" s="13" t="s">
        <v>1110</v>
      </c>
      <c r="H330" s="13" t="s">
        <v>1041</v>
      </c>
      <c r="I330" s="21">
        <v>33309</v>
      </c>
      <c r="J330" s="15">
        <v>34</v>
      </c>
      <c r="K330" s="16" t="s">
        <v>1097</v>
      </c>
      <c r="L330" s="16" t="s">
        <v>1108</v>
      </c>
      <c r="M330" s="22" t="s">
        <v>1099</v>
      </c>
      <c r="N330" s="23"/>
      <c r="O330" s="19" t="s">
        <v>1100</v>
      </c>
      <c r="P330" s="19" t="s">
        <v>1100</v>
      </c>
      <c r="Q330" s="13" t="s">
        <v>1100</v>
      </c>
      <c r="R330" s="11"/>
      <c r="S330" s="11" t="s">
        <v>1100</v>
      </c>
      <c r="T330" s="13" t="str">
        <f t="shared" si="4"/>
        <v/>
      </c>
      <c r="U330" s="11" t="s">
        <v>1100</v>
      </c>
      <c r="V330" s="11" t="s">
        <v>1100</v>
      </c>
      <c r="W330" s="11" t="s">
        <v>1100</v>
      </c>
      <c r="X330" s="11" t="s">
        <v>1100</v>
      </c>
      <c r="Y330" s="11" t="s">
        <v>1100</v>
      </c>
      <c r="Z330" s="11" t="s">
        <v>1100</v>
      </c>
      <c r="AA330" s="11" t="s">
        <v>1100</v>
      </c>
      <c r="AB330" s="11" t="s">
        <v>1100</v>
      </c>
      <c r="AC330" s="20" t="s">
        <v>1101</v>
      </c>
    </row>
    <row r="331" spans="2:29" ht="15.75" x14ac:dyDescent="0.25">
      <c r="B331" s="11">
        <v>320</v>
      </c>
      <c r="C331" s="12" t="s">
        <v>691</v>
      </c>
      <c r="D331" s="12" t="s">
        <v>693</v>
      </c>
      <c r="E331" s="12" t="s">
        <v>694</v>
      </c>
      <c r="F331" s="11"/>
      <c r="G331" s="13" t="s">
        <v>1231</v>
      </c>
      <c r="H331" s="13" t="s">
        <v>1041</v>
      </c>
      <c r="I331" s="21">
        <v>21261</v>
      </c>
      <c r="J331" s="15">
        <v>67</v>
      </c>
      <c r="K331" s="16" t="s">
        <v>1097</v>
      </c>
      <c r="L331" s="16" t="s">
        <v>1102</v>
      </c>
      <c r="M331" s="22" t="s">
        <v>1099</v>
      </c>
      <c r="N331" s="23"/>
      <c r="O331" s="19" t="s">
        <v>1100</v>
      </c>
      <c r="P331" s="19" t="s">
        <v>1100</v>
      </c>
      <c r="Q331" s="13" t="s">
        <v>1100</v>
      </c>
      <c r="R331" s="11"/>
      <c r="S331" s="11" t="s">
        <v>1100</v>
      </c>
      <c r="T331" s="13" t="str">
        <f t="shared" si="4"/>
        <v>/</v>
      </c>
      <c r="U331" s="11" t="s">
        <v>1100</v>
      </c>
      <c r="V331" s="11" t="s">
        <v>1100</v>
      </c>
      <c r="W331" s="11" t="s">
        <v>1100</v>
      </c>
      <c r="X331" s="11" t="s">
        <v>1100</v>
      </c>
      <c r="Y331" s="11" t="s">
        <v>1100</v>
      </c>
      <c r="Z331" s="11" t="s">
        <v>1100</v>
      </c>
      <c r="AA331" s="11" t="s">
        <v>1100</v>
      </c>
      <c r="AB331" s="11" t="s">
        <v>1100</v>
      </c>
      <c r="AC331" s="20" t="s">
        <v>1101</v>
      </c>
    </row>
    <row r="332" spans="2:29" ht="15.75" x14ac:dyDescent="0.25">
      <c r="B332" s="11">
        <v>321</v>
      </c>
      <c r="C332" s="12" t="s">
        <v>691</v>
      </c>
      <c r="D332" s="12" t="s">
        <v>695</v>
      </c>
      <c r="E332" s="12" t="s">
        <v>1173</v>
      </c>
      <c r="F332" s="11"/>
      <c r="G332" s="13" t="s">
        <v>1193</v>
      </c>
      <c r="H332" s="13" t="s">
        <v>1041</v>
      </c>
      <c r="I332" s="21">
        <v>32837</v>
      </c>
      <c r="J332" s="15">
        <v>36</v>
      </c>
      <c r="K332" s="16" t="s">
        <v>1103</v>
      </c>
      <c r="L332" s="16" t="s">
        <v>1098</v>
      </c>
      <c r="M332" s="22" t="s">
        <v>1099</v>
      </c>
      <c r="N332" s="23"/>
      <c r="O332" s="19" t="s">
        <v>1100</v>
      </c>
      <c r="P332" s="19" t="s">
        <v>1100</v>
      </c>
      <c r="Q332" s="13" t="s">
        <v>1100</v>
      </c>
      <c r="R332" s="11"/>
      <c r="S332" s="11" t="s">
        <v>1100</v>
      </c>
      <c r="T332" s="13" t="str">
        <f t="shared" ref="T332:T395" si="5">IF(J332&gt;59,"/","")</f>
        <v/>
      </c>
      <c r="U332" s="11" t="s">
        <v>1100</v>
      </c>
      <c r="V332" s="11" t="s">
        <v>1100</v>
      </c>
      <c r="W332" s="11" t="s">
        <v>1100</v>
      </c>
      <c r="X332" s="11" t="s">
        <v>1100</v>
      </c>
      <c r="Y332" s="11" t="s">
        <v>1100</v>
      </c>
      <c r="Z332" s="11" t="s">
        <v>1100</v>
      </c>
      <c r="AA332" s="11" t="s">
        <v>1100</v>
      </c>
      <c r="AB332" s="11" t="s">
        <v>1100</v>
      </c>
      <c r="AC332" s="20" t="s">
        <v>1101</v>
      </c>
    </row>
    <row r="333" spans="2:29" ht="15.75" x14ac:dyDescent="0.25">
      <c r="B333" s="11">
        <v>322</v>
      </c>
      <c r="C333" s="12" t="s">
        <v>691</v>
      </c>
      <c r="D333" s="12" t="s">
        <v>692</v>
      </c>
      <c r="E333" s="12" t="s">
        <v>690</v>
      </c>
      <c r="F333" s="11"/>
      <c r="G333" s="13" t="s">
        <v>1231</v>
      </c>
      <c r="H333" s="13" t="s">
        <v>1041</v>
      </c>
      <c r="I333" s="21">
        <v>25699</v>
      </c>
      <c r="J333" s="15">
        <v>55</v>
      </c>
      <c r="K333" s="16" t="s">
        <v>1097</v>
      </c>
      <c r="L333" s="16" t="s">
        <v>1108</v>
      </c>
      <c r="M333" s="22" t="s">
        <v>1099</v>
      </c>
      <c r="N333" s="23"/>
      <c r="O333" s="19" t="s">
        <v>1099</v>
      </c>
      <c r="P333" s="19" t="s">
        <v>1100</v>
      </c>
      <c r="Q333" s="13" t="s">
        <v>1100</v>
      </c>
      <c r="R333" s="11"/>
      <c r="S333" s="11" t="s">
        <v>1100</v>
      </c>
      <c r="T333" s="13" t="str">
        <f t="shared" si="5"/>
        <v/>
      </c>
      <c r="U333" s="11" t="s">
        <v>1100</v>
      </c>
      <c r="V333" s="11" t="s">
        <v>1100</v>
      </c>
      <c r="W333" s="11" t="s">
        <v>1100</v>
      </c>
      <c r="X333" s="11" t="s">
        <v>1100</v>
      </c>
      <c r="Y333" s="11" t="s">
        <v>1100</v>
      </c>
      <c r="Z333" s="11" t="s">
        <v>1100</v>
      </c>
      <c r="AA333" s="11" t="s">
        <v>1100</v>
      </c>
      <c r="AB333" s="11" t="s">
        <v>1100</v>
      </c>
      <c r="AC333" s="20" t="s">
        <v>1101</v>
      </c>
    </row>
    <row r="334" spans="2:29" ht="15.75" x14ac:dyDescent="0.25">
      <c r="B334" s="11">
        <v>323</v>
      </c>
      <c r="C334" s="12" t="s">
        <v>696</v>
      </c>
      <c r="D334" s="12" t="s">
        <v>697</v>
      </c>
      <c r="E334" s="12" t="s">
        <v>41</v>
      </c>
      <c r="F334" s="11"/>
      <c r="G334" s="13" t="s">
        <v>1230</v>
      </c>
      <c r="H334" s="13" t="s">
        <v>1041</v>
      </c>
      <c r="I334" s="21">
        <v>32609</v>
      </c>
      <c r="J334" s="15">
        <v>36</v>
      </c>
      <c r="K334" s="16" t="s">
        <v>1103</v>
      </c>
      <c r="L334" s="16" t="s">
        <v>1102</v>
      </c>
      <c r="M334" s="22" t="s">
        <v>1099</v>
      </c>
      <c r="N334" s="23"/>
      <c r="O334" s="19" t="s">
        <v>1100</v>
      </c>
      <c r="P334" s="19" t="s">
        <v>1100</v>
      </c>
      <c r="Q334" s="13" t="s">
        <v>1100</v>
      </c>
      <c r="R334" s="11"/>
      <c r="S334" s="11" t="s">
        <v>1100</v>
      </c>
      <c r="T334" s="13" t="str">
        <f t="shared" si="5"/>
        <v/>
      </c>
      <c r="U334" s="11" t="s">
        <v>1100</v>
      </c>
      <c r="V334" s="11" t="s">
        <v>1100</v>
      </c>
      <c r="W334" s="11" t="s">
        <v>1100</v>
      </c>
      <c r="X334" s="11" t="s">
        <v>1100</v>
      </c>
      <c r="Y334" s="11" t="s">
        <v>1100</v>
      </c>
      <c r="Z334" s="11" t="s">
        <v>1100</v>
      </c>
      <c r="AA334" s="11" t="s">
        <v>1100</v>
      </c>
      <c r="AB334" s="11" t="s">
        <v>1100</v>
      </c>
      <c r="AC334" s="20" t="s">
        <v>1101</v>
      </c>
    </row>
    <row r="335" spans="2:29" ht="15.75" x14ac:dyDescent="0.25">
      <c r="B335" s="11">
        <v>324</v>
      </c>
      <c r="C335" s="12" t="s">
        <v>698</v>
      </c>
      <c r="D335" s="12" t="s">
        <v>699</v>
      </c>
      <c r="E335" s="12" t="s">
        <v>12</v>
      </c>
      <c r="F335" s="11"/>
      <c r="G335" s="13" t="s">
        <v>1232</v>
      </c>
      <c r="H335" s="13" t="s">
        <v>1041</v>
      </c>
      <c r="I335" s="21">
        <v>31482</v>
      </c>
      <c r="J335" s="15">
        <v>39</v>
      </c>
      <c r="K335" s="16" t="s">
        <v>1097</v>
      </c>
      <c r="L335" s="16" t="s">
        <v>1102</v>
      </c>
      <c r="M335" s="22" t="s">
        <v>1099</v>
      </c>
      <c r="N335" s="23"/>
      <c r="O335" s="19" t="s">
        <v>1100</v>
      </c>
      <c r="P335" s="19" t="s">
        <v>1100</v>
      </c>
      <c r="Q335" s="13" t="s">
        <v>1100</v>
      </c>
      <c r="R335" s="11"/>
      <c r="S335" s="11" t="s">
        <v>1100</v>
      </c>
      <c r="T335" s="13" t="str">
        <f t="shared" si="5"/>
        <v/>
      </c>
      <c r="U335" s="11" t="s">
        <v>1100</v>
      </c>
      <c r="V335" s="11" t="s">
        <v>1100</v>
      </c>
      <c r="W335" s="11" t="s">
        <v>1100</v>
      </c>
      <c r="X335" s="11" t="s">
        <v>1100</v>
      </c>
      <c r="Y335" s="11" t="s">
        <v>1100</v>
      </c>
      <c r="Z335" s="11" t="s">
        <v>1100</v>
      </c>
      <c r="AA335" s="11" t="s">
        <v>1100</v>
      </c>
      <c r="AB335" s="11" t="s">
        <v>1100</v>
      </c>
      <c r="AC335" s="20" t="s">
        <v>1101</v>
      </c>
    </row>
    <row r="336" spans="2:29" ht="15.75" x14ac:dyDescent="0.25">
      <c r="B336" s="11">
        <v>325</v>
      </c>
      <c r="C336" s="12" t="s">
        <v>221</v>
      </c>
      <c r="D336" s="12" t="s">
        <v>700</v>
      </c>
      <c r="E336" s="12" t="s">
        <v>701</v>
      </c>
      <c r="F336" s="11"/>
      <c r="G336" s="13" t="s">
        <v>1230</v>
      </c>
      <c r="H336" s="13" t="s">
        <v>1041</v>
      </c>
      <c r="I336" s="21">
        <v>31906</v>
      </c>
      <c r="J336" s="15">
        <v>38</v>
      </c>
      <c r="K336" s="16" t="s">
        <v>1103</v>
      </c>
      <c r="L336" s="16" t="s">
        <v>1108</v>
      </c>
      <c r="M336" s="22" t="s">
        <v>1099</v>
      </c>
      <c r="N336" s="23"/>
      <c r="O336" s="19" t="s">
        <v>1100</v>
      </c>
      <c r="P336" s="19" t="s">
        <v>1100</v>
      </c>
      <c r="Q336" s="13" t="s">
        <v>1100</v>
      </c>
      <c r="R336" s="11"/>
      <c r="S336" s="11" t="s">
        <v>1100</v>
      </c>
      <c r="T336" s="13" t="str">
        <f t="shared" si="5"/>
        <v/>
      </c>
      <c r="U336" s="11" t="s">
        <v>1100</v>
      </c>
      <c r="V336" s="11" t="s">
        <v>1100</v>
      </c>
      <c r="W336" s="11" t="s">
        <v>1100</v>
      </c>
      <c r="X336" s="11" t="s">
        <v>1100</v>
      </c>
      <c r="Y336" s="11" t="s">
        <v>1100</v>
      </c>
      <c r="Z336" s="11" t="s">
        <v>1100</v>
      </c>
      <c r="AA336" s="11" t="s">
        <v>1100</v>
      </c>
      <c r="AB336" s="11" t="s">
        <v>1100</v>
      </c>
      <c r="AC336" s="20" t="s">
        <v>1101</v>
      </c>
    </row>
    <row r="337" spans="2:29" ht="15.75" x14ac:dyDescent="0.25">
      <c r="B337" s="11">
        <v>326</v>
      </c>
      <c r="C337" s="12" t="s">
        <v>23</v>
      </c>
      <c r="D337" s="12" t="s">
        <v>709</v>
      </c>
      <c r="E337" s="12" t="s">
        <v>337</v>
      </c>
      <c r="F337" s="11"/>
      <c r="G337" s="13" t="s">
        <v>1230</v>
      </c>
      <c r="H337" s="13" t="s">
        <v>1041</v>
      </c>
      <c r="I337" s="21">
        <v>33274</v>
      </c>
      <c r="J337" s="15">
        <v>35</v>
      </c>
      <c r="K337" s="16" t="s">
        <v>1103</v>
      </c>
      <c r="L337" s="16" t="s">
        <v>1108</v>
      </c>
      <c r="M337" s="22" t="s">
        <v>1099</v>
      </c>
      <c r="N337" s="23"/>
      <c r="O337" s="19" t="s">
        <v>1100</v>
      </c>
      <c r="P337" s="19" t="s">
        <v>1100</v>
      </c>
      <c r="Q337" s="13" t="s">
        <v>1100</v>
      </c>
      <c r="R337" s="11"/>
      <c r="S337" s="11" t="s">
        <v>1100</v>
      </c>
      <c r="T337" s="13" t="str">
        <f t="shared" si="5"/>
        <v/>
      </c>
      <c r="U337" s="11" t="s">
        <v>1100</v>
      </c>
      <c r="V337" s="11" t="s">
        <v>1100</v>
      </c>
      <c r="W337" s="11" t="s">
        <v>1100</v>
      </c>
      <c r="X337" s="11" t="s">
        <v>1100</v>
      </c>
      <c r="Y337" s="11" t="s">
        <v>1100</v>
      </c>
      <c r="Z337" s="11" t="s">
        <v>1100</v>
      </c>
      <c r="AA337" s="11" t="s">
        <v>1100</v>
      </c>
      <c r="AB337" s="11" t="s">
        <v>1100</v>
      </c>
      <c r="AC337" s="20" t="s">
        <v>1101</v>
      </c>
    </row>
    <row r="338" spans="2:29" ht="15.75" x14ac:dyDescent="0.25">
      <c r="B338" s="11">
        <v>327</v>
      </c>
      <c r="C338" s="12" t="s">
        <v>23</v>
      </c>
      <c r="D338" s="12" t="s">
        <v>152</v>
      </c>
      <c r="E338" s="12" t="s">
        <v>706</v>
      </c>
      <c r="F338" s="11"/>
      <c r="G338" s="13" t="s">
        <v>1230</v>
      </c>
      <c r="H338" s="13" t="s">
        <v>1041</v>
      </c>
      <c r="I338" s="21">
        <v>28594</v>
      </c>
      <c r="J338" s="15">
        <v>47</v>
      </c>
      <c r="K338" s="16" t="s">
        <v>1097</v>
      </c>
      <c r="L338" s="16" t="s">
        <v>1102</v>
      </c>
      <c r="M338" s="22" t="s">
        <v>1099</v>
      </c>
      <c r="N338" s="23"/>
      <c r="O338" s="19" t="s">
        <v>1100</v>
      </c>
      <c r="P338" s="19" t="s">
        <v>1100</v>
      </c>
      <c r="Q338" s="13" t="s">
        <v>1100</v>
      </c>
      <c r="R338" s="11"/>
      <c r="S338" s="11" t="s">
        <v>1100</v>
      </c>
      <c r="T338" s="13" t="str">
        <f t="shared" si="5"/>
        <v/>
      </c>
      <c r="U338" s="11" t="s">
        <v>1100</v>
      </c>
      <c r="V338" s="11" t="s">
        <v>1100</v>
      </c>
      <c r="W338" s="11" t="s">
        <v>1100</v>
      </c>
      <c r="X338" s="11" t="s">
        <v>1100</v>
      </c>
      <c r="Y338" s="11" t="s">
        <v>1100</v>
      </c>
      <c r="Z338" s="11" t="s">
        <v>1100</v>
      </c>
      <c r="AA338" s="11" t="s">
        <v>1100</v>
      </c>
      <c r="AB338" s="11" t="s">
        <v>1100</v>
      </c>
      <c r="AC338" s="20" t="s">
        <v>1101</v>
      </c>
    </row>
    <row r="339" spans="2:29" ht="15.75" x14ac:dyDescent="0.25">
      <c r="B339" s="11">
        <v>328</v>
      </c>
      <c r="C339" s="12" t="s">
        <v>23</v>
      </c>
      <c r="D339" s="12" t="s">
        <v>707</v>
      </c>
      <c r="E339" s="12" t="s">
        <v>708</v>
      </c>
      <c r="F339" s="11"/>
      <c r="G339" s="13" t="s">
        <v>1232</v>
      </c>
      <c r="H339" s="13" t="s">
        <v>1041</v>
      </c>
      <c r="I339" s="21">
        <v>29737</v>
      </c>
      <c r="J339" s="15">
        <v>44</v>
      </c>
      <c r="K339" s="16" t="s">
        <v>1103</v>
      </c>
      <c r="L339" s="16" t="s">
        <v>1102</v>
      </c>
      <c r="M339" s="22" t="s">
        <v>1099</v>
      </c>
      <c r="N339" s="23"/>
      <c r="O339" s="19" t="s">
        <v>1099</v>
      </c>
      <c r="P339" s="19" t="s">
        <v>1100</v>
      </c>
      <c r="Q339" s="13" t="s">
        <v>1100</v>
      </c>
      <c r="R339" s="11"/>
      <c r="S339" s="11" t="s">
        <v>1100</v>
      </c>
      <c r="T339" s="13" t="str">
        <f t="shared" si="5"/>
        <v/>
      </c>
      <c r="U339" s="11" t="s">
        <v>1100</v>
      </c>
      <c r="V339" s="11" t="s">
        <v>1100</v>
      </c>
      <c r="W339" s="11" t="s">
        <v>1100</v>
      </c>
      <c r="X339" s="11" t="s">
        <v>1100</v>
      </c>
      <c r="Y339" s="11" t="s">
        <v>1100</v>
      </c>
      <c r="Z339" s="11" t="s">
        <v>1100</v>
      </c>
      <c r="AA339" s="11" t="s">
        <v>1100</v>
      </c>
      <c r="AB339" s="11" t="s">
        <v>1100</v>
      </c>
      <c r="AC339" s="20" t="s">
        <v>1101</v>
      </c>
    </row>
    <row r="340" spans="2:29" ht="15.75" x14ac:dyDescent="0.25">
      <c r="B340" s="11">
        <v>329</v>
      </c>
      <c r="C340" s="12" t="s">
        <v>23</v>
      </c>
      <c r="D340" s="12" t="s">
        <v>702</v>
      </c>
      <c r="E340" s="12" t="s">
        <v>703</v>
      </c>
      <c r="F340" s="11"/>
      <c r="G340" s="13" t="s">
        <v>1230</v>
      </c>
      <c r="H340" s="13" t="s">
        <v>1041</v>
      </c>
      <c r="I340" s="21">
        <v>31116</v>
      </c>
      <c r="J340" s="15">
        <v>40</v>
      </c>
      <c r="K340" s="16" t="s">
        <v>1103</v>
      </c>
      <c r="L340" s="16" t="s">
        <v>1102</v>
      </c>
      <c r="M340" s="22" t="s">
        <v>1099</v>
      </c>
      <c r="N340" s="23"/>
      <c r="O340" s="19" t="s">
        <v>1100</v>
      </c>
      <c r="P340" s="19" t="s">
        <v>1100</v>
      </c>
      <c r="Q340" s="13" t="s">
        <v>1100</v>
      </c>
      <c r="R340" s="11"/>
      <c r="S340" s="11" t="s">
        <v>1100</v>
      </c>
      <c r="T340" s="13" t="str">
        <f t="shared" si="5"/>
        <v/>
      </c>
      <c r="U340" s="11" t="s">
        <v>1100</v>
      </c>
      <c r="V340" s="11" t="s">
        <v>1100</v>
      </c>
      <c r="W340" s="11" t="s">
        <v>1100</v>
      </c>
      <c r="X340" s="11" t="s">
        <v>1100</v>
      </c>
      <c r="Y340" s="11" t="s">
        <v>1100</v>
      </c>
      <c r="Z340" s="11" t="s">
        <v>1100</v>
      </c>
      <c r="AA340" s="11" t="s">
        <v>1100</v>
      </c>
      <c r="AB340" s="11" t="s">
        <v>1100</v>
      </c>
      <c r="AC340" s="20" t="s">
        <v>1101</v>
      </c>
    </row>
    <row r="341" spans="2:29" ht="15.75" x14ac:dyDescent="0.25">
      <c r="B341" s="11">
        <v>330</v>
      </c>
      <c r="C341" s="12" t="s">
        <v>23</v>
      </c>
      <c r="D341" s="12" t="s">
        <v>704</v>
      </c>
      <c r="E341" s="12" t="s">
        <v>705</v>
      </c>
      <c r="F341" s="11"/>
      <c r="G341" s="13" t="s">
        <v>1230</v>
      </c>
      <c r="H341" s="13" t="s">
        <v>1041</v>
      </c>
      <c r="I341" s="21">
        <v>21718</v>
      </c>
      <c r="J341" s="15">
        <v>66</v>
      </c>
      <c r="K341" s="16" t="s">
        <v>1103</v>
      </c>
      <c r="L341" s="16" t="s">
        <v>1182</v>
      </c>
      <c r="M341" s="22" t="s">
        <v>1099</v>
      </c>
      <c r="N341" s="23"/>
      <c r="O341" s="19" t="s">
        <v>1100</v>
      </c>
      <c r="P341" s="19" t="s">
        <v>1100</v>
      </c>
      <c r="Q341" s="13" t="s">
        <v>1100</v>
      </c>
      <c r="R341" s="11"/>
      <c r="S341" s="11" t="s">
        <v>1100</v>
      </c>
      <c r="T341" s="13" t="str">
        <f t="shared" si="5"/>
        <v>/</v>
      </c>
      <c r="U341" s="11" t="s">
        <v>1100</v>
      </c>
      <c r="V341" s="11" t="s">
        <v>1100</v>
      </c>
      <c r="W341" s="11" t="s">
        <v>1100</v>
      </c>
      <c r="X341" s="11" t="s">
        <v>1100</v>
      </c>
      <c r="Y341" s="11" t="s">
        <v>1100</v>
      </c>
      <c r="Z341" s="11" t="s">
        <v>1100</v>
      </c>
      <c r="AA341" s="11" t="s">
        <v>1100</v>
      </c>
      <c r="AB341" s="11" t="s">
        <v>1100</v>
      </c>
      <c r="AC341" s="20" t="s">
        <v>1101</v>
      </c>
    </row>
    <row r="342" spans="2:29" ht="15.75" x14ac:dyDescent="0.25">
      <c r="B342" s="11">
        <v>331</v>
      </c>
      <c r="C342" s="12" t="s">
        <v>710</v>
      </c>
      <c r="D342" s="12" t="s">
        <v>71</v>
      </c>
      <c r="E342" s="12" t="s">
        <v>711</v>
      </c>
      <c r="F342" s="11"/>
      <c r="G342" s="13" t="s">
        <v>1232</v>
      </c>
      <c r="H342" s="13" t="s">
        <v>1041</v>
      </c>
      <c r="I342" s="21">
        <v>28737</v>
      </c>
      <c r="J342" s="15">
        <v>47</v>
      </c>
      <c r="K342" s="16" t="s">
        <v>1103</v>
      </c>
      <c r="L342" s="16" t="s">
        <v>1102</v>
      </c>
      <c r="M342" s="22" t="s">
        <v>1099</v>
      </c>
      <c r="N342" s="23"/>
      <c r="O342" s="19" t="s">
        <v>1100</v>
      </c>
      <c r="P342" s="19" t="s">
        <v>1100</v>
      </c>
      <c r="Q342" s="13" t="s">
        <v>1100</v>
      </c>
      <c r="R342" s="11"/>
      <c r="S342" s="11" t="s">
        <v>1100</v>
      </c>
      <c r="T342" s="13" t="str">
        <f t="shared" si="5"/>
        <v/>
      </c>
      <c r="U342" s="11" t="s">
        <v>1100</v>
      </c>
      <c r="V342" s="11" t="s">
        <v>1100</v>
      </c>
      <c r="W342" s="11" t="s">
        <v>1100</v>
      </c>
      <c r="X342" s="11" t="s">
        <v>1100</v>
      </c>
      <c r="Y342" s="11" t="s">
        <v>1100</v>
      </c>
      <c r="Z342" s="11" t="s">
        <v>1100</v>
      </c>
      <c r="AA342" s="11" t="s">
        <v>1100</v>
      </c>
      <c r="AB342" s="11" t="s">
        <v>1100</v>
      </c>
      <c r="AC342" s="20" t="s">
        <v>1101</v>
      </c>
    </row>
    <row r="343" spans="2:29" ht="15.75" x14ac:dyDescent="0.25">
      <c r="B343" s="11">
        <v>332</v>
      </c>
      <c r="C343" s="12" t="s">
        <v>710</v>
      </c>
      <c r="D343" s="12" t="s">
        <v>83</v>
      </c>
      <c r="E343" s="12" t="s">
        <v>712</v>
      </c>
      <c r="F343" s="11"/>
      <c r="G343" s="13" t="s">
        <v>1232</v>
      </c>
      <c r="H343" s="13" t="s">
        <v>1041</v>
      </c>
      <c r="I343" s="21">
        <v>19088</v>
      </c>
      <c r="J343" s="15">
        <v>73</v>
      </c>
      <c r="K343" s="16" t="s">
        <v>1097</v>
      </c>
      <c r="L343" s="16" t="s">
        <v>1182</v>
      </c>
      <c r="M343" s="22" t="s">
        <v>1099</v>
      </c>
      <c r="N343" s="23"/>
      <c r="O343" s="19" t="s">
        <v>1100</v>
      </c>
      <c r="P343" s="19" t="s">
        <v>1100</v>
      </c>
      <c r="Q343" s="13" t="s">
        <v>1100</v>
      </c>
      <c r="R343" s="11"/>
      <c r="S343" s="11" t="s">
        <v>1100</v>
      </c>
      <c r="T343" s="13" t="str">
        <f t="shared" si="5"/>
        <v>/</v>
      </c>
      <c r="U343" s="11" t="s">
        <v>1100</v>
      </c>
      <c r="V343" s="11" t="s">
        <v>1100</v>
      </c>
      <c r="W343" s="11" t="s">
        <v>1100</v>
      </c>
      <c r="X343" s="11" t="s">
        <v>1100</v>
      </c>
      <c r="Y343" s="11" t="s">
        <v>1100</v>
      </c>
      <c r="Z343" s="11" t="s">
        <v>1100</v>
      </c>
      <c r="AA343" s="11" t="s">
        <v>1100</v>
      </c>
      <c r="AB343" s="11" t="s">
        <v>1100</v>
      </c>
      <c r="AC343" s="20" t="s">
        <v>1101</v>
      </c>
    </row>
    <row r="344" spans="2:29" ht="15.75" x14ac:dyDescent="0.25">
      <c r="B344" s="11">
        <v>333</v>
      </c>
      <c r="C344" s="12" t="s">
        <v>713</v>
      </c>
      <c r="D344" s="12" t="s">
        <v>714</v>
      </c>
      <c r="E344" s="12" t="s">
        <v>303</v>
      </c>
      <c r="F344" s="11"/>
      <c r="G344" s="13" t="s">
        <v>1233</v>
      </c>
      <c r="H344" s="13" t="s">
        <v>1041</v>
      </c>
      <c r="I344" s="21">
        <v>23444</v>
      </c>
      <c r="J344" s="15">
        <v>61</v>
      </c>
      <c r="K344" s="16" t="s">
        <v>1103</v>
      </c>
      <c r="L344" s="16" t="s">
        <v>1102</v>
      </c>
      <c r="M344" s="22" t="s">
        <v>1099</v>
      </c>
      <c r="N344" s="23"/>
      <c r="O344" s="19" t="s">
        <v>1100</v>
      </c>
      <c r="P344" s="19" t="s">
        <v>1100</v>
      </c>
      <c r="Q344" s="13" t="s">
        <v>1100</v>
      </c>
      <c r="R344" s="11"/>
      <c r="S344" s="11" t="s">
        <v>1100</v>
      </c>
      <c r="T344" s="13" t="str">
        <f t="shared" si="5"/>
        <v>/</v>
      </c>
      <c r="U344" s="11" t="s">
        <v>1100</v>
      </c>
      <c r="V344" s="11" t="s">
        <v>1100</v>
      </c>
      <c r="W344" s="11" t="s">
        <v>1100</v>
      </c>
      <c r="X344" s="11" t="s">
        <v>1100</v>
      </c>
      <c r="Y344" s="11" t="s">
        <v>1100</v>
      </c>
      <c r="Z344" s="11" t="s">
        <v>1100</v>
      </c>
      <c r="AA344" s="11" t="s">
        <v>1100</v>
      </c>
      <c r="AB344" s="11" t="s">
        <v>1100</v>
      </c>
      <c r="AC344" s="20" t="s">
        <v>1101</v>
      </c>
    </row>
    <row r="345" spans="2:29" ht="15.75" x14ac:dyDescent="0.25">
      <c r="B345" s="11">
        <v>334</v>
      </c>
      <c r="C345" s="12" t="s">
        <v>715</v>
      </c>
      <c r="D345" s="12" t="s">
        <v>716</v>
      </c>
      <c r="E345" s="12" t="s">
        <v>717</v>
      </c>
      <c r="F345" s="11"/>
      <c r="G345" s="13" t="s">
        <v>1230</v>
      </c>
      <c r="H345" s="13" t="s">
        <v>1041</v>
      </c>
      <c r="I345" s="21">
        <v>36556</v>
      </c>
      <c r="J345" s="15">
        <v>26</v>
      </c>
      <c r="K345" s="16" t="s">
        <v>1103</v>
      </c>
      <c r="L345" s="16" t="s">
        <v>1098</v>
      </c>
      <c r="M345" s="22" t="s">
        <v>1099</v>
      </c>
      <c r="N345" s="23"/>
      <c r="O345" s="19" t="s">
        <v>1100</v>
      </c>
      <c r="P345" s="19" t="s">
        <v>1100</v>
      </c>
      <c r="Q345" s="13" t="s">
        <v>1100</v>
      </c>
      <c r="R345" s="11"/>
      <c r="S345" s="11" t="s">
        <v>1100</v>
      </c>
      <c r="T345" s="13" t="str">
        <f t="shared" si="5"/>
        <v/>
      </c>
      <c r="U345" s="11" t="s">
        <v>1100</v>
      </c>
      <c r="V345" s="11" t="s">
        <v>1100</v>
      </c>
      <c r="W345" s="11" t="s">
        <v>1100</v>
      </c>
      <c r="X345" s="11" t="s">
        <v>1100</v>
      </c>
      <c r="Y345" s="11" t="s">
        <v>1100</v>
      </c>
      <c r="Z345" s="11" t="s">
        <v>1100</v>
      </c>
      <c r="AA345" s="11" t="s">
        <v>1100</v>
      </c>
      <c r="AB345" s="11" t="s">
        <v>1100</v>
      </c>
      <c r="AC345" s="20" t="s">
        <v>1101</v>
      </c>
    </row>
    <row r="346" spans="2:29" ht="15.75" x14ac:dyDescent="0.25">
      <c r="B346" s="11">
        <v>335</v>
      </c>
      <c r="C346" s="12" t="s">
        <v>718</v>
      </c>
      <c r="D346" s="12" t="s">
        <v>719</v>
      </c>
      <c r="E346" s="12" t="s">
        <v>228</v>
      </c>
      <c r="F346" s="11"/>
      <c r="G346" s="13" t="s">
        <v>1232</v>
      </c>
      <c r="H346" s="13" t="s">
        <v>1041</v>
      </c>
      <c r="I346" s="21">
        <v>35738</v>
      </c>
      <c r="J346" s="15">
        <v>28</v>
      </c>
      <c r="K346" s="16" t="s">
        <v>1103</v>
      </c>
      <c r="L346" s="16" t="s">
        <v>1102</v>
      </c>
      <c r="M346" s="22" t="s">
        <v>1099</v>
      </c>
      <c r="N346" s="23"/>
      <c r="O346" s="19" t="s">
        <v>1100</v>
      </c>
      <c r="P346" s="19" t="s">
        <v>1100</v>
      </c>
      <c r="Q346" s="13" t="s">
        <v>1100</v>
      </c>
      <c r="R346" s="11"/>
      <c r="S346" s="11" t="s">
        <v>1100</v>
      </c>
      <c r="T346" s="13" t="str">
        <f t="shared" si="5"/>
        <v/>
      </c>
      <c r="U346" s="11" t="s">
        <v>1100</v>
      </c>
      <c r="V346" s="11" t="s">
        <v>1100</v>
      </c>
      <c r="W346" s="11" t="s">
        <v>1100</v>
      </c>
      <c r="X346" s="11" t="s">
        <v>1100</v>
      </c>
      <c r="Y346" s="11" t="s">
        <v>1100</v>
      </c>
      <c r="Z346" s="11" t="s">
        <v>1100</v>
      </c>
      <c r="AA346" s="11" t="s">
        <v>1100</v>
      </c>
      <c r="AB346" s="11" t="s">
        <v>1100</v>
      </c>
      <c r="AC346" s="20" t="s">
        <v>1101</v>
      </c>
    </row>
    <row r="347" spans="2:29" ht="15.75" x14ac:dyDescent="0.25">
      <c r="B347" s="11">
        <v>336</v>
      </c>
      <c r="C347" s="12" t="s">
        <v>108</v>
      </c>
      <c r="D347" s="12" t="s">
        <v>910</v>
      </c>
      <c r="E347" s="12" t="s">
        <v>712</v>
      </c>
      <c r="F347" s="11"/>
      <c r="G347" s="13" t="s">
        <v>1110</v>
      </c>
      <c r="H347" s="13" t="s">
        <v>1041</v>
      </c>
      <c r="I347" s="21">
        <v>35503</v>
      </c>
      <c r="J347" s="15">
        <v>28</v>
      </c>
      <c r="K347" s="16" t="s">
        <v>1097</v>
      </c>
      <c r="L347" s="16" t="s">
        <v>1108</v>
      </c>
      <c r="M347" s="22" t="s">
        <v>1099</v>
      </c>
      <c r="N347" s="23"/>
      <c r="O347" s="19" t="s">
        <v>1100</v>
      </c>
      <c r="P347" s="19" t="s">
        <v>1100</v>
      </c>
      <c r="Q347" s="13" t="s">
        <v>1100</v>
      </c>
      <c r="R347" s="11"/>
      <c r="S347" s="11" t="s">
        <v>1100</v>
      </c>
      <c r="T347" s="13" t="str">
        <f t="shared" si="5"/>
        <v/>
      </c>
      <c r="U347" s="11" t="s">
        <v>1100</v>
      </c>
      <c r="V347" s="11" t="s">
        <v>1100</v>
      </c>
      <c r="W347" s="11" t="s">
        <v>1100</v>
      </c>
      <c r="X347" s="11" t="s">
        <v>1100</v>
      </c>
      <c r="Y347" s="11" t="s">
        <v>1100</v>
      </c>
      <c r="Z347" s="11" t="s">
        <v>1100</v>
      </c>
      <c r="AA347" s="11" t="s">
        <v>1100</v>
      </c>
      <c r="AB347" s="11" t="s">
        <v>1100</v>
      </c>
      <c r="AC347" s="20" t="s">
        <v>1111</v>
      </c>
    </row>
    <row r="348" spans="2:29" ht="15.75" x14ac:dyDescent="0.25">
      <c r="B348" s="11">
        <v>337</v>
      </c>
      <c r="C348" s="12" t="s">
        <v>228</v>
      </c>
      <c r="D348" s="12" t="s">
        <v>720</v>
      </c>
      <c r="E348" s="12" t="s">
        <v>168</v>
      </c>
      <c r="F348" s="11"/>
      <c r="G348" s="13" t="s">
        <v>1232</v>
      </c>
      <c r="H348" s="13" t="s">
        <v>1041</v>
      </c>
      <c r="I348" s="21">
        <v>32905</v>
      </c>
      <c r="J348" s="15">
        <v>36</v>
      </c>
      <c r="K348" s="16" t="s">
        <v>1103</v>
      </c>
      <c r="L348" s="16" t="s">
        <v>1098</v>
      </c>
      <c r="M348" s="22" t="s">
        <v>1099</v>
      </c>
      <c r="N348" s="23"/>
      <c r="O348" s="19" t="s">
        <v>1099</v>
      </c>
      <c r="P348" s="19" t="s">
        <v>1100</v>
      </c>
      <c r="Q348" s="13" t="s">
        <v>1100</v>
      </c>
      <c r="R348" s="11"/>
      <c r="S348" s="11" t="s">
        <v>1100</v>
      </c>
      <c r="T348" s="13" t="str">
        <f t="shared" si="5"/>
        <v/>
      </c>
      <c r="U348" s="11" t="s">
        <v>1100</v>
      </c>
      <c r="V348" s="11" t="s">
        <v>1100</v>
      </c>
      <c r="W348" s="11" t="s">
        <v>1100</v>
      </c>
      <c r="X348" s="11" t="s">
        <v>1100</v>
      </c>
      <c r="Y348" s="11" t="s">
        <v>1100</v>
      </c>
      <c r="Z348" s="11" t="s">
        <v>1100</v>
      </c>
      <c r="AA348" s="11" t="s">
        <v>1100</v>
      </c>
      <c r="AB348" s="11" t="s">
        <v>1100</v>
      </c>
      <c r="AC348" s="20" t="s">
        <v>1101</v>
      </c>
    </row>
    <row r="349" spans="2:29" ht="15.75" x14ac:dyDescent="0.25">
      <c r="B349" s="11">
        <v>338</v>
      </c>
      <c r="C349" s="12" t="s">
        <v>721</v>
      </c>
      <c r="D349" s="12" t="s">
        <v>146</v>
      </c>
      <c r="E349" s="12" t="s">
        <v>724</v>
      </c>
      <c r="F349" s="11" t="s">
        <v>22</v>
      </c>
      <c r="G349" s="13" t="s">
        <v>1230</v>
      </c>
      <c r="H349" s="13" t="s">
        <v>1041</v>
      </c>
      <c r="I349" s="21">
        <v>21378</v>
      </c>
      <c r="J349" s="15">
        <v>67</v>
      </c>
      <c r="K349" s="16" t="s">
        <v>1097</v>
      </c>
      <c r="L349" s="16" t="s">
        <v>1102</v>
      </c>
      <c r="M349" s="22" t="s">
        <v>1099</v>
      </c>
      <c r="N349" s="23"/>
      <c r="O349" s="19" t="s">
        <v>1100</v>
      </c>
      <c r="P349" s="19" t="s">
        <v>1100</v>
      </c>
      <c r="Q349" s="13" t="s">
        <v>1100</v>
      </c>
      <c r="R349" s="11"/>
      <c r="S349" s="11" t="s">
        <v>1100</v>
      </c>
      <c r="T349" s="13" t="str">
        <f t="shared" si="5"/>
        <v>/</v>
      </c>
      <c r="U349" s="11" t="s">
        <v>1100</v>
      </c>
      <c r="V349" s="11" t="s">
        <v>1100</v>
      </c>
      <c r="W349" s="11" t="s">
        <v>1100</v>
      </c>
      <c r="X349" s="11" t="s">
        <v>1100</v>
      </c>
      <c r="Y349" s="11" t="s">
        <v>1100</v>
      </c>
      <c r="Z349" s="11" t="s">
        <v>1100</v>
      </c>
      <c r="AA349" s="11" t="s">
        <v>1100</v>
      </c>
      <c r="AB349" s="11" t="s">
        <v>1100</v>
      </c>
      <c r="AC349" s="20" t="s">
        <v>1101</v>
      </c>
    </row>
    <row r="350" spans="2:29" ht="15.75" x14ac:dyDescent="0.25">
      <c r="B350" s="11">
        <v>339</v>
      </c>
      <c r="C350" s="12" t="s">
        <v>721</v>
      </c>
      <c r="D350" s="12" t="s">
        <v>722</v>
      </c>
      <c r="E350" s="12" t="s">
        <v>723</v>
      </c>
      <c r="F350" s="11"/>
      <c r="G350" s="13" t="s">
        <v>1230</v>
      </c>
      <c r="H350" s="13" t="s">
        <v>1041</v>
      </c>
      <c r="I350" s="21">
        <v>28707</v>
      </c>
      <c r="J350" s="15">
        <v>47</v>
      </c>
      <c r="K350" s="16" t="s">
        <v>1103</v>
      </c>
      <c r="L350" s="16" t="s">
        <v>1102</v>
      </c>
      <c r="M350" s="22" t="s">
        <v>1099</v>
      </c>
      <c r="N350" s="23"/>
      <c r="O350" s="19" t="s">
        <v>1100</v>
      </c>
      <c r="P350" s="19" t="s">
        <v>1100</v>
      </c>
      <c r="Q350" s="13" t="s">
        <v>1100</v>
      </c>
      <c r="R350" s="11"/>
      <c r="S350" s="11" t="s">
        <v>1100</v>
      </c>
      <c r="T350" s="13" t="str">
        <f t="shared" si="5"/>
        <v/>
      </c>
      <c r="U350" s="11" t="s">
        <v>1100</v>
      </c>
      <c r="V350" s="11" t="s">
        <v>1100</v>
      </c>
      <c r="W350" s="11" t="s">
        <v>1100</v>
      </c>
      <c r="X350" s="11" t="s">
        <v>1100</v>
      </c>
      <c r="Y350" s="11" t="s">
        <v>1100</v>
      </c>
      <c r="Z350" s="11" t="s">
        <v>1100</v>
      </c>
      <c r="AA350" s="11" t="s">
        <v>1100</v>
      </c>
      <c r="AB350" s="11" t="s">
        <v>1100</v>
      </c>
      <c r="AC350" s="20" t="s">
        <v>1101</v>
      </c>
    </row>
    <row r="351" spans="2:29" ht="15.75" x14ac:dyDescent="0.25">
      <c r="B351" s="11">
        <v>340</v>
      </c>
      <c r="C351" s="12" t="s">
        <v>538</v>
      </c>
      <c r="D351" s="12" t="s">
        <v>726</v>
      </c>
      <c r="E351" s="12" t="s">
        <v>616</v>
      </c>
      <c r="F351" s="11"/>
      <c r="G351" s="13" t="s">
        <v>1110</v>
      </c>
      <c r="H351" s="13" t="s">
        <v>1041</v>
      </c>
      <c r="I351" s="21">
        <v>18107</v>
      </c>
      <c r="J351" s="15">
        <v>76</v>
      </c>
      <c r="K351" s="16" t="s">
        <v>1103</v>
      </c>
      <c r="L351" s="16" t="s">
        <v>1102</v>
      </c>
      <c r="M351" s="22" t="s">
        <v>1099</v>
      </c>
      <c r="N351" s="23"/>
      <c r="O351" s="19" t="s">
        <v>1100</v>
      </c>
      <c r="P351" s="19" t="s">
        <v>1100</v>
      </c>
      <c r="Q351" s="13" t="s">
        <v>1100</v>
      </c>
      <c r="R351" s="11"/>
      <c r="S351" s="11" t="s">
        <v>1100</v>
      </c>
      <c r="T351" s="13" t="str">
        <f t="shared" si="5"/>
        <v>/</v>
      </c>
      <c r="U351" s="11" t="s">
        <v>1100</v>
      </c>
      <c r="V351" s="11" t="s">
        <v>1100</v>
      </c>
      <c r="W351" s="11" t="s">
        <v>1100</v>
      </c>
      <c r="X351" s="11" t="s">
        <v>1100</v>
      </c>
      <c r="Y351" s="11" t="s">
        <v>1100</v>
      </c>
      <c r="Z351" s="11" t="s">
        <v>1100</v>
      </c>
      <c r="AA351" s="11" t="s">
        <v>1100</v>
      </c>
      <c r="AB351" s="11" t="s">
        <v>1100</v>
      </c>
      <c r="AC351" s="20" t="s">
        <v>1101</v>
      </c>
    </row>
    <row r="352" spans="2:29" ht="15.75" x14ac:dyDescent="0.25">
      <c r="B352" s="11">
        <v>341</v>
      </c>
      <c r="C352" s="12" t="s">
        <v>538</v>
      </c>
      <c r="D352" s="12" t="s">
        <v>725</v>
      </c>
      <c r="E352" s="12" t="s">
        <v>616</v>
      </c>
      <c r="F352" s="11"/>
      <c r="G352" s="13" t="s">
        <v>1110</v>
      </c>
      <c r="H352" s="13" t="s">
        <v>1041</v>
      </c>
      <c r="I352" s="21">
        <v>29119</v>
      </c>
      <c r="J352" s="15">
        <v>46</v>
      </c>
      <c r="K352" s="16" t="s">
        <v>1103</v>
      </c>
      <c r="L352" s="16" t="s">
        <v>1102</v>
      </c>
      <c r="M352" s="22" t="s">
        <v>1099</v>
      </c>
      <c r="N352" s="23"/>
      <c r="O352" s="19" t="s">
        <v>1100</v>
      </c>
      <c r="P352" s="19" t="s">
        <v>1100</v>
      </c>
      <c r="Q352" s="13" t="s">
        <v>1100</v>
      </c>
      <c r="R352" s="11"/>
      <c r="S352" s="11" t="s">
        <v>1100</v>
      </c>
      <c r="T352" s="13" t="str">
        <f t="shared" si="5"/>
        <v/>
      </c>
      <c r="U352" s="11" t="s">
        <v>1100</v>
      </c>
      <c r="V352" s="11" t="s">
        <v>1100</v>
      </c>
      <c r="W352" s="11" t="s">
        <v>1100</v>
      </c>
      <c r="X352" s="11" t="s">
        <v>1100</v>
      </c>
      <c r="Y352" s="11" t="s">
        <v>1100</v>
      </c>
      <c r="Z352" s="11" t="s">
        <v>1100</v>
      </c>
      <c r="AA352" s="11" t="s">
        <v>1100</v>
      </c>
      <c r="AB352" s="11" t="s">
        <v>1100</v>
      </c>
      <c r="AC352" s="20" t="s">
        <v>1101</v>
      </c>
    </row>
    <row r="353" spans="2:29" ht="15.75" x14ac:dyDescent="0.25">
      <c r="B353" s="11">
        <v>342</v>
      </c>
      <c r="C353" s="12" t="s">
        <v>538</v>
      </c>
      <c r="D353" s="12" t="s">
        <v>727</v>
      </c>
      <c r="E353" s="12" t="s">
        <v>98</v>
      </c>
      <c r="F353" s="11"/>
      <c r="G353" s="13" t="s">
        <v>1232</v>
      </c>
      <c r="H353" s="13" t="s">
        <v>1041</v>
      </c>
      <c r="I353" s="21">
        <v>30578</v>
      </c>
      <c r="J353" s="15">
        <v>42</v>
      </c>
      <c r="K353" s="16" t="s">
        <v>1103</v>
      </c>
      <c r="L353" s="16" t="s">
        <v>1182</v>
      </c>
      <c r="M353" s="22" t="s">
        <v>1099</v>
      </c>
      <c r="N353" s="23"/>
      <c r="O353" s="19" t="s">
        <v>1100</v>
      </c>
      <c r="P353" s="19" t="s">
        <v>1100</v>
      </c>
      <c r="Q353" s="13" t="s">
        <v>1100</v>
      </c>
      <c r="R353" s="11"/>
      <c r="S353" s="11" t="s">
        <v>1100</v>
      </c>
      <c r="T353" s="13" t="str">
        <f t="shared" si="5"/>
        <v/>
      </c>
      <c r="U353" s="11" t="s">
        <v>1100</v>
      </c>
      <c r="V353" s="11" t="s">
        <v>1100</v>
      </c>
      <c r="W353" s="11" t="s">
        <v>1100</v>
      </c>
      <c r="X353" s="11" t="s">
        <v>1100</v>
      </c>
      <c r="Y353" s="11" t="s">
        <v>1100</v>
      </c>
      <c r="Z353" s="11" t="s">
        <v>1100</v>
      </c>
      <c r="AA353" s="11" t="s">
        <v>1100</v>
      </c>
      <c r="AB353" s="11" t="s">
        <v>1100</v>
      </c>
      <c r="AC353" s="20" t="s">
        <v>1101</v>
      </c>
    </row>
    <row r="354" spans="2:29" ht="15.75" x14ac:dyDescent="0.25">
      <c r="B354" s="11">
        <v>343</v>
      </c>
      <c r="C354" s="12" t="s">
        <v>914</v>
      </c>
      <c r="D354" s="12" t="s">
        <v>915</v>
      </c>
      <c r="E354" s="12" t="s">
        <v>916</v>
      </c>
      <c r="F354" s="11"/>
      <c r="G354" s="13" t="s">
        <v>1230</v>
      </c>
      <c r="H354" s="13" t="s">
        <v>1041</v>
      </c>
      <c r="I354" s="21">
        <v>35340</v>
      </c>
      <c r="J354" s="15">
        <v>29</v>
      </c>
      <c r="K354" s="16" t="s">
        <v>1097</v>
      </c>
      <c r="L354" s="16" t="s">
        <v>1108</v>
      </c>
      <c r="M354" s="22" t="s">
        <v>1099</v>
      </c>
      <c r="N354" s="23"/>
      <c r="O354" s="19" t="s">
        <v>1100</v>
      </c>
      <c r="P354" s="19" t="s">
        <v>1100</v>
      </c>
      <c r="Q354" s="13" t="s">
        <v>1100</v>
      </c>
      <c r="R354" s="11"/>
      <c r="S354" s="11" t="s">
        <v>1100</v>
      </c>
      <c r="T354" s="13" t="str">
        <f t="shared" si="5"/>
        <v/>
      </c>
      <c r="U354" s="11" t="s">
        <v>1100</v>
      </c>
      <c r="V354" s="11" t="s">
        <v>1100</v>
      </c>
      <c r="W354" s="11" t="s">
        <v>1100</v>
      </c>
      <c r="X354" s="11" t="s">
        <v>1100</v>
      </c>
      <c r="Y354" s="11" t="s">
        <v>1100</v>
      </c>
      <c r="Z354" s="11" t="s">
        <v>1100</v>
      </c>
      <c r="AA354" s="11" t="s">
        <v>1100</v>
      </c>
      <c r="AB354" s="11" t="s">
        <v>1100</v>
      </c>
      <c r="AC354" s="20" t="s">
        <v>1101</v>
      </c>
    </row>
    <row r="355" spans="2:29" ht="15.75" x14ac:dyDescent="0.25">
      <c r="B355" s="11">
        <v>344</v>
      </c>
      <c r="C355" s="12" t="s">
        <v>728</v>
      </c>
      <c r="D355" s="12" t="s">
        <v>136</v>
      </c>
      <c r="E355" s="12" t="s">
        <v>729</v>
      </c>
      <c r="F355" s="11"/>
      <c r="G355" s="13" t="s">
        <v>1110</v>
      </c>
      <c r="H355" s="13" t="s">
        <v>1041</v>
      </c>
      <c r="I355" s="21">
        <v>32086</v>
      </c>
      <c r="J355" s="15">
        <v>38</v>
      </c>
      <c r="K355" s="16" t="s">
        <v>1097</v>
      </c>
      <c r="L355" s="16" t="s">
        <v>1102</v>
      </c>
      <c r="M355" s="22" t="s">
        <v>1099</v>
      </c>
      <c r="N355" s="23"/>
      <c r="O355" s="19" t="s">
        <v>1100</v>
      </c>
      <c r="P355" s="19" t="s">
        <v>1100</v>
      </c>
      <c r="Q355" s="13" t="s">
        <v>1100</v>
      </c>
      <c r="R355" s="11"/>
      <c r="S355" s="11" t="s">
        <v>1100</v>
      </c>
      <c r="T355" s="13" t="str">
        <f t="shared" si="5"/>
        <v/>
      </c>
      <c r="U355" s="11" t="s">
        <v>1100</v>
      </c>
      <c r="V355" s="11" t="s">
        <v>1100</v>
      </c>
      <c r="W355" s="11" t="s">
        <v>1100</v>
      </c>
      <c r="X355" s="11" t="s">
        <v>1100</v>
      </c>
      <c r="Y355" s="11" t="s">
        <v>1100</v>
      </c>
      <c r="Z355" s="11" t="s">
        <v>1100</v>
      </c>
      <c r="AA355" s="11" t="s">
        <v>1100</v>
      </c>
      <c r="AB355" s="11" t="s">
        <v>1100</v>
      </c>
      <c r="AC355" s="20" t="s">
        <v>1101</v>
      </c>
    </row>
    <row r="356" spans="2:29" ht="15.75" x14ac:dyDescent="0.25">
      <c r="B356" s="11">
        <v>345</v>
      </c>
      <c r="C356" s="12" t="s">
        <v>59</v>
      </c>
      <c r="D356" s="12" t="s">
        <v>917</v>
      </c>
      <c r="E356" s="12" t="s">
        <v>918</v>
      </c>
      <c r="F356" s="11"/>
      <c r="G356" s="13" t="s">
        <v>1110</v>
      </c>
      <c r="H356" s="13" t="s">
        <v>1041</v>
      </c>
      <c r="I356" s="21">
        <v>28820</v>
      </c>
      <c r="J356" s="15">
        <v>47</v>
      </c>
      <c r="K356" s="16" t="s">
        <v>1103</v>
      </c>
      <c r="L356" s="16" t="s">
        <v>1108</v>
      </c>
      <c r="M356" s="22" t="s">
        <v>1099</v>
      </c>
      <c r="N356" s="23"/>
      <c r="O356" s="19" t="s">
        <v>1100</v>
      </c>
      <c r="P356" s="19" t="s">
        <v>1100</v>
      </c>
      <c r="Q356" s="13" t="s">
        <v>1100</v>
      </c>
      <c r="R356" s="11"/>
      <c r="S356" s="11" t="s">
        <v>1100</v>
      </c>
      <c r="T356" s="13" t="str">
        <f t="shared" si="5"/>
        <v/>
      </c>
      <c r="U356" s="11" t="s">
        <v>1100</v>
      </c>
      <c r="V356" s="11" t="s">
        <v>1100</v>
      </c>
      <c r="W356" s="11" t="s">
        <v>1100</v>
      </c>
      <c r="X356" s="11" t="s">
        <v>1100</v>
      </c>
      <c r="Y356" s="11" t="s">
        <v>1100</v>
      </c>
      <c r="Z356" s="11" t="s">
        <v>1100</v>
      </c>
      <c r="AA356" s="11" t="s">
        <v>1100</v>
      </c>
      <c r="AB356" s="11" t="s">
        <v>1100</v>
      </c>
      <c r="AC356" s="20" t="s">
        <v>1101</v>
      </c>
    </row>
    <row r="357" spans="2:29" ht="15.75" x14ac:dyDescent="0.25">
      <c r="B357" s="11">
        <v>346</v>
      </c>
      <c r="C357" s="12" t="s">
        <v>730</v>
      </c>
      <c r="D357" s="12" t="s">
        <v>357</v>
      </c>
      <c r="E357" s="12" t="s">
        <v>98</v>
      </c>
      <c r="F357" s="11"/>
      <c r="G357" s="13" t="s">
        <v>1230</v>
      </c>
      <c r="H357" s="13" t="s">
        <v>1041</v>
      </c>
      <c r="I357" s="21">
        <v>28613</v>
      </c>
      <c r="J357" s="15">
        <v>47</v>
      </c>
      <c r="K357" s="16" t="s">
        <v>1097</v>
      </c>
      <c r="L357" s="16" t="s">
        <v>1102</v>
      </c>
      <c r="M357" s="22" t="s">
        <v>1099</v>
      </c>
      <c r="N357" s="23"/>
      <c r="O357" s="19" t="s">
        <v>1100</v>
      </c>
      <c r="P357" s="19" t="s">
        <v>1100</v>
      </c>
      <c r="Q357" s="13" t="s">
        <v>1100</v>
      </c>
      <c r="R357" s="11"/>
      <c r="S357" s="11" t="s">
        <v>1100</v>
      </c>
      <c r="T357" s="13" t="str">
        <f t="shared" si="5"/>
        <v/>
      </c>
      <c r="U357" s="11" t="s">
        <v>1100</v>
      </c>
      <c r="V357" s="11" t="s">
        <v>1100</v>
      </c>
      <c r="W357" s="11" t="s">
        <v>1100</v>
      </c>
      <c r="X357" s="11" t="s">
        <v>1100</v>
      </c>
      <c r="Y357" s="11" t="s">
        <v>1100</v>
      </c>
      <c r="Z357" s="11" t="s">
        <v>1100</v>
      </c>
      <c r="AA357" s="11" t="s">
        <v>1100</v>
      </c>
      <c r="AB357" s="11" t="s">
        <v>1100</v>
      </c>
      <c r="AC357" s="20" t="s">
        <v>1101</v>
      </c>
    </row>
    <row r="358" spans="2:29" ht="15.75" x14ac:dyDescent="0.25">
      <c r="B358" s="11">
        <v>347</v>
      </c>
      <c r="C358" s="12" t="s">
        <v>731</v>
      </c>
      <c r="D358" s="12" t="s">
        <v>82</v>
      </c>
      <c r="E358" s="12" t="s">
        <v>517</v>
      </c>
      <c r="F358" s="11"/>
      <c r="G358" s="13" t="s">
        <v>1232</v>
      </c>
      <c r="H358" s="13" t="s">
        <v>1041</v>
      </c>
      <c r="I358" s="21">
        <v>32198</v>
      </c>
      <c r="J358" s="15">
        <v>37</v>
      </c>
      <c r="K358" s="16" t="s">
        <v>1103</v>
      </c>
      <c r="L358" s="16" t="s">
        <v>1102</v>
      </c>
      <c r="M358" s="22" t="s">
        <v>1099</v>
      </c>
      <c r="N358" s="23"/>
      <c r="O358" s="19" t="s">
        <v>1100</v>
      </c>
      <c r="P358" s="19" t="s">
        <v>1100</v>
      </c>
      <c r="Q358" s="13" t="s">
        <v>1100</v>
      </c>
      <c r="R358" s="11"/>
      <c r="S358" s="11" t="s">
        <v>1100</v>
      </c>
      <c r="T358" s="13" t="str">
        <f t="shared" si="5"/>
        <v/>
      </c>
      <c r="U358" s="11" t="s">
        <v>1100</v>
      </c>
      <c r="V358" s="11" t="s">
        <v>1100</v>
      </c>
      <c r="W358" s="11" t="s">
        <v>1100</v>
      </c>
      <c r="X358" s="11" t="s">
        <v>1100</v>
      </c>
      <c r="Y358" s="11" t="s">
        <v>1100</v>
      </c>
      <c r="Z358" s="11" t="s">
        <v>1100</v>
      </c>
      <c r="AA358" s="11" t="s">
        <v>1100</v>
      </c>
      <c r="AB358" s="11" t="s">
        <v>1100</v>
      </c>
      <c r="AC358" s="20" t="s">
        <v>1101</v>
      </c>
    </row>
    <row r="359" spans="2:29" ht="15.75" x14ac:dyDescent="0.25">
      <c r="B359" s="11">
        <v>348</v>
      </c>
      <c r="C359" s="12" t="s">
        <v>66</v>
      </c>
      <c r="D359" s="12" t="s">
        <v>732</v>
      </c>
      <c r="E359" s="12" t="s">
        <v>85</v>
      </c>
      <c r="F359" s="11"/>
      <c r="G359" s="13" t="s">
        <v>1230</v>
      </c>
      <c r="H359" s="13" t="s">
        <v>1041</v>
      </c>
      <c r="I359" s="21">
        <v>35513</v>
      </c>
      <c r="J359" s="15">
        <v>28</v>
      </c>
      <c r="K359" s="16" t="s">
        <v>1103</v>
      </c>
      <c r="L359" s="16" t="s">
        <v>1098</v>
      </c>
      <c r="M359" s="22" t="s">
        <v>1099</v>
      </c>
      <c r="N359" s="23"/>
      <c r="O359" s="19" t="s">
        <v>1100</v>
      </c>
      <c r="P359" s="19" t="s">
        <v>1100</v>
      </c>
      <c r="Q359" s="13" t="s">
        <v>1100</v>
      </c>
      <c r="R359" s="11"/>
      <c r="S359" s="11" t="s">
        <v>1100</v>
      </c>
      <c r="T359" s="13" t="str">
        <f t="shared" si="5"/>
        <v/>
      </c>
      <c r="U359" s="11" t="s">
        <v>1100</v>
      </c>
      <c r="V359" s="11" t="s">
        <v>1100</v>
      </c>
      <c r="W359" s="11" t="s">
        <v>1100</v>
      </c>
      <c r="X359" s="11" t="s">
        <v>1100</v>
      </c>
      <c r="Y359" s="11" t="s">
        <v>1100</v>
      </c>
      <c r="Z359" s="11" t="s">
        <v>1100</v>
      </c>
      <c r="AA359" s="11" t="s">
        <v>1100</v>
      </c>
      <c r="AB359" s="11" t="s">
        <v>1100</v>
      </c>
      <c r="AC359" s="20" t="s">
        <v>1101</v>
      </c>
    </row>
    <row r="360" spans="2:29" ht="15.75" x14ac:dyDescent="0.25">
      <c r="B360" s="11">
        <v>349</v>
      </c>
      <c r="C360" s="12" t="s">
        <v>46</v>
      </c>
      <c r="D360" s="12" t="s">
        <v>733</v>
      </c>
      <c r="E360" s="12" t="s">
        <v>734</v>
      </c>
      <c r="F360" s="11"/>
      <c r="G360" s="13" t="s">
        <v>1231</v>
      </c>
      <c r="H360" s="13" t="s">
        <v>1041</v>
      </c>
      <c r="I360" s="21">
        <v>28741</v>
      </c>
      <c r="J360" s="15">
        <v>47</v>
      </c>
      <c r="K360" s="16" t="s">
        <v>1103</v>
      </c>
      <c r="L360" s="16" t="s">
        <v>1102</v>
      </c>
      <c r="M360" s="22" t="s">
        <v>1099</v>
      </c>
      <c r="N360" s="23"/>
      <c r="O360" s="19" t="s">
        <v>1100</v>
      </c>
      <c r="P360" s="19" t="s">
        <v>1100</v>
      </c>
      <c r="Q360" s="13" t="s">
        <v>1100</v>
      </c>
      <c r="R360" s="11"/>
      <c r="S360" s="11" t="s">
        <v>1100</v>
      </c>
      <c r="T360" s="13" t="str">
        <f t="shared" si="5"/>
        <v/>
      </c>
      <c r="U360" s="11" t="s">
        <v>1100</v>
      </c>
      <c r="V360" s="11" t="s">
        <v>1100</v>
      </c>
      <c r="W360" s="11" t="s">
        <v>1100</v>
      </c>
      <c r="X360" s="11" t="s">
        <v>1100</v>
      </c>
      <c r="Y360" s="11" t="s">
        <v>1100</v>
      </c>
      <c r="Z360" s="11" t="s">
        <v>1100</v>
      </c>
      <c r="AA360" s="11" t="s">
        <v>1100</v>
      </c>
      <c r="AB360" s="11" t="s">
        <v>1100</v>
      </c>
      <c r="AC360" s="20" t="s">
        <v>1101</v>
      </c>
    </row>
    <row r="361" spans="2:29" ht="15.75" x14ac:dyDescent="0.25">
      <c r="B361" s="11">
        <v>350</v>
      </c>
      <c r="C361" s="12" t="s">
        <v>735</v>
      </c>
      <c r="D361" s="12" t="s">
        <v>736</v>
      </c>
      <c r="E361" s="12" t="s">
        <v>737</v>
      </c>
      <c r="F361" s="11"/>
      <c r="G361" s="13" t="s">
        <v>1230</v>
      </c>
      <c r="H361" s="13" t="s">
        <v>1041</v>
      </c>
      <c r="I361" s="21">
        <v>25879</v>
      </c>
      <c r="J361" s="15">
        <v>55</v>
      </c>
      <c r="K361" s="16" t="s">
        <v>1103</v>
      </c>
      <c r="L361" s="16" t="s">
        <v>1102</v>
      </c>
      <c r="M361" s="22" t="s">
        <v>1099</v>
      </c>
      <c r="N361" s="23"/>
      <c r="O361" s="19" t="s">
        <v>1100</v>
      </c>
      <c r="P361" s="19" t="s">
        <v>1100</v>
      </c>
      <c r="Q361" s="13" t="s">
        <v>1100</v>
      </c>
      <c r="R361" s="11"/>
      <c r="S361" s="11" t="s">
        <v>1100</v>
      </c>
      <c r="T361" s="13" t="str">
        <f t="shared" si="5"/>
        <v/>
      </c>
      <c r="U361" s="11" t="s">
        <v>1100</v>
      </c>
      <c r="V361" s="11" t="s">
        <v>1100</v>
      </c>
      <c r="W361" s="11" t="s">
        <v>1100</v>
      </c>
      <c r="X361" s="11" t="s">
        <v>1100</v>
      </c>
      <c r="Y361" s="11" t="s">
        <v>1100</v>
      </c>
      <c r="Z361" s="11" t="s">
        <v>1100</v>
      </c>
      <c r="AA361" s="11" t="s">
        <v>1100</v>
      </c>
      <c r="AB361" s="11" t="s">
        <v>1100</v>
      </c>
      <c r="AC361" s="20" t="s">
        <v>1101</v>
      </c>
    </row>
    <row r="362" spans="2:29" ht="15.75" x14ac:dyDescent="0.25">
      <c r="B362" s="11">
        <v>351</v>
      </c>
      <c r="C362" s="12" t="s">
        <v>738</v>
      </c>
      <c r="D362" s="12" t="s">
        <v>14</v>
      </c>
      <c r="E362" s="12" t="s">
        <v>41</v>
      </c>
      <c r="F362" s="11"/>
      <c r="G362" s="13" t="s">
        <v>1110</v>
      </c>
      <c r="H362" s="13" t="s">
        <v>1041</v>
      </c>
      <c r="I362" s="21">
        <v>27988</v>
      </c>
      <c r="J362" s="15">
        <v>49</v>
      </c>
      <c r="K362" s="16" t="s">
        <v>1103</v>
      </c>
      <c r="L362" s="16" t="s">
        <v>1102</v>
      </c>
      <c r="M362" s="22" t="s">
        <v>1099</v>
      </c>
      <c r="N362" s="23"/>
      <c r="O362" s="19" t="s">
        <v>1100</v>
      </c>
      <c r="P362" s="19" t="s">
        <v>1100</v>
      </c>
      <c r="Q362" s="13" t="s">
        <v>1100</v>
      </c>
      <c r="R362" s="11"/>
      <c r="S362" s="11" t="s">
        <v>1100</v>
      </c>
      <c r="T362" s="13" t="str">
        <f t="shared" si="5"/>
        <v/>
      </c>
      <c r="U362" s="11" t="s">
        <v>1100</v>
      </c>
      <c r="V362" s="11" t="s">
        <v>1100</v>
      </c>
      <c r="W362" s="11" t="s">
        <v>1100</v>
      </c>
      <c r="X362" s="11" t="s">
        <v>1100</v>
      </c>
      <c r="Y362" s="11" t="s">
        <v>1100</v>
      </c>
      <c r="Z362" s="11" t="s">
        <v>1100</v>
      </c>
      <c r="AA362" s="11" t="s">
        <v>1100</v>
      </c>
      <c r="AB362" s="11" t="s">
        <v>1100</v>
      </c>
      <c r="AC362" s="20" t="s">
        <v>1101</v>
      </c>
    </row>
    <row r="363" spans="2:29" ht="15.75" x14ac:dyDescent="0.25">
      <c r="B363" s="11">
        <v>352</v>
      </c>
      <c r="C363" s="12" t="s">
        <v>739</v>
      </c>
      <c r="D363" s="12" t="s">
        <v>548</v>
      </c>
      <c r="E363" s="12" t="s">
        <v>740</v>
      </c>
      <c r="F363" s="11"/>
      <c r="G363" s="13" t="s">
        <v>1230</v>
      </c>
      <c r="H363" s="13" t="s">
        <v>1041</v>
      </c>
      <c r="I363" s="21">
        <v>33726</v>
      </c>
      <c r="J363" s="15">
        <v>33</v>
      </c>
      <c r="K363" s="16" t="s">
        <v>1097</v>
      </c>
      <c r="L363" s="16" t="s">
        <v>1108</v>
      </c>
      <c r="M363" s="22" t="s">
        <v>1099</v>
      </c>
      <c r="N363" s="23"/>
      <c r="O363" s="19" t="s">
        <v>1099</v>
      </c>
      <c r="P363" s="19" t="s">
        <v>1100</v>
      </c>
      <c r="Q363" s="13" t="s">
        <v>1100</v>
      </c>
      <c r="R363" s="11"/>
      <c r="S363" s="11" t="s">
        <v>1100</v>
      </c>
      <c r="T363" s="13" t="str">
        <f t="shared" si="5"/>
        <v/>
      </c>
      <c r="U363" s="11" t="s">
        <v>1100</v>
      </c>
      <c r="V363" s="11" t="s">
        <v>1100</v>
      </c>
      <c r="W363" s="11" t="s">
        <v>1100</v>
      </c>
      <c r="X363" s="11" t="s">
        <v>1100</v>
      </c>
      <c r="Y363" s="11" t="s">
        <v>1100</v>
      </c>
      <c r="Z363" s="11" t="s">
        <v>1100</v>
      </c>
      <c r="AA363" s="11" t="s">
        <v>1100</v>
      </c>
      <c r="AB363" s="11" t="s">
        <v>1100</v>
      </c>
      <c r="AC363" s="20" t="s">
        <v>1101</v>
      </c>
    </row>
    <row r="364" spans="2:29" ht="15.75" x14ac:dyDescent="0.25">
      <c r="B364" s="11">
        <v>353</v>
      </c>
      <c r="C364" s="12" t="s">
        <v>79</v>
      </c>
      <c r="D364" s="12" t="s">
        <v>741</v>
      </c>
      <c r="E364" s="12" t="s">
        <v>742</v>
      </c>
      <c r="F364" s="11"/>
      <c r="G364" s="13" t="s">
        <v>1232</v>
      </c>
      <c r="H364" s="13" t="s">
        <v>1041</v>
      </c>
      <c r="I364" s="21">
        <v>28501</v>
      </c>
      <c r="J364" s="15">
        <v>48</v>
      </c>
      <c r="K364" s="16" t="s">
        <v>1103</v>
      </c>
      <c r="L364" s="16" t="s">
        <v>1102</v>
      </c>
      <c r="M364" s="22" t="s">
        <v>1099</v>
      </c>
      <c r="N364" s="23"/>
      <c r="O364" s="19" t="s">
        <v>1100</v>
      </c>
      <c r="P364" s="19" t="s">
        <v>1100</v>
      </c>
      <c r="Q364" s="13" t="s">
        <v>1100</v>
      </c>
      <c r="R364" s="11"/>
      <c r="S364" s="11" t="s">
        <v>1100</v>
      </c>
      <c r="T364" s="13" t="str">
        <f t="shared" si="5"/>
        <v/>
      </c>
      <c r="U364" s="11" t="s">
        <v>1100</v>
      </c>
      <c r="V364" s="11" t="s">
        <v>1100</v>
      </c>
      <c r="W364" s="11" t="s">
        <v>1100</v>
      </c>
      <c r="X364" s="11" t="s">
        <v>1100</v>
      </c>
      <c r="Y364" s="11" t="s">
        <v>1100</v>
      </c>
      <c r="Z364" s="11" t="s">
        <v>1100</v>
      </c>
      <c r="AA364" s="11" t="s">
        <v>1100</v>
      </c>
      <c r="AB364" s="11" t="s">
        <v>1100</v>
      </c>
      <c r="AC364" s="20" t="s">
        <v>1101</v>
      </c>
    </row>
    <row r="365" spans="2:29" ht="15.75" x14ac:dyDescent="0.25">
      <c r="B365" s="11">
        <v>354</v>
      </c>
      <c r="C365" s="12" t="s">
        <v>743</v>
      </c>
      <c r="D365" s="12" t="s">
        <v>744</v>
      </c>
      <c r="E365" s="12" t="s">
        <v>745</v>
      </c>
      <c r="F365" s="11"/>
      <c r="G365" s="13" t="s">
        <v>1234</v>
      </c>
      <c r="H365" s="13" t="s">
        <v>1041</v>
      </c>
      <c r="I365" s="21">
        <v>32139</v>
      </c>
      <c r="J365" s="15">
        <v>38</v>
      </c>
      <c r="K365" s="16" t="s">
        <v>1103</v>
      </c>
      <c r="L365" s="16" t="s">
        <v>1108</v>
      </c>
      <c r="M365" s="22" t="s">
        <v>1099</v>
      </c>
      <c r="N365" s="23"/>
      <c r="O365" s="19" t="s">
        <v>1100</v>
      </c>
      <c r="P365" s="19" t="s">
        <v>1100</v>
      </c>
      <c r="Q365" s="13" t="s">
        <v>1100</v>
      </c>
      <c r="R365" s="11"/>
      <c r="S365" s="11" t="s">
        <v>1100</v>
      </c>
      <c r="T365" s="13" t="str">
        <f t="shared" si="5"/>
        <v/>
      </c>
      <c r="U365" s="11" t="s">
        <v>1100</v>
      </c>
      <c r="V365" s="11" t="s">
        <v>1100</v>
      </c>
      <c r="W365" s="11" t="s">
        <v>1100</v>
      </c>
      <c r="X365" s="11" t="s">
        <v>1100</v>
      </c>
      <c r="Y365" s="11" t="s">
        <v>1100</v>
      </c>
      <c r="Z365" s="11" t="s">
        <v>1100</v>
      </c>
      <c r="AA365" s="11" t="s">
        <v>1100</v>
      </c>
      <c r="AB365" s="11" t="s">
        <v>1100</v>
      </c>
      <c r="AC365" s="20" t="s">
        <v>1101</v>
      </c>
    </row>
    <row r="366" spans="2:29" ht="15.75" x14ac:dyDescent="0.25">
      <c r="B366" s="11">
        <v>355</v>
      </c>
      <c r="C366" s="12" t="s">
        <v>1021</v>
      </c>
      <c r="D366" s="12" t="s">
        <v>1022</v>
      </c>
      <c r="E366" s="12" t="s">
        <v>534</v>
      </c>
      <c r="F366" s="11"/>
      <c r="G366" s="13" t="s">
        <v>1233</v>
      </c>
      <c r="H366" s="13" t="s">
        <v>1041</v>
      </c>
      <c r="I366" s="21">
        <v>34458</v>
      </c>
      <c r="J366" s="15">
        <v>31</v>
      </c>
      <c r="K366" s="16" t="s">
        <v>1103</v>
      </c>
      <c r="L366" s="16" t="s">
        <v>1108</v>
      </c>
      <c r="M366" s="22" t="s">
        <v>1099</v>
      </c>
      <c r="N366" s="23"/>
      <c r="O366" s="19" t="s">
        <v>1100</v>
      </c>
      <c r="P366" s="19" t="s">
        <v>1100</v>
      </c>
      <c r="Q366" s="13" t="s">
        <v>1100</v>
      </c>
      <c r="R366" s="11"/>
      <c r="S366" s="11" t="s">
        <v>1100</v>
      </c>
      <c r="T366" s="13" t="str">
        <f t="shared" si="5"/>
        <v/>
      </c>
      <c r="U366" s="11" t="s">
        <v>1100</v>
      </c>
      <c r="V366" s="11" t="s">
        <v>1100</v>
      </c>
      <c r="W366" s="11" t="s">
        <v>1100</v>
      </c>
      <c r="X366" s="11" t="s">
        <v>1100</v>
      </c>
      <c r="Y366" s="11" t="s">
        <v>1100</v>
      </c>
      <c r="Z366" s="11" t="s">
        <v>1100</v>
      </c>
      <c r="AA366" s="11" t="s">
        <v>1100</v>
      </c>
      <c r="AB366" s="11" t="s">
        <v>1099</v>
      </c>
      <c r="AC366" s="20" t="s">
        <v>1101</v>
      </c>
    </row>
    <row r="367" spans="2:29" ht="15.75" x14ac:dyDescent="0.25">
      <c r="B367" s="11">
        <v>356</v>
      </c>
      <c r="C367" s="12" t="s">
        <v>746</v>
      </c>
      <c r="D367" s="12" t="s">
        <v>747</v>
      </c>
      <c r="E367" s="12" t="s">
        <v>282</v>
      </c>
      <c r="F367" s="11"/>
      <c r="G367" s="13" t="s">
        <v>1232</v>
      </c>
      <c r="H367" s="13" t="s">
        <v>1041</v>
      </c>
      <c r="I367" s="21">
        <v>32600</v>
      </c>
      <c r="J367" s="15">
        <v>36</v>
      </c>
      <c r="K367" s="16" t="s">
        <v>1097</v>
      </c>
      <c r="L367" s="16" t="s">
        <v>1108</v>
      </c>
      <c r="M367" s="22" t="s">
        <v>1099</v>
      </c>
      <c r="N367" s="23"/>
      <c r="O367" s="19" t="s">
        <v>1100</v>
      </c>
      <c r="P367" s="19" t="s">
        <v>1100</v>
      </c>
      <c r="Q367" s="13" t="s">
        <v>1100</v>
      </c>
      <c r="R367" s="11"/>
      <c r="S367" s="11" t="s">
        <v>1100</v>
      </c>
      <c r="T367" s="13" t="str">
        <f t="shared" si="5"/>
        <v/>
      </c>
      <c r="U367" s="11" t="s">
        <v>1100</v>
      </c>
      <c r="V367" s="11" t="s">
        <v>1100</v>
      </c>
      <c r="W367" s="11" t="s">
        <v>1100</v>
      </c>
      <c r="X367" s="11" t="s">
        <v>1100</v>
      </c>
      <c r="Y367" s="11" t="s">
        <v>1100</v>
      </c>
      <c r="Z367" s="11" t="s">
        <v>1100</v>
      </c>
      <c r="AA367" s="11" t="s">
        <v>1100</v>
      </c>
      <c r="AB367" s="11" t="s">
        <v>1100</v>
      </c>
      <c r="AC367" s="20" t="s">
        <v>1101</v>
      </c>
    </row>
    <row r="368" spans="2:29" ht="15.75" x14ac:dyDescent="0.25">
      <c r="B368" s="11">
        <v>357</v>
      </c>
      <c r="C368" s="12" t="s">
        <v>88</v>
      </c>
      <c r="D368" s="12" t="s">
        <v>15</v>
      </c>
      <c r="E368" s="12" t="s">
        <v>359</v>
      </c>
      <c r="F368" s="11"/>
      <c r="G368" s="13" t="s">
        <v>1233</v>
      </c>
      <c r="H368" s="13" t="s">
        <v>1041</v>
      </c>
      <c r="I368" s="21">
        <v>28623</v>
      </c>
      <c r="J368" s="15">
        <v>47</v>
      </c>
      <c r="K368" s="16" t="s">
        <v>1097</v>
      </c>
      <c r="L368" s="16" t="s">
        <v>1102</v>
      </c>
      <c r="M368" s="22" t="s">
        <v>1099</v>
      </c>
      <c r="N368" s="23"/>
      <c r="O368" s="19" t="s">
        <v>1100</v>
      </c>
      <c r="P368" s="19" t="s">
        <v>1100</v>
      </c>
      <c r="Q368" s="13" t="s">
        <v>1100</v>
      </c>
      <c r="R368" s="11" t="s">
        <v>1099</v>
      </c>
      <c r="S368" s="11" t="s">
        <v>1100</v>
      </c>
      <c r="T368" s="13" t="str">
        <f t="shared" si="5"/>
        <v/>
      </c>
      <c r="U368" s="11" t="s">
        <v>1100</v>
      </c>
      <c r="V368" s="11" t="s">
        <v>1100</v>
      </c>
      <c r="W368" s="11" t="s">
        <v>1100</v>
      </c>
      <c r="X368" s="11" t="s">
        <v>1100</v>
      </c>
      <c r="Y368" s="11" t="s">
        <v>1100</v>
      </c>
      <c r="Z368" s="11" t="s">
        <v>1100</v>
      </c>
      <c r="AA368" s="11" t="s">
        <v>1100</v>
      </c>
      <c r="AB368" s="11" t="s">
        <v>1100</v>
      </c>
      <c r="AC368" s="20" t="s">
        <v>1101</v>
      </c>
    </row>
    <row r="369" spans="2:29" ht="15.75" x14ac:dyDescent="0.25">
      <c r="B369" s="11">
        <v>358</v>
      </c>
      <c r="C369" s="12" t="s">
        <v>748</v>
      </c>
      <c r="D369" s="12" t="s">
        <v>749</v>
      </c>
      <c r="E369" s="12" t="s">
        <v>23</v>
      </c>
      <c r="F369" s="11"/>
      <c r="G369" s="13" t="s">
        <v>1232</v>
      </c>
      <c r="H369" s="13" t="s">
        <v>1041</v>
      </c>
      <c r="I369" s="21">
        <v>34925</v>
      </c>
      <c r="J369" s="15">
        <v>30</v>
      </c>
      <c r="K369" s="16" t="s">
        <v>1103</v>
      </c>
      <c r="L369" s="16" t="s">
        <v>1102</v>
      </c>
      <c r="M369" s="22" t="s">
        <v>1099</v>
      </c>
      <c r="N369" s="23"/>
      <c r="O369" s="19" t="s">
        <v>1099</v>
      </c>
      <c r="P369" s="19" t="s">
        <v>1100</v>
      </c>
      <c r="Q369" s="13" t="s">
        <v>1100</v>
      </c>
      <c r="R369" s="11"/>
      <c r="S369" s="11" t="s">
        <v>1100</v>
      </c>
      <c r="T369" s="13" t="str">
        <f t="shared" si="5"/>
        <v/>
      </c>
      <c r="U369" s="11" t="s">
        <v>1100</v>
      </c>
      <c r="V369" s="11" t="s">
        <v>1100</v>
      </c>
      <c r="W369" s="11" t="s">
        <v>1100</v>
      </c>
      <c r="X369" s="11" t="s">
        <v>1100</v>
      </c>
      <c r="Y369" s="11" t="s">
        <v>1100</v>
      </c>
      <c r="Z369" s="11" t="s">
        <v>1100</v>
      </c>
      <c r="AA369" s="11" t="s">
        <v>1100</v>
      </c>
      <c r="AB369" s="11" t="s">
        <v>1100</v>
      </c>
      <c r="AC369" s="20" t="s">
        <v>1101</v>
      </c>
    </row>
    <row r="370" spans="2:29" ht="15.75" x14ac:dyDescent="0.25">
      <c r="B370" s="11">
        <v>359</v>
      </c>
      <c r="C370" s="12" t="s">
        <v>750</v>
      </c>
      <c r="D370" s="12" t="s">
        <v>751</v>
      </c>
      <c r="E370" s="12" t="s">
        <v>41</v>
      </c>
      <c r="F370" s="11"/>
      <c r="G370" s="13" t="s">
        <v>1230</v>
      </c>
      <c r="H370" s="13" t="s">
        <v>1041</v>
      </c>
      <c r="I370" s="21">
        <v>27171</v>
      </c>
      <c r="J370" s="15">
        <v>51</v>
      </c>
      <c r="K370" s="16" t="s">
        <v>1103</v>
      </c>
      <c r="L370" s="16" t="s">
        <v>1102</v>
      </c>
      <c r="M370" s="22" t="s">
        <v>1099</v>
      </c>
      <c r="N370" s="23"/>
      <c r="O370" s="19" t="s">
        <v>1100</v>
      </c>
      <c r="P370" s="19" t="s">
        <v>1100</v>
      </c>
      <c r="Q370" s="13" t="s">
        <v>1100</v>
      </c>
      <c r="R370" s="11"/>
      <c r="S370" s="11" t="s">
        <v>1100</v>
      </c>
      <c r="T370" s="13" t="str">
        <f t="shared" si="5"/>
        <v/>
      </c>
      <c r="U370" s="11" t="s">
        <v>1100</v>
      </c>
      <c r="V370" s="11" t="s">
        <v>1100</v>
      </c>
      <c r="W370" s="11" t="s">
        <v>1100</v>
      </c>
      <c r="X370" s="11" t="s">
        <v>1100</v>
      </c>
      <c r="Y370" s="11" t="s">
        <v>1100</v>
      </c>
      <c r="Z370" s="11" t="s">
        <v>1100</v>
      </c>
      <c r="AA370" s="11" t="s">
        <v>1100</v>
      </c>
      <c r="AB370" s="11" t="s">
        <v>1100</v>
      </c>
      <c r="AC370" s="20" t="s">
        <v>1101</v>
      </c>
    </row>
    <row r="371" spans="2:29" ht="15.75" x14ac:dyDescent="0.25">
      <c r="B371" s="11">
        <v>360</v>
      </c>
      <c r="C371" s="12" t="s">
        <v>752</v>
      </c>
      <c r="D371" s="12" t="s">
        <v>306</v>
      </c>
      <c r="E371" s="12" t="s">
        <v>1172</v>
      </c>
      <c r="F371" s="11"/>
      <c r="G371" s="13" t="s">
        <v>1232</v>
      </c>
      <c r="H371" s="13" t="s">
        <v>1041</v>
      </c>
      <c r="I371" s="21">
        <v>22222</v>
      </c>
      <c r="J371" s="15">
        <v>65</v>
      </c>
      <c r="K371" s="16" t="s">
        <v>1103</v>
      </c>
      <c r="L371" s="16" t="s">
        <v>1102</v>
      </c>
      <c r="M371" s="22" t="s">
        <v>1099</v>
      </c>
      <c r="N371" s="23"/>
      <c r="O371" s="19" t="s">
        <v>1100</v>
      </c>
      <c r="P371" s="19" t="s">
        <v>1100</v>
      </c>
      <c r="Q371" s="13" t="s">
        <v>1100</v>
      </c>
      <c r="R371" s="11"/>
      <c r="S371" s="11" t="s">
        <v>1100</v>
      </c>
      <c r="T371" s="13" t="str">
        <f t="shared" si="5"/>
        <v>/</v>
      </c>
      <c r="U371" s="11" t="s">
        <v>1100</v>
      </c>
      <c r="V371" s="11" t="s">
        <v>1100</v>
      </c>
      <c r="W371" s="11" t="s">
        <v>1100</v>
      </c>
      <c r="X371" s="11" t="s">
        <v>1100</v>
      </c>
      <c r="Y371" s="11" t="s">
        <v>1100</v>
      </c>
      <c r="Z371" s="11" t="s">
        <v>1100</v>
      </c>
      <c r="AA371" s="11" t="s">
        <v>1100</v>
      </c>
      <c r="AB371" s="11" t="s">
        <v>1100</v>
      </c>
      <c r="AC371" s="20" t="s">
        <v>1101</v>
      </c>
    </row>
    <row r="372" spans="2:29" ht="15.75" x14ac:dyDescent="0.25">
      <c r="B372" s="11">
        <v>361</v>
      </c>
      <c r="C372" s="12" t="s">
        <v>753</v>
      </c>
      <c r="D372" s="12" t="s">
        <v>754</v>
      </c>
      <c r="E372" s="12" t="s">
        <v>59</v>
      </c>
      <c r="F372" s="11"/>
      <c r="G372" s="13" t="s">
        <v>1110</v>
      </c>
      <c r="H372" s="13" t="s">
        <v>1041</v>
      </c>
      <c r="I372" s="21">
        <v>31707</v>
      </c>
      <c r="J372" s="15">
        <v>39</v>
      </c>
      <c r="K372" s="16" t="s">
        <v>1103</v>
      </c>
      <c r="L372" s="16" t="s">
        <v>1102</v>
      </c>
      <c r="M372" s="22" t="s">
        <v>1099</v>
      </c>
      <c r="N372" s="23"/>
      <c r="O372" s="19" t="s">
        <v>1100</v>
      </c>
      <c r="P372" s="19" t="s">
        <v>1100</v>
      </c>
      <c r="Q372" s="13" t="s">
        <v>1100</v>
      </c>
      <c r="R372" s="11"/>
      <c r="S372" s="11" t="s">
        <v>1100</v>
      </c>
      <c r="T372" s="13" t="str">
        <f t="shared" si="5"/>
        <v/>
      </c>
      <c r="U372" s="11" t="s">
        <v>1100</v>
      </c>
      <c r="V372" s="11" t="s">
        <v>1100</v>
      </c>
      <c r="W372" s="11" t="s">
        <v>1100</v>
      </c>
      <c r="X372" s="11" t="s">
        <v>1100</v>
      </c>
      <c r="Y372" s="11" t="s">
        <v>1100</v>
      </c>
      <c r="Z372" s="11" t="s">
        <v>1100</v>
      </c>
      <c r="AA372" s="11" t="s">
        <v>1100</v>
      </c>
      <c r="AB372" s="11" t="s">
        <v>1100</v>
      </c>
      <c r="AC372" s="20" t="s">
        <v>1101</v>
      </c>
    </row>
    <row r="373" spans="2:29" ht="15.75" x14ac:dyDescent="0.25">
      <c r="B373" s="11">
        <v>362</v>
      </c>
      <c r="C373" s="12" t="s">
        <v>907</v>
      </c>
      <c r="D373" s="12" t="s">
        <v>908</v>
      </c>
      <c r="E373" s="12" t="s">
        <v>909</v>
      </c>
      <c r="F373" s="11"/>
      <c r="G373" s="13" t="s">
        <v>1110</v>
      </c>
      <c r="H373" s="13" t="s">
        <v>1041</v>
      </c>
      <c r="I373" s="21">
        <v>30361</v>
      </c>
      <c r="J373" s="15">
        <v>43</v>
      </c>
      <c r="K373" s="16" t="s">
        <v>1103</v>
      </c>
      <c r="L373" s="16" t="s">
        <v>1108</v>
      </c>
      <c r="M373" s="22" t="s">
        <v>1099</v>
      </c>
      <c r="N373" s="23"/>
      <c r="O373" s="19" t="s">
        <v>1100</v>
      </c>
      <c r="P373" s="19" t="s">
        <v>1100</v>
      </c>
      <c r="Q373" s="13" t="s">
        <v>1100</v>
      </c>
      <c r="R373" s="11"/>
      <c r="S373" s="11" t="s">
        <v>1100</v>
      </c>
      <c r="T373" s="13" t="str">
        <f t="shared" si="5"/>
        <v/>
      </c>
      <c r="U373" s="11" t="s">
        <v>1100</v>
      </c>
      <c r="V373" s="11" t="s">
        <v>1100</v>
      </c>
      <c r="W373" s="11" t="s">
        <v>1100</v>
      </c>
      <c r="X373" s="11" t="s">
        <v>1100</v>
      </c>
      <c r="Y373" s="11" t="s">
        <v>1100</v>
      </c>
      <c r="Z373" s="11" t="s">
        <v>1100</v>
      </c>
      <c r="AA373" s="11" t="s">
        <v>1100</v>
      </c>
      <c r="AB373" s="11" t="s">
        <v>1100</v>
      </c>
      <c r="AC373" s="20" t="s">
        <v>1101</v>
      </c>
    </row>
    <row r="374" spans="2:29" ht="15.75" x14ac:dyDescent="0.25">
      <c r="B374" s="11">
        <v>363</v>
      </c>
      <c r="C374" s="12" t="s">
        <v>755</v>
      </c>
      <c r="D374" s="12" t="s">
        <v>756</v>
      </c>
      <c r="E374" s="12" t="s">
        <v>757</v>
      </c>
      <c r="F374" s="11"/>
      <c r="G374" s="13" t="s">
        <v>1232</v>
      </c>
      <c r="H374" s="13" t="s">
        <v>1041</v>
      </c>
      <c r="I374" s="21">
        <v>23949</v>
      </c>
      <c r="J374" s="15">
        <v>60</v>
      </c>
      <c r="K374" s="16" t="s">
        <v>1097</v>
      </c>
      <c r="L374" s="16" t="s">
        <v>1102</v>
      </c>
      <c r="M374" s="22" t="s">
        <v>1099</v>
      </c>
      <c r="N374" s="23"/>
      <c r="O374" s="19" t="s">
        <v>1100</v>
      </c>
      <c r="P374" s="19" t="s">
        <v>1100</v>
      </c>
      <c r="Q374" s="13" t="s">
        <v>1100</v>
      </c>
      <c r="R374" s="11"/>
      <c r="S374" s="11" t="s">
        <v>1100</v>
      </c>
      <c r="T374" s="13" t="str">
        <f t="shared" si="5"/>
        <v>/</v>
      </c>
      <c r="U374" s="11" t="s">
        <v>1100</v>
      </c>
      <c r="V374" s="11" t="s">
        <v>1100</v>
      </c>
      <c r="W374" s="11" t="s">
        <v>1100</v>
      </c>
      <c r="X374" s="11" t="s">
        <v>1100</v>
      </c>
      <c r="Y374" s="11" t="s">
        <v>1100</v>
      </c>
      <c r="Z374" s="11" t="s">
        <v>1100</v>
      </c>
      <c r="AA374" s="11" t="s">
        <v>1100</v>
      </c>
      <c r="AB374" s="11" t="s">
        <v>1100</v>
      </c>
      <c r="AC374" s="20" t="s">
        <v>1101</v>
      </c>
    </row>
    <row r="375" spans="2:29" ht="15.75" x14ac:dyDescent="0.25">
      <c r="B375" s="11">
        <v>364</v>
      </c>
      <c r="C375" s="12" t="s">
        <v>758</v>
      </c>
      <c r="D375" s="12" t="s">
        <v>207</v>
      </c>
      <c r="E375" s="12" t="s">
        <v>759</v>
      </c>
      <c r="F375" s="11"/>
      <c r="G375" s="13" t="s">
        <v>1230</v>
      </c>
      <c r="H375" s="13" t="s">
        <v>1041</v>
      </c>
      <c r="I375" s="21">
        <v>36544</v>
      </c>
      <c r="J375" s="15">
        <v>26</v>
      </c>
      <c r="K375" s="16" t="s">
        <v>1103</v>
      </c>
      <c r="L375" s="16" t="s">
        <v>1108</v>
      </c>
      <c r="M375" s="22" t="s">
        <v>1099</v>
      </c>
      <c r="N375" s="23"/>
      <c r="O375" s="19" t="s">
        <v>1100</v>
      </c>
      <c r="P375" s="19" t="s">
        <v>1100</v>
      </c>
      <c r="Q375" s="13" t="s">
        <v>1100</v>
      </c>
      <c r="R375" s="11"/>
      <c r="S375" s="11" t="s">
        <v>1100</v>
      </c>
      <c r="T375" s="13" t="str">
        <f t="shared" si="5"/>
        <v/>
      </c>
      <c r="U375" s="11" t="s">
        <v>1100</v>
      </c>
      <c r="V375" s="11" t="s">
        <v>1100</v>
      </c>
      <c r="W375" s="11" t="s">
        <v>1100</v>
      </c>
      <c r="X375" s="11" t="s">
        <v>1100</v>
      </c>
      <c r="Y375" s="11" t="s">
        <v>1100</v>
      </c>
      <c r="Z375" s="11" t="s">
        <v>1100</v>
      </c>
      <c r="AA375" s="11" t="s">
        <v>1100</v>
      </c>
      <c r="AB375" s="11" t="s">
        <v>1100</v>
      </c>
      <c r="AC375" s="20" t="s">
        <v>1101</v>
      </c>
    </row>
    <row r="376" spans="2:29" ht="15.75" x14ac:dyDescent="0.25">
      <c r="B376" s="11">
        <v>365</v>
      </c>
      <c r="C376" s="12" t="s">
        <v>176</v>
      </c>
      <c r="D376" s="12" t="s">
        <v>760</v>
      </c>
      <c r="E376" s="12" t="s">
        <v>761</v>
      </c>
      <c r="F376" s="11"/>
      <c r="G376" s="13" t="s">
        <v>1232</v>
      </c>
      <c r="H376" s="13" t="s">
        <v>1041</v>
      </c>
      <c r="I376" s="21">
        <v>25077</v>
      </c>
      <c r="J376" s="15">
        <v>57</v>
      </c>
      <c r="K376" s="16" t="s">
        <v>1103</v>
      </c>
      <c r="L376" s="16" t="s">
        <v>1108</v>
      </c>
      <c r="M376" s="22" t="s">
        <v>1099</v>
      </c>
      <c r="N376" s="23"/>
      <c r="O376" s="19" t="s">
        <v>1100</v>
      </c>
      <c r="P376" s="19" t="s">
        <v>1100</v>
      </c>
      <c r="Q376" s="13" t="s">
        <v>1100</v>
      </c>
      <c r="R376" s="11"/>
      <c r="S376" s="11" t="s">
        <v>1100</v>
      </c>
      <c r="T376" s="13" t="str">
        <f t="shared" si="5"/>
        <v/>
      </c>
      <c r="U376" s="11" t="s">
        <v>1100</v>
      </c>
      <c r="V376" s="11" t="s">
        <v>1100</v>
      </c>
      <c r="W376" s="11" t="s">
        <v>1100</v>
      </c>
      <c r="X376" s="11" t="s">
        <v>1100</v>
      </c>
      <c r="Y376" s="11" t="s">
        <v>1100</v>
      </c>
      <c r="Z376" s="11" t="s">
        <v>1100</v>
      </c>
      <c r="AA376" s="11" t="s">
        <v>1100</v>
      </c>
      <c r="AB376" s="11" t="s">
        <v>1100</v>
      </c>
      <c r="AC376" s="20" t="s">
        <v>1101</v>
      </c>
    </row>
    <row r="377" spans="2:29" ht="15.75" x14ac:dyDescent="0.25">
      <c r="B377" s="11">
        <v>366</v>
      </c>
      <c r="C377" s="12" t="s">
        <v>176</v>
      </c>
      <c r="D377" s="12" t="s">
        <v>47</v>
      </c>
      <c r="E377" s="12" t="s">
        <v>79</v>
      </c>
      <c r="F377" s="11"/>
      <c r="G377" s="13" t="s">
        <v>1110</v>
      </c>
      <c r="H377" s="13" t="s">
        <v>1041</v>
      </c>
      <c r="I377" s="21">
        <v>22434</v>
      </c>
      <c r="J377" s="15">
        <v>64</v>
      </c>
      <c r="K377" s="16" t="s">
        <v>1103</v>
      </c>
      <c r="L377" s="16" t="s">
        <v>1102</v>
      </c>
      <c r="M377" s="22" t="s">
        <v>1099</v>
      </c>
      <c r="N377" s="23"/>
      <c r="O377" s="19" t="s">
        <v>1099</v>
      </c>
      <c r="P377" s="19" t="s">
        <v>1100</v>
      </c>
      <c r="Q377" s="13" t="s">
        <v>1100</v>
      </c>
      <c r="R377" s="11"/>
      <c r="S377" s="11" t="s">
        <v>1100</v>
      </c>
      <c r="T377" s="13" t="str">
        <f t="shared" si="5"/>
        <v>/</v>
      </c>
      <c r="U377" s="11" t="s">
        <v>1100</v>
      </c>
      <c r="V377" s="11" t="s">
        <v>1100</v>
      </c>
      <c r="W377" s="11" t="s">
        <v>1100</v>
      </c>
      <c r="X377" s="11" t="s">
        <v>1100</v>
      </c>
      <c r="Y377" s="11" t="s">
        <v>1100</v>
      </c>
      <c r="Z377" s="11" t="s">
        <v>1100</v>
      </c>
      <c r="AA377" s="11" t="s">
        <v>1100</v>
      </c>
      <c r="AB377" s="11" t="s">
        <v>1100</v>
      </c>
      <c r="AC377" s="20" t="s">
        <v>1101</v>
      </c>
    </row>
    <row r="378" spans="2:29" ht="15.75" x14ac:dyDescent="0.25">
      <c r="B378" s="11">
        <v>367</v>
      </c>
      <c r="C378" s="12" t="s">
        <v>762</v>
      </c>
      <c r="D378" s="12" t="s">
        <v>763</v>
      </c>
      <c r="E378" s="12" t="s">
        <v>81</v>
      </c>
      <c r="F378" s="11"/>
      <c r="G378" s="13" t="s">
        <v>1110</v>
      </c>
      <c r="H378" s="13" t="s">
        <v>1041</v>
      </c>
      <c r="I378" s="21">
        <v>26319</v>
      </c>
      <c r="J378" s="15">
        <v>54</v>
      </c>
      <c r="K378" s="16" t="s">
        <v>1103</v>
      </c>
      <c r="L378" s="16" t="s">
        <v>1098</v>
      </c>
      <c r="M378" s="22" t="s">
        <v>1099</v>
      </c>
      <c r="N378" s="23"/>
      <c r="O378" s="19" t="s">
        <v>1100</v>
      </c>
      <c r="P378" s="19" t="s">
        <v>1100</v>
      </c>
      <c r="Q378" s="13" t="s">
        <v>1100</v>
      </c>
      <c r="R378" s="11"/>
      <c r="S378" s="11" t="s">
        <v>1100</v>
      </c>
      <c r="T378" s="13" t="str">
        <f t="shared" si="5"/>
        <v/>
      </c>
      <c r="U378" s="11" t="s">
        <v>1100</v>
      </c>
      <c r="V378" s="11" t="s">
        <v>1100</v>
      </c>
      <c r="W378" s="11" t="s">
        <v>1100</v>
      </c>
      <c r="X378" s="11" t="s">
        <v>1100</v>
      </c>
      <c r="Y378" s="11" t="s">
        <v>1100</v>
      </c>
      <c r="Z378" s="11" t="s">
        <v>1100</v>
      </c>
      <c r="AA378" s="11" t="s">
        <v>1100</v>
      </c>
      <c r="AB378" s="11" t="s">
        <v>1100</v>
      </c>
      <c r="AC378" s="20" t="s">
        <v>1101</v>
      </c>
    </row>
    <row r="379" spans="2:29" ht="15.75" x14ac:dyDescent="0.25">
      <c r="B379" s="11">
        <v>368</v>
      </c>
      <c r="C379" s="12" t="s">
        <v>764</v>
      </c>
      <c r="D379" s="12" t="s">
        <v>765</v>
      </c>
      <c r="E379" s="12" t="s">
        <v>30</v>
      </c>
      <c r="F379" s="11"/>
      <c r="G379" s="13" t="s">
        <v>1232</v>
      </c>
      <c r="H379" s="13" t="s">
        <v>1041</v>
      </c>
      <c r="I379" s="21">
        <v>26595</v>
      </c>
      <c r="J379" s="15">
        <v>53</v>
      </c>
      <c r="K379" s="16" t="s">
        <v>1103</v>
      </c>
      <c r="L379" s="16" t="s">
        <v>1102</v>
      </c>
      <c r="M379" s="22" t="s">
        <v>1099</v>
      </c>
      <c r="N379" s="23"/>
      <c r="O379" s="19" t="s">
        <v>1099</v>
      </c>
      <c r="P379" s="19" t="s">
        <v>1100</v>
      </c>
      <c r="Q379" s="13" t="s">
        <v>1100</v>
      </c>
      <c r="R379" s="11"/>
      <c r="S379" s="11" t="s">
        <v>1100</v>
      </c>
      <c r="T379" s="13" t="str">
        <f t="shared" si="5"/>
        <v/>
      </c>
      <c r="U379" s="11" t="s">
        <v>1100</v>
      </c>
      <c r="V379" s="11" t="s">
        <v>1100</v>
      </c>
      <c r="W379" s="11" t="s">
        <v>1100</v>
      </c>
      <c r="X379" s="11" t="s">
        <v>1100</v>
      </c>
      <c r="Y379" s="11" t="s">
        <v>1100</v>
      </c>
      <c r="Z379" s="11" t="s">
        <v>1100</v>
      </c>
      <c r="AA379" s="11" t="s">
        <v>1100</v>
      </c>
      <c r="AB379" s="11" t="s">
        <v>1100</v>
      </c>
      <c r="AC379" s="20" t="s">
        <v>1101</v>
      </c>
    </row>
    <row r="380" spans="2:29" ht="15.75" x14ac:dyDescent="0.25">
      <c r="B380" s="11">
        <v>369</v>
      </c>
      <c r="C380" s="12" t="s">
        <v>766</v>
      </c>
      <c r="D380" s="12" t="s">
        <v>210</v>
      </c>
      <c r="E380" s="12" t="s">
        <v>767</v>
      </c>
      <c r="F380" s="11"/>
      <c r="G380" s="13" t="s">
        <v>1232</v>
      </c>
      <c r="H380" s="13" t="s">
        <v>1041</v>
      </c>
      <c r="I380" s="21">
        <v>31765</v>
      </c>
      <c r="J380" s="15">
        <v>39</v>
      </c>
      <c r="K380" s="16" t="s">
        <v>1103</v>
      </c>
      <c r="L380" s="16" t="s">
        <v>1102</v>
      </c>
      <c r="M380" s="22" t="s">
        <v>1099</v>
      </c>
      <c r="N380" s="23"/>
      <c r="O380" s="19" t="s">
        <v>1100</v>
      </c>
      <c r="P380" s="19" t="s">
        <v>1100</v>
      </c>
      <c r="Q380" s="13" t="s">
        <v>1100</v>
      </c>
      <c r="R380" s="11"/>
      <c r="S380" s="11" t="s">
        <v>1100</v>
      </c>
      <c r="T380" s="13" t="str">
        <f t="shared" si="5"/>
        <v/>
      </c>
      <c r="U380" s="11" t="s">
        <v>1100</v>
      </c>
      <c r="V380" s="11" t="s">
        <v>1100</v>
      </c>
      <c r="W380" s="11" t="s">
        <v>1100</v>
      </c>
      <c r="X380" s="11" t="s">
        <v>1100</v>
      </c>
      <c r="Y380" s="11" t="s">
        <v>1100</v>
      </c>
      <c r="Z380" s="11" t="s">
        <v>1100</v>
      </c>
      <c r="AA380" s="11" t="s">
        <v>1100</v>
      </c>
      <c r="AB380" s="11" t="s">
        <v>1100</v>
      </c>
      <c r="AC380" s="20" t="s">
        <v>1101</v>
      </c>
    </row>
    <row r="381" spans="2:29" ht="15.75" x14ac:dyDescent="0.25">
      <c r="B381" s="11">
        <v>370</v>
      </c>
      <c r="C381" s="12" t="s">
        <v>131</v>
      </c>
      <c r="D381" s="12" t="s">
        <v>43</v>
      </c>
      <c r="E381" s="12" t="s">
        <v>768</v>
      </c>
      <c r="F381" s="11"/>
      <c r="G381" s="13" t="s">
        <v>1230</v>
      </c>
      <c r="H381" s="13" t="s">
        <v>1041</v>
      </c>
      <c r="I381" s="21">
        <v>25873</v>
      </c>
      <c r="J381" s="15">
        <v>55</v>
      </c>
      <c r="K381" s="16" t="s">
        <v>1097</v>
      </c>
      <c r="L381" s="16" t="s">
        <v>1182</v>
      </c>
      <c r="M381" s="22" t="s">
        <v>1099</v>
      </c>
      <c r="N381" s="23"/>
      <c r="O381" s="19" t="s">
        <v>1100</v>
      </c>
      <c r="P381" s="19" t="s">
        <v>1100</v>
      </c>
      <c r="Q381" s="13" t="s">
        <v>1100</v>
      </c>
      <c r="R381" s="11"/>
      <c r="S381" s="11" t="s">
        <v>1100</v>
      </c>
      <c r="T381" s="13" t="str">
        <f t="shared" si="5"/>
        <v/>
      </c>
      <c r="U381" s="11" t="s">
        <v>1100</v>
      </c>
      <c r="V381" s="11" t="s">
        <v>1100</v>
      </c>
      <c r="W381" s="11" t="s">
        <v>1100</v>
      </c>
      <c r="X381" s="11" t="s">
        <v>1100</v>
      </c>
      <c r="Y381" s="11" t="s">
        <v>1100</v>
      </c>
      <c r="Z381" s="11" t="s">
        <v>1100</v>
      </c>
      <c r="AA381" s="11" t="s">
        <v>1100</v>
      </c>
      <c r="AB381" s="11" t="s">
        <v>1100</v>
      </c>
      <c r="AC381" s="20" t="s">
        <v>1101</v>
      </c>
    </row>
    <row r="382" spans="2:29" ht="15.75" x14ac:dyDescent="0.25">
      <c r="B382" s="11">
        <v>371</v>
      </c>
      <c r="C382" s="12" t="s">
        <v>131</v>
      </c>
      <c r="D382" s="12" t="s">
        <v>42</v>
      </c>
      <c r="E382" s="12" t="s">
        <v>768</v>
      </c>
      <c r="F382" s="11"/>
      <c r="G382" s="13" t="s">
        <v>1230</v>
      </c>
      <c r="H382" s="13" t="s">
        <v>1041</v>
      </c>
      <c r="I382" s="21">
        <v>23017</v>
      </c>
      <c r="J382" s="15">
        <v>63</v>
      </c>
      <c r="K382" s="16" t="s">
        <v>1097</v>
      </c>
      <c r="L382" s="16" t="s">
        <v>1102</v>
      </c>
      <c r="M382" s="22" t="s">
        <v>1099</v>
      </c>
      <c r="N382" s="23"/>
      <c r="O382" s="19" t="s">
        <v>1100</v>
      </c>
      <c r="P382" s="19" t="s">
        <v>1100</v>
      </c>
      <c r="Q382" s="13" t="s">
        <v>1100</v>
      </c>
      <c r="R382" s="11"/>
      <c r="S382" s="11" t="s">
        <v>1100</v>
      </c>
      <c r="T382" s="13" t="str">
        <f t="shared" si="5"/>
        <v>/</v>
      </c>
      <c r="U382" s="11" t="s">
        <v>1100</v>
      </c>
      <c r="V382" s="11" t="s">
        <v>1100</v>
      </c>
      <c r="W382" s="11" t="s">
        <v>1100</v>
      </c>
      <c r="X382" s="11" t="s">
        <v>1100</v>
      </c>
      <c r="Y382" s="11" t="s">
        <v>1100</v>
      </c>
      <c r="Z382" s="11" t="s">
        <v>1100</v>
      </c>
      <c r="AA382" s="11" t="s">
        <v>1100</v>
      </c>
      <c r="AB382" s="11" t="s">
        <v>1100</v>
      </c>
      <c r="AC382" s="20" t="s">
        <v>1101</v>
      </c>
    </row>
    <row r="383" spans="2:29" ht="15.75" x14ac:dyDescent="0.25">
      <c r="B383" s="11">
        <v>372</v>
      </c>
      <c r="C383" s="12" t="s">
        <v>131</v>
      </c>
      <c r="D383" s="12" t="s">
        <v>42</v>
      </c>
      <c r="E383" s="12" t="s">
        <v>298</v>
      </c>
      <c r="F383" s="11" t="s">
        <v>67</v>
      </c>
      <c r="G383" s="13" t="s">
        <v>1230</v>
      </c>
      <c r="H383" s="13" t="s">
        <v>1041</v>
      </c>
      <c r="I383" s="21">
        <v>34783</v>
      </c>
      <c r="J383" s="15">
        <v>30</v>
      </c>
      <c r="K383" s="16" t="s">
        <v>1097</v>
      </c>
      <c r="L383" s="16" t="s">
        <v>1182</v>
      </c>
      <c r="M383" s="22" t="s">
        <v>1099</v>
      </c>
      <c r="N383" s="23"/>
      <c r="O383" s="19" t="s">
        <v>1100</v>
      </c>
      <c r="P383" s="19" t="s">
        <v>1100</v>
      </c>
      <c r="Q383" s="13" t="s">
        <v>1100</v>
      </c>
      <c r="R383" s="11"/>
      <c r="S383" s="11" t="s">
        <v>1100</v>
      </c>
      <c r="T383" s="13" t="str">
        <f t="shared" si="5"/>
        <v/>
      </c>
      <c r="U383" s="11" t="s">
        <v>1100</v>
      </c>
      <c r="V383" s="11" t="s">
        <v>1100</v>
      </c>
      <c r="W383" s="11" t="s">
        <v>1100</v>
      </c>
      <c r="X383" s="11" t="s">
        <v>1100</v>
      </c>
      <c r="Y383" s="11" t="s">
        <v>1100</v>
      </c>
      <c r="Z383" s="11" t="s">
        <v>1100</v>
      </c>
      <c r="AA383" s="11" t="s">
        <v>1100</v>
      </c>
      <c r="AB383" s="11" t="s">
        <v>1100</v>
      </c>
      <c r="AC383" s="20" t="s">
        <v>1101</v>
      </c>
    </row>
    <row r="384" spans="2:29" ht="15.75" x14ac:dyDescent="0.25">
      <c r="B384" s="11">
        <v>373</v>
      </c>
      <c r="C384" s="12" t="s">
        <v>769</v>
      </c>
      <c r="D384" s="12" t="s">
        <v>770</v>
      </c>
      <c r="E384" s="12" t="s">
        <v>771</v>
      </c>
      <c r="F384" s="11"/>
      <c r="G384" s="13" t="s">
        <v>1110</v>
      </c>
      <c r="H384" s="13" t="s">
        <v>1041</v>
      </c>
      <c r="I384" s="21">
        <v>38644</v>
      </c>
      <c r="J384" s="15">
        <v>20</v>
      </c>
      <c r="K384" s="16" t="s">
        <v>1103</v>
      </c>
      <c r="L384" s="16" t="s">
        <v>1108</v>
      </c>
      <c r="M384" s="22" t="s">
        <v>1099</v>
      </c>
      <c r="N384" s="23"/>
      <c r="O384" s="19" t="s">
        <v>1100</v>
      </c>
      <c r="P384" s="19" t="s">
        <v>1100</v>
      </c>
      <c r="Q384" s="13" t="s">
        <v>1100</v>
      </c>
      <c r="R384" s="11"/>
      <c r="S384" s="11" t="s">
        <v>1100</v>
      </c>
      <c r="T384" s="13" t="str">
        <f t="shared" si="5"/>
        <v/>
      </c>
      <c r="U384" s="11" t="s">
        <v>1100</v>
      </c>
      <c r="V384" s="11" t="s">
        <v>1100</v>
      </c>
      <c r="W384" s="11" t="s">
        <v>1100</v>
      </c>
      <c r="X384" s="11" t="s">
        <v>1100</v>
      </c>
      <c r="Y384" s="11" t="s">
        <v>1100</v>
      </c>
      <c r="Z384" s="11" t="s">
        <v>1100</v>
      </c>
      <c r="AA384" s="11" t="s">
        <v>1100</v>
      </c>
      <c r="AB384" s="11" t="s">
        <v>1100</v>
      </c>
      <c r="AC384" s="20" t="s">
        <v>1101</v>
      </c>
    </row>
    <row r="385" spans="2:29" ht="15.75" x14ac:dyDescent="0.25">
      <c r="B385" s="11">
        <v>374</v>
      </c>
      <c r="C385" s="12" t="s">
        <v>772</v>
      </c>
      <c r="D385" s="12" t="s">
        <v>773</v>
      </c>
      <c r="E385" s="12" t="s">
        <v>774</v>
      </c>
      <c r="F385" s="11"/>
      <c r="G385" s="13" t="s">
        <v>1110</v>
      </c>
      <c r="H385" s="13" t="s">
        <v>1041</v>
      </c>
      <c r="I385" s="21">
        <v>24699</v>
      </c>
      <c r="J385" s="15">
        <v>58</v>
      </c>
      <c r="K385" s="16" t="s">
        <v>1103</v>
      </c>
      <c r="L385" s="16" t="s">
        <v>1102</v>
      </c>
      <c r="M385" s="22" t="s">
        <v>1099</v>
      </c>
      <c r="N385" s="23"/>
      <c r="O385" s="19" t="s">
        <v>1100</v>
      </c>
      <c r="P385" s="19" t="s">
        <v>1100</v>
      </c>
      <c r="Q385" s="13" t="s">
        <v>1100</v>
      </c>
      <c r="R385" s="11"/>
      <c r="S385" s="11" t="s">
        <v>1100</v>
      </c>
      <c r="T385" s="13" t="str">
        <f t="shared" si="5"/>
        <v/>
      </c>
      <c r="U385" s="11" t="s">
        <v>1100</v>
      </c>
      <c r="V385" s="11" t="s">
        <v>1100</v>
      </c>
      <c r="W385" s="11" t="s">
        <v>1100</v>
      </c>
      <c r="X385" s="11" t="s">
        <v>1100</v>
      </c>
      <c r="Y385" s="11" t="s">
        <v>1100</v>
      </c>
      <c r="Z385" s="11" t="s">
        <v>1100</v>
      </c>
      <c r="AA385" s="11" t="s">
        <v>1100</v>
      </c>
      <c r="AB385" s="11" t="s">
        <v>1100</v>
      </c>
      <c r="AC385" s="20" t="s">
        <v>1101</v>
      </c>
    </row>
    <row r="386" spans="2:29" ht="15.75" x14ac:dyDescent="0.25">
      <c r="B386" s="11">
        <v>375</v>
      </c>
      <c r="C386" s="12" t="s">
        <v>775</v>
      </c>
      <c r="D386" s="12" t="s">
        <v>776</v>
      </c>
      <c r="E386" s="12" t="s">
        <v>777</v>
      </c>
      <c r="F386" s="11" t="s">
        <v>22</v>
      </c>
      <c r="G386" s="13" t="s">
        <v>1233</v>
      </c>
      <c r="H386" s="13" t="s">
        <v>1041</v>
      </c>
      <c r="I386" s="21">
        <v>28880</v>
      </c>
      <c r="J386" s="15">
        <v>47</v>
      </c>
      <c r="K386" s="16" t="s">
        <v>1097</v>
      </c>
      <c r="L386" s="16" t="s">
        <v>1102</v>
      </c>
      <c r="M386" s="22" t="s">
        <v>1099</v>
      </c>
      <c r="N386" s="23"/>
      <c r="O386" s="19" t="s">
        <v>1100</v>
      </c>
      <c r="P386" s="19" t="s">
        <v>1100</v>
      </c>
      <c r="Q386" s="13" t="s">
        <v>1100</v>
      </c>
      <c r="R386" s="11"/>
      <c r="S386" s="11" t="s">
        <v>1100</v>
      </c>
      <c r="T386" s="13" t="str">
        <f t="shared" si="5"/>
        <v/>
      </c>
      <c r="U386" s="11" t="s">
        <v>1100</v>
      </c>
      <c r="V386" s="11" t="s">
        <v>1100</v>
      </c>
      <c r="W386" s="11" t="s">
        <v>1100</v>
      </c>
      <c r="X386" s="11" t="s">
        <v>1100</v>
      </c>
      <c r="Y386" s="11" t="s">
        <v>1100</v>
      </c>
      <c r="Z386" s="11" t="s">
        <v>1100</v>
      </c>
      <c r="AA386" s="11" t="s">
        <v>1100</v>
      </c>
      <c r="AB386" s="11" t="s">
        <v>1100</v>
      </c>
      <c r="AC386" s="20" t="s">
        <v>1101</v>
      </c>
    </row>
    <row r="387" spans="2:29" ht="15.75" x14ac:dyDescent="0.25">
      <c r="B387" s="11">
        <v>376</v>
      </c>
      <c r="C387" s="12" t="s">
        <v>778</v>
      </c>
      <c r="D387" s="12" t="s">
        <v>779</v>
      </c>
      <c r="E387" s="12" t="s">
        <v>780</v>
      </c>
      <c r="F387" s="11"/>
      <c r="G387" s="13" t="s">
        <v>1232</v>
      </c>
      <c r="H387" s="13" t="s">
        <v>1041</v>
      </c>
      <c r="I387" s="21" t="s">
        <v>1058</v>
      </c>
      <c r="J387" s="15">
        <v>35</v>
      </c>
      <c r="K387" s="16" t="s">
        <v>1103</v>
      </c>
      <c r="L387" s="16" t="s">
        <v>1098</v>
      </c>
      <c r="M387" s="22" t="s">
        <v>1099</v>
      </c>
      <c r="N387" s="23"/>
      <c r="O387" s="19" t="s">
        <v>1100</v>
      </c>
      <c r="P387" s="19" t="s">
        <v>1100</v>
      </c>
      <c r="Q387" s="13" t="s">
        <v>1100</v>
      </c>
      <c r="R387" s="11"/>
      <c r="S387" s="11" t="s">
        <v>1100</v>
      </c>
      <c r="T387" s="13" t="str">
        <f t="shared" si="5"/>
        <v/>
      </c>
      <c r="U387" s="11" t="s">
        <v>1100</v>
      </c>
      <c r="V387" s="11" t="s">
        <v>1100</v>
      </c>
      <c r="W387" s="11" t="s">
        <v>1100</v>
      </c>
      <c r="X387" s="11" t="s">
        <v>1100</v>
      </c>
      <c r="Y387" s="11" t="s">
        <v>1100</v>
      </c>
      <c r="Z387" s="11" t="s">
        <v>1100</v>
      </c>
      <c r="AA387" s="11" t="s">
        <v>1100</v>
      </c>
      <c r="AB387" s="11" t="s">
        <v>1100</v>
      </c>
      <c r="AC387" s="20" t="s">
        <v>1101</v>
      </c>
    </row>
    <row r="388" spans="2:29" ht="15.75" x14ac:dyDescent="0.25">
      <c r="B388" s="11">
        <v>377</v>
      </c>
      <c r="C388" s="12" t="s">
        <v>781</v>
      </c>
      <c r="D388" s="12" t="s">
        <v>783</v>
      </c>
      <c r="E388" s="12" t="s">
        <v>784</v>
      </c>
      <c r="F388" s="11"/>
      <c r="G388" s="13" t="s">
        <v>1232</v>
      </c>
      <c r="H388" s="13" t="s">
        <v>1041</v>
      </c>
      <c r="I388" s="21">
        <v>34999</v>
      </c>
      <c r="J388" s="15">
        <v>30</v>
      </c>
      <c r="K388" s="16" t="s">
        <v>1103</v>
      </c>
      <c r="L388" s="16" t="s">
        <v>1102</v>
      </c>
      <c r="M388" s="22" t="s">
        <v>1099</v>
      </c>
      <c r="N388" s="23"/>
      <c r="O388" s="19" t="s">
        <v>1100</v>
      </c>
      <c r="P388" s="19" t="s">
        <v>1100</v>
      </c>
      <c r="Q388" s="13" t="s">
        <v>1100</v>
      </c>
      <c r="R388" s="11"/>
      <c r="S388" s="11" t="s">
        <v>1100</v>
      </c>
      <c r="T388" s="13" t="str">
        <f t="shared" si="5"/>
        <v/>
      </c>
      <c r="U388" s="11" t="s">
        <v>1100</v>
      </c>
      <c r="V388" s="11" t="s">
        <v>1100</v>
      </c>
      <c r="W388" s="11" t="s">
        <v>1100</v>
      </c>
      <c r="X388" s="11" t="s">
        <v>1100</v>
      </c>
      <c r="Y388" s="11" t="s">
        <v>1100</v>
      </c>
      <c r="Z388" s="11" t="s">
        <v>1100</v>
      </c>
      <c r="AA388" s="11" t="s">
        <v>1100</v>
      </c>
      <c r="AB388" s="11" t="s">
        <v>1100</v>
      </c>
      <c r="AC388" s="20" t="s">
        <v>1101</v>
      </c>
    </row>
    <row r="389" spans="2:29" ht="15.75" x14ac:dyDescent="0.25">
      <c r="B389" s="11">
        <v>378</v>
      </c>
      <c r="C389" s="12" t="s">
        <v>781</v>
      </c>
      <c r="D389" s="12" t="s">
        <v>61</v>
      </c>
      <c r="E389" s="12" t="s">
        <v>782</v>
      </c>
      <c r="F389" s="11"/>
      <c r="G389" s="13" t="s">
        <v>1230</v>
      </c>
      <c r="H389" s="13" t="s">
        <v>1041</v>
      </c>
      <c r="I389" s="21" t="s">
        <v>1059</v>
      </c>
      <c r="J389" s="15">
        <v>62</v>
      </c>
      <c r="K389" s="16" t="s">
        <v>1103</v>
      </c>
      <c r="L389" s="16" t="s">
        <v>1102</v>
      </c>
      <c r="M389" s="22" t="s">
        <v>1099</v>
      </c>
      <c r="N389" s="23"/>
      <c r="O389" s="19" t="s">
        <v>1099</v>
      </c>
      <c r="P389" s="19" t="s">
        <v>1100</v>
      </c>
      <c r="Q389" s="13" t="s">
        <v>1100</v>
      </c>
      <c r="R389" s="11"/>
      <c r="S389" s="11" t="s">
        <v>1100</v>
      </c>
      <c r="T389" s="13" t="str">
        <f t="shared" si="5"/>
        <v>/</v>
      </c>
      <c r="U389" s="11" t="s">
        <v>1100</v>
      </c>
      <c r="V389" s="11" t="s">
        <v>1100</v>
      </c>
      <c r="W389" s="11" t="s">
        <v>1100</v>
      </c>
      <c r="X389" s="11" t="s">
        <v>1100</v>
      </c>
      <c r="Y389" s="11" t="s">
        <v>1100</v>
      </c>
      <c r="Z389" s="11" t="s">
        <v>1100</v>
      </c>
      <c r="AA389" s="11" t="s">
        <v>1100</v>
      </c>
      <c r="AB389" s="11" t="s">
        <v>1100</v>
      </c>
      <c r="AC389" s="20" t="s">
        <v>1101</v>
      </c>
    </row>
    <row r="390" spans="2:29" ht="15.75" x14ac:dyDescent="0.25">
      <c r="B390" s="11">
        <v>379</v>
      </c>
      <c r="C390" s="12" t="s">
        <v>684</v>
      </c>
      <c r="D390" s="12" t="s">
        <v>785</v>
      </c>
      <c r="E390" s="12" t="s">
        <v>786</v>
      </c>
      <c r="F390" s="11"/>
      <c r="G390" s="13" t="s">
        <v>1110</v>
      </c>
      <c r="H390" s="13" t="s">
        <v>1041</v>
      </c>
      <c r="I390" s="21">
        <v>13846</v>
      </c>
      <c r="J390" s="15">
        <v>88</v>
      </c>
      <c r="K390" s="16" t="s">
        <v>1103</v>
      </c>
      <c r="L390" s="16" t="s">
        <v>1182</v>
      </c>
      <c r="M390" s="22" t="s">
        <v>1099</v>
      </c>
      <c r="N390" s="23"/>
      <c r="O390" s="19" t="s">
        <v>1100</v>
      </c>
      <c r="P390" s="19" t="s">
        <v>1100</v>
      </c>
      <c r="Q390" s="13" t="s">
        <v>1100</v>
      </c>
      <c r="R390" s="11"/>
      <c r="S390" s="11" t="s">
        <v>1100</v>
      </c>
      <c r="T390" s="13" t="str">
        <f t="shared" si="5"/>
        <v>/</v>
      </c>
      <c r="U390" s="11" t="s">
        <v>1100</v>
      </c>
      <c r="V390" s="11" t="s">
        <v>1100</v>
      </c>
      <c r="W390" s="11" t="s">
        <v>1100</v>
      </c>
      <c r="X390" s="11" t="s">
        <v>1100</v>
      </c>
      <c r="Y390" s="11" t="s">
        <v>1100</v>
      </c>
      <c r="Z390" s="11" t="s">
        <v>1100</v>
      </c>
      <c r="AA390" s="11" t="s">
        <v>1100</v>
      </c>
      <c r="AB390" s="11" t="s">
        <v>1100</v>
      </c>
      <c r="AC390" s="20" t="s">
        <v>1101</v>
      </c>
    </row>
    <row r="391" spans="2:29" ht="15.75" x14ac:dyDescent="0.25">
      <c r="B391" s="11">
        <v>380</v>
      </c>
      <c r="C391" s="12" t="s">
        <v>787</v>
      </c>
      <c r="D391" s="12" t="s">
        <v>788</v>
      </c>
      <c r="E391" s="12" t="s">
        <v>119</v>
      </c>
      <c r="F391" s="11"/>
      <c r="G391" s="13" t="s">
        <v>1230</v>
      </c>
      <c r="H391" s="13" t="s">
        <v>1041</v>
      </c>
      <c r="I391" s="21">
        <v>36909</v>
      </c>
      <c r="J391" s="15">
        <v>25</v>
      </c>
      <c r="K391" s="16" t="s">
        <v>1103</v>
      </c>
      <c r="L391" s="16" t="s">
        <v>1108</v>
      </c>
      <c r="M391" s="22" t="s">
        <v>1099</v>
      </c>
      <c r="N391" s="23"/>
      <c r="O391" s="19" t="s">
        <v>1100</v>
      </c>
      <c r="P391" s="19" t="s">
        <v>1100</v>
      </c>
      <c r="Q391" s="13" t="s">
        <v>1100</v>
      </c>
      <c r="R391" s="11"/>
      <c r="S391" s="11" t="s">
        <v>1100</v>
      </c>
      <c r="T391" s="13" t="str">
        <f t="shared" si="5"/>
        <v/>
      </c>
      <c r="U391" s="11" t="s">
        <v>1100</v>
      </c>
      <c r="V391" s="11" t="s">
        <v>1100</v>
      </c>
      <c r="W391" s="11" t="s">
        <v>1100</v>
      </c>
      <c r="X391" s="11" t="s">
        <v>1100</v>
      </c>
      <c r="Y391" s="11" t="s">
        <v>1100</v>
      </c>
      <c r="Z391" s="11" t="s">
        <v>1100</v>
      </c>
      <c r="AA391" s="11" t="s">
        <v>1100</v>
      </c>
      <c r="AB391" s="11" t="s">
        <v>1100</v>
      </c>
      <c r="AC391" s="20" t="s">
        <v>1101</v>
      </c>
    </row>
    <row r="392" spans="2:29" ht="15.75" x14ac:dyDescent="0.25">
      <c r="B392" s="11">
        <v>381</v>
      </c>
      <c r="C392" s="12" t="s">
        <v>789</v>
      </c>
      <c r="D392" s="12" t="s">
        <v>783</v>
      </c>
      <c r="E392" s="12"/>
      <c r="F392" s="11"/>
      <c r="G392" s="13" t="s">
        <v>1232</v>
      </c>
      <c r="H392" s="13" t="s">
        <v>1041</v>
      </c>
      <c r="I392" s="21">
        <v>37292</v>
      </c>
      <c r="J392" s="15">
        <v>24</v>
      </c>
      <c r="K392" s="16" t="s">
        <v>1103</v>
      </c>
      <c r="L392" s="16" t="s">
        <v>1098</v>
      </c>
      <c r="M392" s="22" t="s">
        <v>1099</v>
      </c>
      <c r="N392" s="23"/>
      <c r="O392" s="19" t="s">
        <v>1100</v>
      </c>
      <c r="P392" s="19" t="s">
        <v>1100</v>
      </c>
      <c r="Q392" s="13" t="s">
        <v>1100</v>
      </c>
      <c r="R392" s="11"/>
      <c r="S392" s="11" t="s">
        <v>1100</v>
      </c>
      <c r="T392" s="13" t="str">
        <f t="shared" si="5"/>
        <v/>
      </c>
      <c r="U392" s="11" t="s">
        <v>1100</v>
      </c>
      <c r="V392" s="11" t="s">
        <v>1100</v>
      </c>
      <c r="W392" s="11" t="s">
        <v>1100</v>
      </c>
      <c r="X392" s="11" t="s">
        <v>1100</v>
      </c>
      <c r="Y392" s="11" t="s">
        <v>1100</v>
      </c>
      <c r="Z392" s="11" t="s">
        <v>1100</v>
      </c>
      <c r="AA392" s="11" t="s">
        <v>1100</v>
      </c>
      <c r="AB392" s="11" t="s">
        <v>1100</v>
      </c>
      <c r="AC392" s="20" t="s">
        <v>1101</v>
      </c>
    </row>
    <row r="393" spans="2:29" ht="15.75" x14ac:dyDescent="0.25">
      <c r="B393" s="11">
        <v>382</v>
      </c>
      <c r="C393" s="12" t="s">
        <v>790</v>
      </c>
      <c r="D393" s="12" t="s">
        <v>791</v>
      </c>
      <c r="E393" s="12" t="s">
        <v>74</v>
      </c>
      <c r="F393" s="11"/>
      <c r="G393" s="13" t="s">
        <v>1232</v>
      </c>
      <c r="H393" s="13" t="s">
        <v>1041</v>
      </c>
      <c r="I393" s="21">
        <v>24074</v>
      </c>
      <c r="J393" s="15">
        <v>60</v>
      </c>
      <c r="K393" s="16" t="s">
        <v>1103</v>
      </c>
      <c r="L393" s="16" t="s">
        <v>1102</v>
      </c>
      <c r="M393" s="22" t="s">
        <v>1099</v>
      </c>
      <c r="N393" s="23"/>
      <c r="O393" s="19" t="s">
        <v>1100</v>
      </c>
      <c r="P393" s="19" t="s">
        <v>1100</v>
      </c>
      <c r="Q393" s="13" t="s">
        <v>1100</v>
      </c>
      <c r="R393" s="11"/>
      <c r="S393" s="11" t="s">
        <v>1100</v>
      </c>
      <c r="T393" s="13" t="str">
        <f t="shared" si="5"/>
        <v>/</v>
      </c>
      <c r="U393" s="11" t="s">
        <v>1100</v>
      </c>
      <c r="V393" s="11" t="s">
        <v>1100</v>
      </c>
      <c r="W393" s="11" t="s">
        <v>1100</v>
      </c>
      <c r="X393" s="11" t="s">
        <v>1100</v>
      </c>
      <c r="Y393" s="11" t="s">
        <v>1100</v>
      </c>
      <c r="Z393" s="11" t="s">
        <v>1100</v>
      </c>
      <c r="AA393" s="11" t="s">
        <v>1100</v>
      </c>
      <c r="AB393" s="11" t="s">
        <v>1100</v>
      </c>
      <c r="AC393" s="20" t="s">
        <v>1101</v>
      </c>
    </row>
    <row r="394" spans="2:29" ht="15.75" x14ac:dyDescent="0.25">
      <c r="B394" s="11">
        <v>383</v>
      </c>
      <c r="C394" s="12" t="s">
        <v>790</v>
      </c>
      <c r="D394" s="12" t="s">
        <v>610</v>
      </c>
      <c r="E394" s="12" t="s">
        <v>792</v>
      </c>
      <c r="F394" s="11" t="s">
        <v>67</v>
      </c>
      <c r="G394" s="13" t="s">
        <v>1232</v>
      </c>
      <c r="H394" s="13" t="s">
        <v>1041</v>
      </c>
      <c r="I394" s="21">
        <v>33764</v>
      </c>
      <c r="J394" s="15">
        <v>33</v>
      </c>
      <c r="K394" s="16" t="s">
        <v>1097</v>
      </c>
      <c r="L394" s="16" t="s">
        <v>1102</v>
      </c>
      <c r="M394" s="22" t="s">
        <v>1099</v>
      </c>
      <c r="N394" s="23"/>
      <c r="O394" s="19" t="s">
        <v>1100</v>
      </c>
      <c r="P394" s="19" t="s">
        <v>1100</v>
      </c>
      <c r="Q394" s="13" t="s">
        <v>1100</v>
      </c>
      <c r="R394" s="11"/>
      <c r="S394" s="11" t="s">
        <v>1100</v>
      </c>
      <c r="T394" s="13" t="str">
        <f t="shared" si="5"/>
        <v/>
      </c>
      <c r="U394" s="11" t="s">
        <v>1100</v>
      </c>
      <c r="V394" s="11" t="s">
        <v>1100</v>
      </c>
      <c r="W394" s="11" t="s">
        <v>1100</v>
      </c>
      <c r="X394" s="11" t="s">
        <v>1100</v>
      </c>
      <c r="Y394" s="11" t="s">
        <v>1100</v>
      </c>
      <c r="Z394" s="11" t="s">
        <v>1100</v>
      </c>
      <c r="AA394" s="11" t="s">
        <v>1100</v>
      </c>
      <c r="AB394" s="11" t="s">
        <v>1100</v>
      </c>
      <c r="AC394" s="20" t="s">
        <v>1101</v>
      </c>
    </row>
    <row r="395" spans="2:29" ht="15.75" x14ac:dyDescent="0.25">
      <c r="B395" s="11">
        <v>384</v>
      </c>
      <c r="C395" s="12" t="s">
        <v>793</v>
      </c>
      <c r="D395" s="12" t="s">
        <v>794</v>
      </c>
      <c r="E395" s="12" t="s">
        <v>795</v>
      </c>
      <c r="F395" s="11"/>
      <c r="G395" s="13" t="s">
        <v>1110</v>
      </c>
      <c r="H395" s="13" t="s">
        <v>1041</v>
      </c>
      <c r="I395" s="21">
        <v>32076</v>
      </c>
      <c r="J395" s="15">
        <v>38</v>
      </c>
      <c r="K395" s="16" t="s">
        <v>1097</v>
      </c>
      <c r="L395" s="16" t="s">
        <v>1098</v>
      </c>
      <c r="M395" s="22" t="s">
        <v>1099</v>
      </c>
      <c r="N395" s="23"/>
      <c r="O395" s="19" t="s">
        <v>1100</v>
      </c>
      <c r="P395" s="19" t="s">
        <v>1100</v>
      </c>
      <c r="Q395" s="13" t="s">
        <v>1100</v>
      </c>
      <c r="R395" s="11"/>
      <c r="S395" s="11" t="s">
        <v>1100</v>
      </c>
      <c r="T395" s="13" t="str">
        <f t="shared" si="5"/>
        <v/>
      </c>
      <c r="U395" s="11" t="s">
        <v>1100</v>
      </c>
      <c r="V395" s="11" t="s">
        <v>1100</v>
      </c>
      <c r="W395" s="11" t="s">
        <v>1100</v>
      </c>
      <c r="X395" s="11" t="s">
        <v>1100</v>
      </c>
      <c r="Y395" s="11" t="s">
        <v>1100</v>
      </c>
      <c r="Z395" s="11" t="s">
        <v>1100</v>
      </c>
      <c r="AA395" s="11" t="s">
        <v>1100</v>
      </c>
      <c r="AB395" s="11" t="s">
        <v>1100</v>
      </c>
      <c r="AC395" s="20" t="s">
        <v>1101</v>
      </c>
    </row>
    <row r="396" spans="2:29" ht="15.75" x14ac:dyDescent="0.25">
      <c r="B396" s="11">
        <v>385</v>
      </c>
      <c r="C396" s="12" t="s">
        <v>796</v>
      </c>
      <c r="D396" s="12" t="s">
        <v>312</v>
      </c>
      <c r="E396" s="12" t="s">
        <v>33</v>
      </c>
      <c r="F396" s="11"/>
      <c r="G396" s="13" t="s">
        <v>1233</v>
      </c>
      <c r="H396" s="13" t="s">
        <v>1041</v>
      </c>
      <c r="I396" s="21">
        <v>26040</v>
      </c>
      <c r="J396" s="15">
        <v>54</v>
      </c>
      <c r="K396" s="16" t="s">
        <v>1097</v>
      </c>
      <c r="L396" s="16" t="s">
        <v>1102</v>
      </c>
      <c r="M396" s="22" t="s">
        <v>1099</v>
      </c>
      <c r="N396" s="23"/>
      <c r="O396" s="19" t="s">
        <v>1100</v>
      </c>
      <c r="P396" s="19" t="s">
        <v>1100</v>
      </c>
      <c r="Q396" s="13" t="s">
        <v>1100</v>
      </c>
      <c r="R396" s="11"/>
      <c r="S396" s="11" t="s">
        <v>1100</v>
      </c>
      <c r="T396" s="13" t="str">
        <f t="shared" ref="T396:T459" si="6">IF(J396&gt;59,"/","")</f>
        <v/>
      </c>
      <c r="U396" s="11" t="s">
        <v>1100</v>
      </c>
      <c r="V396" s="11" t="s">
        <v>1100</v>
      </c>
      <c r="W396" s="11" t="s">
        <v>1100</v>
      </c>
      <c r="X396" s="11" t="s">
        <v>1100</v>
      </c>
      <c r="Y396" s="11" t="s">
        <v>1100</v>
      </c>
      <c r="Z396" s="11" t="s">
        <v>1100</v>
      </c>
      <c r="AA396" s="11" t="s">
        <v>1100</v>
      </c>
      <c r="AB396" s="11" t="s">
        <v>1100</v>
      </c>
      <c r="AC396" s="20" t="s">
        <v>1101</v>
      </c>
    </row>
    <row r="397" spans="2:29" ht="15.75" x14ac:dyDescent="0.25">
      <c r="B397" s="11">
        <v>386</v>
      </c>
      <c r="C397" s="12" t="s">
        <v>797</v>
      </c>
      <c r="D397" s="12" t="s">
        <v>798</v>
      </c>
      <c r="E397" s="12" t="s">
        <v>799</v>
      </c>
      <c r="F397" s="11"/>
      <c r="G397" s="13" t="s">
        <v>1230</v>
      </c>
      <c r="H397" s="13" t="s">
        <v>1041</v>
      </c>
      <c r="I397" s="21">
        <v>24856</v>
      </c>
      <c r="J397" s="15">
        <v>58</v>
      </c>
      <c r="K397" s="16" t="s">
        <v>1103</v>
      </c>
      <c r="L397" s="16" t="s">
        <v>1102</v>
      </c>
      <c r="M397" s="22" t="s">
        <v>1099</v>
      </c>
      <c r="N397" s="23"/>
      <c r="O397" s="19" t="s">
        <v>1099</v>
      </c>
      <c r="P397" s="19" t="s">
        <v>1100</v>
      </c>
      <c r="Q397" s="13" t="s">
        <v>1100</v>
      </c>
      <c r="R397" s="11"/>
      <c r="S397" s="11" t="s">
        <v>1100</v>
      </c>
      <c r="T397" s="13" t="str">
        <f t="shared" si="6"/>
        <v/>
      </c>
      <c r="U397" s="11" t="s">
        <v>1100</v>
      </c>
      <c r="V397" s="11" t="s">
        <v>1100</v>
      </c>
      <c r="W397" s="11" t="s">
        <v>1100</v>
      </c>
      <c r="X397" s="11" t="s">
        <v>1100</v>
      </c>
      <c r="Y397" s="11" t="s">
        <v>1100</v>
      </c>
      <c r="Z397" s="11" t="s">
        <v>1100</v>
      </c>
      <c r="AA397" s="11" t="s">
        <v>1100</v>
      </c>
      <c r="AB397" s="11" t="s">
        <v>1100</v>
      </c>
      <c r="AC397" s="20" t="s">
        <v>1101</v>
      </c>
    </row>
    <row r="398" spans="2:29" ht="15.75" x14ac:dyDescent="0.25">
      <c r="B398" s="11">
        <v>387</v>
      </c>
      <c r="C398" s="12" t="s">
        <v>797</v>
      </c>
      <c r="D398" s="12" t="s">
        <v>800</v>
      </c>
      <c r="E398" s="12" t="s">
        <v>799</v>
      </c>
      <c r="F398" s="11"/>
      <c r="G398" s="13" t="s">
        <v>1230</v>
      </c>
      <c r="H398" s="13" t="s">
        <v>1041</v>
      </c>
      <c r="I398" s="21">
        <v>35004</v>
      </c>
      <c r="J398" s="15">
        <v>30</v>
      </c>
      <c r="K398" s="16" t="s">
        <v>1103</v>
      </c>
      <c r="L398" s="16" t="s">
        <v>1108</v>
      </c>
      <c r="M398" s="22" t="s">
        <v>1099</v>
      </c>
      <c r="N398" s="23"/>
      <c r="O398" s="19" t="s">
        <v>1100</v>
      </c>
      <c r="P398" s="19" t="s">
        <v>1100</v>
      </c>
      <c r="Q398" s="13" t="s">
        <v>1100</v>
      </c>
      <c r="R398" s="11"/>
      <c r="S398" s="11" t="s">
        <v>1100</v>
      </c>
      <c r="T398" s="13" t="str">
        <f t="shared" si="6"/>
        <v/>
      </c>
      <c r="U398" s="11" t="s">
        <v>1100</v>
      </c>
      <c r="V398" s="11" t="s">
        <v>1100</v>
      </c>
      <c r="W398" s="11" t="s">
        <v>1100</v>
      </c>
      <c r="X398" s="11" t="s">
        <v>1100</v>
      </c>
      <c r="Y398" s="11" t="s">
        <v>1100</v>
      </c>
      <c r="Z398" s="11" t="s">
        <v>1100</v>
      </c>
      <c r="AA398" s="11" t="s">
        <v>1100</v>
      </c>
      <c r="AB398" s="11" t="s">
        <v>1100</v>
      </c>
      <c r="AC398" s="20" t="s">
        <v>1101</v>
      </c>
    </row>
    <row r="399" spans="2:29" ht="15.75" x14ac:dyDescent="0.25">
      <c r="B399" s="11">
        <v>388</v>
      </c>
      <c r="C399" s="12" t="s">
        <v>115</v>
      </c>
      <c r="D399" s="12" t="s">
        <v>801</v>
      </c>
      <c r="E399" s="12" t="s">
        <v>802</v>
      </c>
      <c r="F399" s="11"/>
      <c r="G399" s="13" t="s">
        <v>1231</v>
      </c>
      <c r="H399" s="13" t="s">
        <v>1041</v>
      </c>
      <c r="I399" s="21">
        <v>37997</v>
      </c>
      <c r="J399" s="15">
        <v>22</v>
      </c>
      <c r="K399" s="16" t="s">
        <v>1097</v>
      </c>
      <c r="L399" s="16" t="s">
        <v>1108</v>
      </c>
      <c r="M399" s="22" t="s">
        <v>1099</v>
      </c>
      <c r="N399" s="23"/>
      <c r="O399" s="19" t="s">
        <v>1100</v>
      </c>
      <c r="P399" s="19" t="s">
        <v>1100</v>
      </c>
      <c r="Q399" s="13" t="s">
        <v>1100</v>
      </c>
      <c r="R399" s="11"/>
      <c r="S399" s="11" t="s">
        <v>1100</v>
      </c>
      <c r="T399" s="13" t="str">
        <f t="shared" si="6"/>
        <v/>
      </c>
      <c r="U399" s="11" t="s">
        <v>1100</v>
      </c>
      <c r="V399" s="11" t="s">
        <v>1100</v>
      </c>
      <c r="W399" s="11" t="s">
        <v>1100</v>
      </c>
      <c r="X399" s="11" t="s">
        <v>1100</v>
      </c>
      <c r="Y399" s="11" t="s">
        <v>1100</v>
      </c>
      <c r="Z399" s="11" t="s">
        <v>1100</v>
      </c>
      <c r="AA399" s="11" t="s">
        <v>1100</v>
      </c>
      <c r="AB399" s="11" t="s">
        <v>1100</v>
      </c>
      <c r="AC399" s="20" t="s">
        <v>1101</v>
      </c>
    </row>
    <row r="400" spans="2:29" ht="15.75" x14ac:dyDescent="0.25">
      <c r="B400" s="11">
        <v>389</v>
      </c>
      <c r="C400" s="12" t="s">
        <v>803</v>
      </c>
      <c r="D400" s="12" t="s">
        <v>804</v>
      </c>
      <c r="E400" s="12" t="s">
        <v>805</v>
      </c>
      <c r="F400" s="11"/>
      <c r="G400" s="13" t="s">
        <v>1230</v>
      </c>
      <c r="H400" s="13" t="s">
        <v>1041</v>
      </c>
      <c r="I400" s="21">
        <v>18299</v>
      </c>
      <c r="J400" s="15">
        <v>76</v>
      </c>
      <c r="K400" s="16" t="s">
        <v>1097</v>
      </c>
      <c r="L400" s="16" t="s">
        <v>1102</v>
      </c>
      <c r="M400" s="22" t="s">
        <v>1099</v>
      </c>
      <c r="N400" s="23"/>
      <c r="O400" s="19" t="s">
        <v>1100</v>
      </c>
      <c r="P400" s="19" t="s">
        <v>1100</v>
      </c>
      <c r="Q400" s="13" t="s">
        <v>1100</v>
      </c>
      <c r="R400" s="11"/>
      <c r="S400" s="11" t="s">
        <v>1100</v>
      </c>
      <c r="T400" s="13" t="str">
        <f t="shared" si="6"/>
        <v>/</v>
      </c>
      <c r="U400" s="11" t="s">
        <v>1100</v>
      </c>
      <c r="V400" s="11" t="s">
        <v>1100</v>
      </c>
      <c r="W400" s="11" t="s">
        <v>1100</v>
      </c>
      <c r="X400" s="11" t="s">
        <v>1100</v>
      </c>
      <c r="Y400" s="11" t="s">
        <v>1100</v>
      </c>
      <c r="Z400" s="11" t="s">
        <v>1100</v>
      </c>
      <c r="AA400" s="11" t="s">
        <v>1100</v>
      </c>
      <c r="AB400" s="11" t="s">
        <v>1100</v>
      </c>
      <c r="AC400" s="20" t="s">
        <v>1101</v>
      </c>
    </row>
    <row r="401" spans="2:29" ht="15.75" x14ac:dyDescent="0.25">
      <c r="B401" s="11">
        <v>390</v>
      </c>
      <c r="C401" s="12" t="s">
        <v>803</v>
      </c>
      <c r="D401" s="12" t="s">
        <v>806</v>
      </c>
      <c r="E401" s="12" t="s">
        <v>807</v>
      </c>
      <c r="F401" s="11"/>
      <c r="G401" s="13" t="s">
        <v>1230</v>
      </c>
      <c r="H401" s="13" t="s">
        <v>1041</v>
      </c>
      <c r="I401" s="21">
        <v>31031</v>
      </c>
      <c r="J401" s="15">
        <v>41</v>
      </c>
      <c r="K401" s="16" t="s">
        <v>1103</v>
      </c>
      <c r="L401" s="16" t="s">
        <v>1108</v>
      </c>
      <c r="M401" s="22" t="s">
        <v>1099</v>
      </c>
      <c r="N401" s="23"/>
      <c r="O401" s="19" t="s">
        <v>1099</v>
      </c>
      <c r="P401" s="19" t="s">
        <v>1100</v>
      </c>
      <c r="Q401" s="13" t="s">
        <v>1100</v>
      </c>
      <c r="R401" s="11"/>
      <c r="S401" s="11" t="s">
        <v>1100</v>
      </c>
      <c r="T401" s="13" t="str">
        <f t="shared" si="6"/>
        <v/>
      </c>
      <c r="U401" s="11" t="s">
        <v>1100</v>
      </c>
      <c r="V401" s="11" t="s">
        <v>1100</v>
      </c>
      <c r="W401" s="11" t="s">
        <v>1100</v>
      </c>
      <c r="X401" s="11" t="s">
        <v>1100</v>
      </c>
      <c r="Y401" s="11" t="s">
        <v>1100</v>
      </c>
      <c r="Z401" s="11" t="s">
        <v>1100</v>
      </c>
      <c r="AA401" s="11" t="s">
        <v>1100</v>
      </c>
      <c r="AB401" s="11" t="s">
        <v>1100</v>
      </c>
      <c r="AC401" s="20" t="s">
        <v>1101</v>
      </c>
    </row>
    <row r="402" spans="2:29" ht="15.75" x14ac:dyDescent="0.25">
      <c r="B402" s="11">
        <v>391</v>
      </c>
      <c r="C402" s="12" t="s">
        <v>808</v>
      </c>
      <c r="D402" s="12" t="s">
        <v>809</v>
      </c>
      <c r="E402" s="12" t="s">
        <v>810</v>
      </c>
      <c r="F402" s="11"/>
      <c r="G402" s="13" t="s">
        <v>1232</v>
      </c>
      <c r="H402" s="13" t="s">
        <v>1041</v>
      </c>
      <c r="I402" s="21">
        <v>35007</v>
      </c>
      <c r="J402" s="15">
        <v>30</v>
      </c>
      <c r="K402" s="16" t="s">
        <v>1103</v>
      </c>
      <c r="L402" s="16" t="s">
        <v>1102</v>
      </c>
      <c r="M402" s="22" t="s">
        <v>1099</v>
      </c>
      <c r="N402" s="23"/>
      <c r="O402" s="19" t="s">
        <v>1100</v>
      </c>
      <c r="P402" s="19" t="s">
        <v>1100</v>
      </c>
      <c r="Q402" s="13" t="s">
        <v>1100</v>
      </c>
      <c r="R402" s="11"/>
      <c r="S402" s="11" t="s">
        <v>1100</v>
      </c>
      <c r="T402" s="13" t="str">
        <f t="shared" si="6"/>
        <v/>
      </c>
      <c r="U402" s="11" t="s">
        <v>1100</v>
      </c>
      <c r="V402" s="11" t="s">
        <v>1100</v>
      </c>
      <c r="W402" s="11" t="s">
        <v>1100</v>
      </c>
      <c r="X402" s="11" t="s">
        <v>1100</v>
      </c>
      <c r="Y402" s="11" t="s">
        <v>1100</v>
      </c>
      <c r="Z402" s="11" t="s">
        <v>1100</v>
      </c>
      <c r="AA402" s="11" t="s">
        <v>1100</v>
      </c>
      <c r="AB402" s="11" t="s">
        <v>1100</v>
      </c>
      <c r="AC402" s="20" t="s">
        <v>1101</v>
      </c>
    </row>
    <row r="403" spans="2:29" ht="15.75" x14ac:dyDescent="0.25">
      <c r="B403" s="11">
        <v>392</v>
      </c>
      <c r="C403" s="12" t="s">
        <v>811</v>
      </c>
      <c r="D403" s="12" t="s">
        <v>812</v>
      </c>
      <c r="E403" s="12" t="s">
        <v>813</v>
      </c>
      <c r="F403" s="11"/>
      <c r="G403" s="13" t="s">
        <v>1230</v>
      </c>
      <c r="H403" s="13" t="s">
        <v>1041</v>
      </c>
      <c r="I403" s="21">
        <v>33425</v>
      </c>
      <c r="J403" s="15">
        <v>34</v>
      </c>
      <c r="K403" s="16" t="s">
        <v>1103</v>
      </c>
      <c r="L403" s="16" t="s">
        <v>1108</v>
      </c>
      <c r="M403" s="22" t="s">
        <v>1099</v>
      </c>
      <c r="N403" s="23"/>
      <c r="O403" s="19" t="s">
        <v>1100</v>
      </c>
      <c r="P403" s="19" t="s">
        <v>1100</v>
      </c>
      <c r="Q403" s="13" t="s">
        <v>1100</v>
      </c>
      <c r="R403" s="11"/>
      <c r="S403" s="11" t="s">
        <v>1100</v>
      </c>
      <c r="T403" s="13" t="str">
        <f t="shared" si="6"/>
        <v/>
      </c>
      <c r="U403" s="11" t="s">
        <v>1100</v>
      </c>
      <c r="V403" s="11" t="s">
        <v>1100</v>
      </c>
      <c r="W403" s="11" t="s">
        <v>1100</v>
      </c>
      <c r="X403" s="11" t="s">
        <v>1100</v>
      </c>
      <c r="Y403" s="11" t="s">
        <v>1100</v>
      </c>
      <c r="Z403" s="11" t="s">
        <v>1100</v>
      </c>
      <c r="AA403" s="11" t="s">
        <v>1100</v>
      </c>
      <c r="AB403" s="11" t="s">
        <v>1100</v>
      </c>
      <c r="AC403" s="20" t="s">
        <v>1101</v>
      </c>
    </row>
    <row r="404" spans="2:29" ht="15.75" x14ac:dyDescent="0.25">
      <c r="B404" s="11">
        <v>393</v>
      </c>
      <c r="C404" s="12" t="s">
        <v>814</v>
      </c>
      <c r="D404" s="12" t="s">
        <v>815</v>
      </c>
      <c r="E404" s="12" t="s">
        <v>816</v>
      </c>
      <c r="F404" s="11"/>
      <c r="G404" s="13" t="s">
        <v>1230</v>
      </c>
      <c r="H404" s="13" t="s">
        <v>1041</v>
      </c>
      <c r="I404" s="21">
        <v>36448</v>
      </c>
      <c r="J404" s="15">
        <v>26</v>
      </c>
      <c r="K404" s="16" t="s">
        <v>1097</v>
      </c>
      <c r="L404" s="16" t="s">
        <v>1108</v>
      </c>
      <c r="M404" s="22" t="s">
        <v>1099</v>
      </c>
      <c r="N404" s="23"/>
      <c r="O404" s="19" t="s">
        <v>1100</v>
      </c>
      <c r="P404" s="19" t="s">
        <v>1100</v>
      </c>
      <c r="Q404" s="13" t="s">
        <v>1100</v>
      </c>
      <c r="R404" s="11"/>
      <c r="S404" s="11" t="s">
        <v>1100</v>
      </c>
      <c r="T404" s="13" t="str">
        <f t="shared" si="6"/>
        <v/>
      </c>
      <c r="U404" s="11" t="s">
        <v>1100</v>
      </c>
      <c r="V404" s="11" t="s">
        <v>1100</v>
      </c>
      <c r="W404" s="11" t="s">
        <v>1100</v>
      </c>
      <c r="X404" s="11" t="s">
        <v>1100</v>
      </c>
      <c r="Y404" s="11" t="s">
        <v>1100</v>
      </c>
      <c r="Z404" s="11" t="s">
        <v>1100</v>
      </c>
      <c r="AA404" s="11" t="s">
        <v>1100</v>
      </c>
      <c r="AB404" s="11" t="s">
        <v>1100</v>
      </c>
      <c r="AC404" s="20" t="s">
        <v>1101</v>
      </c>
    </row>
    <row r="405" spans="2:29" ht="15.75" x14ac:dyDescent="0.25">
      <c r="B405" s="11">
        <v>394</v>
      </c>
      <c r="C405" s="12" t="s">
        <v>911</v>
      </c>
      <c r="D405" s="12" t="s">
        <v>912</v>
      </c>
      <c r="E405" s="12" t="s">
        <v>220</v>
      </c>
      <c r="F405" s="11"/>
      <c r="G405" s="13" t="s">
        <v>1110</v>
      </c>
      <c r="H405" s="13" t="s">
        <v>1041</v>
      </c>
      <c r="I405" s="21">
        <v>29828</v>
      </c>
      <c r="J405" s="15">
        <v>44</v>
      </c>
      <c r="K405" s="16" t="s">
        <v>1103</v>
      </c>
      <c r="L405" s="16" t="s">
        <v>1102</v>
      </c>
      <c r="M405" s="22" t="s">
        <v>1099</v>
      </c>
      <c r="N405" s="23"/>
      <c r="O405" s="19" t="s">
        <v>1100</v>
      </c>
      <c r="P405" s="19" t="s">
        <v>1100</v>
      </c>
      <c r="Q405" s="13" t="s">
        <v>1100</v>
      </c>
      <c r="R405" s="11"/>
      <c r="S405" s="11" t="s">
        <v>1100</v>
      </c>
      <c r="T405" s="13" t="str">
        <f t="shared" si="6"/>
        <v/>
      </c>
      <c r="U405" s="11" t="s">
        <v>1100</v>
      </c>
      <c r="V405" s="11" t="s">
        <v>1100</v>
      </c>
      <c r="W405" s="11" t="s">
        <v>1100</v>
      </c>
      <c r="X405" s="11" t="s">
        <v>1100</v>
      </c>
      <c r="Y405" s="11" t="s">
        <v>1100</v>
      </c>
      <c r="Z405" s="11" t="s">
        <v>1100</v>
      </c>
      <c r="AA405" s="11" t="s">
        <v>1100</v>
      </c>
      <c r="AB405" s="11" t="s">
        <v>1100</v>
      </c>
      <c r="AC405" s="20" t="s">
        <v>1101</v>
      </c>
    </row>
    <row r="406" spans="2:29" ht="15.75" x14ac:dyDescent="0.25">
      <c r="B406" s="11">
        <v>395</v>
      </c>
      <c r="C406" s="12" t="s">
        <v>816</v>
      </c>
      <c r="D406" s="12" t="s">
        <v>48</v>
      </c>
      <c r="E406" s="12" t="s">
        <v>817</v>
      </c>
      <c r="F406" s="11"/>
      <c r="G406" s="13" t="s">
        <v>1230</v>
      </c>
      <c r="H406" s="13" t="s">
        <v>1041</v>
      </c>
      <c r="I406" s="21">
        <v>23772</v>
      </c>
      <c r="J406" s="15">
        <v>61</v>
      </c>
      <c r="K406" s="16" t="s">
        <v>1103</v>
      </c>
      <c r="L406" s="16" t="s">
        <v>1102</v>
      </c>
      <c r="M406" s="22" t="s">
        <v>1099</v>
      </c>
      <c r="N406" s="23"/>
      <c r="O406" s="19" t="s">
        <v>1100</v>
      </c>
      <c r="P406" s="19" t="s">
        <v>1100</v>
      </c>
      <c r="Q406" s="13" t="s">
        <v>1100</v>
      </c>
      <c r="R406" s="11"/>
      <c r="S406" s="11" t="s">
        <v>1100</v>
      </c>
      <c r="T406" s="13" t="str">
        <f t="shared" si="6"/>
        <v>/</v>
      </c>
      <c r="U406" s="11" t="s">
        <v>1100</v>
      </c>
      <c r="V406" s="11" t="s">
        <v>1100</v>
      </c>
      <c r="W406" s="11" t="s">
        <v>1100</v>
      </c>
      <c r="X406" s="11" t="s">
        <v>1100</v>
      </c>
      <c r="Y406" s="11" t="s">
        <v>1100</v>
      </c>
      <c r="Z406" s="11" t="s">
        <v>1100</v>
      </c>
      <c r="AA406" s="11" t="s">
        <v>1100</v>
      </c>
      <c r="AB406" s="11" t="s">
        <v>1100</v>
      </c>
      <c r="AC406" s="20" t="s">
        <v>1101</v>
      </c>
    </row>
    <row r="407" spans="2:29" ht="15.75" x14ac:dyDescent="0.25">
      <c r="B407" s="11">
        <v>396</v>
      </c>
      <c r="C407" s="12" t="s">
        <v>792</v>
      </c>
      <c r="D407" s="12" t="s">
        <v>818</v>
      </c>
      <c r="E407" s="12" t="s">
        <v>819</v>
      </c>
      <c r="F407" s="11"/>
      <c r="G407" s="13" t="s">
        <v>1232</v>
      </c>
      <c r="H407" s="13" t="s">
        <v>1041</v>
      </c>
      <c r="I407" s="21">
        <v>36072</v>
      </c>
      <c r="J407" s="15">
        <v>27</v>
      </c>
      <c r="K407" s="16" t="s">
        <v>1103</v>
      </c>
      <c r="L407" s="16" t="s">
        <v>1108</v>
      </c>
      <c r="M407" s="22" t="s">
        <v>1099</v>
      </c>
      <c r="N407" s="23"/>
      <c r="O407" s="19" t="s">
        <v>1100</v>
      </c>
      <c r="P407" s="19" t="s">
        <v>1100</v>
      </c>
      <c r="Q407" s="13" t="s">
        <v>1100</v>
      </c>
      <c r="R407" s="11"/>
      <c r="S407" s="11" t="s">
        <v>1100</v>
      </c>
      <c r="T407" s="13" t="str">
        <f t="shared" si="6"/>
        <v/>
      </c>
      <c r="U407" s="11" t="s">
        <v>1100</v>
      </c>
      <c r="V407" s="11" t="s">
        <v>1100</v>
      </c>
      <c r="W407" s="11" t="s">
        <v>1100</v>
      </c>
      <c r="X407" s="11" t="s">
        <v>1100</v>
      </c>
      <c r="Y407" s="11" t="s">
        <v>1100</v>
      </c>
      <c r="Z407" s="11" t="s">
        <v>1100</v>
      </c>
      <c r="AA407" s="11" t="s">
        <v>1100</v>
      </c>
      <c r="AB407" s="11" t="s">
        <v>1100</v>
      </c>
      <c r="AC407" s="20" t="s">
        <v>1101</v>
      </c>
    </row>
    <row r="408" spans="2:29" ht="15.75" x14ac:dyDescent="0.25">
      <c r="B408" s="11">
        <v>397</v>
      </c>
      <c r="C408" s="12" t="s">
        <v>820</v>
      </c>
      <c r="D408" s="12" t="s">
        <v>821</v>
      </c>
      <c r="E408" s="12" t="s">
        <v>737</v>
      </c>
      <c r="F408" s="11"/>
      <c r="G408" s="13" t="s">
        <v>1232</v>
      </c>
      <c r="H408" s="13" t="s">
        <v>1041</v>
      </c>
      <c r="I408" s="21">
        <v>27497</v>
      </c>
      <c r="J408" s="15">
        <v>50</v>
      </c>
      <c r="K408" s="16" t="s">
        <v>1103</v>
      </c>
      <c r="L408" s="16" t="s">
        <v>1102</v>
      </c>
      <c r="M408" s="22" t="s">
        <v>1099</v>
      </c>
      <c r="N408" s="23"/>
      <c r="O408" s="19" t="s">
        <v>1100</v>
      </c>
      <c r="P408" s="19" t="s">
        <v>1100</v>
      </c>
      <c r="Q408" s="13" t="s">
        <v>1100</v>
      </c>
      <c r="R408" s="11"/>
      <c r="S408" s="11" t="s">
        <v>1100</v>
      </c>
      <c r="T408" s="13" t="str">
        <f t="shared" si="6"/>
        <v/>
      </c>
      <c r="U408" s="11" t="s">
        <v>1100</v>
      </c>
      <c r="V408" s="11" t="s">
        <v>1100</v>
      </c>
      <c r="W408" s="11" t="s">
        <v>1100</v>
      </c>
      <c r="X408" s="11" t="s">
        <v>1100</v>
      </c>
      <c r="Y408" s="11" t="s">
        <v>1100</v>
      </c>
      <c r="Z408" s="11" t="s">
        <v>1100</v>
      </c>
      <c r="AA408" s="11" t="s">
        <v>1100</v>
      </c>
      <c r="AB408" s="11" t="s">
        <v>1100</v>
      </c>
      <c r="AC408" s="20" t="s">
        <v>1101</v>
      </c>
    </row>
    <row r="409" spans="2:29" ht="15.75" x14ac:dyDescent="0.25">
      <c r="B409" s="11">
        <v>398</v>
      </c>
      <c r="C409" s="12" t="s">
        <v>822</v>
      </c>
      <c r="D409" s="12" t="s">
        <v>823</v>
      </c>
      <c r="E409" s="12" t="s">
        <v>228</v>
      </c>
      <c r="F409" s="11"/>
      <c r="G409" s="13" t="s">
        <v>1232</v>
      </c>
      <c r="H409" s="13" t="s">
        <v>1041</v>
      </c>
      <c r="I409" s="21">
        <v>33116</v>
      </c>
      <c r="J409" s="15">
        <v>35</v>
      </c>
      <c r="K409" s="16" t="s">
        <v>1097</v>
      </c>
      <c r="L409" s="16" t="s">
        <v>1102</v>
      </c>
      <c r="M409" s="22" t="s">
        <v>1099</v>
      </c>
      <c r="N409" s="23"/>
      <c r="O409" s="19" t="s">
        <v>1100</v>
      </c>
      <c r="P409" s="19" t="s">
        <v>1100</v>
      </c>
      <c r="Q409" s="13" t="s">
        <v>1100</v>
      </c>
      <c r="R409" s="11"/>
      <c r="S409" s="11" t="s">
        <v>1100</v>
      </c>
      <c r="T409" s="13" t="str">
        <f t="shared" si="6"/>
        <v/>
      </c>
      <c r="U409" s="11" t="s">
        <v>1100</v>
      </c>
      <c r="V409" s="11" t="s">
        <v>1100</v>
      </c>
      <c r="W409" s="11" t="s">
        <v>1100</v>
      </c>
      <c r="X409" s="11" t="s">
        <v>1100</v>
      </c>
      <c r="Y409" s="11" t="s">
        <v>1100</v>
      </c>
      <c r="Z409" s="11" t="s">
        <v>1100</v>
      </c>
      <c r="AA409" s="11" t="s">
        <v>1100</v>
      </c>
      <c r="AB409" s="11" t="s">
        <v>1100</v>
      </c>
      <c r="AC409" s="20" t="s">
        <v>1101</v>
      </c>
    </row>
    <row r="410" spans="2:29" ht="15.75" x14ac:dyDescent="0.25">
      <c r="B410" s="11">
        <v>399</v>
      </c>
      <c r="C410" s="12" t="s">
        <v>824</v>
      </c>
      <c r="D410" s="12" t="s">
        <v>825</v>
      </c>
      <c r="E410" s="12" t="s">
        <v>826</v>
      </c>
      <c r="F410" s="11"/>
      <c r="G410" s="13" t="s">
        <v>1232</v>
      </c>
      <c r="H410" s="13" t="s">
        <v>1041</v>
      </c>
      <c r="I410" s="21">
        <v>28926</v>
      </c>
      <c r="J410" s="15">
        <v>46</v>
      </c>
      <c r="K410" s="16" t="s">
        <v>1103</v>
      </c>
      <c r="L410" s="16" t="s">
        <v>1102</v>
      </c>
      <c r="M410" s="22" t="s">
        <v>1099</v>
      </c>
      <c r="N410" s="23"/>
      <c r="O410" s="19" t="s">
        <v>1100</v>
      </c>
      <c r="P410" s="19" t="s">
        <v>1100</v>
      </c>
      <c r="Q410" s="13" t="s">
        <v>1100</v>
      </c>
      <c r="R410" s="11"/>
      <c r="S410" s="11" t="s">
        <v>1100</v>
      </c>
      <c r="T410" s="13" t="str">
        <f t="shared" si="6"/>
        <v/>
      </c>
      <c r="U410" s="11" t="s">
        <v>1100</v>
      </c>
      <c r="V410" s="11" t="s">
        <v>1100</v>
      </c>
      <c r="W410" s="11" t="s">
        <v>1100</v>
      </c>
      <c r="X410" s="11" t="s">
        <v>1100</v>
      </c>
      <c r="Y410" s="11" t="s">
        <v>1100</v>
      </c>
      <c r="Z410" s="11" t="s">
        <v>1100</v>
      </c>
      <c r="AA410" s="11" t="s">
        <v>1100</v>
      </c>
      <c r="AB410" s="11" t="s">
        <v>1100</v>
      </c>
      <c r="AC410" s="20" t="s">
        <v>1101</v>
      </c>
    </row>
    <row r="411" spans="2:29" ht="15.75" x14ac:dyDescent="0.25">
      <c r="B411" s="11">
        <v>400</v>
      </c>
      <c r="C411" s="12" t="s">
        <v>827</v>
      </c>
      <c r="D411" s="12" t="s">
        <v>828</v>
      </c>
      <c r="E411" s="12" t="s">
        <v>829</v>
      </c>
      <c r="F411" s="11"/>
      <c r="G411" s="13" t="s">
        <v>1230</v>
      </c>
      <c r="H411" s="13" t="s">
        <v>1041</v>
      </c>
      <c r="I411" s="21">
        <v>33283</v>
      </c>
      <c r="J411" s="15">
        <v>35</v>
      </c>
      <c r="K411" s="16" t="s">
        <v>1097</v>
      </c>
      <c r="L411" s="16" t="s">
        <v>1098</v>
      </c>
      <c r="M411" s="22" t="s">
        <v>1099</v>
      </c>
      <c r="N411" s="23"/>
      <c r="O411" s="19" t="s">
        <v>1100</v>
      </c>
      <c r="P411" s="19" t="s">
        <v>1100</v>
      </c>
      <c r="Q411" s="13" t="s">
        <v>1100</v>
      </c>
      <c r="R411" s="11"/>
      <c r="S411" s="11" t="s">
        <v>1100</v>
      </c>
      <c r="T411" s="13" t="str">
        <f t="shared" si="6"/>
        <v/>
      </c>
      <c r="U411" s="11" t="s">
        <v>1100</v>
      </c>
      <c r="V411" s="11" t="s">
        <v>1100</v>
      </c>
      <c r="W411" s="11" t="s">
        <v>1100</v>
      </c>
      <c r="X411" s="11" t="s">
        <v>1100</v>
      </c>
      <c r="Y411" s="11" t="s">
        <v>1100</v>
      </c>
      <c r="Z411" s="11" t="s">
        <v>1100</v>
      </c>
      <c r="AA411" s="11" t="s">
        <v>1100</v>
      </c>
      <c r="AB411" s="11" t="s">
        <v>1100</v>
      </c>
      <c r="AC411" s="20" t="s">
        <v>1101</v>
      </c>
    </row>
    <row r="412" spans="2:29" ht="15.75" x14ac:dyDescent="0.25">
      <c r="B412" s="11">
        <v>401</v>
      </c>
      <c r="C412" s="12" t="s">
        <v>830</v>
      </c>
      <c r="D412" s="12" t="s">
        <v>142</v>
      </c>
      <c r="E412" s="12" t="s">
        <v>831</v>
      </c>
      <c r="F412" s="11"/>
      <c r="G412" s="13" t="s">
        <v>1110</v>
      </c>
      <c r="H412" s="13" t="s">
        <v>1041</v>
      </c>
      <c r="I412" s="21">
        <v>21480</v>
      </c>
      <c r="J412" s="15">
        <v>67</v>
      </c>
      <c r="K412" s="16" t="s">
        <v>1103</v>
      </c>
      <c r="L412" s="16" t="s">
        <v>1102</v>
      </c>
      <c r="M412" s="22" t="s">
        <v>1099</v>
      </c>
      <c r="N412" s="23"/>
      <c r="O412" s="19" t="s">
        <v>1100</v>
      </c>
      <c r="P412" s="19" t="s">
        <v>1100</v>
      </c>
      <c r="Q412" s="13" t="s">
        <v>1100</v>
      </c>
      <c r="R412" s="11"/>
      <c r="S412" s="11" t="s">
        <v>1100</v>
      </c>
      <c r="T412" s="13" t="str">
        <f t="shared" si="6"/>
        <v>/</v>
      </c>
      <c r="U412" s="11" t="s">
        <v>1100</v>
      </c>
      <c r="V412" s="11" t="s">
        <v>1100</v>
      </c>
      <c r="W412" s="11" t="s">
        <v>1100</v>
      </c>
      <c r="X412" s="11" t="s">
        <v>1100</v>
      </c>
      <c r="Y412" s="11" t="s">
        <v>1100</v>
      </c>
      <c r="Z412" s="11" t="s">
        <v>1100</v>
      </c>
      <c r="AA412" s="11" t="s">
        <v>1100</v>
      </c>
      <c r="AB412" s="11" t="s">
        <v>1100</v>
      </c>
      <c r="AC412" s="20" t="s">
        <v>1101</v>
      </c>
    </row>
    <row r="413" spans="2:29" ht="15.75" x14ac:dyDescent="0.25">
      <c r="B413" s="11">
        <v>402</v>
      </c>
      <c r="C413" s="12" t="s">
        <v>832</v>
      </c>
      <c r="D413" s="12" t="s">
        <v>833</v>
      </c>
      <c r="E413" s="12" t="s">
        <v>834</v>
      </c>
      <c r="F413" s="11"/>
      <c r="G413" s="13" t="s">
        <v>1232</v>
      </c>
      <c r="H413" s="13" t="s">
        <v>1041</v>
      </c>
      <c r="I413" s="21">
        <v>32831</v>
      </c>
      <c r="J413" s="15">
        <v>36</v>
      </c>
      <c r="K413" s="16" t="s">
        <v>1097</v>
      </c>
      <c r="L413" s="16" t="s">
        <v>1102</v>
      </c>
      <c r="M413" s="22" t="s">
        <v>1099</v>
      </c>
      <c r="N413" s="23"/>
      <c r="O413" s="19" t="s">
        <v>1100</v>
      </c>
      <c r="P413" s="19" t="s">
        <v>1100</v>
      </c>
      <c r="Q413" s="13" t="s">
        <v>1100</v>
      </c>
      <c r="R413" s="11"/>
      <c r="S413" s="11" t="s">
        <v>1100</v>
      </c>
      <c r="T413" s="13" t="str">
        <f t="shared" si="6"/>
        <v/>
      </c>
      <c r="U413" s="11" t="s">
        <v>1100</v>
      </c>
      <c r="V413" s="11" t="s">
        <v>1100</v>
      </c>
      <c r="W413" s="11" t="s">
        <v>1100</v>
      </c>
      <c r="X413" s="11" t="s">
        <v>1100</v>
      </c>
      <c r="Y413" s="11" t="s">
        <v>1100</v>
      </c>
      <c r="Z413" s="11" t="s">
        <v>1100</v>
      </c>
      <c r="AA413" s="11" t="s">
        <v>1100</v>
      </c>
      <c r="AB413" s="11" t="s">
        <v>1100</v>
      </c>
      <c r="AC413" s="20" t="s">
        <v>1101</v>
      </c>
    </row>
    <row r="414" spans="2:29" ht="15.75" x14ac:dyDescent="0.25">
      <c r="B414" s="11">
        <v>403</v>
      </c>
      <c r="C414" s="12" t="s">
        <v>835</v>
      </c>
      <c r="D414" s="12" t="s">
        <v>836</v>
      </c>
      <c r="E414" s="12" t="s">
        <v>298</v>
      </c>
      <c r="F414" s="11"/>
      <c r="G414" s="13" t="s">
        <v>1232</v>
      </c>
      <c r="H414" s="13" t="s">
        <v>1041</v>
      </c>
      <c r="I414" s="21">
        <v>32432</v>
      </c>
      <c r="J414" s="15">
        <v>37</v>
      </c>
      <c r="K414" s="16" t="s">
        <v>1103</v>
      </c>
      <c r="L414" s="16" t="s">
        <v>1102</v>
      </c>
      <c r="M414" s="22" t="s">
        <v>1099</v>
      </c>
      <c r="N414" s="23"/>
      <c r="O414" s="19" t="s">
        <v>1100</v>
      </c>
      <c r="P414" s="19" t="s">
        <v>1100</v>
      </c>
      <c r="Q414" s="13" t="s">
        <v>1100</v>
      </c>
      <c r="R414" s="11"/>
      <c r="S414" s="11" t="s">
        <v>1100</v>
      </c>
      <c r="T414" s="13" t="str">
        <f t="shared" si="6"/>
        <v/>
      </c>
      <c r="U414" s="11" t="s">
        <v>1100</v>
      </c>
      <c r="V414" s="11" t="s">
        <v>1100</v>
      </c>
      <c r="W414" s="11" t="s">
        <v>1100</v>
      </c>
      <c r="X414" s="11" t="s">
        <v>1100</v>
      </c>
      <c r="Y414" s="11" t="s">
        <v>1100</v>
      </c>
      <c r="Z414" s="11" t="s">
        <v>1100</v>
      </c>
      <c r="AA414" s="11" t="s">
        <v>1100</v>
      </c>
      <c r="AB414" s="11" t="s">
        <v>1100</v>
      </c>
      <c r="AC414" s="20" t="s">
        <v>1101</v>
      </c>
    </row>
    <row r="415" spans="2:29" ht="15.75" x14ac:dyDescent="0.25">
      <c r="B415" s="11">
        <v>404</v>
      </c>
      <c r="C415" s="12" t="s">
        <v>837</v>
      </c>
      <c r="D415" s="12" t="s">
        <v>838</v>
      </c>
      <c r="E415" s="12" t="s">
        <v>839</v>
      </c>
      <c r="F415" s="11"/>
      <c r="G415" s="13" t="s">
        <v>1230</v>
      </c>
      <c r="H415" s="13" t="s">
        <v>1041</v>
      </c>
      <c r="I415" s="21">
        <v>35120</v>
      </c>
      <c r="J415" s="15">
        <v>29</v>
      </c>
      <c r="K415" s="16" t="s">
        <v>1103</v>
      </c>
      <c r="L415" s="16" t="s">
        <v>1108</v>
      </c>
      <c r="M415" s="22" t="s">
        <v>1099</v>
      </c>
      <c r="N415" s="23"/>
      <c r="O415" s="19" t="s">
        <v>1100</v>
      </c>
      <c r="P415" s="19" t="s">
        <v>1100</v>
      </c>
      <c r="Q415" s="13" t="s">
        <v>1100</v>
      </c>
      <c r="R415" s="11"/>
      <c r="S415" s="11" t="s">
        <v>1100</v>
      </c>
      <c r="T415" s="13" t="str">
        <f t="shared" si="6"/>
        <v/>
      </c>
      <c r="U415" s="11" t="s">
        <v>1100</v>
      </c>
      <c r="V415" s="11" t="s">
        <v>1100</v>
      </c>
      <c r="W415" s="11" t="s">
        <v>1100</v>
      </c>
      <c r="X415" s="11" t="s">
        <v>1100</v>
      </c>
      <c r="Y415" s="11" t="s">
        <v>1100</v>
      </c>
      <c r="Z415" s="11" t="s">
        <v>1100</v>
      </c>
      <c r="AA415" s="11" t="s">
        <v>1100</v>
      </c>
      <c r="AB415" s="11" t="s">
        <v>1100</v>
      </c>
      <c r="AC415" s="20" t="s">
        <v>1101</v>
      </c>
    </row>
    <row r="416" spans="2:29" ht="15.75" x14ac:dyDescent="0.25">
      <c r="B416" s="11">
        <v>405</v>
      </c>
      <c r="C416" s="12" t="s">
        <v>840</v>
      </c>
      <c r="D416" s="12" t="s">
        <v>841</v>
      </c>
      <c r="E416" s="12" t="s">
        <v>842</v>
      </c>
      <c r="F416" s="11"/>
      <c r="G416" s="13" t="s">
        <v>1230</v>
      </c>
      <c r="H416" s="13" t="s">
        <v>1041</v>
      </c>
      <c r="I416" s="21">
        <v>36389</v>
      </c>
      <c r="J416" s="15">
        <v>26</v>
      </c>
      <c r="K416" s="16" t="s">
        <v>1103</v>
      </c>
      <c r="L416" s="16" t="s">
        <v>1108</v>
      </c>
      <c r="M416" s="22" t="s">
        <v>1099</v>
      </c>
      <c r="N416" s="23"/>
      <c r="O416" s="19" t="s">
        <v>1100</v>
      </c>
      <c r="P416" s="19" t="s">
        <v>1100</v>
      </c>
      <c r="Q416" s="13" t="s">
        <v>1100</v>
      </c>
      <c r="R416" s="11"/>
      <c r="S416" s="11" t="s">
        <v>1100</v>
      </c>
      <c r="T416" s="13" t="str">
        <f t="shared" si="6"/>
        <v/>
      </c>
      <c r="U416" s="11" t="s">
        <v>1100</v>
      </c>
      <c r="V416" s="11" t="s">
        <v>1100</v>
      </c>
      <c r="W416" s="11" t="s">
        <v>1100</v>
      </c>
      <c r="X416" s="11" t="s">
        <v>1100</v>
      </c>
      <c r="Y416" s="11" t="s">
        <v>1100</v>
      </c>
      <c r="Z416" s="11" t="s">
        <v>1100</v>
      </c>
      <c r="AA416" s="11" t="s">
        <v>1100</v>
      </c>
      <c r="AB416" s="11" t="s">
        <v>1100</v>
      </c>
      <c r="AC416" s="20" t="s">
        <v>1101</v>
      </c>
    </row>
    <row r="417" spans="2:29" ht="15.75" x14ac:dyDescent="0.25">
      <c r="B417" s="11">
        <v>406</v>
      </c>
      <c r="C417" s="12" t="s">
        <v>97</v>
      </c>
      <c r="D417" s="12" t="s">
        <v>843</v>
      </c>
      <c r="E417" s="12" t="s">
        <v>844</v>
      </c>
      <c r="F417" s="11"/>
      <c r="G417" s="13" t="s">
        <v>1230</v>
      </c>
      <c r="H417" s="13" t="s">
        <v>1041</v>
      </c>
      <c r="I417" s="21">
        <v>25495</v>
      </c>
      <c r="J417" s="15">
        <v>56</v>
      </c>
      <c r="K417" s="16" t="s">
        <v>1103</v>
      </c>
      <c r="L417" s="16" t="s">
        <v>1108</v>
      </c>
      <c r="M417" s="22" t="s">
        <v>1099</v>
      </c>
      <c r="N417" s="23"/>
      <c r="O417" s="19" t="s">
        <v>1099</v>
      </c>
      <c r="P417" s="19" t="s">
        <v>1100</v>
      </c>
      <c r="Q417" s="13" t="s">
        <v>1100</v>
      </c>
      <c r="R417" s="11"/>
      <c r="S417" s="11" t="s">
        <v>1100</v>
      </c>
      <c r="T417" s="13" t="str">
        <f t="shared" si="6"/>
        <v/>
      </c>
      <c r="U417" s="11" t="s">
        <v>1100</v>
      </c>
      <c r="V417" s="11" t="s">
        <v>1100</v>
      </c>
      <c r="W417" s="11" t="s">
        <v>1100</v>
      </c>
      <c r="X417" s="11" t="s">
        <v>1100</v>
      </c>
      <c r="Y417" s="11" t="s">
        <v>1100</v>
      </c>
      <c r="Z417" s="11" t="s">
        <v>1100</v>
      </c>
      <c r="AA417" s="11" t="s">
        <v>1100</v>
      </c>
      <c r="AB417" s="11" t="s">
        <v>1100</v>
      </c>
      <c r="AC417" s="20" t="s">
        <v>1101</v>
      </c>
    </row>
    <row r="418" spans="2:29" ht="15.75" x14ac:dyDescent="0.25">
      <c r="B418" s="11">
        <v>407</v>
      </c>
      <c r="C418" s="12" t="s">
        <v>211</v>
      </c>
      <c r="D418" s="12" t="s">
        <v>848</v>
      </c>
      <c r="E418" s="12" t="s">
        <v>90</v>
      </c>
      <c r="F418" s="11"/>
      <c r="G418" s="13" t="s">
        <v>1232</v>
      </c>
      <c r="H418" s="13" t="s">
        <v>1041</v>
      </c>
      <c r="I418" s="21">
        <v>30635</v>
      </c>
      <c r="J418" s="15">
        <v>42</v>
      </c>
      <c r="K418" s="16" t="s">
        <v>1097</v>
      </c>
      <c r="L418" s="16" t="s">
        <v>1108</v>
      </c>
      <c r="M418" s="22" t="s">
        <v>1099</v>
      </c>
      <c r="N418" s="23"/>
      <c r="O418" s="19" t="s">
        <v>1100</v>
      </c>
      <c r="P418" s="19" t="s">
        <v>1100</v>
      </c>
      <c r="Q418" s="13" t="s">
        <v>1100</v>
      </c>
      <c r="R418" s="11"/>
      <c r="S418" s="11" t="s">
        <v>1100</v>
      </c>
      <c r="T418" s="13" t="str">
        <f t="shared" si="6"/>
        <v/>
      </c>
      <c r="U418" s="11" t="s">
        <v>1100</v>
      </c>
      <c r="V418" s="11" t="s">
        <v>1100</v>
      </c>
      <c r="W418" s="11" t="s">
        <v>1100</v>
      </c>
      <c r="X418" s="11" t="s">
        <v>1100</v>
      </c>
      <c r="Y418" s="11" t="s">
        <v>1100</v>
      </c>
      <c r="Z418" s="11" t="s">
        <v>1100</v>
      </c>
      <c r="AA418" s="11" t="s">
        <v>1100</v>
      </c>
      <c r="AB418" s="11" t="s">
        <v>1100</v>
      </c>
      <c r="AC418" s="20" t="s">
        <v>1101</v>
      </c>
    </row>
    <row r="419" spans="2:29" ht="15.75" x14ac:dyDescent="0.25">
      <c r="B419" s="11">
        <v>408</v>
      </c>
      <c r="C419" s="12" t="s">
        <v>211</v>
      </c>
      <c r="D419" s="12" t="s">
        <v>846</v>
      </c>
      <c r="E419" s="12" t="s">
        <v>845</v>
      </c>
      <c r="F419" s="11"/>
      <c r="G419" s="13" t="s">
        <v>1232</v>
      </c>
      <c r="H419" s="13" t="s">
        <v>1041</v>
      </c>
      <c r="I419" s="21">
        <v>30429</v>
      </c>
      <c r="J419" s="15">
        <v>42</v>
      </c>
      <c r="K419" s="16" t="s">
        <v>1103</v>
      </c>
      <c r="L419" s="16" t="s">
        <v>1098</v>
      </c>
      <c r="M419" s="22" t="s">
        <v>1099</v>
      </c>
      <c r="N419" s="23"/>
      <c r="O419" s="19" t="s">
        <v>1100</v>
      </c>
      <c r="P419" s="19" t="s">
        <v>1100</v>
      </c>
      <c r="Q419" s="13" t="s">
        <v>1100</v>
      </c>
      <c r="R419" s="11"/>
      <c r="S419" s="11" t="s">
        <v>1100</v>
      </c>
      <c r="T419" s="13" t="str">
        <f t="shared" si="6"/>
        <v/>
      </c>
      <c r="U419" s="11" t="s">
        <v>1100</v>
      </c>
      <c r="V419" s="11" t="s">
        <v>1100</v>
      </c>
      <c r="W419" s="11" t="s">
        <v>1100</v>
      </c>
      <c r="X419" s="11" t="s">
        <v>1100</v>
      </c>
      <c r="Y419" s="11" t="s">
        <v>1100</v>
      </c>
      <c r="Z419" s="11" t="s">
        <v>1100</v>
      </c>
      <c r="AA419" s="11" t="s">
        <v>1100</v>
      </c>
      <c r="AB419" s="11" t="s">
        <v>1100</v>
      </c>
      <c r="AC419" s="20" t="s">
        <v>1101</v>
      </c>
    </row>
    <row r="420" spans="2:29" ht="15.75" x14ac:dyDescent="0.25">
      <c r="B420" s="11">
        <v>409</v>
      </c>
      <c r="C420" s="12" t="s">
        <v>211</v>
      </c>
      <c r="D420" s="12" t="s">
        <v>123</v>
      </c>
      <c r="E420" s="12" t="s">
        <v>845</v>
      </c>
      <c r="F420" s="11"/>
      <c r="G420" s="13" t="s">
        <v>1232</v>
      </c>
      <c r="H420" s="13" t="s">
        <v>1041</v>
      </c>
      <c r="I420" s="21">
        <v>31152</v>
      </c>
      <c r="J420" s="15">
        <v>40</v>
      </c>
      <c r="K420" s="16" t="s">
        <v>1103</v>
      </c>
      <c r="L420" s="16" t="s">
        <v>1108</v>
      </c>
      <c r="M420" s="22" t="s">
        <v>1099</v>
      </c>
      <c r="N420" s="23"/>
      <c r="O420" s="19" t="s">
        <v>1100</v>
      </c>
      <c r="P420" s="19" t="s">
        <v>1100</v>
      </c>
      <c r="Q420" s="13" t="s">
        <v>1100</v>
      </c>
      <c r="R420" s="11"/>
      <c r="S420" s="11" t="s">
        <v>1100</v>
      </c>
      <c r="T420" s="13" t="str">
        <f t="shared" si="6"/>
        <v/>
      </c>
      <c r="U420" s="11" t="s">
        <v>1100</v>
      </c>
      <c r="V420" s="11" t="s">
        <v>1100</v>
      </c>
      <c r="W420" s="11" t="s">
        <v>1100</v>
      </c>
      <c r="X420" s="11" t="s">
        <v>1100</v>
      </c>
      <c r="Y420" s="11" t="s">
        <v>1100</v>
      </c>
      <c r="Z420" s="11" t="s">
        <v>1100</v>
      </c>
      <c r="AA420" s="11" t="s">
        <v>1100</v>
      </c>
      <c r="AB420" s="11" t="s">
        <v>1100</v>
      </c>
      <c r="AC420" s="20" t="s">
        <v>1101</v>
      </c>
    </row>
    <row r="421" spans="2:29" ht="15.75" x14ac:dyDescent="0.25">
      <c r="B421" s="11">
        <v>410</v>
      </c>
      <c r="C421" s="12" t="s">
        <v>211</v>
      </c>
      <c r="D421" s="12" t="s">
        <v>847</v>
      </c>
      <c r="E421" s="12" t="s">
        <v>845</v>
      </c>
      <c r="F421" s="11"/>
      <c r="G421" s="13" t="s">
        <v>1232</v>
      </c>
      <c r="H421" s="13" t="s">
        <v>1041</v>
      </c>
      <c r="I421" s="21">
        <v>33519</v>
      </c>
      <c r="J421" s="15">
        <v>34</v>
      </c>
      <c r="K421" s="16" t="s">
        <v>1097</v>
      </c>
      <c r="L421" s="16" t="s">
        <v>1108</v>
      </c>
      <c r="M421" s="22" t="s">
        <v>1099</v>
      </c>
      <c r="N421" s="23"/>
      <c r="O421" s="19" t="s">
        <v>1100</v>
      </c>
      <c r="P421" s="19" t="s">
        <v>1100</v>
      </c>
      <c r="Q421" s="13" t="s">
        <v>1100</v>
      </c>
      <c r="R421" s="11"/>
      <c r="S421" s="11" t="s">
        <v>1100</v>
      </c>
      <c r="T421" s="13" t="str">
        <f t="shared" si="6"/>
        <v/>
      </c>
      <c r="U421" s="11" t="s">
        <v>1100</v>
      </c>
      <c r="V421" s="11" t="s">
        <v>1100</v>
      </c>
      <c r="W421" s="11" t="s">
        <v>1100</v>
      </c>
      <c r="X421" s="11" t="s">
        <v>1100</v>
      </c>
      <c r="Y421" s="11" t="s">
        <v>1100</v>
      </c>
      <c r="Z421" s="11" t="s">
        <v>1100</v>
      </c>
      <c r="AA421" s="11" t="s">
        <v>1100</v>
      </c>
      <c r="AB421" s="11" t="s">
        <v>1100</v>
      </c>
      <c r="AC421" s="20" t="s">
        <v>1101</v>
      </c>
    </row>
    <row r="422" spans="2:29" ht="15.75" x14ac:dyDescent="0.25">
      <c r="B422" s="11">
        <v>411</v>
      </c>
      <c r="C422" s="12" t="s">
        <v>849</v>
      </c>
      <c r="D422" s="12" t="s">
        <v>850</v>
      </c>
      <c r="E422" s="12" t="s">
        <v>851</v>
      </c>
      <c r="F422" s="11"/>
      <c r="G422" s="13" t="s">
        <v>1232</v>
      </c>
      <c r="H422" s="13" t="s">
        <v>1041</v>
      </c>
      <c r="I422" s="21">
        <v>30525</v>
      </c>
      <c r="J422" s="15">
        <v>42</v>
      </c>
      <c r="K422" s="16" t="s">
        <v>1097</v>
      </c>
      <c r="L422" s="16" t="s">
        <v>1182</v>
      </c>
      <c r="M422" s="22" t="s">
        <v>1099</v>
      </c>
      <c r="N422" s="23"/>
      <c r="O422" s="19" t="s">
        <v>1100</v>
      </c>
      <c r="P422" s="19" t="s">
        <v>1100</v>
      </c>
      <c r="Q422" s="13" t="s">
        <v>1100</v>
      </c>
      <c r="R422" s="11"/>
      <c r="S422" s="11" t="s">
        <v>1100</v>
      </c>
      <c r="T422" s="13" t="str">
        <f t="shared" si="6"/>
        <v/>
      </c>
      <c r="U422" s="11" t="s">
        <v>1100</v>
      </c>
      <c r="V422" s="11" t="s">
        <v>1100</v>
      </c>
      <c r="W422" s="11" t="s">
        <v>1100</v>
      </c>
      <c r="X422" s="11" t="s">
        <v>1100</v>
      </c>
      <c r="Y422" s="11" t="s">
        <v>1100</v>
      </c>
      <c r="Z422" s="11" t="s">
        <v>1100</v>
      </c>
      <c r="AA422" s="11" t="s">
        <v>1100</v>
      </c>
      <c r="AB422" s="11" t="s">
        <v>1100</v>
      </c>
      <c r="AC422" s="20" t="s">
        <v>1101</v>
      </c>
    </row>
    <row r="423" spans="2:29" ht="15.75" x14ac:dyDescent="0.25">
      <c r="B423" s="11">
        <v>412</v>
      </c>
      <c r="C423" s="12" t="s">
        <v>852</v>
      </c>
      <c r="D423" s="12" t="s">
        <v>709</v>
      </c>
      <c r="E423" s="12" t="s">
        <v>128</v>
      </c>
      <c r="F423" s="11"/>
      <c r="G423" s="13" t="s">
        <v>1230</v>
      </c>
      <c r="H423" s="13" t="s">
        <v>1041</v>
      </c>
      <c r="I423" s="21">
        <v>28426</v>
      </c>
      <c r="J423" s="15">
        <v>48</v>
      </c>
      <c r="K423" s="16" t="s">
        <v>1103</v>
      </c>
      <c r="L423" s="16" t="s">
        <v>1098</v>
      </c>
      <c r="M423" s="22" t="s">
        <v>1099</v>
      </c>
      <c r="N423" s="23"/>
      <c r="O423" s="19" t="s">
        <v>1100</v>
      </c>
      <c r="P423" s="19" t="s">
        <v>1100</v>
      </c>
      <c r="Q423" s="13" t="s">
        <v>1100</v>
      </c>
      <c r="R423" s="11"/>
      <c r="S423" s="11" t="s">
        <v>1100</v>
      </c>
      <c r="T423" s="13" t="str">
        <f t="shared" si="6"/>
        <v/>
      </c>
      <c r="U423" s="11" t="s">
        <v>1100</v>
      </c>
      <c r="V423" s="11" t="s">
        <v>1100</v>
      </c>
      <c r="W423" s="11" t="s">
        <v>1100</v>
      </c>
      <c r="X423" s="11" t="s">
        <v>1100</v>
      </c>
      <c r="Y423" s="11" t="s">
        <v>1100</v>
      </c>
      <c r="Z423" s="11" t="s">
        <v>1100</v>
      </c>
      <c r="AA423" s="11" t="s">
        <v>1100</v>
      </c>
      <c r="AB423" s="11" t="s">
        <v>1100</v>
      </c>
      <c r="AC423" s="20" t="s">
        <v>1101</v>
      </c>
    </row>
    <row r="424" spans="2:29" ht="15.75" x14ac:dyDescent="0.25">
      <c r="B424" s="11">
        <v>413</v>
      </c>
      <c r="C424" s="12" t="s">
        <v>853</v>
      </c>
      <c r="D424" s="12" t="s">
        <v>566</v>
      </c>
      <c r="E424" s="12" t="s">
        <v>23</v>
      </c>
      <c r="F424" s="11"/>
      <c r="G424" s="13" t="s">
        <v>1230</v>
      </c>
      <c r="H424" s="13" t="s">
        <v>1041</v>
      </c>
      <c r="I424" s="21">
        <v>30495</v>
      </c>
      <c r="J424" s="15">
        <v>42</v>
      </c>
      <c r="K424" s="16" t="s">
        <v>1103</v>
      </c>
      <c r="L424" s="16" t="s">
        <v>1102</v>
      </c>
      <c r="M424" s="22" t="s">
        <v>1099</v>
      </c>
      <c r="N424" s="23"/>
      <c r="O424" s="19" t="s">
        <v>1100</v>
      </c>
      <c r="P424" s="19" t="s">
        <v>1100</v>
      </c>
      <c r="Q424" s="13" t="s">
        <v>1100</v>
      </c>
      <c r="R424" s="11"/>
      <c r="S424" s="11" t="s">
        <v>1100</v>
      </c>
      <c r="T424" s="13" t="str">
        <f t="shared" si="6"/>
        <v/>
      </c>
      <c r="U424" s="11" t="s">
        <v>1100</v>
      </c>
      <c r="V424" s="11" t="s">
        <v>1100</v>
      </c>
      <c r="W424" s="11" t="s">
        <v>1100</v>
      </c>
      <c r="X424" s="11" t="s">
        <v>1100</v>
      </c>
      <c r="Y424" s="11" t="s">
        <v>1100</v>
      </c>
      <c r="Z424" s="11" t="s">
        <v>1100</v>
      </c>
      <c r="AA424" s="11" t="s">
        <v>1100</v>
      </c>
      <c r="AB424" s="11" t="s">
        <v>1100</v>
      </c>
      <c r="AC424" s="20" t="s">
        <v>1101</v>
      </c>
    </row>
    <row r="425" spans="2:29" ht="15.75" x14ac:dyDescent="0.25">
      <c r="B425" s="11">
        <v>414</v>
      </c>
      <c r="C425" s="12" t="s">
        <v>854</v>
      </c>
      <c r="D425" s="12" t="s">
        <v>855</v>
      </c>
      <c r="E425" s="12" t="s">
        <v>131</v>
      </c>
      <c r="F425" s="11"/>
      <c r="G425" s="13" t="s">
        <v>1230</v>
      </c>
      <c r="H425" s="13" t="s">
        <v>1041</v>
      </c>
      <c r="I425" s="21">
        <v>17194</v>
      </c>
      <c r="J425" s="15">
        <v>79</v>
      </c>
      <c r="K425" s="16" t="s">
        <v>1097</v>
      </c>
      <c r="L425" s="16" t="s">
        <v>1182</v>
      </c>
      <c r="M425" s="22" t="s">
        <v>1099</v>
      </c>
      <c r="N425" s="23"/>
      <c r="O425" s="19" t="s">
        <v>1100</v>
      </c>
      <c r="P425" s="19" t="s">
        <v>1100</v>
      </c>
      <c r="Q425" s="13" t="s">
        <v>1100</v>
      </c>
      <c r="R425" s="11"/>
      <c r="S425" s="11" t="s">
        <v>1100</v>
      </c>
      <c r="T425" s="13" t="str">
        <f t="shared" si="6"/>
        <v>/</v>
      </c>
      <c r="U425" s="11" t="s">
        <v>1100</v>
      </c>
      <c r="V425" s="11" t="s">
        <v>1100</v>
      </c>
      <c r="W425" s="11" t="s">
        <v>1100</v>
      </c>
      <c r="X425" s="11" t="s">
        <v>1100</v>
      </c>
      <c r="Y425" s="11" t="s">
        <v>1100</v>
      </c>
      <c r="Z425" s="11" t="s">
        <v>1100</v>
      </c>
      <c r="AA425" s="11" t="s">
        <v>1100</v>
      </c>
      <c r="AB425" s="11" t="s">
        <v>1100</v>
      </c>
      <c r="AC425" s="20" t="s">
        <v>1101</v>
      </c>
    </row>
    <row r="426" spans="2:29" ht="15.75" x14ac:dyDescent="0.25">
      <c r="B426" s="11">
        <v>415</v>
      </c>
      <c r="C426" s="12" t="s">
        <v>854</v>
      </c>
      <c r="D426" s="12" t="s">
        <v>856</v>
      </c>
      <c r="E426" s="12" t="s">
        <v>857</v>
      </c>
      <c r="F426" s="11"/>
      <c r="G426" s="13" t="s">
        <v>1230</v>
      </c>
      <c r="H426" s="13" t="s">
        <v>1041</v>
      </c>
      <c r="I426" s="21">
        <v>28521</v>
      </c>
      <c r="J426" s="15">
        <v>48</v>
      </c>
      <c r="K426" s="16" t="s">
        <v>1103</v>
      </c>
      <c r="L426" s="16" t="s">
        <v>1102</v>
      </c>
      <c r="M426" s="22" t="s">
        <v>1099</v>
      </c>
      <c r="N426" s="23"/>
      <c r="O426" s="19" t="s">
        <v>1100</v>
      </c>
      <c r="P426" s="19" t="s">
        <v>1100</v>
      </c>
      <c r="Q426" s="13" t="s">
        <v>1100</v>
      </c>
      <c r="R426" s="11"/>
      <c r="S426" s="11" t="s">
        <v>1100</v>
      </c>
      <c r="T426" s="13" t="str">
        <f t="shared" si="6"/>
        <v/>
      </c>
      <c r="U426" s="11" t="s">
        <v>1100</v>
      </c>
      <c r="V426" s="11" t="s">
        <v>1100</v>
      </c>
      <c r="W426" s="11" t="s">
        <v>1100</v>
      </c>
      <c r="X426" s="11" t="s">
        <v>1100</v>
      </c>
      <c r="Y426" s="11" t="s">
        <v>1100</v>
      </c>
      <c r="Z426" s="11" t="s">
        <v>1100</v>
      </c>
      <c r="AA426" s="11" t="s">
        <v>1100</v>
      </c>
      <c r="AB426" s="11" t="s">
        <v>1100</v>
      </c>
      <c r="AC426" s="20" t="s">
        <v>1101</v>
      </c>
    </row>
    <row r="427" spans="2:29" ht="15.75" x14ac:dyDescent="0.25">
      <c r="B427" s="11">
        <v>416</v>
      </c>
      <c r="C427" s="12" t="s">
        <v>858</v>
      </c>
      <c r="D427" s="12" t="s">
        <v>859</v>
      </c>
      <c r="E427" s="12" t="s">
        <v>860</v>
      </c>
      <c r="F427" s="11"/>
      <c r="G427" s="13" t="s">
        <v>1230</v>
      </c>
      <c r="H427" s="13" t="s">
        <v>1041</v>
      </c>
      <c r="I427" s="21">
        <v>35161</v>
      </c>
      <c r="J427" s="15">
        <v>29</v>
      </c>
      <c r="K427" s="16" t="s">
        <v>1097</v>
      </c>
      <c r="L427" s="16" t="s">
        <v>1108</v>
      </c>
      <c r="M427" s="22" t="s">
        <v>1099</v>
      </c>
      <c r="N427" s="23"/>
      <c r="O427" s="19" t="s">
        <v>1100</v>
      </c>
      <c r="P427" s="19" t="s">
        <v>1100</v>
      </c>
      <c r="Q427" s="13" t="s">
        <v>1100</v>
      </c>
      <c r="R427" s="11"/>
      <c r="S427" s="11" t="s">
        <v>1100</v>
      </c>
      <c r="T427" s="13" t="str">
        <f t="shared" si="6"/>
        <v/>
      </c>
      <c r="U427" s="11" t="s">
        <v>1100</v>
      </c>
      <c r="V427" s="11" t="s">
        <v>1100</v>
      </c>
      <c r="W427" s="11" t="s">
        <v>1100</v>
      </c>
      <c r="X427" s="11" t="s">
        <v>1100</v>
      </c>
      <c r="Y427" s="11" t="s">
        <v>1100</v>
      </c>
      <c r="Z427" s="11" t="s">
        <v>1100</v>
      </c>
      <c r="AA427" s="11" t="s">
        <v>1100</v>
      </c>
      <c r="AB427" s="11" t="s">
        <v>1100</v>
      </c>
      <c r="AC427" s="20" t="s">
        <v>1101</v>
      </c>
    </row>
    <row r="428" spans="2:29" ht="15.75" x14ac:dyDescent="0.25">
      <c r="B428" s="11">
        <v>417</v>
      </c>
      <c r="C428" s="12" t="s">
        <v>858</v>
      </c>
      <c r="D428" s="12" t="s">
        <v>154</v>
      </c>
      <c r="E428" s="12" t="s">
        <v>861</v>
      </c>
      <c r="F428" s="11"/>
      <c r="G428" s="13" t="s">
        <v>1230</v>
      </c>
      <c r="H428" s="13" t="s">
        <v>1041</v>
      </c>
      <c r="I428" s="21">
        <v>22412</v>
      </c>
      <c r="J428" s="15">
        <v>64</v>
      </c>
      <c r="K428" s="16" t="s">
        <v>1097</v>
      </c>
      <c r="L428" s="16" t="s">
        <v>1098</v>
      </c>
      <c r="M428" s="22" t="s">
        <v>1099</v>
      </c>
      <c r="N428" s="23"/>
      <c r="O428" s="19" t="s">
        <v>1100</v>
      </c>
      <c r="P428" s="19" t="s">
        <v>1100</v>
      </c>
      <c r="Q428" s="13" t="s">
        <v>1100</v>
      </c>
      <c r="R428" s="11"/>
      <c r="S428" s="11" t="s">
        <v>1100</v>
      </c>
      <c r="T428" s="13" t="str">
        <f t="shared" si="6"/>
        <v>/</v>
      </c>
      <c r="U428" s="11" t="s">
        <v>1100</v>
      </c>
      <c r="V428" s="11" t="s">
        <v>1100</v>
      </c>
      <c r="W428" s="11" t="s">
        <v>1100</v>
      </c>
      <c r="X428" s="11" t="s">
        <v>1100</v>
      </c>
      <c r="Y428" s="11" t="s">
        <v>1100</v>
      </c>
      <c r="Z428" s="11" t="s">
        <v>1100</v>
      </c>
      <c r="AA428" s="11" t="s">
        <v>1100</v>
      </c>
      <c r="AB428" s="11" t="s">
        <v>1100</v>
      </c>
      <c r="AC428" s="20" t="s">
        <v>1101</v>
      </c>
    </row>
    <row r="429" spans="2:29" ht="15.75" x14ac:dyDescent="0.25">
      <c r="B429" s="11">
        <v>418</v>
      </c>
      <c r="C429" s="12" t="s">
        <v>1174</v>
      </c>
      <c r="D429" s="12" t="s">
        <v>862</v>
      </c>
      <c r="E429" s="12" t="s">
        <v>854</v>
      </c>
      <c r="F429" s="11"/>
      <c r="G429" s="13" t="s">
        <v>1230</v>
      </c>
      <c r="H429" s="13" t="s">
        <v>1041</v>
      </c>
      <c r="I429" s="21">
        <v>28627</v>
      </c>
      <c r="J429" s="15">
        <v>47</v>
      </c>
      <c r="K429" s="16" t="s">
        <v>1103</v>
      </c>
      <c r="L429" s="16" t="s">
        <v>1102</v>
      </c>
      <c r="M429" s="22" t="s">
        <v>1099</v>
      </c>
      <c r="N429" s="23"/>
      <c r="O429" s="19" t="s">
        <v>1100</v>
      </c>
      <c r="P429" s="19" t="s">
        <v>1100</v>
      </c>
      <c r="Q429" s="13" t="s">
        <v>1100</v>
      </c>
      <c r="R429" s="11"/>
      <c r="S429" s="11" t="s">
        <v>1100</v>
      </c>
      <c r="T429" s="13" t="str">
        <f t="shared" si="6"/>
        <v/>
      </c>
      <c r="U429" s="11" t="s">
        <v>1100</v>
      </c>
      <c r="V429" s="11" t="s">
        <v>1100</v>
      </c>
      <c r="W429" s="11" t="s">
        <v>1100</v>
      </c>
      <c r="X429" s="11" t="s">
        <v>1100</v>
      </c>
      <c r="Y429" s="11" t="s">
        <v>1100</v>
      </c>
      <c r="Z429" s="11" t="s">
        <v>1100</v>
      </c>
      <c r="AA429" s="11" t="s">
        <v>1100</v>
      </c>
      <c r="AB429" s="11" t="s">
        <v>1100</v>
      </c>
      <c r="AC429" s="20" t="s">
        <v>1101</v>
      </c>
    </row>
    <row r="430" spans="2:29" ht="15.75" x14ac:dyDescent="0.25">
      <c r="B430" s="11">
        <v>419</v>
      </c>
      <c r="C430" s="12" t="s">
        <v>863</v>
      </c>
      <c r="D430" s="12" t="s">
        <v>306</v>
      </c>
      <c r="E430" s="12" t="s">
        <v>9</v>
      </c>
      <c r="F430" s="11"/>
      <c r="G430" s="13" t="s">
        <v>1230</v>
      </c>
      <c r="H430" s="13" t="s">
        <v>1041</v>
      </c>
      <c r="I430" s="21">
        <v>29025</v>
      </c>
      <c r="J430" s="15">
        <v>46</v>
      </c>
      <c r="K430" s="16" t="s">
        <v>1103</v>
      </c>
      <c r="L430" s="16" t="s">
        <v>1102</v>
      </c>
      <c r="M430" s="22" t="s">
        <v>1099</v>
      </c>
      <c r="N430" s="23"/>
      <c r="O430" s="19" t="s">
        <v>1099</v>
      </c>
      <c r="P430" s="19" t="s">
        <v>1100</v>
      </c>
      <c r="Q430" s="13" t="s">
        <v>1100</v>
      </c>
      <c r="R430" s="11"/>
      <c r="S430" s="11" t="s">
        <v>1100</v>
      </c>
      <c r="T430" s="13" t="str">
        <f t="shared" si="6"/>
        <v/>
      </c>
      <c r="U430" s="11" t="s">
        <v>1100</v>
      </c>
      <c r="V430" s="11" t="s">
        <v>1100</v>
      </c>
      <c r="W430" s="11" t="s">
        <v>1100</v>
      </c>
      <c r="X430" s="11" t="s">
        <v>1100</v>
      </c>
      <c r="Y430" s="11" t="s">
        <v>1100</v>
      </c>
      <c r="Z430" s="11" t="s">
        <v>1100</v>
      </c>
      <c r="AA430" s="11" t="s">
        <v>1100</v>
      </c>
      <c r="AB430" s="11" t="s">
        <v>1100</v>
      </c>
      <c r="AC430" s="20" t="s">
        <v>1101</v>
      </c>
    </row>
    <row r="431" spans="2:29" ht="15.75" x14ac:dyDescent="0.25">
      <c r="B431" s="11">
        <v>420</v>
      </c>
      <c r="C431" s="12" t="s">
        <v>864</v>
      </c>
      <c r="D431" s="12" t="s">
        <v>865</v>
      </c>
      <c r="E431" s="12" t="s">
        <v>232</v>
      </c>
      <c r="F431" s="11"/>
      <c r="G431" s="13" t="s">
        <v>1232</v>
      </c>
      <c r="H431" s="13" t="s">
        <v>1041</v>
      </c>
      <c r="I431" s="21">
        <v>28856</v>
      </c>
      <c r="J431" s="15">
        <v>47</v>
      </c>
      <c r="K431" s="16" t="s">
        <v>1103</v>
      </c>
      <c r="L431" s="16" t="s">
        <v>1102</v>
      </c>
      <c r="M431" s="22" t="s">
        <v>1099</v>
      </c>
      <c r="N431" s="23"/>
      <c r="O431" s="19" t="s">
        <v>1099</v>
      </c>
      <c r="P431" s="19" t="s">
        <v>1100</v>
      </c>
      <c r="Q431" s="13" t="s">
        <v>1100</v>
      </c>
      <c r="R431" s="11"/>
      <c r="S431" s="11" t="s">
        <v>1100</v>
      </c>
      <c r="T431" s="13" t="str">
        <f t="shared" si="6"/>
        <v/>
      </c>
      <c r="U431" s="11" t="s">
        <v>1100</v>
      </c>
      <c r="V431" s="11" t="s">
        <v>1100</v>
      </c>
      <c r="W431" s="11" t="s">
        <v>1100</v>
      </c>
      <c r="X431" s="11" t="s">
        <v>1100</v>
      </c>
      <c r="Y431" s="11" t="s">
        <v>1100</v>
      </c>
      <c r="Z431" s="11" t="s">
        <v>1100</v>
      </c>
      <c r="AA431" s="11" t="s">
        <v>1100</v>
      </c>
      <c r="AB431" s="11" t="s">
        <v>1100</v>
      </c>
      <c r="AC431" s="20" t="s">
        <v>1101</v>
      </c>
    </row>
    <row r="432" spans="2:29" ht="15.75" x14ac:dyDescent="0.25">
      <c r="B432" s="11">
        <v>421</v>
      </c>
      <c r="C432" s="12" t="s">
        <v>866</v>
      </c>
      <c r="D432" s="12" t="s">
        <v>867</v>
      </c>
      <c r="E432" s="12" t="s">
        <v>868</v>
      </c>
      <c r="F432" s="11"/>
      <c r="G432" s="13" t="s">
        <v>1110</v>
      </c>
      <c r="H432" s="13" t="s">
        <v>1041</v>
      </c>
      <c r="I432" s="21">
        <v>39486</v>
      </c>
      <c r="J432" s="15">
        <v>18</v>
      </c>
      <c r="K432" s="16" t="s">
        <v>1103</v>
      </c>
      <c r="L432" s="16" t="s">
        <v>1098</v>
      </c>
      <c r="M432" s="22" t="s">
        <v>1099</v>
      </c>
      <c r="N432" s="23"/>
      <c r="O432" s="19" t="s">
        <v>1100</v>
      </c>
      <c r="P432" s="19" t="s">
        <v>1100</v>
      </c>
      <c r="Q432" s="13" t="s">
        <v>1100</v>
      </c>
      <c r="R432" s="11"/>
      <c r="S432" s="11" t="s">
        <v>1100</v>
      </c>
      <c r="T432" s="13" t="str">
        <f t="shared" si="6"/>
        <v/>
      </c>
      <c r="U432" s="11" t="s">
        <v>1100</v>
      </c>
      <c r="V432" s="11" t="s">
        <v>1100</v>
      </c>
      <c r="W432" s="11" t="s">
        <v>1100</v>
      </c>
      <c r="X432" s="11" t="s">
        <v>1100</v>
      </c>
      <c r="Y432" s="11" t="s">
        <v>1100</v>
      </c>
      <c r="Z432" s="11" t="s">
        <v>1100</v>
      </c>
      <c r="AA432" s="11" t="s">
        <v>1100</v>
      </c>
      <c r="AB432" s="11" t="s">
        <v>1100</v>
      </c>
      <c r="AC432" s="20" t="s">
        <v>1101</v>
      </c>
    </row>
    <row r="433" spans="2:29" ht="15.75" x14ac:dyDescent="0.25">
      <c r="B433" s="11">
        <v>422</v>
      </c>
      <c r="C433" s="12" t="s">
        <v>810</v>
      </c>
      <c r="D433" s="12" t="s">
        <v>869</v>
      </c>
      <c r="E433" s="12" t="s">
        <v>870</v>
      </c>
      <c r="F433" s="11"/>
      <c r="G433" s="13" t="s">
        <v>1230</v>
      </c>
      <c r="H433" s="13" t="s">
        <v>1041</v>
      </c>
      <c r="I433" s="21">
        <v>24872</v>
      </c>
      <c r="J433" s="15">
        <v>58</v>
      </c>
      <c r="K433" s="16" t="s">
        <v>1103</v>
      </c>
      <c r="L433" s="16" t="s">
        <v>1102</v>
      </c>
      <c r="M433" s="22" t="s">
        <v>1099</v>
      </c>
      <c r="N433" s="23"/>
      <c r="O433" s="19" t="s">
        <v>1100</v>
      </c>
      <c r="P433" s="19" t="s">
        <v>1100</v>
      </c>
      <c r="Q433" s="13" t="s">
        <v>1100</v>
      </c>
      <c r="R433" s="11"/>
      <c r="S433" s="11" t="s">
        <v>1100</v>
      </c>
      <c r="T433" s="13" t="str">
        <f t="shared" si="6"/>
        <v/>
      </c>
      <c r="U433" s="11" t="s">
        <v>1100</v>
      </c>
      <c r="V433" s="11" t="s">
        <v>1100</v>
      </c>
      <c r="W433" s="11" t="s">
        <v>1100</v>
      </c>
      <c r="X433" s="11" t="s">
        <v>1100</v>
      </c>
      <c r="Y433" s="11" t="s">
        <v>1100</v>
      </c>
      <c r="Z433" s="11" t="s">
        <v>1100</v>
      </c>
      <c r="AA433" s="11" t="s">
        <v>1100</v>
      </c>
      <c r="AB433" s="11" t="s">
        <v>1100</v>
      </c>
      <c r="AC433" s="20" t="s">
        <v>1101</v>
      </c>
    </row>
    <row r="434" spans="2:29" ht="15.75" x14ac:dyDescent="0.25">
      <c r="B434" s="11">
        <v>423</v>
      </c>
      <c r="C434" s="12" t="s">
        <v>810</v>
      </c>
      <c r="D434" s="12" t="s">
        <v>871</v>
      </c>
      <c r="E434" s="12" t="s">
        <v>872</v>
      </c>
      <c r="F434" s="11"/>
      <c r="G434" s="13" t="s">
        <v>1230</v>
      </c>
      <c r="H434" s="13" t="s">
        <v>1041</v>
      </c>
      <c r="I434" s="21">
        <v>23849</v>
      </c>
      <c r="J434" s="15">
        <v>60</v>
      </c>
      <c r="K434" s="16" t="s">
        <v>1103</v>
      </c>
      <c r="L434" s="16" t="s">
        <v>1182</v>
      </c>
      <c r="M434" s="22" t="s">
        <v>1099</v>
      </c>
      <c r="N434" s="23"/>
      <c r="O434" s="19" t="s">
        <v>1100</v>
      </c>
      <c r="P434" s="19" t="s">
        <v>1100</v>
      </c>
      <c r="Q434" s="13" t="s">
        <v>1100</v>
      </c>
      <c r="R434" s="11"/>
      <c r="S434" s="11" t="s">
        <v>1100</v>
      </c>
      <c r="T434" s="13" t="str">
        <f t="shared" si="6"/>
        <v>/</v>
      </c>
      <c r="U434" s="11" t="s">
        <v>1100</v>
      </c>
      <c r="V434" s="11" t="s">
        <v>1100</v>
      </c>
      <c r="W434" s="11" t="s">
        <v>1100</v>
      </c>
      <c r="X434" s="11" t="s">
        <v>1100</v>
      </c>
      <c r="Y434" s="11" t="s">
        <v>1100</v>
      </c>
      <c r="Z434" s="11" t="s">
        <v>1100</v>
      </c>
      <c r="AA434" s="11" t="s">
        <v>1100</v>
      </c>
      <c r="AB434" s="11" t="s">
        <v>1100</v>
      </c>
      <c r="AC434" s="20" t="s">
        <v>1101</v>
      </c>
    </row>
    <row r="435" spans="2:29" ht="15.75" x14ac:dyDescent="0.25">
      <c r="B435" s="11">
        <v>424</v>
      </c>
      <c r="C435" s="12" t="s">
        <v>873</v>
      </c>
      <c r="D435" s="12" t="s">
        <v>876</v>
      </c>
      <c r="E435" s="12" t="s">
        <v>877</v>
      </c>
      <c r="F435" s="11"/>
      <c r="G435" s="13" t="s">
        <v>1110</v>
      </c>
      <c r="H435" s="13" t="s">
        <v>1041</v>
      </c>
      <c r="I435" s="21">
        <v>25247</v>
      </c>
      <c r="J435" s="15">
        <v>57</v>
      </c>
      <c r="K435" s="16" t="s">
        <v>1097</v>
      </c>
      <c r="L435" s="16" t="s">
        <v>1108</v>
      </c>
      <c r="M435" s="22" t="s">
        <v>1099</v>
      </c>
      <c r="N435" s="23"/>
      <c r="O435" s="19" t="s">
        <v>1099</v>
      </c>
      <c r="P435" s="19" t="s">
        <v>1100</v>
      </c>
      <c r="Q435" s="13" t="s">
        <v>1100</v>
      </c>
      <c r="R435" s="11"/>
      <c r="S435" s="11" t="s">
        <v>1100</v>
      </c>
      <c r="T435" s="13" t="str">
        <f t="shared" si="6"/>
        <v/>
      </c>
      <c r="U435" s="11" t="s">
        <v>1100</v>
      </c>
      <c r="V435" s="11" t="s">
        <v>1100</v>
      </c>
      <c r="W435" s="11" t="s">
        <v>1100</v>
      </c>
      <c r="X435" s="11" t="s">
        <v>1100</v>
      </c>
      <c r="Y435" s="11" t="s">
        <v>1100</v>
      </c>
      <c r="Z435" s="11" t="s">
        <v>1100</v>
      </c>
      <c r="AA435" s="11" t="s">
        <v>1100</v>
      </c>
      <c r="AB435" s="11" t="s">
        <v>1100</v>
      </c>
      <c r="AC435" s="20" t="s">
        <v>1101</v>
      </c>
    </row>
    <row r="436" spans="2:29" ht="15.75" x14ac:dyDescent="0.25">
      <c r="B436" s="11">
        <v>425</v>
      </c>
      <c r="C436" s="12" t="s">
        <v>873</v>
      </c>
      <c r="D436" s="12" t="s">
        <v>874</v>
      </c>
      <c r="E436" s="12" t="s">
        <v>875</v>
      </c>
      <c r="F436" s="11"/>
      <c r="G436" s="13" t="s">
        <v>1110</v>
      </c>
      <c r="H436" s="13" t="s">
        <v>1041</v>
      </c>
      <c r="I436" s="21">
        <v>35738</v>
      </c>
      <c r="J436" s="15">
        <v>28</v>
      </c>
      <c r="K436" s="16" t="s">
        <v>1097</v>
      </c>
      <c r="L436" s="16" t="s">
        <v>1108</v>
      </c>
      <c r="M436" s="22" t="s">
        <v>1099</v>
      </c>
      <c r="N436" s="23"/>
      <c r="O436" s="19" t="s">
        <v>1100</v>
      </c>
      <c r="P436" s="19" t="s">
        <v>1100</v>
      </c>
      <c r="Q436" s="13" t="s">
        <v>1100</v>
      </c>
      <c r="R436" s="11"/>
      <c r="S436" s="11" t="s">
        <v>1100</v>
      </c>
      <c r="T436" s="13" t="str">
        <f t="shared" si="6"/>
        <v/>
      </c>
      <c r="U436" s="11" t="s">
        <v>1100</v>
      </c>
      <c r="V436" s="11" t="s">
        <v>1100</v>
      </c>
      <c r="W436" s="11" t="s">
        <v>1100</v>
      </c>
      <c r="X436" s="11" t="s">
        <v>1100</v>
      </c>
      <c r="Y436" s="11" t="s">
        <v>1100</v>
      </c>
      <c r="Z436" s="11" t="s">
        <v>1100</v>
      </c>
      <c r="AA436" s="11" t="s">
        <v>1100</v>
      </c>
      <c r="AB436" s="11" t="s">
        <v>1100</v>
      </c>
      <c r="AC436" s="20" t="s">
        <v>1101</v>
      </c>
    </row>
    <row r="437" spans="2:29" ht="15.75" x14ac:dyDescent="0.25">
      <c r="B437" s="11">
        <v>426</v>
      </c>
      <c r="C437" s="12" t="s">
        <v>878</v>
      </c>
      <c r="D437" s="12" t="s">
        <v>879</v>
      </c>
      <c r="E437" s="12" t="s">
        <v>808</v>
      </c>
      <c r="F437" s="11"/>
      <c r="G437" s="13" t="s">
        <v>1232</v>
      </c>
      <c r="H437" s="13" t="s">
        <v>1041</v>
      </c>
      <c r="I437" s="21">
        <v>34246</v>
      </c>
      <c r="J437" s="15">
        <v>32</v>
      </c>
      <c r="K437" s="16" t="s">
        <v>1103</v>
      </c>
      <c r="L437" s="16" t="s">
        <v>1108</v>
      </c>
      <c r="M437" s="22" t="s">
        <v>1099</v>
      </c>
      <c r="N437" s="23"/>
      <c r="O437" s="19" t="s">
        <v>1100</v>
      </c>
      <c r="P437" s="19" t="s">
        <v>1100</v>
      </c>
      <c r="Q437" s="13" t="s">
        <v>1100</v>
      </c>
      <c r="R437" s="11"/>
      <c r="S437" s="11" t="s">
        <v>1100</v>
      </c>
      <c r="T437" s="13" t="str">
        <f t="shared" si="6"/>
        <v/>
      </c>
      <c r="U437" s="11" t="s">
        <v>1100</v>
      </c>
      <c r="V437" s="11" t="s">
        <v>1100</v>
      </c>
      <c r="W437" s="11" t="s">
        <v>1100</v>
      </c>
      <c r="X437" s="11" t="s">
        <v>1100</v>
      </c>
      <c r="Y437" s="11" t="s">
        <v>1100</v>
      </c>
      <c r="Z437" s="11" t="s">
        <v>1100</v>
      </c>
      <c r="AA437" s="11" t="s">
        <v>1100</v>
      </c>
      <c r="AB437" s="11" t="s">
        <v>1100</v>
      </c>
      <c r="AC437" s="20" t="s">
        <v>1101</v>
      </c>
    </row>
    <row r="438" spans="2:29" ht="15.75" x14ac:dyDescent="0.25">
      <c r="B438" s="11">
        <v>427</v>
      </c>
      <c r="C438" s="12" t="s">
        <v>880</v>
      </c>
      <c r="D438" s="12" t="s">
        <v>881</v>
      </c>
      <c r="E438" s="12" t="s">
        <v>882</v>
      </c>
      <c r="F438" s="11"/>
      <c r="G438" s="13" t="s">
        <v>1230</v>
      </c>
      <c r="H438" s="13" t="s">
        <v>1041</v>
      </c>
      <c r="I438" s="21">
        <v>27423</v>
      </c>
      <c r="J438" s="15">
        <v>51</v>
      </c>
      <c r="K438" s="16" t="s">
        <v>1103</v>
      </c>
      <c r="L438" s="16" t="s">
        <v>1102</v>
      </c>
      <c r="M438" s="22" t="s">
        <v>1099</v>
      </c>
      <c r="N438" s="23"/>
      <c r="O438" s="19" t="s">
        <v>1100</v>
      </c>
      <c r="P438" s="19" t="s">
        <v>1100</v>
      </c>
      <c r="Q438" s="13" t="s">
        <v>1100</v>
      </c>
      <c r="R438" s="11"/>
      <c r="S438" s="11" t="s">
        <v>1100</v>
      </c>
      <c r="T438" s="13" t="str">
        <f t="shared" si="6"/>
        <v/>
      </c>
      <c r="U438" s="11" t="s">
        <v>1100</v>
      </c>
      <c r="V438" s="11" t="s">
        <v>1100</v>
      </c>
      <c r="W438" s="11" t="s">
        <v>1100</v>
      </c>
      <c r="X438" s="11" t="s">
        <v>1100</v>
      </c>
      <c r="Y438" s="11" t="s">
        <v>1100</v>
      </c>
      <c r="Z438" s="11" t="s">
        <v>1100</v>
      </c>
      <c r="AA438" s="11" t="s">
        <v>1100</v>
      </c>
      <c r="AB438" s="11" t="s">
        <v>1100</v>
      </c>
      <c r="AC438" s="20" t="s">
        <v>1101</v>
      </c>
    </row>
    <row r="439" spans="2:29" ht="15.75" x14ac:dyDescent="0.25">
      <c r="B439" s="11">
        <v>428</v>
      </c>
      <c r="C439" s="12" t="s">
        <v>880</v>
      </c>
      <c r="D439" s="12" t="s">
        <v>847</v>
      </c>
      <c r="E439" s="12" t="s">
        <v>90</v>
      </c>
      <c r="F439" s="11"/>
      <c r="G439" s="13" t="s">
        <v>1230</v>
      </c>
      <c r="H439" s="13" t="s">
        <v>1041</v>
      </c>
      <c r="I439" s="21">
        <v>31717</v>
      </c>
      <c r="J439" s="15">
        <v>39</v>
      </c>
      <c r="K439" s="16" t="s">
        <v>1097</v>
      </c>
      <c r="L439" s="16" t="s">
        <v>1102</v>
      </c>
      <c r="M439" s="22" t="s">
        <v>1099</v>
      </c>
      <c r="N439" s="23"/>
      <c r="O439" s="19" t="s">
        <v>1100</v>
      </c>
      <c r="P439" s="19" t="s">
        <v>1100</v>
      </c>
      <c r="Q439" s="13" t="s">
        <v>1100</v>
      </c>
      <c r="R439" s="11"/>
      <c r="S439" s="11" t="s">
        <v>1100</v>
      </c>
      <c r="T439" s="13" t="str">
        <f t="shared" si="6"/>
        <v/>
      </c>
      <c r="U439" s="11" t="s">
        <v>1100</v>
      </c>
      <c r="V439" s="11" t="s">
        <v>1100</v>
      </c>
      <c r="W439" s="11" t="s">
        <v>1100</v>
      </c>
      <c r="X439" s="11" t="s">
        <v>1100</v>
      </c>
      <c r="Y439" s="11" t="s">
        <v>1100</v>
      </c>
      <c r="Z439" s="11" t="s">
        <v>1100</v>
      </c>
      <c r="AA439" s="11" t="s">
        <v>1100</v>
      </c>
      <c r="AB439" s="11" t="s">
        <v>1100</v>
      </c>
      <c r="AC439" s="20" t="s">
        <v>1101</v>
      </c>
    </row>
    <row r="440" spans="2:29" ht="15.75" x14ac:dyDescent="0.25">
      <c r="B440" s="11">
        <v>429</v>
      </c>
      <c r="C440" s="12" t="s">
        <v>421</v>
      </c>
      <c r="D440" s="12" t="s">
        <v>883</v>
      </c>
      <c r="E440" s="12" t="s">
        <v>884</v>
      </c>
      <c r="F440" s="11"/>
      <c r="G440" s="13" t="s">
        <v>1230</v>
      </c>
      <c r="H440" s="13" t="s">
        <v>1041</v>
      </c>
      <c r="I440" s="21">
        <v>34492</v>
      </c>
      <c r="J440" s="15">
        <v>31</v>
      </c>
      <c r="K440" s="16" t="s">
        <v>1103</v>
      </c>
      <c r="L440" s="16" t="s">
        <v>1102</v>
      </c>
      <c r="M440" s="22" t="s">
        <v>1099</v>
      </c>
      <c r="N440" s="23"/>
      <c r="O440" s="19" t="s">
        <v>1100</v>
      </c>
      <c r="P440" s="19" t="s">
        <v>1100</v>
      </c>
      <c r="Q440" s="13" t="s">
        <v>1100</v>
      </c>
      <c r="R440" s="11"/>
      <c r="S440" s="11" t="s">
        <v>1100</v>
      </c>
      <c r="T440" s="13" t="str">
        <f t="shared" si="6"/>
        <v/>
      </c>
      <c r="U440" s="11" t="s">
        <v>1100</v>
      </c>
      <c r="V440" s="11" t="s">
        <v>1100</v>
      </c>
      <c r="W440" s="11" t="s">
        <v>1100</v>
      </c>
      <c r="X440" s="11" t="s">
        <v>1100</v>
      </c>
      <c r="Y440" s="11" t="s">
        <v>1100</v>
      </c>
      <c r="Z440" s="11" t="s">
        <v>1100</v>
      </c>
      <c r="AA440" s="11" t="s">
        <v>1100</v>
      </c>
      <c r="AB440" s="11" t="s">
        <v>1100</v>
      </c>
      <c r="AC440" s="20" t="s">
        <v>1101</v>
      </c>
    </row>
    <row r="441" spans="2:29" ht="15.75" x14ac:dyDescent="0.25">
      <c r="B441" s="11">
        <v>430</v>
      </c>
      <c r="C441" s="12" t="s">
        <v>885</v>
      </c>
      <c r="D441" s="12" t="s">
        <v>886</v>
      </c>
      <c r="E441" s="12" t="s">
        <v>538</v>
      </c>
      <c r="F441" s="11"/>
      <c r="G441" s="13" t="s">
        <v>1232</v>
      </c>
      <c r="H441" s="13" t="s">
        <v>1041</v>
      </c>
      <c r="I441" s="21">
        <v>29303</v>
      </c>
      <c r="J441" s="15">
        <v>45</v>
      </c>
      <c r="K441" s="16" t="s">
        <v>1103</v>
      </c>
      <c r="L441" s="16" t="s">
        <v>1102</v>
      </c>
      <c r="M441" s="22" t="s">
        <v>1099</v>
      </c>
      <c r="N441" s="23"/>
      <c r="O441" s="19" t="s">
        <v>1099</v>
      </c>
      <c r="P441" s="19" t="s">
        <v>1100</v>
      </c>
      <c r="Q441" s="13" t="s">
        <v>1100</v>
      </c>
      <c r="R441" s="11"/>
      <c r="S441" s="11" t="s">
        <v>1100</v>
      </c>
      <c r="T441" s="13" t="str">
        <f t="shared" si="6"/>
        <v/>
      </c>
      <c r="U441" s="11" t="s">
        <v>1100</v>
      </c>
      <c r="V441" s="11" t="s">
        <v>1100</v>
      </c>
      <c r="W441" s="11" t="s">
        <v>1100</v>
      </c>
      <c r="X441" s="11" t="s">
        <v>1100</v>
      </c>
      <c r="Y441" s="11" t="s">
        <v>1100</v>
      </c>
      <c r="Z441" s="11" t="s">
        <v>1100</v>
      </c>
      <c r="AA441" s="11" t="s">
        <v>1100</v>
      </c>
      <c r="AB441" s="11" t="s">
        <v>1100</v>
      </c>
      <c r="AC441" s="20" t="s">
        <v>1101</v>
      </c>
    </row>
    <row r="442" spans="2:29" ht="15.75" x14ac:dyDescent="0.25">
      <c r="B442" s="11">
        <v>431</v>
      </c>
      <c r="C442" s="12" t="s">
        <v>887</v>
      </c>
      <c r="D442" s="12" t="s">
        <v>888</v>
      </c>
      <c r="E442" s="12" t="s">
        <v>713</v>
      </c>
      <c r="F442" s="11"/>
      <c r="G442" s="13" t="s">
        <v>1233</v>
      </c>
      <c r="H442" s="13" t="s">
        <v>1041</v>
      </c>
      <c r="I442" s="21">
        <v>33688</v>
      </c>
      <c r="J442" s="15">
        <v>33</v>
      </c>
      <c r="K442" s="16" t="s">
        <v>1103</v>
      </c>
      <c r="L442" s="16" t="s">
        <v>1102</v>
      </c>
      <c r="M442" s="22" t="s">
        <v>1099</v>
      </c>
      <c r="N442" s="23"/>
      <c r="O442" s="19" t="s">
        <v>1100</v>
      </c>
      <c r="P442" s="19" t="s">
        <v>1100</v>
      </c>
      <c r="Q442" s="13" t="s">
        <v>1100</v>
      </c>
      <c r="R442" s="11"/>
      <c r="S442" s="11" t="s">
        <v>1100</v>
      </c>
      <c r="T442" s="13" t="str">
        <f t="shared" si="6"/>
        <v/>
      </c>
      <c r="U442" s="11" t="s">
        <v>1100</v>
      </c>
      <c r="V442" s="11" t="s">
        <v>1100</v>
      </c>
      <c r="W442" s="11" t="s">
        <v>1100</v>
      </c>
      <c r="X442" s="11" t="s">
        <v>1100</v>
      </c>
      <c r="Y442" s="11" t="s">
        <v>1100</v>
      </c>
      <c r="Z442" s="11" t="s">
        <v>1100</v>
      </c>
      <c r="AA442" s="11" t="s">
        <v>1100</v>
      </c>
      <c r="AB442" s="11" t="s">
        <v>1100</v>
      </c>
      <c r="AC442" s="20" t="s">
        <v>1101</v>
      </c>
    </row>
    <row r="443" spans="2:29" ht="15.75" x14ac:dyDescent="0.25">
      <c r="B443" s="11">
        <v>432</v>
      </c>
      <c r="C443" s="12" t="s">
        <v>41</v>
      </c>
      <c r="D443" s="12" t="s">
        <v>889</v>
      </c>
      <c r="E443" s="12" t="s">
        <v>890</v>
      </c>
      <c r="F443" s="11"/>
      <c r="G443" s="13" t="s">
        <v>1230</v>
      </c>
      <c r="H443" s="13" t="s">
        <v>1041</v>
      </c>
      <c r="I443" s="21">
        <v>38021</v>
      </c>
      <c r="J443" s="15">
        <v>22</v>
      </c>
      <c r="K443" s="16" t="s">
        <v>1103</v>
      </c>
      <c r="L443" s="16" t="s">
        <v>1108</v>
      </c>
      <c r="M443" s="22" t="s">
        <v>1099</v>
      </c>
      <c r="N443" s="23"/>
      <c r="O443" s="19" t="s">
        <v>1100</v>
      </c>
      <c r="P443" s="19" t="s">
        <v>1100</v>
      </c>
      <c r="Q443" s="13" t="s">
        <v>1100</v>
      </c>
      <c r="R443" s="11"/>
      <c r="S443" s="11" t="s">
        <v>1100</v>
      </c>
      <c r="T443" s="13" t="str">
        <f t="shared" si="6"/>
        <v/>
      </c>
      <c r="U443" s="11" t="s">
        <v>1100</v>
      </c>
      <c r="V443" s="11" t="s">
        <v>1100</v>
      </c>
      <c r="W443" s="11" t="s">
        <v>1100</v>
      </c>
      <c r="X443" s="11" t="s">
        <v>1100</v>
      </c>
      <c r="Y443" s="11" t="s">
        <v>1100</v>
      </c>
      <c r="Z443" s="11" t="s">
        <v>1100</v>
      </c>
      <c r="AA443" s="11" t="s">
        <v>1100</v>
      </c>
      <c r="AB443" s="11" t="s">
        <v>1100</v>
      </c>
      <c r="AC443" s="20" t="s">
        <v>1101</v>
      </c>
    </row>
    <row r="444" spans="2:29" ht="15.75" x14ac:dyDescent="0.25">
      <c r="B444" s="11">
        <v>433</v>
      </c>
      <c r="C444" s="12" t="s">
        <v>41</v>
      </c>
      <c r="D444" s="12" t="s">
        <v>891</v>
      </c>
      <c r="E444" s="12" t="s">
        <v>104</v>
      </c>
      <c r="F444" s="11"/>
      <c r="G444" s="13" t="s">
        <v>1206</v>
      </c>
      <c r="H444" s="13" t="s">
        <v>1041</v>
      </c>
      <c r="I444" s="21">
        <v>28788</v>
      </c>
      <c r="J444" s="15">
        <v>47</v>
      </c>
      <c r="K444" s="16" t="s">
        <v>1097</v>
      </c>
      <c r="L444" s="16" t="s">
        <v>1108</v>
      </c>
      <c r="M444" s="22" t="s">
        <v>1099</v>
      </c>
      <c r="N444" s="23"/>
      <c r="O444" s="19" t="s">
        <v>1100</v>
      </c>
      <c r="P444" s="19" t="s">
        <v>1100</v>
      </c>
      <c r="Q444" s="13" t="s">
        <v>1100</v>
      </c>
      <c r="R444" s="11"/>
      <c r="S444" s="11" t="s">
        <v>1100</v>
      </c>
      <c r="T444" s="13" t="str">
        <f t="shared" si="6"/>
        <v/>
      </c>
      <c r="U444" s="11" t="s">
        <v>1100</v>
      </c>
      <c r="V444" s="11" t="s">
        <v>1100</v>
      </c>
      <c r="W444" s="11" t="s">
        <v>1100</v>
      </c>
      <c r="X444" s="11" t="s">
        <v>1100</v>
      </c>
      <c r="Y444" s="11" t="s">
        <v>1100</v>
      </c>
      <c r="Z444" s="11" t="s">
        <v>1100</v>
      </c>
      <c r="AA444" s="11" t="s">
        <v>1100</v>
      </c>
      <c r="AB444" s="11" t="s">
        <v>1100</v>
      </c>
      <c r="AC444" s="20" t="s">
        <v>1111</v>
      </c>
    </row>
    <row r="445" spans="2:29" ht="15.75" x14ac:dyDescent="0.25">
      <c r="B445" s="11">
        <v>434</v>
      </c>
      <c r="C445" s="12" t="s">
        <v>41</v>
      </c>
      <c r="D445" s="12" t="s">
        <v>892</v>
      </c>
      <c r="E445" s="12" t="s">
        <v>893</v>
      </c>
      <c r="F445" s="11"/>
      <c r="G445" s="13" t="s">
        <v>1234</v>
      </c>
      <c r="H445" s="13" t="s">
        <v>1041</v>
      </c>
      <c r="I445" s="21">
        <v>35436</v>
      </c>
      <c r="J445" s="15">
        <v>29</v>
      </c>
      <c r="K445" s="16" t="s">
        <v>1103</v>
      </c>
      <c r="L445" s="16" t="s">
        <v>1108</v>
      </c>
      <c r="M445" s="22" t="s">
        <v>1099</v>
      </c>
      <c r="N445" s="23"/>
      <c r="O445" s="19" t="s">
        <v>1100</v>
      </c>
      <c r="P445" s="19" t="s">
        <v>1100</v>
      </c>
      <c r="Q445" s="13" t="s">
        <v>1100</v>
      </c>
      <c r="R445" s="11"/>
      <c r="S445" s="11" t="s">
        <v>1100</v>
      </c>
      <c r="T445" s="13" t="str">
        <f t="shared" si="6"/>
        <v/>
      </c>
      <c r="U445" s="11" t="s">
        <v>1100</v>
      </c>
      <c r="V445" s="11" t="s">
        <v>1100</v>
      </c>
      <c r="W445" s="11" t="s">
        <v>1100</v>
      </c>
      <c r="X445" s="11" t="s">
        <v>1100</v>
      </c>
      <c r="Y445" s="11" t="s">
        <v>1100</v>
      </c>
      <c r="Z445" s="11" t="s">
        <v>1100</v>
      </c>
      <c r="AA445" s="11" t="s">
        <v>1100</v>
      </c>
      <c r="AB445" s="11" t="s">
        <v>1100</v>
      </c>
      <c r="AC445" s="20" t="s">
        <v>1101</v>
      </c>
    </row>
    <row r="446" spans="2:29" ht="15.75" x14ac:dyDescent="0.25">
      <c r="B446" s="11">
        <v>435</v>
      </c>
      <c r="C446" s="12" t="s">
        <v>160</v>
      </c>
      <c r="D446" s="12" t="s">
        <v>26</v>
      </c>
      <c r="E446" s="12" t="s">
        <v>894</v>
      </c>
      <c r="F446" s="11"/>
      <c r="G446" s="13" t="s">
        <v>1193</v>
      </c>
      <c r="H446" s="13" t="s">
        <v>1041</v>
      </c>
      <c r="I446" s="21">
        <v>21632</v>
      </c>
      <c r="J446" s="15">
        <v>66</v>
      </c>
      <c r="K446" s="16" t="s">
        <v>1097</v>
      </c>
      <c r="L446" s="16" t="s">
        <v>1108</v>
      </c>
      <c r="M446" s="22" t="s">
        <v>1099</v>
      </c>
      <c r="N446" s="23"/>
      <c r="O446" s="19" t="s">
        <v>1100</v>
      </c>
      <c r="P446" s="19" t="s">
        <v>1100</v>
      </c>
      <c r="Q446" s="13" t="s">
        <v>1100</v>
      </c>
      <c r="R446" s="11"/>
      <c r="S446" s="11" t="s">
        <v>1100</v>
      </c>
      <c r="T446" s="13" t="str">
        <f t="shared" si="6"/>
        <v>/</v>
      </c>
      <c r="U446" s="11" t="s">
        <v>1100</v>
      </c>
      <c r="V446" s="11" t="s">
        <v>1100</v>
      </c>
      <c r="W446" s="11" t="s">
        <v>1100</v>
      </c>
      <c r="X446" s="11" t="s">
        <v>1100</v>
      </c>
      <c r="Y446" s="11" t="s">
        <v>1100</v>
      </c>
      <c r="Z446" s="11" t="s">
        <v>1100</v>
      </c>
      <c r="AA446" s="11" t="s">
        <v>1100</v>
      </c>
      <c r="AB446" s="11" t="s">
        <v>1100</v>
      </c>
      <c r="AC446" s="20" t="s">
        <v>1101</v>
      </c>
    </row>
    <row r="447" spans="2:29" ht="15.75" x14ac:dyDescent="0.25">
      <c r="B447" s="11">
        <v>436</v>
      </c>
      <c r="C447" s="12" t="s">
        <v>62</v>
      </c>
      <c r="D447" s="12" t="s">
        <v>895</v>
      </c>
      <c r="E447" s="12" t="s">
        <v>41</v>
      </c>
      <c r="F447" s="11"/>
      <c r="G447" s="13" t="s">
        <v>1230</v>
      </c>
      <c r="H447" s="13" t="s">
        <v>1041</v>
      </c>
      <c r="I447" s="21">
        <v>30523</v>
      </c>
      <c r="J447" s="15">
        <v>42</v>
      </c>
      <c r="K447" s="16" t="s">
        <v>1103</v>
      </c>
      <c r="L447" s="16" t="s">
        <v>1108</v>
      </c>
      <c r="M447" s="22" t="s">
        <v>1099</v>
      </c>
      <c r="N447" s="23"/>
      <c r="O447" s="19" t="s">
        <v>1100</v>
      </c>
      <c r="P447" s="19" t="s">
        <v>1100</v>
      </c>
      <c r="Q447" s="13" t="s">
        <v>1100</v>
      </c>
      <c r="R447" s="11"/>
      <c r="S447" s="11" t="s">
        <v>1100</v>
      </c>
      <c r="T447" s="13" t="str">
        <f t="shared" si="6"/>
        <v/>
      </c>
      <c r="U447" s="11" t="s">
        <v>1100</v>
      </c>
      <c r="V447" s="11" t="s">
        <v>1100</v>
      </c>
      <c r="W447" s="11" t="s">
        <v>1100</v>
      </c>
      <c r="X447" s="11" t="s">
        <v>1100</v>
      </c>
      <c r="Y447" s="11" t="s">
        <v>1100</v>
      </c>
      <c r="Z447" s="11" t="s">
        <v>1100</v>
      </c>
      <c r="AA447" s="11" t="s">
        <v>1100</v>
      </c>
      <c r="AB447" s="11" t="s">
        <v>1100</v>
      </c>
      <c r="AC447" s="20" t="s">
        <v>1101</v>
      </c>
    </row>
    <row r="448" spans="2:29" ht="15.75" x14ac:dyDescent="0.25">
      <c r="B448" s="11">
        <v>437</v>
      </c>
      <c r="C448" s="12" t="s">
        <v>896</v>
      </c>
      <c r="D448" s="12" t="s">
        <v>897</v>
      </c>
      <c r="E448" s="12" t="s">
        <v>127</v>
      </c>
      <c r="F448" s="11"/>
      <c r="G448" s="13" t="s">
        <v>1232</v>
      </c>
      <c r="H448" s="13" t="s">
        <v>1041</v>
      </c>
      <c r="I448" s="21">
        <v>36007</v>
      </c>
      <c r="J448" s="15">
        <v>27</v>
      </c>
      <c r="K448" s="16" t="s">
        <v>1097</v>
      </c>
      <c r="L448" s="16" t="s">
        <v>1108</v>
      </c>
      <c r="M448" s="22" t="s">
        <v>1099</v>
      </c>
      <c r="N448" s="23"/>
      <c r="O448" s="19" t="s">
        <v>1100</v>
      </c>
      <c r="P448" s="19" t="s">
        <v>1100</v>
      </c>
      <c r="Q448" s="13" t="s">
        <v>1100</v>
      </c>
      <c r="R448" s="11"/>
      <c r="S448" s="11" t="s">
        <v>1100</v>
      </c>
      <c r="T448" s="13" t="str">
        <f t="shared" si="6"/>
        <v/>
      </c>
      <c r="U448" s="11" t="s">
        <v>1100</v>
      </c>
      <c r="V448" s="11" t="s">
        <v>1100</v>
      </c>
      <c r="W448" s="11" t="s">
        <v>1100</v>
      </c>
      <c r="X448" s="11" t="s">
        <v>1100</v>
      </c>
      <c r="Y448" s="11" t="s">
        <v>1100</v>
      </c>
      <c r="Z448" s="11" t="s">
        <v>1100</v>
      </c>
      <c r="AA448" s="11" t="s">
        <v>1100</v>
      </c>
      <c r="AB448" s="11" t="s">
        <v>1100</v>
      </c>
      <c r="AC448" s="20" t="s">
        <v>1101</v>
      </c>
    </row>
    <row r="449" spans="2:29" ht="15.75" x14ac:dyDescent="0.25">
      <c r="B449" s="11">
        <v>438</v>
      </c>
      <c r="C449" s="12" t="s">
        <v>898</v>
      </c>
      <c r="D449" s="12" t="s">
        <v>899</v>
      </c>
      <c r="E449" s="12" t="s">
        <v>94</v>
      </c>
      <c r="F449" s="11"/>
      <c r="G449" s="13" t="s">
        <v>1230</v>
      </c>
      <c r="H449" s="13" t="s">
        <v>1041</v>
      </c>
      <c r="I449" s="21">
        <v>31855</v>
      </c>
      <c r="J449" s="15">
        <v>38</v>
      </c>
      <c r="K449" s="16" t="s">
        <v>1103</v>
      </c>
      <c r="L449" s="16" t="s">
        <v>1102</v>
      </c>
      <c r="M449" s="22" t="s">
        <v>1099</v>
      </c>
      <c r="N449" s="23"/>
      <c r="O449" s="19" t="s">
        <v>1100</v>
      </c>
      <c r="P449" s="19" t="s">
        <v>1100</v>
      </c>
      <c r="Q449" s="13" t="s">
        <v>1100</v>
      </c>
      <c r="R449" s="11"/>
      <c r="S449" s="11" t="s">
        <v>1100</v>
      </c>
      <c r="T449" s="13" t="str">
        <f t="shared" si="6"/>
        <v/>
      </c>
      <c r="U449" s="11" t="s">
        <v>1100</v>
      </c>
      <c r="V449" s="11" t="s">
        <v>1100</v>
      </c>
      <c r="W449" s="11" t="s">
        <v>1100</v>
      </c>
      <c r="X449" s="11" t="s">
        <v>1100</v>
      </c>
      <c r="Y449" s="11" t="s">
        <v>1100</v>
      </c>
      <c r="Z449" s="11" t="s">
        <v>1100</v>
      </c>
      <c r="AA449" s="11" t="s">
        <v>1100</v>
      </c>
      <c r="AB449" s="11" t="s">
        <v>1100</v>
      </c>
      <c r="AC449" s="20" t="s">
        <v>1101</v>
      </c>
    </row>
    <row r="450" spans="2:29" ht="15.75" x14ac:dyDescent="0.25">
      <c r="B450" s="11">
        <v>439</v>
      </c>
      <c r="C450" s="12" t="s">
        <v>900</v>
      </c>
      <c r="D450" s="12" t="s">
        <v>501</v>
      </c>
      <c r="E450" s="12" t="s">
        <v>1175</v>
      </c>
      <c r="F450" s="11"/>
      <c r="G450" s="13" t="s">
        <v>1110</v>
      </c>
      <c r="H450" s="13" t="s">
        <v>1041</v>
      </c>
      <c r="I450" s="21">
        <v>34486</v>
      </c>
      <c r="J450" s="15">
        <v>31</v>
      </c>
      <c r="K450" s="16" t="s">
        <v>1103</v>
      </c>
      <c r="L450" s="16" t="s">
        <v>1102</v>
      </c>
      <c r="M450" s="22" t="s">
        <v>1099</v>
      </c>
      <c r="N450" s="23"/>
      <c r="O450" s="19" t="s">
        <v>1099</v>
      </c>
      <c r="P450" s="19" t="s">
        <v>1100</v>
      </c>
      <c r="Q450" s="13" t="s">
        <v>1100</v>
      </c>
      <c r="R450" s="11"/>
      <c r="S450" s="11" t="s">
        <v>1100</v>
      </c>
      <c r="T450" s="13" t="str">
        <f t="shared" si="6"/>
        <v/>
      </c>
      <c r="U450" s="11" t="s">
        <v>1100</v>
      </c>
      <c r="V450" s="11" t="s">
        <v>1100</v>
      </c>
      <c r="W450" s="11" t="s">
        <v>1100</v>
      </c>
      <c r="X450" s="11" t="s">
        <v>1100</v>
      </c>
      <c r="Y450" s="11" t="s">
        <v>1100</v>
      </c>
      <c r="Z450" s="11" t="s">
        <v>1100</v>
      </c>
      <c r="AA450" s="11" t="s">
        <v>1100</v>
      </c>
      <c r="AB450" s="11" t="s">
        <v>1100</v>
      </c>
      <c r="AC450" s="20" t="s">
        <v>1101</v>
      </c>
    </row>
    <row r="451" spans="2:29" ht="15.75" x14ac:dyDescent="0.25">
      <c r="B451" s="11">
        <v>440</v>
      </c>
      <c r="C451" s="12" t="s">
        <v>534</v>
      </c>
      <c r="D451" s="12" t="s">
        <v>901</v>
      </c>
      <c r="E451" s="12" t="s">
        <v>902</v>
      </c>
      <c r="F451" s="11"/>
      <c r="G451" s="13" t="s">
        <v>1232</v>
      </c>
      <c r="H451" s="13" t="s">
        <v>1041</v>
      </c>
      <c r="I451" s="21">
        <v>23547</v>
      </c>
      <c r="J451" s="15">
        <v>61</v>
      </c>
      <c r="K451" s="16" t="s">
        <v>1097</v>
      </c>
      <c r="L451" s="16" t="s">
        <v>1108</v>
      </c>
      <c r="M451" s="22" t="s">
        <v>1099</v>
      </c>
      <c r="N451" s="23"/>
      <c r="O451" s="19" t="s">
        <v>1099</v>
      </c>
      <c r="P451" s="19" t="s">
        <v>1100</v>
      </c>
      <c r="Q451" s="13" t="s">
        <v>1100</v>
      </c>
      <c r="R451" s="11"/>
      <c r="S451" s="11" t="s">
        <v>1100</v>
      </c>
      <c r="T451" s="13" t="str">
        <f t="shared" si="6"/>
        <v>/</v>
      </c>
      <c r="U451" s="11" t="s">
        <v>1100</v>
      </c>
      <c r="V451" s="11" t="s">
        <v>1100</v>
      </c>
      <c r="W451" s="11" t="s">
        <v>1100</v>
      </c>
      <c r="X451" s="11" t="s">
        <v>1100</v>
      </c>
      <c r="Y451" s="11" t="s">
        <v>1100</v>
      </c>
      <c r="Z451" s="11" t="s">
        <v>1100</v>
      </c>
      <c r="AA451" s="11" t="s">
        <v>1100</v>
      </c>
      <c r="AB451" s="11" t="s">
        <v>1100</v>
      </c>
      <c r="AC451" s="20" t="s">
        <v>1101</v>
      </c>
    </row>
    <row r="452" spans="2:29" ht="15.75" x14ac:dyDescent="0.25">
      <c r="B452" s="11">
        <v>441</v>
      </c>
      <c r="C452" s="12" t="s">
        <v>1176</v>
      </c>
      <c r="D452" s="12" t="s">
        <v>809</v>
      </c>
      <c r="E452" s="12" t="s">
        <v>131</v>
      </c>
      <c r="F452" s="11"/>
      <c r="G452" s="13" t="s">
        <v>1230</v>
      </c>
      <c r="H452" s="13" t="s">
        <v>1041</v>
      </c>
      <c r="I452" s="21">
        <v>32460</v>
      </c>
      <c r="J452" s="15">
        <v>37</v>
      </c>
      <c r="K452" s="16" t="s">
        <v>1103</v>
      </c>
      <c r="L452" s="16" t="s">
        <v>1102</v>
      </c>
      <c r="M452" s="22" t="s">
        <v>1099</v>
      </c>
      <c r="N452" s="23"/>
      <c r="O452" s="19" t="s">
        <v>1099</v>
      </c>
      <c r="P452" s="19" t="s">
        <v>1100</v>
      </c>
      <c r="Q452" s="13" t="s">
        <v>1100</v>
      </c>
      <c r="R452" s="11"/>
      <c r="S452" s="11" t="s">
        <v>1100</v>
      </c>
      <c r="T452" s="13" t="str">
        <f t="shared" si="6"/>
        <v/>
      </c>
      <c r="U452" s="11" t="s">
        <v>1100</v>
      </c>
      <c r="V452" s="11" t="s">
        <v>1100</v>
      </c>
      <c r="W452" s="11" t="s">
        <v>1100</v>
      </c>
      <c r="X452" s="11" t="s">
        <v>1100</v>
      </c>
      <c r="Y452" s="11" t="s">
        <v>1100</v>
      </c>
      <c r="Z452" s="11" t="s">
        <v>1100</v>
      </c>
      <c r="AA452" s="11" t="s">
        <v>1100</v>
      </c>
      <c r="AB452" s="11" t="s">
        <v>1100</v>
      </c>
      <c r="AC452" s="20" t="s">
        <v>1101</v>
      </c>
    </row>
    <row r="453" spans="2:29" ht="15.75" x14ac:dyDescent="0.25">
      <c r="B453" s="11">
        <v>442</v>
      </c>
      <c r="C453" s="12" t="s">
        <v>155</v>
      </c>
      <c r="D453" s="12" t="s">
        <v>903</v>
      </c>
      <c r="E453" s="12" t="s">
        <v>904</v>
      </c>
      <c r="F453" s="11"/>
      <c r="G453" s="13" t="s">
        <v>1230</v>
      </c>
      <c r="H453" s="13" t="s">
        <v>1041</v>
      </c>
      <c r="I453" s="21">
        <v>33248</v>
      </c>
      <c r="J453" s="15">
        <v>35</v>
      </c>
      <c r="K453" s="16" t="s">
        <v>1097</v>
      </c>
      <c r="L453" s="16" t="s">
        <v>1102</v>
      </c>
      <c r="M453" s="22" t="s">
        <v>1099</v>
      </c>
      <c r="N453" s="23"/>
      <c r="O453" s="19" t="s">
        <v>1100</v>
      </c>
      <c r="P453" s="19" t="s">
        <v>1100</v>
      </c>
      <c r="Q453" s="13" t="s">
        <v>1100</v>
      </c>
      <c r="R453" s="11"/>
      <c r="S453" s="11" t="s">
        <v>1100</v>
      </c>
      <c r="T453" s="13" t="str">
        <f t="shared" si="6"/>
        <v/>
      </c>
      <c r="U453" s="11" t="s">
        <v>1100</v>
      </c>
      <c r="V453" s="11" t="s">
        <v>1100</v>
      </c>
      <c r="W453" s="11" t="s">
        <v>1100</v>
      </c>
      <c r="X453" s="11" t="s">
        <v>1100</v>
      </c>
      <c r="Y453" s="11" t="s">
        <v>1100</v>
      </c>
      <c r="Z453" s="11" t="s">
        <v>1100</v>
      </c>
      <c r="AA453" s="11" t="s">
        <v>1100</v>
      </c>
      <c r="AB453" s="11" t="s">
        <v>1100</v>
      </c>
      <c r="AC453" s="20" t="s">
        <v>1101</v>
      </c>
    </row>
    <row r="454" spans="2:29" ht="15.75" x14ac:dyDescent="0.25">
      <c r="B454" s="11">
        <v>443</v>
      </c>
      <c r="C454" s="12" t="s">
        <v>913</v>
      </c>
      <c r="D454" s="12" t="s">
        <v>137</v>
      </c>
      <c r="E454" s="12" t="s">
        <v>51</v>
      </c>
      <c r="F454" s="11"/>
      <c r="G454" s="13" t="s">
        <v>1230</v>
      </c>
      <c r="H454" s="13" t="s">
        <v>1041</v>
      </c>
      <c r="I454" s="21">
        <v>34054</v>
      </c>
      <c r="J454" s="15">
        <v>32</v>
      </c>
      <c r="K454" s="16" t="s">
        <v>1097</v>
      </c>
      <c r="L454" s="16" t="s">
        <v>1098</v>
      </c>
      <c r="M454" s="22" t="s">
        <v>1099</v>
      </c>
      <c r="N454" s="23"/>
      <c r="O454" s="19" t="s">
        <v>1100</v>
      </c>
      <c r="P454" s="19" t="s">
        <v>1100</v>
      </c>
      <c r="Q454" s="13" t="s">
        <v>1100</v>
      </c>
      <c r="R454" s="11"/>
      <c r="S454" s="11" t="s">
        <v>1100</v>
      </c>
      <c r="T454" s="13" t="str">
        <f t="shared" si="6"/>
        <v/>
      </c>
      <c r="U454" s="11" t="s">
        <v>1100</v>
      </c>
      <c r="V454" s="11" t="s">
        <v>1100</v>
      </c>
      <c r="W454" s="11" t="s">
        <v>1100</v>
      </c>
      <c r="X454" s="11" t="s">
        <v>1100</v>
      </c>
      <c r="Y454" s="11" t="s">
        <v>1100</v>
      </c>
      <c r="Z454" s="11" t="s">
        <v>1100</v>
      </c>
      <c r="AA454" s="11" t="s">
        <v>1100</v>
      </c>
      <c r="AB454" s="11" t="s">
        <v>1100</v>
      </c>
      <c r="AC454" s="20" t="s">
        <v>1101</v>
      </c>
    </row>
    <row r="455" spans="2:29" ht="15.75" x14ac:dyDescent="0.25">
      <c r="B455" s="11">
        <v>444</v>
      </c>
      <c r="C455" s="12" t="s">
        <v>220</v>
      </c>
      <c r="D455" s="12" t="s">
        <v>905</v>
      </c>
      <c r="E455" s="12" t="s">
        <v>906</v>
      </c>
      <c r="F455" s="11"/>
      <c r="G455" s="13" t="s">
        <v>1110</v>
      </c>
      <c r="H455" s="13" t="s">
        <v>1041</v>
      </c>
      <c r="I455" s="21">
        <v>38616</v>
      </c>
      <c r="J455" s="15">
        <v>20</v>
      </c>
      <c r="K455" s="16" t="s">
        <v>1103</v>
      </c>
      <c r="L455" s="16" t="s">
        <v>1098</v>
      </c>
      <c r="M455" s="22" t="s">
        <v>1099</v>
      </c>
      <c r="N455" s="23"/>
      <c r="O455" s="19" t="s">
        <v>1100</v>
      </c>
      <c r="P455" s="19" t="s">
        <v>1100</v>
      </c>
      <c r="Q455" s="13" t="s">
        <v>1100</v>
      </c>
      <c r="R455" s="11"/>
      <c r="S455" s="11" t="s">
        <v>1100</v>
      </c>
      <c r="T455" s="13" t="str">
        <f t="shared" si="6"/>
        <v/>
      </c>
      <c r="U455" s="11" t="s">
        <v>1100</v>
      </c>
      <c r="V455" s="11" t="s">
        <v>1100</v>
      </c>
      <c r="W455" s="11" t="s">
        <v>1100</v>
      </c>
      <c r="X455" s="11" t="s">
        <v>1100</v>
      </c>
      <c r="Y455" s="11" t="s">
        <v>1100</v>
      </c>
      <c r="Z455" s="11" t="s">
        <v>1100</v>
      </c>
      <c r="AA455" s="11" t="s">
        <v>1100</v>
      </c>
      <c r="AB455" s="11" t="s">
        <v>1100</v>
      </c>
      <c r="AC455" s="20" t="s">
        <v>1101</v>
      </c>
    </row>
    <row r="456" spans="2:29" ht="15.75" x14ac:dyDescent="0.25">
      <c r="B456" s="11">
        <v>445</v>
      </c>
      <c r="C456" s="12" t="s">
        <v>931</v>
      </c>
      <c r="D456" s="12" t="s">
        <v>1013</v>
      </c>
      <c r="E456" s="12" t="s">
        <v>1014</v>
      </c>
      <c r="F456" s="11"/>
      <c r="G456" s="13" t="s">
        <v>1118</v>
      </c>
      <c r="H456" s="13" t="s">
        <v>1046</v>
      </c>
      <c r="I456" s="21">
        <v>27183</v>
      </c>
      <c r="J456" s="15">
        <v>51</v>
      </c>
      <c r="K456" s="16" t="s">
        <v>1097</v>
      </c>
      <c r="L456" s="16" t="s">
        <v>1102</v>
      </c>
      <c r="M456" s="22" t="s">
        <v>1099</v>
      </c>
      <c r="N456" s="23"/>
      <c r="O456" s="19" t="s">
        <v>1100</v>
      </c>
      <c r="P456" s="19" t="s">
        <v>1100</v>
      </c>
      <c r="Q456" s="13" t="s">
        <v>1100</v>
      </c>
      <c r="R456" s="11" t="s">
        <v>1099</v>
      </c>
      <c r="S456" s="11" t="s">
        <v>1100</v>
      </c>
      <c r="T456" s="13" t="str">
        <f t="shared" si="6"/>
        <v/>
      </c>
      <c r="U456" s="11" t="s">
        <v>1100</v>
      </c>
      <c r="V456" s="11" t="s">
        <v>1100</v>
      </c>
      <c r="W456" s="11" t="s">
        <v>1100</v>
      </c>
      <c r="X456" s="11" t="s">
        <v>1100</v>
      </c>
      <c r="Y456" s="11" t="s">
        <v>1100</v>
      </c>
      <c r="Z456" s="11" t="s">
        <v>1100</v>
      </c>
      <c r="AA456" s="11" t="s">
        <v>1100</v>
      </c>
      <c r="AB456" s="11" t="s">
        <v>1100</v>
      </c>
      <c r="AC456" s="20" t="s">
        <v>1101</v>
      </c>
    </row>
    <row r="457" spans="2:29" ht="15.75" x14ac:dyDescent="0.25">
      <c r="B457" s="11">
        <v>446</v>
      </c>
      <c r="C457" s="12" t="s">
        <v>1025</v>
      </c>
      <c r="D457" s="12" t="s">
        <v>572</v>
      </c>
      <c r="E457" s="12" t="s">
        <v>597</v>
      </c>
      <c r="F457" s="11"/>
      <c r="G457" s="13" t="s">
        <v>1110</v>
      </c>
      <c r="H457" s="13" t="s">
        <v>1046</v>
      </c>
      <c r="I457" s="21">
        <v>24946</v>
      </c>
      <c r="J457" s="15">
        <v>57</v>
      </c>
      <c r="K457" s="16" t="s">
        <v>1103</v>
      </c>
      <c r="L457" s="16" t="s">
        <v>1102</v>
      </c>
      <c r="M457" s="22" t="s">
        <v>1099</v>
      </c>
      <c r="N457" s="23"/>
      <c r="O457" s="19" t="s">
        <v>1100</v>
      </c>
      <c r="P457" s="19" t="s">
        <v>1099</v>
      </c>
      <c r="Q457" s="13" t="s">
        <v>1100</v>
      </c>
      <c r="R457" s="11"/>
      <c r="S457" s="11" t="s">
        <v>1100</v>
      </c>
      <c r="T457" s="13" t="str">
        <f t="shared" si="6"/>
        <v/>
      </c>
      <c r="U457" s="11" t="s">
        <v>1100</v>
      </c>
      <c r="V457" s="11" t="s">
        <v>1100</v>
      </c>
      <c r="W457" s="11" t="s">
        <v>1100</v>
      </c>
      <c r="X457" s="11" t="s">
        <v>1100</v>
      </c>
      <c r="Y457" s="11" t="s">
        <v>1100</v>
      </c>
      <c r="Z457" s="11" t="s">
        <v>1100</v>
      </c>
      <c r="AA457" s="11" t="s">
        <v>1100</v>
      </c>
      <c r="AB457" s="11" t="s">
        <v>1100</v>
      </c>
      <c r="AC457" s="20" t="s">
        <v>1101</v>
      </c>
    </row>
    <row r="458" spans="2:29" ht="15.75" x14ac:dyDescent="0.25">
      <c r="B458" s="11">
        <v>447</v>
      </c>
      <c r="C458" s="12" t="s">
        <v>1007</v>
      </c>
      <c r="D458" s="12" t="s">
        <v>1008</v>
      </c>
      <c r="E458" s="12" t="s">
        <v>1009</v>
      </c>
      <c r="F458" s="11"/>
      <c r="G458" s="13" t="s">
        <v>1118</v>
      </c>
      <c r="H458" s="13" t="s">
        <v>1046</v>
      </c>
      <c r="I458" s="21">
        <v>25147</v>
      </c>
      <c r="J458" s="15">
        <v>57</v>
      </c>
      <c r="K458" s="16" t="s">
        <v>1097</v>
      </c>
      <c r="L458" s="16" t="s">
        <v>1102</v>
      </c>
      <c r="M458" s="22" t="s">
        <v>1099</v>
      </c>
      <c r="N458" s="23"/>
      <c r="O458" s="19" t="s">
        <v>1100</v>
      </c>
      <c r="P458" s="19" t="s">
        <v>1099</v>
      </c>
      <c r="Q458" s="13" t="s">
        <v>1100</v>
      </c>
      <c r="R458" s="11"/>
      <c r="S458" s="11" t="s">
        <v>1100</v>
      </c>
      <c r="T458" s="13" t="str">
        <f t="shared" si="6"/>
        <v/>
      </c>
      <c r="U458" s="11" t="s">
        <v>1100</v>
      </c>
      <c r="V458" s="11" t="s">
        <v>1100</v>
      </c>
      <c r="W458" s="11" t="s">
        <v>1100</v>
      </c>
      <c r="X458" s="11" t="s">
        <v>1100</v>
      </c>
      <c r="Y458" s="11" t="s">
        <v>1100</v>
      </c>
      <c r="Z458" s="11" t="s">
        <v>1100</v>
      </c>
      <c r="AA458" s="11" t="s">
        <v>1100</v>
      </c>
      <c r="AB458" s="11" t="s">
        <v>1100</v>
      </c>
      <c r="AC458" s="20" t="s">
        <v>1111</v>
      </c>
    </row>
    <row r="459" spans="2:29" ht="15.75" x14ac:dyDescent="0.25">
      <c r="B459" s="11">
        <v>448</v>
      </c>
      <c r="C459" s="12" t="s">
        <v>358</v>
      </c>
      <c r="D459" s="12" t="s">
        <v>1027</v>
      </c>
      <c r="E459" s="12" t="s">
        <v>1028</v>
      </c>
      <c r="F459" s="11"/>
      <c r="G459" s="13" t="s">
        <v>1246</v>
      </c>
      <c r="H459" s="13" t="s">
        <v>1046</v>
      </c>
      <c r="I459" s="21">
        <v>29858</v>
      </c>
      <c r="J459" s="15">
        <v>44</v>
      </c>
      <c r="K459" s="16" t="s">
        <v>1097</v>
      </c>
      <c r="L459" s="16" t="s">
        <v>1102</v>
      </c>
      <c r="M459" s="22" t="s">
        <v>1099</v>
      </c>
      <c r="N459" s="23"/>
      <c r="O459" s="19" t="s">
        <v>1100</v>
      </c>
      <c r="P459" s="19" t="s">
        <v>1100</v>
      </c>
      <c r="Q459" s="13" t="s">
        <v>1100</v>
      </c>
      <c r="R459" s="11"/>
      <c r="S459" s="11" t="s">
        <v>1100</v>
      </c>
      <c r="T459" s="13" t="str">
        <f t="shared" si="6"/>
        <v/>
      </c>
      <c r="U459" s="11" t="s">
        <v>1100</v>
      </c>
      <c r="V459" s="11" t="s">
        <v>1100</v>
      </c>
      <c r="W459" s="11" t="s">
        <v>1100</v>
      </c>
      <c r="X459" s="11" t="s">
        <v>1100</v>
      </c>
      <c r="Y459" s="11" t="s">
        <v>1100</v>
      </c>
      <c r="Z459" s="11" t="s">
        <v>1100</v>
      </c>
      <c r="AA459" s="11" t="s">
        <v>1100</v>
      </c>
      <c r="AB459" s="11" t="s">
        <v>1100</v>
      </c>
      <c r="AC459" s="20" t="s">
        <v>1101</v>
      </c>
    </row>
    <row r="460" spans="2:29" ht="15.75" x14ac:dyDescent="0.25">
      <c r="B460" s="11">
        <v>449</v>
      </c>
      <c r="C460" s="12" t="s">
        <v>78</v>
      </c>
      <c r="D460" s="12" t="s">
        <v>25</v>
      </c>
      <c r="E460" s="12" t="s">
        <v>214</v>
      </c>
      <c r="F460" s="11"/>
      <c r="G460" s="13" t="s">
        <v>1259</v>
      </c>
      <c r="H460" s="13" t="s">
        <v>1046</v>
      </c>
      <c r="I460" s="21">
        <v>37386</v>
      </c>
      <c r="J460" s="15">
        <v>23</v>
      </c>
      <c r="K460" s="16" t="s">
        <v>1097</v>
      </c>
      <c r="L460" s="16" t="s">
        <v>1098</v>
      </c>
      <c r="M460" s="22" t="s">
        <v>1099</v>
      </c>
      <c r="N460" s="23"/>
      <c r="O460" s="19" t="s">
        <v>1100</v>
      </c>
      <c r="P460" s="19" t="s">
        <v>1100</v>
      </c>
      <c r="Q460" s="13" t="s">
        <v>1100</v>
      </c>
      <c r="R460" s="11" t="s">
        <v>1099</v>
      </c>
      <c r="S460" s="11" t="s">
        <v>1100</v>
      </c>
      <c r="T460" s="13" t="str">
        <f t="shared" ref="T460:T480" si="7">IF(J460&gt;59,"/","")</f>
        <v/>
      </c>
      <c r="U460" s="11" t="s">
        <v>1100</v>
      </c>
      <c r="V460" s="11" t="s">
        <v>1100</v>
      </c>
      <c r="W460" s="11" t="s">
        <v>1100</v>
      </c>
      <c r="X460" s="11" t="s">
        <v>1100</v>
      </c>
      <c r="Y460" s="11" t="s">
        <v>1100</v>
      </c>
      <c r="Z460" s="11" t="s">
        <v>1100</v>
      </c>
      <c r="AA460" s="11" t="s">
        <v>1100</v>
      </c>
      <c r="AB460" s="11" t="s">
        <v>1100</v>
      </c>
      <c r="AC460" s="20" t="s">
        <v>1111</v>
      </c>
    </row>
    <row r="461" spans="2:29" ht="15.75" x14ac:dyDescent="0.25">
      <c r="B461" s="11">
        <v>450</v>
      </c>
      <c r="C461" s="12" t="s">
        <v>1010</v>
      </c>
      <c r="D461" s="12" t="s">
        <v>1011</v>
      </c>
      <c r="E461" s="12" t="s">
        <v>1012</v>
      </c>
      <c r="F461" s="11"/>
      <c r="G461" s="13" t="s">
        <v>1110</v>
      </c>
      <c r="H461" s="13" t="s">
        <v>1046</v>
      </c>
      <c r="I461" s="21">
        <v>31137</v>
      </c>
      <c r="J461" s="15">
        <v>40</v>
      </c>
      <c r="K461" s="16" t="s">
        <v>1097</v>
      </c>
      <c r="L461" s="16" t="s">
        <v>1102</v>
      </c>
      <c r="M461" s="22" t="s">
        <v>1099</v>
      </c>
      <c r="N461" s="23"/>
      <c r="O461" s="19" t="s">
        <v>1100</v>
      </c>
      <c r="P461" s="19" t="s">
        <v>1100</v>
      </c>
      <c r="Q461" s="13" t="s">
        <v>1100</v>
      </c>
      <c r="R461" s="11" t="s">
        <v>1099</v>
      </c>
      <c r="S461" s="11" t="s">
        <v>1100</v>
      </c>
      <c r="T461" s="13" t="str">
        <f t="shared" si="7"/>
        <v/>
      </c>
      <c r="U461" s="11" t="s">
        <v>1100</v>
      </c>
      <c r="V461" s="11" t="s">
        <v>1100</v>
      </c>
      <c r="W461" s="11" t="s">
        <v>1100</v>
      </c>
      <c r="X461" s="11" t="s">
        <v>1100</v>
      </c>
      <c r="Y461" s="11" t="s">
        <v>1100</v>
      </c>
      <c r="Z461" s="11" t="s">
        <v>1100</v>
      </c>
      <c r="AA461" s="11" t="s">
        <v>1100</v>
      </c>
      <c r="AB461" s="11" t="s">
        <v>1100</v>
      </c>
      <c r="AC461" s="20" t="s">
        <v>1111</v>
      </c>
    </row>
    <row r="462" spans="2:29" ht="15.75" x14ac:dyDescent="0.25">
      <c r="B462" s="11">
        <v>451</v>
      </c>
      <c r="C462" s="12" t="s">
        <v>1015</v>
      </c>
      <c r="D462" s="12" t="s">
        <v>970</v>
      </c>
      <c r="E462" s="12" t="s">
        <v>1016</v>
      </c>
      <c r="F462" s="11"/>
      <c r="G462" s="13" t="s">
        <v>1110</v>
      </c>
      <c r="H462" s="13" t="s">
        <v>1046</v>
      </c>
      <c r="I462" s="21">
        <v>32037</v>
      </c>
      <c r="J462" s="15">
        <v>38</v>
      </c>
      <c r="K462" s="16" t="s">
        <v>1097</v>
      </c>
      <c r="L462" s="16" t="s">
        <v>1102</v>
      </c>
      <c r="M462" s="22" t="s">
        <v>1099</v>
      </c>
      <c r="N462" s="23"/>
      <c r="O462" s="19" t="s">
        <v>1099</v>
      </c>
      <c r="P462" s="19" t="s">
        <v>1100</v>
      </c>
      <c r="Q462" s="13" t="s">
        <v>1100</v>
      </c>
      <c r="R462" s="11"/>
      <c r="S462" s="11" t="s">
        <v>1100</v>
      </c>
      <c r="T462" s="13" t="str">
        <f t="shared" si="7"/>
        <v/>
      </c>
      <c r="U462" s="11" t="s">
        <v>1100</v>
      </c>
      <c r="V462" s="11" t="s">
        <v>1100</v>
      </c>
      <c r="W462" s="11" t="s">
        <v>1100</v>
      </c>
      <c r="X462" s="11" t="s">
        <v>1100</v>
      </c>
      <c r="Y462" s="11" t="s">
        <v>1100</v>
      </c>
      <c r="Z462" s="11" t="s">
        <v>1100</v>
      </c>
      <c r="AA462" s="11" t="s">
        <v>1100</v>
      </c>
      <c r="AB462" s="11" t="s">
        <v>1100</v>
      </c>
      <c r="AC462" s="20" t="s">
        <v>1101</v>
      </c>
    </row>
    <row r="463" spans="2:29" ht="15.75" x14ac:dyDescent="0.25">
      <c r="B463" s="11">
        <v>452</v>
      </c>
      <c r="C463" s="12" t="s">
        <v>1019</v>
      </c>
      <c r="D463" s="12" t="s">
        <v>1020</v>
      </c>
      <c r="E463" s="12" t="s">
        <v>32</v>
      </c>
      <c r="F463" s="11"/>
      <c r="G463" s="13" t="s">
        <v>1113</v>
      </c>
      <c r="H463" s="13" t="s">
        <v>1046</v>
      </c>
      <c r="I463" s="21">
        <v>23004</v>
      </c>
      <c r="J463" s="15">
        <v>63</v>
      </c>
      <c r="K463" s="16" t="s">
        <v>1103</v>
      </c>
      <c r="L463" s="16" t="s">
        <v>1104</v>
      </c>
      <c r="M463" s="22" t="s">
        <v>1099</v>
      </c>
      <c r="N463" s="23"/>
      <c r="O463" s="19" t="s">
        <v>1100</v>
      </c>
      <c r="P463" s="19" t="s">
        <v>1099</v>
      </c>
      <c r="Q463" s="13" t="s">
        <v>1100</v>
      </c>
      <c r="R463" s="11"/>
      <c r="S463" s="11" t="s">
        <v>1099</v>
      </c>
      <c r="T463" s="13" t="str">
        <f t="shared" si="7"/>
        <v>/</v>
      </c>
      <c r="U463" s="11" t="s">
        <v>1100</v>
      </c>
      <c r="V463" s="11" t="s">
        <v>1100</v>
      </c>
      <c r="W463" s="11" t="s">
        <v>1100</v>
      </c>
      <c r="X463" s="11" t="s">
        <v>1100</v>
      </c>
      <c r="Y463" s="11" t="s">
        <v>1100</v>
      </c>
      <c r="Z463" s="11" t="s">
        <v>1100</v>
      </c>
      <c r="AA463" s="11" t="s">
        <v>1100</v>
      </c>
      <c r="AB463" s="11" t="s">
        <v>1100</v>
      </c>
      <c r="AC463" s="20" t="s">
        <v>1101</v>
      </c>
    </row>
    <row r="464" spans="2:29" ht="15.75" x14ac:dyDescent="0.25">
      <c r="B464" s="11">
        <v>453</v>
      </c>
      <c r="C464" s="12" t="s">
        <v>1026</v>
      </c>
      <c r="D464" s="12" t="s">
        <v>241</v>
      </c>
      <c r="E464" s="12" t="s">
        <v>86</v>
      </c>
      <c r="F464" s="11"/>
      <c r="G464" s="13" t="s">
        <v>1110</v>
      </c>
      <c r="H464" s="13" t="s">
        <v>1046</v>
      </c>
      <c r="I464" s="21">
        <v>26478</v>
      </c>
      <c r="J464" s="15">
        <v>53</v>
      </c>
      <c r="K464" s="16" t="s">
        <v>1103</v>
      </c>
      <c r="L464" s="16" t="s">
        <v>1104</v>
      </c>
      <c r="M464" s="22" t="s">
        <v>1099</v>
      </c>
      <c r="N464" s="23"/>
      <c r="O464" s="19" t="s">
        <v>1100</v>
      </c>
      <c r="P464" s="19" t="s">
        <v>1100</v>
      </c>
      <c r="Q464" s="13" t="s">
        <v>1100</v>
      </c>
      <c r="R464" s="11" t="s">
        <v>1099</v>
      </c>
      <c r="S464" s="11" t="s">
        <v>1100</v>
      </c>
      <c r="T464" s="13" t="str">
        <f t="shared" si="7"/>
        <v/>
      </c>
      <c r="U464" s="11" t="s">
        <v>1100</v>
      </c>
      <c r="V464" s="11" t="s">
        <v>1100</v>
      </c>
      <c r="W464" s="11" t="s">
        <v>1100</v>
      </c>
      <c r="X464" s="11" t="s">
        <v>1100</v>
      </c>
      <c r="Y464" s="11" t="s">
        <v>1100</v>
      </c>
      <c r="Z464" s="11" t="s">
        <v>1100</v>
      </c>
      <c r="AA464" s="11" t="s">
        <v>1100</v>
      </c>
      <c r="AB464" s="11" t="s">
        <v>1100</v>
      </c>
      <c r="AC464" s="20" t="s">
        <v>1101</v>
      </c>
    </row>
    <row r="465" spans="2:29" ht="15.75" x14ac:dyDescent="0.25">
      <c r="B465" s="11">
        <v>454</v>
      </c>
      <c r="C465" s="12" t="s">
        <v>919</v>
      </c>
      <c r="D465" s="12" t="s">
        <v>920</v>
      </c>
      <c r="E465" s="12" t="s">
        <v>921</v>
      </c>
      <c r="F465" s="11"/>
      <c r="G465" s="13" t="s">
        <v>1235</v>
      </c>
      <c r="H465" s="13" t="s">
        <v>10</v>
      </c>
      <c r="I465" s="21">
        <v>14939</v>
      </c>
      <c r="J465" s="15">
        <v>85</v>
      </c>
      <c r="K465" s="16" t="s">
        <v>1097</v>
      </c>
      <c r="L465" s="16" t="s">
        <v>1263</v>
      </c>
      <c r="M465" s="22" t="s">
        <v>1100</v>
      </c>
      <c r="N465" s="23" t="s">
        <v>1099</v>
      </c>
      <c r="O465" s="19" t="s">
        <v>1100</v>
      </c>
      <c r="P465" s="19" t="s">
        <v>1100</v>
      </c>
      <c r="Q465" s="13" t="s">
        <v>1100</v>
      </c>
      <c r="R465" s="11"/>
      <c r="S465" s="11" t="s">
        <v>1100</v>
      </c>
      <c r="T465" s="13" t="str">
        <f t="shared" si="7"/>
        <v>/</v>
      </c>
      <c r="U465" s="11" t="s">
        <v>1100</v>
      </c>
      <c r="V465" s="11" t="s">
        <v>1100</v>
      </c>
      <c r="W465" s="11" t="s">
        <v>1100</v>
      </c>
      <c r="X465" s="11" t="s">
        <v>1100</v>
      </c>
      <c r="Y465" s="11" t="s">
        <v>1100</v>
      </c>
      <c r="Z465" s="11" t="s">
        <v>1100</v>
      </c>
      <c r="AA465" s="11" t="s">
        <v>1100</v>
      </c>
      <c r="AB465" s="11" t="s">
        <v>1100</v>
      </c>
      <c r="AC465" s="20" t="s">
        <v>1101</v>
      </c>
    </row>
    <row r="466" spans="2:29" ht="15.75" x14ac:dyDescent="0.25">
      <c r="B466" s="11">
        <v>455</v>
      </c>
      <c r="C466" s="12" t="s">
        <v>38</v>
      </c>
      <c r="D466" s="12" t="s">
        <v>922</v>
      </c>
      <c r="E466" s="12" t="s">
        <v>923</v>
      </c>
      <c r="F466" s="11" t="s">
        <v>22</v>
      </c>
      <c r="G466" s="13" t="s">
        <v>1236</v>
      </c>
      <c r="H466" s="13" t="s">
        <v>10</v>
      </c>
      <c r="I466" s="21">
        <v>25352</v>
      </c>
      <c r="J466" s="15">
        <v>56</v>
      </c>
      <c r="K466" s="16" t="s">
        <v>1097</v>
      </c>
      <c r="L466" s="16" t="s">
        <v>1102</v>
      </c>
      <c r="M466" s="22" t="s">
        <v>1099</v>
      </c>
      <c r="N466" s="23"/>
      <c r="O466" s="19" t="s">
        <v>1100</v>
      </c>
      <c r="P466" s="19" t="s">
        <v>1100</v>
      </c>
      <c r="Q466" s="13" t="s">
        <v>1100</v>
      </c>
      <c r="R466" s="11"/>
      <c r="S466" s="11" t="s">
        <v>1100</v>
      </c>
      <c r="T466" s="13" t="str">
        <f t="shared" si="7"/>
        <v/>
      </c>
      <c r="U466" s="11" t="s">
        <v>1100</v>
      </c>
      <c r="V466" s="11" t="s">
        <v>1100</v>
      </c>
      <c r="W466" s="11" t="s">
        <v>1100</v>
      </c>
      <c r="X466" s="11" t="s">
        <v>1100</v>
      </c>
      <c r="Y466" s="11" t="s">
        <v>1100</v>
      </c>
      <c r="Z466" s="11" t="s">
        <v>1100</v>
      </c>
      <c r="AA466" s="11" t="s">
        <v>1100</v>
      </c>
      <c r="AB466" s="11" t="s">
        <v>1100</v>
      </c>
      <c r="AC466" s="20" t="s">
        <v>1101</v>
      </c>
    </row>
    <row r="467" spans="2:29" ht="15.75" x14ac:dyDescent="0.25">
      <c r="B467" s="11">
        <v>456</v>
      </c>
      <c r="C467" s="12" t="s">
        <v>924</v>
      </c>
      <c r="D467" s="12" t="s">
        <v>925</v>
      </c>
      <c r="E467" s="12" t="s">
        <v>168</v>
      </c>
      <c r="F467" s="11"/>
      <c r="G467" s="13" t="s">
        <v>1237</v>
      </c>
      <c r="H467" s="13" t="s">
        <v>10</v>
      </c>
      <c r="I467" s="21">
        <v>31138</v>
      </c>
      <c r="J467" s="15">
        <v>40</v>
      </c>
      <c r="K467" s="16" t="s">
        <v>1103</v>
      </c>
      <c r="L467" s="16" t="s">
        <v>1102</v>
      </c>
      <c r="M467" s="22" t="s">
        <v>1099</v>
      </c>
      <c r="N467" s="23"/>
      <c r="O467" s="19" t="s">
        <v>1100</v>
      </c>
      <c r="P467" s="19" t="s">
        <v>1100</v>
      </c>
      <c r="Q467" s="13" t="s">
        <v>1100</v>
      </c>
      <c r="R467" s="11"/>
      <c r="S467" s="11" t="s">
        <v>1100</v>
      </c>
      <c r="T467" s="13" t="str">
        <f t="shared" si="7"/>
        <v/>
      </c>
      <c r="U467" s="11" t="s">
        <v>1100</v>
      </c>
      <c r="V467" s="11" t="s">
        <v>1100</v>
      </c>
      <c r="W467" s="11" t="s">
        <v>1100</v>
      </c>
      <c r="X467" s="11" t="s">
        <v>1100</v>
      </c>
      <c r="Y467" s="11" t="s">
        <v>1100</v>
      </c>
      <c r="Z467" s="11" t="s">
        <v>1100</v>
      </c>
      <c r="AA467" s="11" t="s">
        <v>1100</v>
      </c>
      <c r="AB467" s="11" t="s">
        <v>1100</v>
      </c>
      <c r="AC467" s="20" t="s">
        <v>1101</v>
      </c>
    </row>
    <row r="468" spans="2:29" ht="15.75" x14ac:dyDescent="0.25">
      <c r="B468" s="11">
        <v>457</v>
      </c>
      <c r="C468" s="12" t="s">
        <v>926</v>
      </c>
      <c r="D468" s="12" t="s">
        <v>927</v>
      </c>
      <c r="E468" s="12" t="s">
        <v>77</v>
      </c>
      <c r="F468" s="11"/>
      <c r="G468" s="13" t="s">
        <v>1238</v>
      </c>
      <c r="H468" s="13" t="s">
        <v>1042</v>
      </c>
      <c r="I468" s="21">
        <v>30767</v>
      </c>
      <c r="J468" s="15">
        <v>41</v>
      </c>
      <c r="K468" s="16" t="s">
        <v>1097</v>
      </c>
      <c r="L468" s="16" t="s">
        <v>1264</v>
      </c>
      <c r="M468" s="22" t="s">
        <v>1099</v>
      </c>
      <c r="N468" s="23"/>
      <c r="O468" s="19" t="s">
        <v>1100</v>
      </c>
      <c r="P468" s="19" t="s">
        <v>1100</v>
      </c>
      <c r="Q468" s="13" t="s">
        <v>1100</v>
      </c>
      <c r="R468" s="11"/>
      <c r="S468" s="11" t="s">
        <v>1100</v>
      </c>
      <c r="T468" s="13" t="str">
        <f t="shared" si="7"/>
        <v/>
      </c>
      <c r="U468" s="11" t="s">
        <v>1100</v>
      </c>
      <c r="V468" s="11" t="s">
        <v>1100</v>
      </c>
      <c r="W468" s="11" t="s">
        <v>1100</v>
      </c>
      <c r="X468" s="11" t="s">
        <v>1100</v>
      </c>
      <c r="Y468" s="11" t="s">
        <v>1100</v>
      </c>
      <c r="Z468" s="11" t="s">
        <v>1100</v>
      </c>
      <c r="AA468" s="11" t="s">
        <v>1100</v>
      </c>
      <c r="AB468" s="11" t="s">
        <v>1100</v>
      </c>
      <c r="AC468" s="20" t="s">
        <v>1101</v>
      </c>
    </row>
    <row r="469" spans="2:29" ht="15.75" x14ac:dyDescent="0.25">
      <c r="B469" s="11">
        <v>458</v>
      </c>
      <c r="C469" s="12" t="s">
        <v>928</v>
      </c>
      <c r="D469" s="12" t="s">
        <v>929</v>
      </c>
      <c r="E469" s="12" t="s">
        <v>930</v>
      </c>
      <c r="F469" s="11"/>
      <c r="G469" s="13" t="s">
        <v>1239</v>
      </c>
      <c r="H469" s="13" t="s">
        <v>1042</v>
      </c>
      <c r="I469" s="21">
        <v>28225</v>
      </c>
      <c r="J469" s="15">
        <v>48</v>
      </c>
      <c r="K469" s="16" t="s">
        <v>1103</v>
      </c>
      <c r="L469" s="16" t="s">
        <v>1102</v>
      </c>
      <c r="M469" s="22" t="s">
        <v>1099</v>
      </c>
      <c r="N469" s="23"/>
      <c r="O469" s="19" t="s">
        <v>1100</v>
      </c>
      <c r="P469" s="19" t="s">
        <v>1100</v>
      </c>
      <c r="Q469" s="13" t="s">
        <v>1100</v>
      </c>
      <c r="R469" s="11"/>
      <c r="S469" s="11" t="s">
        <v>1100</v>
      </c>
      <c r="T469" s="13" t="str">
        <f t="shared" si="7"/>
        <v/>
      </c>
      <c r="U469" s="11" t="s">
        <v>1100</v>
      </c>
      <c r="V469" s="11" t="s">
        <v>1100</v>
      </c>
      <c r="W469" s="11" t="s">
        <v>1100</v>
      </c>
      <c r="X469" s="11" t="s">
        <v>1100</v>
      </c>
      <c r="Y469" s="11" t="s">
        <v>1100</v>
      </c>
      <c r="Z469" s="11" t="s">
        <v>1100</v>
      </c>
      <c r="AA469" s="11" t="s">
        <v>1100</v>
      </c>
      <c r="AB469" s="11" t="s">
        <v>1100</v>
      </c>
      <c r="AC469" s="20" t="s">
        <v>1101</v>
      </c>
    </row>
    <row r="470" spans="2:29" ht="15.75" x14ac:dyDescent="0.25">
      <c r="B470" s="11">
        <v>459</v>
      </c>
      <c r="C470" s="12" t="s">
        <v>605</v>
      </c>
      <c r="D470" s="12" t="s">
        <v>297</v>
      </c>
      <c r="E470" s="12" t="s">
        <v>78</v>
      </c>
      <c r="F470" s="11"/>
      <c r="G470" s="13" t="s">
        <v>1238</v>
      </c>
      <c r="H470" s="13" t="s">
        <v>1042</v>
      </c>
      <c r="I470" s="21">
        <v>35043</v>
      </c>
      <c r="J470" s="15">
        <v>30</v>
      </c>
      <c r="K470" s="16" t="s">
        <v>1103</v>
      </c>
      <c r="L470" s="16" t="s">
        <v>1102</v>
      </c>
      <c r="M470" s="22" t="s">
        <v>1099</v>
      </c>
      <c r="N470" s="23"/>
      <c r="O470" s="19" t="s">
        <v>1100</v>
      </c>
      <c r="P470" s="19" t="s">
        <v>1100</v>
      </c>
      <c r="Q470" s="13" t="s">
        <v>1100</v>
      </c>
      <c r="R470" s="11"/>
      <c r="S470" s="11" t="s">
        <v>1100</v>
      </c>
      <c r="T470" s="13" t="str">
        <f t="shared" si="7"/>
        <v/>
      </c>
      <c r="U470" s="11" t="s">
        <v>1100</v>
      </c>
      <c r="V470" s="11" t="s">
        <v>1100</v>
      </c>
      <c r="W470" s="11" t="s">
        <v>1100</v>
      </c>
      <c r="X470" s="11" t="s">
        <v>1100</v>
      </c>
      <c r="Y470" s="11" t="s">
        <v>1100</v>
      </c>
      <c r="Z470" s="11" t="s">
        <v>1100</v>
      </c>
      <c r="AA470" s="11" t="s">
        <v>1100</v>
      </c>
      <c r="AB470" s="11" t="s">
        <v>1100</v>
      </c>
      <c r="AC470" s="20" t="s">
        <v>1101</v>
      </c>
    </row>
    <row r="471" spans="2:29" ht="15.75" x14ac:dyDescent="0.25">
      <c r="B471" s="11">
        <v>460</v>
      </c>
      <c r="C471" s="12" t="s">
        <v>122</v>
      </c>
      <c r="D471" s="12" t="s">
        <v>566</v>
      </c>
      <c r="E471" s="12" t="s">
        <v>931</v>
      </c>
      <c r="F471" s="11"/>
      <c r="G471" s="13" t="s">
        <v>1238</v>
      </c>
      <c r="H471" s="13" t="s">
        <v>1042</v>
      </c>
      <c r="I471" s="21">
        <v>24896</v>
      </c>
      <c r="J471" s="15">
        <v>57</v>
      </c>
      <c r="K471" s="16" t="s">
        <v>1103</v>
      </c>
      <c r="L471" s="16" t="s">
        <v>1102</v>
      </c>
      <c r="M471" s="22" t="s">
        <v>1099</v>
      </c>
      <c r="N471" s="23"/>
      <c r="O471" s="19" t="s">
        <v>1100</v>
      </c>
      <c r="P471" s="19" t="s">
        <v>1100</v>
      </c>
      <c r="Q471" s="13" t="s">
        <v>1100</v>
      </c>
      <c r="R471" s="11"/>
      <c r="S471" s="11" t="s">
        <v>1100</v>
      </c>
      <c r="T471" s="13" t="str">
        <f t="shared" si="7"/>
        <v/>
      </c>
      <c r="U471" s="11" t="s">
        <v>1100</v>
      </c>
      <c r="V471" s="11" t="s">
        <v>1100</v>
      </c>
      <c r="W471" s="11" t="s">
        <v>1100</v>
      </c>
      <c r="X471" s="11" t="s">
        <v>1100</v>
      </c>
      <c r="Y471" s="11" t="s">
        <v>1100</v>
      </c>
      <c r="Z471" s="11" t="s">
        <v>1100</v>
      </c>
      <c r="AA471" s="11" t="s">
        <v>1100</v>
      </c>
      <c r="AB471" s="11" t="s">
        <v>1100</v>
      </c>
      <c r="AC471" s="20" t="s">
        <v>1101</v>
      </c>
    </row>
    <row r="472" spans="2:29" ht="15.75" x14ac:dyDescent="0.25">
      <c r="B472" s="11">
        <v>461</v>
      </c>
      <c r="C472" s="12" t="s">
        <v>49</v>
      </c>
      <c r="D472" s="12" t="s">
        <v>932</v>
      </c>
      <c r="E472" s="12" t="s">
        <v>931</v>
      </c>
      <c r="F472" s="11" t="s">
        <v>67</v>
      </c>
      <c r="G472" s="13" t="s">
        <v>1238</v>
      </c>
      <c r="H472" s="13" t="s">
        <v>1042</v>
      </c>
      <c r="I472" s="21">
        <v>30390</v>
      </c>
      <c r="J472" s="15">
        <v>42</v>
      </c>
      <c r="K472" s="16" t="s">
        <v>1097</v>
      </c>
      <c r="L472" s="16" t="s">
        <v>1108</v>
      </c>
      <c r="M472" s="22" t="s">
        <v>1099</v>
      </c>
      <c r="N472" s="23"/>
      <c r="O472" s="19" t="s">
        <v>1100</v>
      </c>
      <c r="P472" s="19" t="s">
        <v>1100</v>
      </c>
      <c r="Q472" s="13" t="s">
        <v>1100</v>
      </c>
      <c r="R472" s="11"/>
      <c r="S472" s="11" t="s">
        <v>1100</v>
      </c>
      <c r="T472" s="13" t="str">
        <f t="shared" si="7"/>
        <v/>
      </c>
      <c r="U472" s="11" t="s">
        <v>1100</v>
      </c>
      <c r="V472" s="11" t="s">
        <v>1100</v>
      </c>
      <c r="W472" s="11" t="s">
        <v>1100</v>
      </c>
      <c r="X472" s="11" t="s">
        <v>1100</v>
      </c>
      <c r="Y472" s="11" t="s">
        <v>1100</v>
      </c>
      <c r="Z472" s="11" t="s">
        <v>1100</v>
      </c>
      <c r="AA472" s="11" t="s">
        <v>1100</v>
      </c>
      <c r="AB472" s="11" t="s">
        <v>1100</v>
      </c>
      <c r="AC472" s="20" t="s">
        <v>1111</v>
      </c>
    </row>
    <row r="473" spans="2:29" ht="15.75" x14ac:dyDescent="0.25">
      <c r="B473" s="11">
        <v>462</v>
      </c>
      <c r="C473" s="12" t="s">
        <v>933</v>
      </c>
      <c r="D473" s="12" t="s">
        <v>871</v>
      </c>
      <c r="E473" s="12" t="s">
        <v>934</v>
      </c>
      <c r="F473" s="11"/>
      <c r="G473" s="13" t="s">
        <v>1240</v>
      </c>
      <c r="H473" s="13" t="s">
        <v>1042</v>
      </c>
      <c r="I473" s="21">
        <v>18662</v>
      </c>
      <c r="J473" s="15">
        <v>75</v>
      </c>
      <c r="K473" s="16" t="s">
        <v>1103</v>
      </c>
      <c r="L473" s="16" t="s">
        <v>1181</v>
      </c>
      <c r="M473" s="22" t="s">
        <v>1099</v>
      </c>
      <c r="N473" s="23"/>
      <c r="O473" s="19" t="s">
        <v>1100</v>
      </c>
      <c r="P473" s="19" t="s">
        <v>1100</v>
      </c>
      <c r="Q473" s="13" t="s">
        <v>1100</v>
      </c>
      <c r="R473" s="11"/>
      <c r="S473" s="11" t="s">
        <v>1100</v>
      </c>
      <c r="T473" s="13" t="str">
        <f t="shared" si="7"/>
        <v>/</v>
      </c>
      <c r="U473" s="11" t="s">
        <v>1100</v>
      </c>
      <c r="V473" s="11" t="s">
        <v>1100</v>
      </c>
      <c r="W473" s="11" t="s">
        <v>1100</v>
      </c>
      <c r="X473" s="11" t="s">
        <v>1100</v>
      </c>
      <c r="Y473" s="11" t="s">
        <v>1100</v>
      </c>
      <c r="Z473" s="11" t="s">
        <v>1100</v>
      </c>
      <c r="AA473" s="11" t="s">
        <v>1100</v>
      </c>
      <c r="AB473" s="11" t="s">
        <v>1100</v>
      </c>
      <c r="AC473" s="20" t="s">
        <v>1101</v>
      </c>
    </row>
    <row r="474" spans="2:29" ht="15.75" x14ac:dyDescent="0.25">
      <c r="B474" s="11">
        <v>463</v>
      </c>
      <c r="C474" s="12" t="s">
        <v>52</v>
      </c>
      <c r="D474" s="12" t="s">
        <v>45</v>
      </c>
      <c r="E474" s="12" t="s">
        <v>935</v>
      </c>
      <c r="F474" s="11"/>
      <c r="G474" s="13" t="s">
        <v>1241</v>
      </c>
      <c r="H474" s="13" t="s">
        <v>1042</v>
      </c>
      <c r="I474" s="21">
        <v>33283</v>
      </c>
      <c r="J474" s="15">
        <v>35</v>
      </c>
      <c r="K474" s="16" t="s">
        <v>1103</v>
      </c>
      <c r="L474" s="16" t="s">
        <v>1102</v>
      </c>
      <c r="M474" s="22" t="s">
        <v>1099</v>
      </c>
      <c r="N474" s="23"/>
      <c r="O474" s="19" t="s">
        <v>1099</v>
      </c>
      <c r="P474" s="19" t="s">
        <v>1100</v>
      </c>
      <c r="Q474" s="13" t="s">
        <v>1100</v>
      </c>
      <c r="R474" s="11"/>
      <c r="S474" s="11" t="s">
        <v>1100</v>
      </c>
      <c r="T474" s="13" t="str">
        <f t="shared" si="7"/>
        <v/>
      </c>
      <c r="U474" s="11" t="s">
        <v>1100</v>
      </c>
      <c r="V474" s="11" t="s">
        <v>1100</v>
      </c>
      <c r="W474" s="11" t="s">
        <v>1100</v>
      </c>
      <c r="X474" s="11" t="s">
        <v>1100</v>
      </c>
      <c r="Y474" s="11" t="s">
        <v>1100</v>
      </c>
      <c r="Z474" s="11" t="s">
        <v>1100</v>
      </c>
      <c r="AA474" s="11" t="s">
        <v>1100</v>
      </c>
      <c r="AB474" s="11" t="s">
        <v>1100</v>
      </c>
      <c r="AC474" s="20" t="s">
        <v>1101</v>
      </c>
    </row>
    <row r="475" spans="2:29" ht="15.75" x14ac:dyDescent="0.25">
      <c r="B475" s="11">
        <v>464</v>
      </c>
      <c r="C475" s="12" t="s">
        <v>936</v>
      </c>
      <c r="D475" s="12" t="s">
        <v>63</v>
      </c>
      <c r="E475" s="12" t="s">
        <v>114</v>
      </c>
      <c r="F475" s="11"/>
      <c r="G475" s="13" t="s">
        <v>1242</v>
      </c>
      <c r="H475" s="13" t="s">
        <v>1042</v>
      </c>
      <c r="I475" s="21">
        <v>19775</v>
      </c>
      <c r="J475" s="15">
        <v>72</v>
      </c>
      <c r="K475" s="16" t="s">
        <v>1103</v>
      </c>
      <c r="L475" s="16" t="s">
        <v>1102</v>
      </c>
      <c r="M475" s="22" t="s">
        <v>1099</v>
      </c>
      <c r="N475" s="23"/>
      <c r="O475" s="19" t="s">
        <v>1100</v>
      </c>
      <c r="P475" s="19" t="s">
        <v>1100</v>
      </c>
      <c r="Q475" s="13" t="s">
        <v>1100</v>
      </c>
      <c r="R475" s="11"/>
      <c r="S475" s="11" t="s">
        <v>1100</v>
      </c>
      <c r="T475" s="13" t="str">
        <f t="shared" si="7"/>
        <v>/</v>
      </c>
      <c r="U475" s="11" t="s">
        <v>1100</v>
      </c>
      <c r="V475" s="11" t="s">
        <v>1100</v>
      </c>
      <c r="W475" s="11" t="s">
        <v>1100</v>
      </c>
      <c r="X475" s="11" t="s">
        <v>1100</v>
      </c>
      <c r="Y475" s="11" t="s">
        <v>1100</v>
      </c>
      <c r="Z475" s="11" t="s">
        <v>1100</v>
      </c>
      <c r="AA475" s="11" t="s">
        <v>1100</v>
      </c>
      <c r="AB475" s="11" t="s">
        <v>1100</v>
      </c>
      <c r="AC475" s="20" t="s">
        <v>1101</v>
      </c>
    </row>
    <row r="476" spans="2:29" ht="15.75" x14ac:dyDescent="0.25">
      <c r="B476" s="11">
        <v>465</v>
      </c>
      <c r="C476" s="12" t="s">
        <v>93</v>
      </c>
      <c r="D476" s="12" t="s">
        <v>937</v>
      </c>
      <c r="E476" s="12" t="s">
        <v>33</v>
      </c>
      <c r="F476" s="11"/>
      <c r="G476" s="13" t="s">
        <v>1242</v>
      </c>
      <c r="H476" s="13" t="s">
        <v>1042</v>
      </c>
      <c r="I476" s="21">
        <v>24768</v>
      </c>
      <c r="J476" s="15">
        <v>58</v>
      </c>
      <c r="K476" s="16" t="s">
        <v>1103</v>
      </c>
      <c r="L476" s="16" t="s">
        <v>1102</v>
      </c>
      <c r="M476" s="22" t="s">
        <v>1099</v>
      </c>
      <c r="N476" s="23"/>
      <c r="O476" s="19" t="s">
        <v>1100</v>
      </c>
      <c r="P476" s="19" t="s">
        <v>1100</v>
      </c>
      <c r="Q476" s="13" t="s">
        <v>1100</v>
      </c>
      <c r="R476" s="11"/>
      <c r="S476" s="11" t="s">
        <v>1100</v>
      </c>
      <c r="T476" s="13" t="str">
        <f t="shared" si="7"/>
        <v/>
      </c>
      <c r="U476" s="11" t="s">
        <v>1100</v>
      </c>
      <c r="V476" s="11" t="s">
        <v>1100</v>
      </c>
      <c r="W476" s="11" t="s">
        <v>1100</v>
      </c>
      <c r="X476" s="11" t="s">
        <v>1100</v>
      </c>
      <c r="Y476" s="11" t="s">
        <v>1100</v>
      </c>
      <c r="Z476" s="11" t="s">
        <v>1100</v>
      </c>
      <c r="AA476" s="11" t="s">
        <v>1100</v>
      </c>
      <c r="AB476" s="11" t="s">
        <v>1100</v>
      </c>
      <c r="AC476" s="20" t="s">
        <v>1101</v>
      </c>
    </row>
    <row r="477" spans="2:29" ht="15.75" x14ac:dyDescent="0.25">
      <c r="B477" s="11">
        <v>466</v>
      </c>
      <c r="C477" s="12" t="s">
        <v>13</v>
      </c>
      <c r="D477" s="12" t="s">
        <v>938</v>
      </c>
      <c r="E477" s="12" t="s">
        <v>939</v>
      </c>
      <c r="F477" s="11"/>
      <c r="G477" s="13" t="s">
        <v>1243</v>
      </c>
      <c r="H477" s="13" t="s">
        <v>1042</v>
      </c>
      <c r="I477" s="21">
        <v>28092</v>
      </c>
      <c r="J477" s="15">
        <v>49</v>
      </c>
      <c r="K477" s="16" t="s">
        <v>1097</v>
      </c>
      <c r="L477" s="16" t="s">
        <v>1102</v>
      </c>
      <c r="M477" s="22" t="s">
        <v>1099</v>
      </c>
      <c r="N477" s="23"/>
      <c r="O477" s="19" t="s">
        <v>1100</v>
      </c>
      <c r="P477" s="19" t="s">
        <v>1100</v>
      </c>
      <c r="Q477" s="13" t="s">
        <v>1100</v>
      </c>
      <c r="R477" s="11"/>
      <c r="S477" s="11" t="s">
        <v>1100</v>
      </c>
      <c r="T477" s="13" t="str">
        <f t="shared" si="7"/>
        <v/>
      </c>
      <c r="U477" s="11" t="s">
        <v>1100</v>
      </c>
      <c r="V477" s="11" t="s">
        <v>1100</v>
      </c>
      <c r="W477" s="11" t="s">
        <v>1100</v>
      </c>
      <c r="X477" s="11" t="s">
        <v>1100</v>
      </c>
      <c r="Y477" s="11" t="s">
        <v>1100</v>
      </c>
      <c r="Z477" s="11" t="s">
        <v>1100</v>
      </c>
      <c r="AA477" s="11" t="s">
        <v>1100</v>
      </c>
      <c r="AB477" s="11" t="s">
        <v>1100</v>
      </c>
      <c r="AC477" s="20" t="s">
        <v>1101</v>
      </c>
    </row>
    <row r="478" spans="2:29" ht="15.75" x14ac:dyDescent="0.25">
      <c r="B478" s="11">
        <v>467</v>
      </c>
      <c r="C478" s="12" t="s">
        <v>95</v>
      </c>
      <c r="D478" s="12" t="s">
        <v>940</v>
      </c>
      <c r="E478" s="12" t="s">
        <v>941</v>
      </c>
      <c r="F478" s="11"/>
      <c r="G478" s="13" t="s">
        <v>1240</v>
      </c>
      <c r="H478" s="13" t="s">
        <v>1042</v>
      </c>
      <c r="I478" s="21">
        <v>28003</v>
      </c>
      <c r="J478" s="15">
        <v>49</v>
      </c>
      <c r="K478" s="16" t="s">
        <v>1103</v>
      </c>
      <c r="L478" s="16" t="s">
        <v>1102</v>
      </c>
      <c r="M478" s="22" t="s">
        <v>1099</v>
      </c>
      <c r="N478" s="23"/>
      <c r="O478" s="19" t="s">
        <v>1100</v>
      </c>
      <c r="P478" s="19" t="s">
        <v>1100</v>
      </c>
      <c r="Q478" s="13" t="s">
        <v>1100</v>
      </c>
      <c r="R478" s="11"/>
      <c r="S478" s="11" t="s">
        <v>1100</v>
      </c>
      <c r="T478" s="13" t="str">
        <f t="shared" si="7"/>
        <v/>
      </c>
      <c r="U478" s="11" t="s">
        <v>1100</v>
      </c>
      <c r="V478" s="11" t="s">
        <v>1100</v>
      </c>
      <c r="W478" s="11" t="s">
        <v>1100</v>
      </c>
      <c r="X478" s="11" t="s">
        <v>1100</v>
      </c>
      <c r="Y478" s="11" t="s">
        <v>1100</v>
      </c>
      <c r="Z478" s="11" t="s">
        <v>1100</v>
      </c>
      <c r="AA478" s="11" t="s">
        <v>1100</v>
      </c>
      <c r="AB478" s="11" t="s">
        <v>1100</v>
      </c>
      <c r="AC478" s="20" t="s">
        <v>1101</v>
      </c>
    </row>
    <row r="479" spans="2:29" ht="15.75" x14ac:dyDescent="0.25">
      <c r="B479" s="11">
        <v>468</v>
      </c>
      <c r="C479" s="12" t="s">
        <v>942</v>
      </c>
      <c r="D479" s="12" t="s">
        <v>518</v>
      </c>
      <c r="E479" s="12" t="s">
        <v>943</v>
      </c>
      <c r="F479" s="11"/>
      <c r="G479" s="13" t="s">
        <v>1238</v>
      </c>
      <c r="H479" s="13" t="s">
        <v>1042</v>
      </c>
      <c r="I479" s="21">
        <v>32411</v>
      </c>
      <c r="J479" s="15">
        <v>37</v>
      </c>
      <c r="K479" s="16" t="s">
        <v>1097</v>
      </c>
      <c r="L479" s="16" t="s">
        <v>1102</v>
      </c>
      <c r="M479" s="22" t="s">
        <v>1099</v>
      </c>
      <c r="N479" s="23"/>
      <c r="O479" s="19" t="s">
        <v>1100</v>
      </c>
      <c r="P479" s="19" t="s">
        <v>1100</v>
      </c>
      <c r="Q479" s="13" t="s">
        <v>1100</v>
      </c>
      <c r="R479" s="11"/>
      <c r="S479" s="11" t="s">
        <v>1100</v>
      </c>
      <c r="T479" s="13" t="str">
        <f t="shared" si="7"/>
        <v/>
      </c>
      <c r="U479" s="11" t="s">
        <v>1100</v>
      </c>
      <c r="V479" s="11" t="s">
        <v>1100</v>
      </c>
      <c r="W479" s="11" t="s">
        <v>1100</v>
      </c>
      <c r="X479" s="11" t="s">
        <v>1100</v>
      </c>
      <c r="Y479" s="11" t="s">
        <v>1100</v>
      </c>
      <c r="Z479" s="11" t="s">
        <v>1100</v>
      </c>
      <c r="AA479" s="11" t="s">
        <v>1100</v>
      </c>
      <c r="AB479" s="11" t="s">
        <v>1100</v>
      </c>
      <c r="AC479" s="20" t="s">
        <v>1101</v>
      </c>
    </row>
    <row r="480" spans="2:29" ht="15.75" x14ac:dyDescent="0.25">
      <c r="B480" s="11">
        <v>469</v>
      </c>
      <c r="C480" s="12" t="s">
        <v>944</v>
      </c>
      <c r="D480" s="12" t="s">
        <v>140</v>
      </c>
      <c r="E480" s="12" t="s">
        <v>945</v>
      </c>
      <c r="F480" s="11"/>
      <c r="G480" s="13" t="s">
        <v>1238</v>
      </c>
      <c r="H480" s="13" t="s">
        <v>1042</v>
      </c>
      <c r="I480" s="21">
        <v>34459</v>
      </c>
      <c r="J480" s="15">
        <v>31</v>
      </c>
      <c r="K480" s="16" t="s">
        <v>1097</v>
      </c>
      <c r="L480" s="16" t="s">
        <v>1108</v>
      </c>
      <c r="M480" s="22" t="s">
        <v>1099</v>
      </c>
      <c r="N480" s="23"/>
      <c r="O480" s="19" t="s">
        <v>1100</v>
      </c>
      <c r="P480" s="19" t="s">
        <v>1100</v>
      </c>
      <c r="Q480" s="13" t="s">
        <v>1100</v>
      </c>
      <c r="R480" s="11"/>
      <c r="S480" s="11" t="s">
        <v>1100</v>
      </c>
      <c r="T480" s="13" t="str">
        <f t="shared" si="7"/>
        <v/>
      </c>
      <c r="U480" s="11" t="s">
        <v>1100</v>
      </c>
      <c r="V480" s="11" t="s">
        <v>1100</v>
      </c>
      <c r="W480" s="11" t="s">
        <v>1100</v>
      </c>
      <c r="X480" s="11" t="s">
        <v>1100</v>
      </c>
      <c r="Y480" s="11" t="s">
        <v>1100</v>
      </c>
      <c r="Z480" s="11" t="s">
        <v>1100</v>
      </c>
      <c r="AA480" s="11" t="s">
        <v>1100</v>
      </c>
      <c r="AB480" s="11" t="s">
        <v>1100</v>
      </c>
      <c r="AC480" s="20" t="s">
        <v>1111</v>
      </c>
    </row>
    <row r="481" spans="2:30" ht="15.75" x14ac:dyDescent="0.25">
      <c r="B481" s="11"/>
      <c r="C481" s="12"/>
      <c r="D481" s="12"/>
      <c r="E481" s="12"/>
      <c r="F481" s="11"/>
      <c r="G481" s="13"/>
      <c r="H481" s="13"/>
      <c r="I481" s="21"/>
      <c r="J481" s="24"/>
      <c r="K481" s="16"/>
      <c r="L481" s="16"/>
      <c r="M481" s="22"/>
      <c r="N481" s="23"/>
      <c r="O481" s="19"/>
      <c r="P481" s="19"/>
      <c r="Q481" s="13"/>
      <c r="R481" s="11"/>
      <c r="S481" s="11"/>
      <c r="T481" s="13" t="str">
        <f t="shared" ref="T481:T483" si="8">IF(J481&gt;59,"/","")</f>
        <v/>
      </c>
      <c r="U481" s="11"/>
      <c r="V481" s="11"/>
      <c r="W481" s="11"/>
      <c r="X481" s="11"/>
      <c r="Y481" s="11"/>
      <c r="Z481" s="11"/>
      <c r="AA481" s="11"/>
      <c r="AB481" s="11"/>
      <c r="AC481" s="20"/>
    </row>
    <row r="482" spans="2:30" ht="15.75" customHeight="1" x14ac:dyDescent="0.25">
      <c r="B482" s="11"/>
      <c r="C482" s="25"/>
      <c r="D482" s="25"/>
      <c r="E482" s="25"/>
      <c r="F482" s="25"/>
      <c r="G482" s="13"/>
      <c r="H482" s="26"/>
      <c r="I482" s="27"/>
      <c r="J482" s="28"/>
      <c r="K482" s="28"/>
      <c r="L482" s="29"/>
      <c r="M482" s="30"/>
      <c r="N482" s="31"/>
      <c r="O482" s="11" t="str">
        <f t="shared" ref="O482" si="9">IF(ISNUMBER(SEARCH("4Ps",AD482)),"/","")</f>
        <v/>
      </c>
      <c r="P482" s="11" t="str">
        <f t="shared" ref="P482" si="10">IF(ISNUMBER(SEARCH("farmer",AD482)),"/","")</f>
        <v/>
      </c>
      <c r="Q482" s="11" t="str">
        <f t="shared" ref="Q482" si="11">IF(ISNUMBER(SEARCH("fish",AD482)),"/","")</f>
        <v/>
      </c>
      <c r="R482" s="11"/>
      <c r="S482" s="11" t="str">
        <f t="shared" ref="S482" si="12">IF(ISNUMBER(SEARCH("indigenous",AD482)),"/","")</f>
        <v/>
      </c>
      <c r="T482" s="13" t="str">
        <f t="shared" si="8"/>
        <v/>
      </c>
      <c r="U482" s="11" t="str">
        <f t="shared" ref="U482" si="13">IF(ISNUMBER(SEARCH("solo",AD482)),"/","")</f>
        <v/>
      </c>
      <c r="V482" s="11" t="str">
        <f t="shared" ref="V482" si="14">IF(ISNUMBER(SEARCH("pregnant",AD482)),"/","")</f>
        <v/>
      </c>
      <c r="W482" s="11" t="str">
        <f t="shared" ref="W482" si="15">IF(ISNUMBER(SEARCH("pwd",AD482)),"/","")</f>
        <v/>
      </c>
      <c r="X482" s="11" t="str">
        <f t="shared" ref="X482" si="16">IF(ISNUMBER(SEARCH("lactating",AD482)),"/","")</f>
        <v/>
      </c>
      <c r="Y482" s="11" t="str">
        <f t="shared" ref="Y482" si="17">IF(ISNUMBER(SEARCH("out",AD482)),"/","")</f>
        <v/>
      </c>
      <c r="Z482" s="11" t="str">
        <f t="shared" ref="Z482" si="18">IF(ISNUMBER(SEARCH("former",AD482)),"/","")</f>
        <v/>
      </c>
      <c r="AA482" s="11" t="str">
        <f t="shared" ref="AA482" si="19">IF(ISNUMBER(SEARCH("pwud",AD482)),"/","")</f>
        <v/>
      </c>
      <c r="AB482" s="11" t="str">
        <f t="shared" ref="AB482" si="20">IF(ISNUMBER(SEARCH("lgbt",AD482)),"/","")</f>
        <v/>
      </c>
      <c r="AC482" s="32"/>
    </row>
    <row r="483" spans="2:30" ht="15.75" customHeight="1" thickBot="1" x14ac:dyDescent="0.3">
      <c r="B483" s="33"/>
      <c r="C483" s="10"/>
      <c r="D483" s="34"/>
      <c r="E483" s="34"/>
      <c r="F483" s="34"/>
      <c r="G483" s="35"/>
      <c r="H483" s="35"/>
      <c r="I483" s="36"/>
      <c r="J483" s="35"/>
      <c r="K483" s="35"/>
      <c r="L483" s="35"/>
      <c r="M483" s="35"/>
      <c r="N483" s="35"/>
      <c r="O483" s="35"/>
      <c r="P483" s="35"/>
      <c r="Q483" s="35"/>
      <c r="R483" s="35"/>
      <c r="S483" s="35"/>
      <c r="T483" s="37" t="str">
        <f t="shared" si="8"/>
        <v/>
      </c>
      <c r="U483" s="35"/>
      <c r="V483" s="35"/>
      <c r="W483" s="35"/>
      <c r="X483" s="35"/>
      <c r="Y483" s="35"/>
      <c r="Z483" s="38"/>
      <c r="AA483" s="38"/>
      <c r="AB483" s="38"/>
      <c r="AC483" s="35"/>
    </row>
    <row r="484" spans="2:30" ht="15.75" customHeight="1" thickBot="1" x14ac:dyDescent="0.3">
      <c r="B484" s="123" t="s">
        <v>1119</v>
      </c>
      <c r="C484" s="118"/>
      <c r="D484" s="118"/>
      <c r="E484" s="118"/>
      <c r="F484" s="118"/>
      <c r="G484" s="124"/>
      <c r="H484" s="125" t="s">
        <v>1120</v>
      </c>
      <c r="I484" s="97"/>
      <c r="J484" s="97"/>
      <c r="K484" s="97"/>
      <c r="L484" s="126"/>
      <c r="M484" s="127" t="s">
        <v>1121</v>
      </c>
      <c r="N484" s="97"/>
      <c r="O484" s="97"/>
      <c r="P484" s="97"/>
      <c r="Q484" s="97"/>
      <c r="R484" s="97"/>
      <c r="S484" s="97"/>
      <c r="T484" s="97"/>
      <c r="U484" s="97"/>
      <c r="V484" s="97"/>
      <c r="W484" s="97"/>
      <c r="X484" s="97"/>
      <c r="Y484" s="97"/>
      <c r="Z484" s="97"/>
      <c r="AA484" s="97"/>
      <c r="AB484" s="97"/>
      <c r="AC484" s="97"/>
      <c r="AD484" s="39"/>
    </row>
    <row r="485" spans="2:30" ht="15.75" customHeight="1" thickBot="1" x14ac:dyDescent="0.3">
      <c r="B485" s="130" t="s">
        <v>1122</v>
      </c>
      <c r="C485" s="106"/>
      <c r="D485" s="131"/>
      <c r="E485" s="132" t="s">
        <v>1123</v>
      </c>
      <c r="F485" s="133" t="s">
        <v>1124</v>
      </c>
      <c r="G485" s="124"/>
      <c r="H485" s="134" t="s">
        <v>1122</v>
      </c>
      <c r="I485" s="135"/>
      <c r="J485" s="137" t="s">
        <v>1123</v>
      </c>
      <c r="K485" s="139" t="s">
        <v>1124</v>
      </c>
      <c r="L485" s="124"/>
      <c r="M485" s="128"/>
      <c r="N485" s="129"/>
      <c r="O485" s="129"/>
      <c r="P485" s="129"/>
      <c r="Q485" s="129"/>
      <c r="R485" s="129"/>
      <c r="S485" s="129"/>
      <c r="T485" s="129"/>
      <c r="U485" s="129"/>
      <c r="V485" s="129"/>
      <c r="W485" s="129"/>
      <c r="X485" s="129"/>
      <c r="Y485" s="129"/>
      <c r="Z485" s="129"/>
      <c r="AA485" s="129"/>
      <c r="AB485" s="129"/>
      <c r="AC485" s="97"/>
      <c r="AD485" s="39"/>
    </row>
    <row r="486" spans="2:30" ht="15.75" customHeight="1" thickBot="1" x14ac:dyDescent="0.3">
      <c r="B486" s="128"/>
      <c r="C486" s="97"/>
      <c r="D486" s="126"/>
      <c r="E486" s="128"/>
      <c r="F486" s="40" t="s">
        <v>1125</v>
      </c>
      <c r="G486" s="41" t="s">
        <v>1126</v>
      </c>
      <c r="H486" s="97"/>
      <c r="I486" s="136"/>
      <c r="J486" s="138"/>
      <c r="K486" s="42" t="s">
        <v>1125</v>
      </c>
      <c r="L486" s="43" t="s">
        <v>1126</v>
      </c>
      <c r="M486" s="128"/>
      <c r="N486" s="129"/>
      <c r="O486" s="129"/>
      <c r="P486" s="129"/>
      <c r="Q486" s="129"/>
      <c r="R486" s="129"/>
      <c r="S486" s="129"/>
      <c r="T486" s="129"/>
      <c r="U486" s="129"/>
      <c r="V486" s="129"/>
      <c r="W486" s="129"/>
      <c r="X486" s="129"/>
      <c r="Y486" s="129"/>
      <c r="Z486" s="129"/>
      <c r="AA486" s="129"/>
      <c r="AB486" s="129"/>
      <c r="AC486" s="97"/>
      <c r="AD486" s="39"/>
    </row>
    <row r="487" spans="2:30" ht="18.75" customHeight="1" x14ac:dyDescent="0.25">
      <c r="B487" s="140" t="s">
        <v>1127</v>
      </c>
      <c r="C487" s="141" t="s">
        <v>1075</v>
      </c>
      <c r="D487" s="142"/>
      <c r="E487" s="44">
        <f>SUM(F487:G487)</f>
        <v>371</v>
      </c>
      <c r="F487" s="45">
        <f>COUNTIFS($K$12:$K$482,$F$486,$M$12:$M$482,"/")</f>
        <v>190</v>
      </c>
      <c r="G487" s="46">
        <f>COUNTIFS($K$12:$K$482,$G$486,$M$12:$M$482,"/")</f>
        <v>181</v>
      </c>
      <c r="H487" s="143" t="s">
        <v>1128</v>
      </c>
      <c r="I487" s="142"/>
      <c r="J487" s="47" t="str">
        <f t="shared" ref="J487:J497" si="21">IF(SUM(K487:L487)=0,"0",SUM(K487:L487))</f>
        <v>0</v>
      </c>
      <c r="K487" s="48">
        <f>COUNTIFS($K$12:$K484,"MALE",$W$12:$W484,"A")</f>
        <v>0</v>
      </c>
      <c r="L487" s="49">
        <f>COUNTIFS($K$12:$K484,"FEMALE",$W$12:$W484,"A")</f>
        <v>0</v>
      </c>
      <c r="M487" s="128"/>
      <c r="N487" s="129"/>
      <c r="O487" s="129"/>
      <c r="P487" s="129"/>
      <c r="Q487" s="129"/>
      <c r="R487" s="129"/>
      <c r="S487" s="129"/>
      <c r="T487" s="129"/>
      <c r="U487" s="129"/>
      <c r="V487" s="129"/>
      <c r="W487" s="129"/>
      <c r="X487" s="129"/>
      <c r="Y487" s="129"/>
      <c r="Z487" s="129"/>
      <c r="AA487" s="129"/>
      <c r="AB487" s="129"/>
      <c r="AC487" s="97"/>
      <c r="AD487" s="39"/>
    </row>
    <row r="488" spans="2:30" ht="18.75" customHeight="1" x14ac:dyDescent="0.25">
      <c r="B488" s="103"/>
      <c r="C488" s="144" t="s">
        <v>1076</v>
      </c>
      <c r="D488" s="145"/>
      <c r="E488" s="50">
        <f>SUM(F488:G488)</f>
        <v>98</v>
      </c>
      <c r="F488" s="51">
        <f>COUNTIFS($K$12:$K$482,$F$486,$N$12:$N$482,"/")</f>
        <v>44</v>
      </c>
      <c r="G488" s="52">
        <f>COUNTIFS($K$12:$K$482,$G$486,$N$12:$N$482,"/")</f>
        <v>54</v>
      </c>
      <c r="H488" s="146" t="s">
        <v>1129</v>
      </c>
      <c r="I488" s="145"/>
      <c r="J488" s="53" t="str">
        <f t="shared" si="21"/>
        <v>0</v>
      </c>
      <c r="K488" s="54">
        <f>COUNTIFS($K$12:$K484,"MALE",$W$12:$W484,"B")</f>
        <v>0</v>
      </c>
      <c r="L488" s="55">
        <f>COUNTIFS($K$12:$K484,"FEMALE",$W$12:$W484,"B")</f>
        <v>0</v>
      </c>
      <c r="M488" s="128"/>
      <c r="N488" s="129"/>
      <c r="O488" s="129"/>
      <c r="P488" s="129"/>
      <c r="Q488" s="129"/>
      <c r="R488" s="129"/>
      <c r="S488" s="129"/>
      <c r="T488" s="129"/>
      <c r="U488" s="129"/>
      <c r="V488" s="129"/>
      <c r="W488" s="129"/>
      <c r="X488" s="129"/>
      <c r="Y488" s="129"/>
      <c r="Z488" s="129"/>
      <c r="AA488" s="129"/>
      <c r="AB488" s="129"/>
      <c r="AC488" s="97"/>
      <c r="AD488" s="39"/>
    </row>
    <row r="489" spans="2:30" ht="15.75" customHeight="1" thickBot="1" x14ac:dyDescent="0.3">
      <c r="B489" s="103"/>
      <c r="C489" s="147" t="s">
        <v>1123</v>
      </c>
      <c r="D489" s="148"/>
      <c r="E489" s="56">
        <f>IF(SUM(E487:E488)=SUM(F489:G489),SUM(E487:E488),"Something's Wrong")</f>
        <v>469</v>
      </c>
      <c r="F489" s="57">
        <f>SUM(F487:F488)</f>
        <v>234</v>
      </c>
      <c r="G489" s="58">
        <f>SUM(G487:G488)</f>
        <v>235</v>
      </c>
      <c r="H489" s="146" t="s">
        <v>1130</v>
      </c>
      <c r="I489" s="145"/>
      <c r="J489" s="53" t="str">
        <f t="shared" si="21"/>
        <v>0</v>
      </c>
      <c r="K489" s="54">
        <f>COUNTIFS($K$12:$K484,"MALE",$W$12:$W484,"C")</f>
        <v>0</v>
      </c>
      <c r="L489" s="55">
        <f>COUNTIFS($K$12:$K484,"FEMALE",$W$12:$W484,"C")</f>
        <v>0</v>
      </c>
      <c r="M489" s="128"/>
      <c r="N489" s="129"/>
      <c r="O489" s="129"/>
      <c r="P489" s="129"/>
      <c r="Q489" s="129"/>
      <c r="R489" s="129"/>
      <c r="S489" s="129"/>
      <c r="T489" s="129"/>
      <c r="U489" s="129"/>
      <c r="V489" s="129"/>
      <c r="W489" s="129"/>
      <c r="X489" s="129"/>
      <c r="Y489" s="129"/>
      <c r="Z489" s="129"/>
      <c r="AA489" s="129"/>
      <c r="AB489" s="129"/>
      <c r="AC489" s="97"/>
      <c r="AD489" s="39"/>
    </row>
    <row r="490" spans="2:30" ht="15.75" customHeight="1" x14ac:dyDescent="0.25">
      <c r="B490" s="140" t="s">
        <v>1131</v>
      </c>
      <c r="C490" s="150" t="s">
        <v>1082</v>
      </c>
      <c r="D490" s="142"/>
      <c r="E490" s="44">
        <f t="shared" ref="E490:E502" si="22">IF(SUM(F490:G490)=0,"0",SUM(F490:G490))</f>
        <v>65</v>
      </c>
      <c r="F490" s="59">
        <f>COUNTIFS($K$12:$K$482,$F$486,$O$12:$O$482,"/")</f>
        <v>27</v>
      </c>
      <c r="G490" s="60">
        <f>COUNTIFS($K$12:$K$482,$G$486,$O$12:$O$482,"/")</f>
        <v>38</v>
      </c>
      <c r="H490" s="146" t="s">
        <v>1132</v>
      </c>
      <c r="I490" s="145"/>
      <c r="J490" s="53" t="str">
        <f t="shared" si="21"/>
        <v>0</v>
      </c>
      <c r="K490" s="54">
        <f>COUNTIFS($K$12:$K484,"MALE",$W$12:$W484,"D")</f>
        <v>0</v>
      </c>
      <c r="L490" s="55">
        <f>COUNTIFS($K$12:$K484,"FEMALE",$W$12:$W484,"D")</f>
        <v>0</v>
      </c>
      <c r="M490" s="128"/>
      <c r="N490" s="129"/>
      <c r="O490" s="129"/>
      <c r="P490" s="129"/>
      <c r="Q490" s="129"/>
      <c r="R490" s="129"/>
      <c r="S490" s="129"/>
      <c r="T490" s="129"/>
      <c r="U490" s="129"/>
      <c r="V490" s="129"/>
      <c r="W490" s="129"/>
      <c r="X490" s="129"/>
      <c r="Y490" s="129"/>
      <c r="Z490" s="129"/>
      <c r="AA490" s="129"/>
      <c r="AB490" s="129"/>
      <c r="AC490" s="97"/>
      <c r="AD490" s="39"/>
    </row>
    <row r="491" spans="2:30" ht="15.75" customHeight="1" x14ac:dyDescent="0.25">
      <c r="B491" s="103"/>
      <c r="C491" s="151" t="s">
        <v>1133</v>
      </c>
      <c r="D491" s="145"/>
      <c r="E491" s="50">
        <f t="shared" si="22"/>
        <v>39</v>
      </c>
      <c r="F491" s="51">
        <f>COUNTIFS($K$12:$K$482,$F$486,$P$12:$P$482,"/")</f>
        <v>28</v>
      </c>
      <c r="G491" s="52">
        <f>COUNTIFS($K$12:$K$482,$G$486,$P$12:$P$482,"/")</f>
        <v>11</v>
      </c>
      <c r="H491" s="146" t="s">
        <v>1134</v>
      </c>
      <c r="I491" s="145"/>
      <c r="J491" s="53" t="str">
        <f t="shared" si="21"/>
        <v>0</v>
      </c>
      <c r="K491" s="54">
        <f>COUNTIFS($K$12:$K484,"MALE",$W$12:$W484,"E")</f>
        <v>0</v>
      </c>
      <c r="L491" s="55">
        <f>COUNTIFS($K$12:$K484,"FEMALE",$W$12:$W484,"E")</f>
        <v>0</v>
      </c>
      <c r="M491" s="128"/>
      <c r="N491" s="129"/>
      <c r="O491" s="129"/>
      <c r="P491" s="129"/>
      <c r="Q491" s="129"/>
      <c r="R491" s="129"/>
      <c r="S491" s="129"/>
      <c r="T491" s="129"/>
      <c r="U491" s="129"/>
      <c r="V491" s="129"/>
      <c r="W491" s="129"/>
      <c r="X491" s="129"/>
      <c r="Y491" s="129"/>
      <c r="Z491" s="129"/>
      <c r="AA491" s="129"/>
      <c r="AB491" s="129"/>
      <c r="AC491" s="97"/>
      <c r="AD491" s="39"/>
    </row>
    <row r="492" spans="2:30" ht="15.75" customHeight="1" x14ac:dyDescent="0.25">
      <c r="B492" s="103"/>
      <c r="C492" s="151" t="s">
        <v>1135</v>
      </c>
      <c r="D492" s="145"/>
      <c r="E492" s="50">
        <f t="shared" si="22"/>
        <v>8</v>
      </c>
      <c r="F492" s="51">
        <f>COUNTIFS($K$12:$K$482,$F$486,$Q$12:$Q$482,"/")</f>
        <v>6</v>
      </c>
      <c r="G492" s="52">
        <f>COUNTIFS($K$12:$K$482,$G$486,$Q$12:$Q$482,"/")</f>
        <v>2</v>
      </c>
      <c r="H492" s="146" t="s">
        <v>1136</v>
      </c>
      <c r="I492" s="145"/>
      <c r="J492" s="53" t="str">
        <f t="shared" si="21"/>
        <v>0</v>
      </c>
      <c r="K492" s="54">
        <f>COUNTIFS($K$12:$K484,"MALE",$W$12:$W484,"F")</f>
        <v>0</v>
      </c>
      <c r="L492" s="55">
        <f>COUNTIFS($K$12:$K484,"FEMALE",$W$12:$W484,"F")</f>
        <v>0</v>
      </c>
      <c r="M492" s="128"/>
      <c r="N492" s="129"/>
      <c r="O492" s="129"/>
      <c r="P492" s="129"/>
      <c r="Q492" s="129"/>
      <c r="R492" s="129"/>
      <c r="S492" s="129"/>
      <c r="T492" s="129"/>
      <c r="U492" s="129"/>
      <c r="V492" s="129"/>
      <c r="W492" s="129"/>
      <c r="X492" s="129"/>
      <c r="Y492" s="129"/>
      <c r="Z492" s="129"/>
      <c r="AA492" s="129"/>
      <c r="AB492" s="129"/>
      <c r="AC492" s="97"/>
      <c r="AD492" s="39"/>
    </row>
    <row r="493" spans="2:30" ht="15.75" customHeight="1" x14ac:dyDescent="0.25">
      <c r="B493" s="103"/>
      <c r="C493" s="151" t="s">
        <v>1085</v>
      </c>
      <c r="D493" s="145"/>
      <c r="E493" s="50">
        <f t="shared" si="22"/>
        <v>19</v>
      </c>
      <c r="F493" s="51">
        <f>COUNTIFS(K$12:K$1470,"MALE",R$12:R$1470,"/")</f>
        <v>15</v>
      </c>
      <c r="G493" s="52">
        <f>COUNTIFS(K$12:K$1470,"FEMALE",R$12:R$1470,"/")</f>
        <v>4</v>
      </c>
      <c r="H493" s="146" t="s">
        <v>1137</v>
      </c>
      <c r="I493" s="145"/>
      <c r="J493" s="53" t="str">
        <f t="shared" si="21"/>
        <v>0</v>
      </c>
      <c r="K493" s="54">
        <f>COUNTIFS($K$12:$K484,"MALE",$W$12:$W484,"G")</f>
        <v>0</v>
      </c>
      <c r="L493" s="55">
        <f>COUNTIFS($K$12:$K484,"FEMALE",$W$12:$W484,"G")</f>
        <v>0</v>
      </c>
      <c r="M493" s="128"/>
      <c r="N493" s="129"/>
      <c r="O493" s="129"/>
      <c r="P493" s="129"/>
      <c r="Q493" s="129"/>
      <c r="R493" s="129"/>
      <c r="S493" s="129"/>
      <c r="T493" s="129"/>
      <c r="U493" s="129"/>
      <c r="V493" s="129"/>
      <c r="W493" s="129"/>
      <c r="X493" s="129"/>
      <c r="Y493" s="129"/>
      <c r="Z493" s="129"/>
      <c r="AA493" s="129"/>
      <c r="AB493" s="129"/>
      <c r="AC493" s="97"/>
      <c r="AD493" s="39"/>
    </row>
    <row r="494" spans="2:30" ht="15.75" customHeight="1" x14ac:dyDescent="0.25">
      <c r="B494" s="103"/>
      <c r="C494" s="151" t="s">
        <v>1138</v>
      </c>
      <c r="D494" s="145"/>
      <c r="E494" s="50">
        <f t="shared" si="22"/>
        <v>13</v>
      </c>
      <c r="F494" s="51">
        <f>COUNTIFS(K$12:K$1470,"MALE",S$12:S$1470,"/")</f>
        <v>9</v>
      </c>
      <c r="G494" s="52">
        <f>COUNTIFS(K$12:K$1470,"FEMALE",S$12:S$1470,"/")</f>
        <v>4</v>
      </c>
      <c r="H494" s="146" t="s">
        <v>1139</v>
      </c>
      <c r="I494" s="145"/>
      <c r="J494" s="53" t="str">
        <f t="shared" si="21"/>
        <v>0</v>
      </c>
      <c r="K494" s="54">
        <f>COUNTIFS($K$12:$K484,"MALE",$W$12:$W484,"H")</f>
        <v>0</v>
      </c>
      <c r="L494" s="55">
        <f>COUNTIFS($K$12:$K484,"FEMALE",$W$12:$W484,"H")</f>
        <v>0</v>
      </c>
      <c r="M494" s="128"/>
      <c r="N494" s="97"/>
      <c r="O494" s="97"/>
      <c r="P494" s="97"/>
      <c r="Q494" s="97"/>
      <c r="R494" s="97"/>
      <c r="S494" s="97"/>
      <c r="T494" s="97"/>
      <c r="U494" s="97"/>
      <c r="V494" s="97"/>
      <c r="W494" s="97"/>
      <c r="X494" s="97"/>
      <c r="Y494" s="97"/>
      <c r="Z494" s="97"/>
      <c r="AA494" s="97"/>
      <c r="AB494" s="97"/>
      <c r="AC494" s="97"/>
      <c r="AD494" s="39"/>
    </row>
    <row r="495" spans="2:30" ht="20.25" customHeight="1" x14ac:dyDescent="0.25">
      <c r="B495" s="103"/>
      <c r="C495" s="151" t="s">
        <v>1140</v>
      </c>
      <c r="D495" s="145"/>
      <c r="E495" s="50">
        <f t="shared" si="22"/>
        <v>85</v>
      </c>
      <c r="F495" s="51">
        <f>COUNTIFS($K$12:$K$482,$F$486,$T$12:$T$482,"/")</f>
        <v>42</v>
      </c>
      <c r="G495" s="52">
        <f>COUNTIFS($K$12:$K$482,$G$486,$T$12:$T$482,"/")</f>
        <v>43</v>
      </c>
      <c r="H495" s="146" t="s">
        <v>1141</v>
      </c>
      <c r="I495" s="145"/>
      <c r="J495" s="53" t="str">
        <f t="shared" si="21"/>
        <v>0</v>
      </c>
      <c r="K495" s="54">
        <f>COUNTIFS($K$12:$K484,"MALE",$W$12:$W484,"I")</f>
        <v>0</v>
      </c>
      <c r="L495" s="55">
        <f>COUNTIFS($K$12:$K484,"FEMALE",$W$12:$W484,"I")</f>
        <v>0</v>
      </c>
      <c r="M495" s="152" t="s">
        <v>1142</v>
      </c>
      <c r="N495" s="97"/>
      <c r="O495" s="61"/>
      <c r="P495" s="61"/>
      <c r="Q495" s="61"/>
      <c r="R495" s="153" t="s">
        <v>1143</v>
      </c>
      <c r="S495" s="97"/>
      <c r="T495" s="97"/>
      <c r="U495" s="62"/>
      <c r="V495" s="61"/>
      <c r="W495" s="62"/>
      <c r="X495" s="149" t="s">
        <v>1144</v>
      </c>
      <c r="Y495" s="97"/>
      <c r="Z495" s="97"/>
      <c r="AA495" s="97"/>
      <c r="AB495" s="63"/>
      <c r="AC495" s="64"/>
      <c r="AD495" s="39"/>
    </row>
    <row r="496" spans="2:30" ht="20.25" customHeight="1" x14ac:dyDescent="0.3">
      <c r="B496" s="103"/>
      <c r="C496" s="151" t="s">
        <v>1145</v>
      </c>
      <c r="D496" s="145"/>
      <c r="E496" s="50">
        <f t="shared" si="22"/>
        <v>5</v>
      </c>
      <c r="F496" s="51">
        <f>COUNTIFS($K$12:$K$482,$F$486,$U$12:$U$482,"/")</f>
        <v>2</v>
      </c>
      <c r="G496" s="52">
        <f>COUNTIFS($K$12:$K$482,$G$486,$U$12:$U$482,"/")</f>
        <v>3</v>
      </c>
      <c r="H496" s="146" t="s">
        <v>1146</v>
      </c>
      <c r="I496" s="145"/>
      <c r="J496" s="53" t="str">
        <f t="shared" si="21"/>
        <v>0</v>
      </c>
      <c r="K496" s="54">
        <f>COUNTIFS($K$12:$K484,"MALE",$W$12:$W484,"J")</f>
        <v>0</v>
      </c>
      <c r="L496" s="55">
        <f>COUNTIFS($K$12:$K484,"FEMALE",$W$12:$W484,"J")</f>
        <v>0</v>
      </c>
      <c r="M496" s="157" t="s">
        <v>1147</v>
      </c>
      <c r="N496" s="158"/>
      <c r="O496" s="158"/>
      <c r="P496" s="158"/>
      <c r="Q496" s="158"/>
      <c r="R496" s="158"/>
      <c r="S496" s="158"/>
      <c r="T496" s="159" t="s">
        <v>1148</v>
      </c>
      <c r="U496" s="97"/>
      <c r="V496" s="97"/>
      <c r="W496" s="97"/>
      <c r="X496" s="97"/>
      <c r="Y496" s="62"/>
      <c r="Z496" s="65" t="s">
        <v>1149</v>
      </c>
      <c r="AA496" s="65"/>
      <c r="AB496" s="65"/>
      <c r="AC496" s="66"/>
      <c r="AD496" s="39"/>
    </row>
    <row r="497" spans="2:30" ht="20.25" customHeight="1" x14ac:dyDescent="0.25">
      <c r="B497" s="103"/>
      <c r="C497" s="151" t="s">
        <v>1150</v>
      </c>
      <c r="D497" s="145"/>
      <c r="E497" s="50" t="str">
        <f t="shared" si="22"/>
        <v>0</v>
      </c>
      <c r="F497" s="51">
        <f>COUNTIFS(K$12:K$1470,"MALE",V$12:V$1470,"/")</f>
        <v>0</v>
      </c>
      <c r="G497" s="52">
        <f>COUNTIFS(K$12:K$1470,"FEMALE",V$12:V$1470,"/")</f>
        <v>0</v>
      </c>
      <c r="H497" s="146" t="s">
        <v>1151</v>
      </c>
      <c r="I497" s="145"/>
      <c r="J497" s="53" t="str">
        <f t="shared" si="21"/>
        <v>0</v>
      </c>
      <c r="K497" s="54">
        <f>COUNTIFS($K$12:$K484,"MALE",$W$12:$W484,"K")</f>
        <v>0</v>
      </c>
      <c r="L497" s="55">
        <f>COUNTIFS($K$12:$K484,"FEMALE",$W$12:$W484,"K")</f>
        <v>0</v>
      </c>
      <c r="M497" s="160" t="s">
        <v>1152</v>
      </c>
      <c r="N497" s="97"/>
      <c r="O497" s="97"/>
      <c r="P497" s="97"/>
      <c r="Q497" s="97"/>
      <c r="R497" s="97"/>
      <c r="S497" s="97"/>
      <c r="T497" s="161" t="s">
        <v>1153</v>
      </c>
      <c r="U497" s="97"/>
      <c r="V497" s="97"/>
      <c r="W497" s="97"/>
      <c r="X497" s="97"/>
      <c r="Y497" s="67"/>
      <c r="Z497" s="161" t="s">
        <v>1154</v>
      </c>
      <c r="AA497" s="97"/>
      <c r="AB497" s="97"/>
      <c r="AC497" s="68"/>
      <c r="AD497" s="39"/>
    </row>
    <row r="498" spans="2:30" ht="20.25" customHeight="1" x14ac:dyDescent="0.25">
      <c r="B498" s="103"/>
      <c r="C498" s="151" t="s">
        <v>1155</v>
      </c>
      <c r="D498" s="145"/>
      <c r="E498" s="50">
        <f t="shared" si="22"/>
        <v>1</v>
      </c>
      <c r="F498" s="51">
        <f>COUNTIFS(K$12:K$1470,"MALE",W$12:W$1470,"/")</f>
        <v>0</v>
      </c>
      <c r="G498" s="52">
        <f>COUNTIFS(K$12:K$1470,"FEMALE",W$12:W$1470,"/")</f>
        <v>1</v>
      </c>
      <c r="H498" s="154"/>
      <c r="I498" s="145"/>
      <c r="J498" s="69"/>
      <c r="K498" s="70"/>
      <c r="L498" s="55"/>
      <c r="M498" s="71"/>
      <c r="N498" s="62"/>
      <c r="O498" s="61"/>
      <c r="P498" s="61"/>
      <c r="Q498" s="61"/>
      <c r="R498" s="62"/>
      <c r="S498" s="62"/>
      <c r="T498" s="61"/>
      <c r="U498" s="62"/>
      <c r="V498" s="61"/>
      <c r="W498" s="62"/>
      <c r="X498" s="62"/>
      <c r="Y498" s="62"/>
      <c r="Z498" s="62"/>
      <c r="AA498" s="62"/>
      <c r="AB498" s="62"/>
      <c r="AC498" s="68"/>
      <c r="AD498" s="39"/>
    </row>
    <row r="499" spans="2:30" ht="20.25" customHeight="1" x14ac:dyDescent="0.25">
      <c r="B499" s="103"/>
      <c r="C499" s="151" t="s">
        <v>1156</v>
      </c>
      <c r="D499" s="145"/>
      <c r="E499" s="50" t="str">
        <f t="shared" si="22"/>
        <v>0</v>
      </c>
      <c r="F499" s="51">
        <f>COUNTIFS(K$12:K$1470,"MALE",X$12:X$1470,"/")</f>
        <v>0</v>
      </c>
      <c r="G499" s="52">
        <f>COUNTIFS(K$12:K$1470,"FEMALE",X$12:X$1470,"/")</f>
        <v>0</v>
      </c>
      <c r="H499" s="154"/>
      <c r="I499" s="145"/>
      <c r="J499" s="69"/>
      <c r="K499" s="70"/>
      <c r="L499" s="55"/>
      <c r="M499" s="72" t="s">
        <v>1157</v>
      </c>
      <c r="N499" s="73"/>
      <c r="O499" s="73"/>
      <c r="P499" s="2"/>
      <c r="Q499" s="74"/>
      <c r="R499" s="75"/>
      <c r="S499" s="75"/>
      <c r="T499" s="74"/>
      <c r="U499" s="75"/>
      <c r="V499" s="74"/>
      <c r="W499" s="62" t="s">
        <v>1158</v>
      </c>
      <c r="X499" s="62"/>
      <c r="Y499" s="62"/>
      <c r="Z499" s="62"/>
      <c r="AA499" s="62"/>
      <c r="AB499" s="62"/>
      <c r="AC499" s="76"/>
      <c r="AD499" s="39"/>
    </row>
    <row r="500" spans="2:30" ht="20.25" customHeight="1" x14ac:dyDescent="0.3">
      <c r="B500" s="103"/>
      <c r="C500" s="151" t="s">
        <v>1159</v>
      </c>
      <c r="D500" s="145"/>
      <c r="E500" s="50" t="str">
        <f t="shared" si="22"/>
        <v>0</v>
      </c>
      <c r="F500" s="51">
        <f>COUNTIFS(K$12:K$1470,"MALE",Y$12:Y$1470,"/")</f>
        <v>0</v>
      </c>
      <c r="G500" s="52">
        <f>COUNTIFS(K$12:K$1470,"FEMALE",Y$12:Y$1470,"/")</f>
        <v>0</v>
      </c>
      <c r="H500" s="154"/>
      <c r="I500" s="145"/>
      <c r="J500" s="69"/>
      <c r="K500" s="70"/>
      <c r="L500" s="55"/>
      <c r="M500" s="155" t="s">
        <v>1160</v>
      </c>
      <c r="N500" s="129"/>
      <c r="O500" s="129"/>
      <c r="P500" s="129"/>
      <c r="Q500" s="129"/>
      <c r="R500" s="129"/>
      <c r="S500" s="129"/>
      <c r="T500" s="129"/>
      <c r="U500" s="75"/>
      <c r="V500" s="77"/>
      <c r="W500" s="156" t="s">
        <v>1161</v>
      </c>
      <c r="X500" s="129"/>
      <c r="Y500" s="129"/>
      <c r="Z500" s="129"/>
      <c r="AA500" s="129"/>
      <c r="AB500" s="129"/>
      <c r="AC500" s="78"/>
      <c r="AD500" s="39"/>
    </row>
    <row r="501" spans="2:30" ht="20.25" customHeight="1" x14ac:dyDescent="0.25">
      <c r="B501" s="103"/>
      <c r="C501" s="151" t="s">
        <v>1162</v>
      </c>
      <c r="D501" s="145"/>
      <c r="E501" s="50" t="str">
        <f t="shared" si="22"/>
        <v>0</v>
      </c>
      <c r="F501" s="51">
        <f>COUNTIFS(K$12:K$1470,"MALE",Z$12:Z$1470,"/")</f>
        <v>0</v>
      </c>
      <c r="G501" s="52">
        <f>COUNTIFS(K$12:K$1470,"FEMALE",Z$12:Z$1470,"/")</f>
        <v>0</v>
      </c>
      <c r="H501" s="154"/>
      <c r="I501" s="145"/>
      <c r="J501" s="69"/>
      <c r="K501" s="70"/>
      <c r="L501" s="79"/>
      <c r="M501" s="162" t="s">
        <v>1163</v>
      </c>
      <c r="N501" s="129"/>
      <c r="O501" s="129"/>
      <c r="P501" s="129"/>
      <c r="Q501" s="129"/>
      <c r="R501" s="129"/>
      <c r="S501" s="129"/>
      <c r="T501" s="129"/>
      <c r="U501" s="80"/>
      <c r="V501" s="81"/>
      <c r="W501" s="163" t="s">
        <v>1164</v>
      </c>
      <c r="X501" s="129"/>
      <c r="Y501" s="129"/>
      <c r="Z501" s="129"/>
      <c r="AA501" s="129"/>
      <c r="AB501" s="129"/>
      <c r="AC501" s="68"/>
      <c r="AD501" s="39"/>
    </row>
    <row r="502" spans="2:30" ht="20.25" customHeight="1" thickBot="1" x14ac:dyDescent="0.3">
      <c r="B502" s="104"/>
      <c r="C502" s="164" t="s">
        <v>1165</v>
      </c>
      <c r="D502" s="165"/>
      <c r="E502" s="82" t="str">
        <f t="shared" si="22"/>
        <v>0</v>
      </c>
      <c r="F502" s="83">
        <f>COUNTIFS(K$12:K$1470,"MALE",AA$12:AA$1470,"/")</f>
        <v>0</v>
      </c>
      <c r="G502" s="84">
        <f>COUNTIFS(K$12:K$1470,"FEMALE",AA$12:AA$1470,"/")</f>
        <v>0</v>
      </c>
      <c r="H502" s="166"/>
      <c r="I502" s="165"/>
      <c r="J502" s="85"/>
      <c r="K502" s="86"/>
      <c r="L502" s="87"/>
      <c r="M502" s="88"/>
      <c r="N502" s="88"/>
      <c r="O502" s="88"/>
      <c r="P502" s="88"/>
      <c r="Q502" s="88"/>
      <c r="R502" s="88"/>
      <c r="S502" s="89"/>
      <c r="T502" s="90"/>
      <c r="U502" s="89"/>
      <c r="V502" s="89"/>
      <c r="W502" s="89"/>
      <c r="X502" s="89"/>
      <c r="Y502" s="89"/>
      <c r="Z502" s="89"/>
      <c r="AA502" s="89"/>
      <c r="AB502" s="89"/>
      <c r="AC502" s="91"/>
      <c r="AD502" s="39"/>
    </row>
    <row r="503" spans="2:30" ht="20.25" customHeight="1" x14ac:dyDescent="0.25">
      <c r="J503" s="92"/>
      <c r="L503" s="92"/>
      <c r="M503" s="93"/>
      <c r="N503" s="94"/>
      <c r="O503" s="94"/>
      <c r="P503" s="94"/>
      <c r="Q503" s="94"/>
      <c r="R503" s="94"/>
      <c r="S503" s="94"/>
      <c r="T503" s="94"/>
      <c r="U503" s="94"/>
      <c r="V503" s="94"/>
      <c r="W503" s="94"/>
      <c r="X503" s="94"/>
      <c r="Y503" s="94"/>
      <c r="Z503" s="94"/>
      <c r="AA503" s="94"/>
      <c r="AB503" s="94"/>
      <c r="AC503" s="68"/>
    </row>
    <row r="504" spans="2:30" ht="15.75" customHeight="1" x14ac:dyDescent="0.25">
      <c r="J504" s="92"/>
      <c r="L504" s="92"/>
      <c r="AC504" s="92"/>
    </row>
    <row r="505" spans="2:30" ht="15.75" customHeight="1" x14ac:dyDescent="0.25">
      <c r="J505" s="92"/>
      <c r="L505" s="92"/>
      <c r="AC505" s="92"/>
    </row>
    <row r="506" spans="2:30" ht="15.75" customHeight="1" x14ac:dyDescent="0.25">
      <c r="J506" s="92"/>
      <c r="L506" s="92"/>
      <c r="AC506" s="92"/>
    </row>
    <row r="507" spans="2:30" ht="15.75" customHeight="1" x14ac:dyDescent="0.25">
      <c r="J507" s="92"/>
      <c r="L507" s="92"/>
      <c r="AC507" s="92"/>
    </row>
    <row r="508" spans="2:30" ht="15.75" customHeight="1" x14ac:dyDescent="0.25">
      <c r="J508" s="92"/>
      <c r="L508" s="92"/>
      <c r="AC508" s="92"/>
    </row>
    <row r="509" spans="2:30" ht="15.75" customHeight="1" x14ac:dyDescent="0.25">
      <c r="J509" s="92"/>
      <c r="L509" s="92"/>
      <c r="AC509" s="92"/>
    </row>
    <row r="510" spans="2:30" ht="15.75" customHeight="1" x14ac:dyDescent="0.25">
      <c r="J510" s="92"/>
      <c r="L510" s="92"/>
      <c r="AC510" s="92"/>
    </row>
    <row r="511" spans="2:30" ht="15.75" customHeight="1" x14ac:dyDescent="0.25">
      <c r="J511" s="92"/>
      <c r="L511" s="92"/>
      <c r="AC511" s="92"/>
    </row>
    <row r="512" spans="2:30" ht="15.75" customHeight="1" x14ac:dyDescent="0.25">
      <c r="J512" s="92"/>
      <c r="L512" s="92"/>
      <c r="AC512" s="92"/>
    </row>
    <row r="513" spans="10:29" ht="15.75" customHeight="1" x14ac:dyDescent="0.25">
      <c r="J513" s="92"/>
      <c r="L513" s="92"/>
      <c r="AC513" s="92"/>
    </row>
    <row r="514" spans="10:29" ht="15.75" customHeight="1" x14ac:dyDescent="0.25">
      <c r="J514" s="92"/>
      <c r="L514" s="92"/>
      <c r="AC514" s="92"/>
    </row>
    <row r="515" spans="10:29" ht="15.75" customHeight="1" x14ac:dyDescent="0.25">
      <c r="J515" s="92"/>
      <c r="L515" s="92"/>
      <c r="AC515" s="92"/>
    </row>
    <row r="516" spans="10:29" ht="15.75" customHeight="1" x14ac:dyDescent="0.25">
      <c r="J516" s="92"/>
      <c r="L516" s="92"/>
      <c r="AC516" s="92"/>
    </row>
    <row r="517" spans="10:29" ht="15.75" customHeight="1" x14ac:dyDescent="0.25">
      <c r="J517" s="92"/>
      <c r="L517" s="92"/>
      <c r="AC517" s="92"/>
    </row>
    <row r="518" spans="10:29" ht="15.75" customHeight="1" x14ac:dyDescent="0.25">
      <c r="J518" s="92"/>
      <c r="L518" s="92"/>
      <c r="AC518" s="92"/>
    </row>
    <row r="519" spans="10:29" ht="15.75" customHeight="1" x14ac:dyDescent="0.25">
      <c r="J519" s="92"/>
      <c r="L519" s="92"/>
      <c r="AC519" s="92"/>
    </row>
    <row r="520" spans="10:29" ht="15.75" customHeight="1" x14ac:dyDescent="0.25">
      <c r="J520" s="92"/>
      <c r="L520" s="92"/>
      <c r="AC520" s="92"/>
    </row>
    <row r="521" spans="10:29" ht="15.75" customHeight="1" x14ac:dyDescent="0.25">
      <c r="J521" s="92"/>
      <c r="L521" s="92"/>
      <c r="AC521" s="92"/>
    </row>
    <row r="522" spans="10:29" ht="15.75" customHeight="1" x14ac:dyDescent="0.25">
      <c r="J522" s="92"/>
      <c r="L522" s="92"/>
      <c r="AC522" s="92"/>
    </row>
    <row r="523" spans="10:29" ht="15.75" customHeight="1" x14ac:dyDescent="0.25">
      <c r="J523" s="92"/>
      <c r="L523" s="92"/>
      <c r="AC523" s="92"/>
    </row>
    <row r="524" spans="10:29" ht="15.75" customHeight="1" x14ac:dyDescent="0.25">
      <c r="J524" s="92"/>
      <c r="L524" s="92"/>
      <c r="AC524" s="92"/>
    </row>
    <row r="525" spans="10:29" ht="15.75" customHeight="1" x14ac:dyDescent="0.25">
      <c r="J525" s="92"/>
      <c r="L525" s="92"/>
      <c r="AC525" s="92"/>
    </row>
    <row r="526" spans="10:29" ht="15.75" customHeight="1" x14ac:dyDescent="0.25">
      <c r="J526" s="92"/>
      <c r="L526" s="92"/>
      <c r="AC526" s="92"/>
    </row>
    <row r="527" spans="10:29" ht="15.75" customHeight="1" x14ac:dyDescent="0.25">
      <c r="J527" s="92"/>
      <c r="L527" s="92"/>
      <c r="AC527" s="92"/>
    </row>
    <row r="528" spans="10:29" ht="15.75" customHeight="1" x14ac:dyDescent="0.25">
      <c r="J528" s="92"/>
      <c r="L528" s="92"/>
      <c r="AC528" s="92"/>
    </row>
    <row r="529" spans="10:29" ht="15.75" customHeight="1" x14ac:dyDescent="0.25">
      <c r="J529" s="92"/>
      <c r="L529" s="92"/>
      <c r="AC529" s="92"/>
    </row>
    <row r="530" spans="10:29" ht="15.75" customHeight="1" x14ac:dyDescent="0.25">
      <c r="J530" s="92"/>
      <c r="L530" s="92"/>
      <c r="AC530" s="92"/>
    </row>
    <row r="531" spans="10:29" ht="15.75" customHeight="1" x14ac:dyDescent="0.25">
      <c r="J531" s="92"/>
      <c r="L531" s="92"/>
      <c r="AC531" s="92"/>
    </row>
    <row r="532" spans="10:29" ht="15.75" customHeight="1" x14ac:dyDescent="0.25">
      <c r="J532" s="92"/>
      <c r="L532" s="92"/>
      <c r="AC532" s="92"/>
    </row>
    <row r="533" spans="10:29" ht="15.75" customHeight="1" x14ac:dyDescent="0.25">
      <c r="J533" s="92"/>
      <c r="L533" s="92"/>
      <c r="AC533" s="92"/>
    </row>
    <row r="534" spans="10:29" ht="15.75" customHeight="1" x14ac:dyDescent="0.25">
      <c r="J534" s="92"/>
      <c r="L534" s="92"/>
      <c r="AC534" s="92"/>
    </row>
    <row r="535" spans="10:29" ht="15.75" customHeight="1" x14ac:dyDescent="0.25">
      <c r="J535" s="92"/>
      <c r="L535" s="92"/>
      <c r="AC535" s="92"/>
    </row>
    <row r="536" spans="10:29" ht="15.75" customHeight="1" x14ac:dyDescent="0.25">
      <c r="J536" s="92"/>
      <c r="L536" s="92"/>
      <c r="AC536" s="92"/>
    </row>
    <row r="537" spans="10:29" ht="15.75" customHeight="1" x14ac:dyDescent="0.25">
      <c r="J537" s="92"/>
      <c r="L537" s="92"/>
      <c r="AC537" s="92"/>
    </row>
    <row r="538" spans="10:29" ht="15.75" customHeight="1" x14ac:dyDescent="0.25">
      <c r="J538" s="92"/>
      <c r="L538" s="92"/>
      <c r="AC538" s="92"/>
    </row>
    <row r="539" spans="10:29" ht="15.75" customHeight="1" x14ac:dyDescent="0.25">
      <c r="J539" s="92"/>
      <c r="L539" s="92"/>
      <c r="AC539" s="92"/>
    </row>
    <row r="540" spans="10:29" ht="15.75" customHeight="1" x14ac:dyDescent="0.25">
      <c r="J540" s="92"/>
      <c r="L540" s="92"/>
      <c r="AC540" s="92"/>
    </row>
    <row r="541" spans="10:29" ht="15.75" customHeight="1" x14ac:dyDescent="0.25">
      <c r="J541" s="92"/>
      <c r="L541" s="92"/>
      <c r="AC541" s="92"/>
    </row>
    <row r="542" spans="10:29" ht="15.75" customHeight="1" x14ac:dyDescent="0.25">
      <c r="J542" s="92"/>
      <c r="L542" s="92"/>
      <c r="AC542" s="92"/>
    </row>
    <row r="543" spans="10:29" ht="15.75" customHeight="1" x14ac:dyDescent="0.25">
      <c r="J543" s="92"/>
      <c r="L543" s="92"/>
      <c r="AC543" s="92"/>
    </row>
    <row r="544" spans="10:29" ht="15.75" customHeight="1" x14ac:dyDescent="0.25">
      <c r="J544" s="92"/>
      <c r="L544" s="92"/>
      <c r="AC544" s="92"/>
    </row>
    <row r="545" spans="10:29" ht="15.75" customHeight="1" x14ac:dyDescent="0.25">
      <c r="J545" s="92"/>
      <c r="L545" s="92"/>
      <c r="AC545" s="92"/>
    </row>
    <row r="546" spans="10:29" ht="15.75" customHeight="1" x14ac:dyDescent="0.25">
      <c r="J546" s="92"/>
      <c r="L546" s="92"/>
      <c r="AC546" s="92"/>
    </row>
    <row r="547" spans="10:29" ht="15.75" customHeight="1" x14ac:dyDescent="0.25">
      <c r="J547" s="92"/>
      <c r="L547" s="92"/>
      <c r="AC547" s="92"/>
    </row>
    <row r="548" spans="10:29" ht="15.75" customHeight="1" x14ac:dyDescent="0.25">
      <c r="J548" s="92"/>
      <c r="L548" s="92"/>
      <c r="AC548" s="92"/>
    </row>
    <row r="549" spans="10:29" ht="15.75" customHeight="1" x14ac:dyDescent="0.25">
      <c r="J549" s="92"/>
      <c r="L549" s="92"/>
      <c r="AC549" s="92"/>
    </row>
    <row r="550" spans="10:29" ht="15.75" customHeight="1" x14ac:dyDescent="0.25">
      <c r="J550" s="92"/>
      <c r="L550" s="92"/>
      <c r="AC550" s="92"/>
    </row>
    <row r="551" spans="10:29" ht="15.75" customHeight="1" x14ac:dyDescent="0.25">
      <c r="J551" s="92"/>
      <c r="L551" s="92"/>
      <c r="AC551" s="92"/>
    </row>
    <row r="552" spans="10:29" ht="15.75" customHeight="1" x14ac:dyDescent="0.25">
      <c r="J552" s="92"/>
      <c r="L552" s="92"/>
      <c r="AC552" s="92"/>
    </row>
    <row r="553" spans="10:29" ht="15.75" customHeight="1" x14ac:dyDescent="0.25">
      <c r="J553" s="92"/>
      <c r="L553" s="92"/>
      <c r="AC553" s="92"/>
    </row>
    <row r="554" spans="10:29" ht="15.75" customHeight="1" x14ac:dyDescent="0.25">
      <c r="J554" s="92"/>
      <c r="L554" s="92"/>
      <c r="AC554" s="92"/>
    </row>
    <row r="555" spans="10:29" ht="15.75" customHeight="1" x14ac:dyDescent="0.25">
      <c r="J555" s="92"/>
      <c r="L555" s="92"/>
      <c r="AC555" s="92"/>
    </row>
    <row r="556" spans="10:29" ht="15.75" customHeight="1" x14ac:dyDescent="0.25">
      <c r="J556" s="92"/>
      <c r="L556" s="92"/>
      <c r="AC556" s="92"/>
    </row>
    <row r="557" spans="10:29" ht="15.75" customHeight="1" x14ac:dyDescent="0.25">
      <c r="J557" s="92"/>
      <c r="L557" s="92"/>
      <c r="AC557" s="92"/>
    </row>
    <row r="558" spans="10:29" ht="15.75" customHeight="1" x14ac:dyDescent="0.25">
      <c r="J558" s="92"/>
      <c r="L558" s="92"/>
      <c r="AC558" s="92"/>
    </row>
    <row r="559" spans="10:29" ht="15.75" customHeight="1" x14ac:dyDescent="0.25">
      <c r="J559" s="92"/>
      <c r="L559" s="92"/>
      <c r="AC559" s="92"/>
    </row>
    <row r="560" spans="10:29" ht="15.75" customHeight="1" x14ac:dyDescent="0.25">
      <c r="J560" s="92"/>
      <c r="L560" s="92"/>
      <c r="AC560" s="92"/>
    </row>
    <row r="561" spans="10:29" ht="15.75" customHeight="1" x14ac:dyDescent="0.25">
      <c r="J561" s="92"/>
      <c r="L561" s="92"/>
      <c r="AC561" s="92"/>
    </row>
    <row r="562" spans="10:29" ht="15.75" customHeight="1" x14ac:dyDescent="0.25">
      <c r="J562" s="92"/>
      <c r="L562" s="92"/>
      <c r="AC562" s="92"/>
    </row>
    <row r="563" spans="10:29" ht="15.75" customHeight="1" x14ac:dyDescent="0.25">
      <c r="J563" s="92"/>
      <c r="L563" s="92"/>
      <c r="AC563" s="92"/>
    </row>
    <row r="564" spans="10:29" ht="15.75" customHeight="1" x14ac:dyDescent="0.25">
      <c r="J564" s="92"/>
      <c r="L564" s="92"/>
      <c r="AC564" s="92"/>
    </row>
    <row r="565" spans="10:29" ht="15.75" customHeight="1" x14ac:dyDescent="0.25">
      <c r="J565" s="92"/>
      <c r="L565" s="92"/>
      <c r="AC565" s="92"/>
    </row>
    <row r="566" spans="10:29" ht="15.75" customHeight="1" x14ac:dyDescent="0.25">
      <c r="J566" s="92"/>
      <c r="L566" s="92"/>
      <c r="AC566" s="92"/>
    </row>
    <row r="567" spans="10:29" ht="15.75" customHeight="1" x14ac:dyDescent="0.25">
      <c r="J567" s="92"/>
      <c r="L567" s="92"/>
      <c r="AC567" s="92"/>
    </row>
    <row r="568" spans="10:29" ht="15.75" customHeight="1" x14ac:dyDescent="0.25">
      <c r="J568" s="92"/>
      <c r="L568" s="92"/>
      <c r="AC568" s="92"/>
    </row>
    <row r="569" spans="10:29" ht="15.75" customHeight="1" x14ac:dyDescent="0.25">
      <c r="J569" s="92"/>
      <c r="L569" s="92"/>
      <c r="AC569" s="92"/>
    </row>
    <row r="570" spans="10:29" ht="15.75" customHeight="1" x14ac:dyDescent="0.25">
      <c r="J570" s="92"/>
      <c r="L570" s="92"/>
      <c r="AC570" s="92"/>
    </row>
    <row r="571" spans="10:29" ht="15.75" customHeight="1" x14ac:dyDescent="0.25">
      <c r="J571" s="92"/>
      <c r="L571" s="92"/>
      <c r="AC571" s="92"/>
    </row>
    <row r="572" spans="10:29" ht="15.75" customHeight="1" x14ac:dyDescent="0.25">
      <c r="J572" s="92"/>
      <c r="L572" s="92"/>
      <c r="AC572" s="92"/>
    </row>
    <row r="573" spans="10:29" ht="15.75" customHeight="1" x14ac:dyDescent="0.25">
      <c r="J573" s="92"/>
      <c r="L573" s="92"/>
      <c r="AC573" s="92"/>
    </row>
    <row r="574" spans="10:29" ht="15.75" customHeight="1" x14ac:dyDescent="0.25">
      <c r="J574" s="92"/>
      <c r="L574" s="92"/>
      <c r="AC574" s="92"/>
    </row>
    <row r="575" spans="10:29" ht="15.75" customHeight="1" x14ac:dyDescent="0.25">
      <c r="J575" s="92"/>
      <c r="L575" s="92"/>
      <c r="AC575" s="92"/>
    </row>
    <row r="576" spans="10:29" ht="15.75" customHeight="1" x14ac:dyDescent="0.25">
      <c r="J576" s="92"/>
      <c r="L576" s="92"/>
      <c r="AC576" s="92"/>
    </row>
    <row r="577" spans="10:29" ht="15.75" customHeight="1" x14ac:dyDescent="0.25">
      <c r="J577" s="92"/>
      <c r="L577" s="92"/>
      <c r="AC577" s="92"/>
    </row>
    <row r="578" spans="10:29" ht="15.75" customHeight="1" x14ac:dyDescent="0.25">
      <c r="J578" s="92"/>
      <c r="L578" s="92"/>
      <c r="AC578" s="92"/>
    </row>
    <row r="579" spans="10:29" ht="15.75" customHeight="1" x14ac:dyDescent="0.25">
      <c r="J579" s="92"/>
      <c r="L579" s="92"/>
      <c r="AC579" s="92"/>
    </row>
    <row r="580" spans="10:29" ht="15.75" customHeight="1" x14ac:dyDescent="0.25">
      <c r="J580" s="92"/>
      <c r="L580" s="92"/>
      <c r="AC580" s="92"/>
    </row>
    <row r="581" spans="10:29" ht="15.75" customHeight="1" x14ac:dyDescent="0.25">
      <c r="J581" s="92"/>
      <c r="L581" s="92"/>
      <c r="AC581" s="92"/>
    </row>
    <row r="582" spans="10:29" ht="15.75" customHeight="1" x14ac:dyDescent="0.25">
      <c r="J582" s="92"/>
      <c r="L582" s="92"/>
      <c r="AC582" s="92"/>
    </row>
    <row r="583" spans="10:29" ht="15.75" customHeight="1" x14ac:dyDescent="0.25">
      <c r="J583" s="92"/>
      <c r="L583" s="92"/>
      <c r="AC583" s="92"/>
    </row>
    <row r="584" spans="10:29" ht="15.75" customHeight="1" x14ac:dyDescent="0.25">
      <c r="J584" s="92"/>
      <c r="L584" s="92"/>
      <c r="AC584" s="92"/>
    </row>
    <row r="585" spans="10:29" ht="15.75" customHeight="1" x14ac:dyDescent="0.25">
      <c r="J585" s="92"/>
      <c r="L585" s="92"/>
      <c r="AC585" s="92"/>
    </row>
    <row r="586" spans="10:29" ht="15.75" customHeight="1" x14ac:dyDescent="0.25">
      <c r="J586" s="92"/>
      <c r="L586" s="92"/>
      <c r="AC586" s="92"/>
    </row>
    <row r="587" spans="10:29" ht="15.75" customHeight="1" x14ac:dyDescent="0.25">
      <c r="J587" s="92"/>
      <c r="L587" s="92"/>
      <c r="AC587" s="92"/>
    </row>
    <row r="588" spans="10:29" ht="15.75" customHeight="1" x14ac:dyDescent="0.25">
      <c r="J588" s="92"/>
      <c r="L588" s="92"/>
      <c r="AC588" s="92"/>
    </row>
    <row r="589" spans="10:29" ht="15.75" customHeight="1" x14ac:dyDescent="0.25">
      <c r="J589" s="92"/>
      <c r="L589" s="92"/>
      <c r="AC589" s="92"/>
    </row>
    <row r="590" spans="10:29" ht="15.75" customHeight="1" x14ac:dyDescent="0.25">
      <c r="J590" s="92"/>
      <c r="L590" s="92"/>
      <c r="AC590" s="92"/>
    </row>
    <row r="591" spans="10:29" ht="15.75" customHeight="1" x14ac:dyDescent="0.25">
      <c r="J591" s="92"/>
      <c r="L591" s="92"/>
      <c r="AC591" s="92"/>
    </row>
    <row r="592" spans="10:29" ht="15.75" customHeight="1" x14ac:dyDescent="0.25">
      <c r="J592" s="92"/>
      <c r="L592" s="92"/>
      <c r="AC592" s="92"/>
    </row>
    <row r="593" spans="10:29" ht="15.75" customHeight="1" x14ac:dyDescent="0.25">
      <c r="J593" s="92"/>
      <c r="L593" s="92"/>
      <c r="AC593" s="92"/>
    </row>
    <row r="594" spans="10:29" ht="15.75" customHeight="1" x14ac:dyDescent="0.25">
      <c r="J594" s="92"/>
      <c r="L594" s="92"/>
      <c r="AC594" s="92"/>
    </row>
    <row r="595" spans="10:29" ht="15.75" customHeight="1" x14ac:dyDescent="0.25">
      <c r="J595" s="92"/>
      <c r="L595" s="92"/>
      <c r="AC595" s="92"/>
    </row>
    <row r="596" spans="10:29" ht="15.75" customHeight="1" x14ac:dyDescent="0.25">
      <c r="J596" s="92"/>
      <c r="L596" s="92"/>
      <c r="AC596" s="92"/>
    </row>
    <row r="597" spans="10:29" ht="15.75" customHeight="1" x14ac:dyDescent="0.25">
      <c r="J597" s="92"/>
      <c r="L597" s="92"/>
      <c r="AC597" s="92"/>
    </row>
    <row r="598" spans="10:29" ht="15.75" customHeight="1" x14ac:dyDescent="0.25">
      <c r="J598" s="92"/>
      <c r="L598" s="92"/>
      <c r="AC598" s="92"/>
    </row>
    <row r="599" spans="10:29" ht="15.75" customHeight="1" x14ac:dyDescent="0.25">
      <c r="J599" s="92"/>
      <c r="L599" s="92"/>
      <c r="AC599" s="92"/>
    </row>
    <row r="600" spans="10:29" ht="15.75" customHeight="1" x14ac:dyDescent="0.25">
      <c r="J600" s="92"/>
      <c r="L600" s="92"/>
      <c r="AC600" s="92"/>
    </row>
    <row r="601" spans="10:29" ht="15.75" customHeight="1" x14ac:dyDescent="0.25">
      <c r="J601" s="92"/>
      <c r="L601" s="92"/>
      <c r="AC601" s="92"/>
    </row>
    <row r="602" spans="10:29" ht="15.75" customHeight="1" x14ac:dyDescent="0.25">
      <c r="J602" s="92"/>
      <c r="L602" s="92"/>
      <c r="AC602" s="92"/>
    </row>
    <row r="603" spans="10:29" ht="15.75" customHeight="1" x14ac:dyDescent="0.25">
      <c r="J603" s="92"/>
      <c r="L603" s="92"/>
      <c r="AC603" s="92"/>
    </row>
    <row r="604" spans="10:29" ht="15.75" customHeight="1" x14ac:dyDescent="0.25">
      <c r="J604" s="92"/>
      <c r="L604" s="92"/>
      <c r="AC604" s="92"/>
    </row>
    <row r="605" spans="10:29" ht="15.75" customHeight="1" x14ac:dyDescent="0.25">
      <c r="J605" s="92"/>
      <c r="L605" s="92"/>
      <c r="AC605" s="92"/>
    </row>
    <row r="606" spans="10:29" ht="15.75" customHeight="1" x14ac:dyDescent="0.25">
      <c r="J606" s="92"/>
      <c r="L606" s="92"/>
      <c r="AC606" s="92"/>
    </row>
    <row r="607" spans="10:29" ht="15.75" customHeight="1" x14ac:dyDescent="0.25">
      <c r="J607" s="92"/>
      <c r="L607" s="92"/>
      <c r="AC607" s="92"/>
    </row>
    <row r="608" spans="10:29" ht="15.75" customHeight="1" x14ac:dyDescent="0.25">
      <c r="J608" s="92"/>
      <c r="L608" s="92"/>
      <c r="AC608" s="92"/>
    </row>
    <row r="609" spans="10:29" ht="15.75" customHeight="1" x14ac:dyDescent="0.25">
      <c r="J609" s="92"/>
      <c r="L609" s="92"/>
      <c r="AC609" s="92"/>
    </row>
    <row r="610" spans="10:29" ht="15.75" customHeight="1" x14ac:dyDescent="0.25">
      <c r="J610" s="92"/>
      <c r="L610" s="92"/>
      <c r="AC610" s="92"/>
    </row>
    <row r="611" spans="10:29" ht="15.75" customHeight="1" x14ac:dyDescent="0.25">
      <c r="J611" s="92"/>
      <c r="L611" s="92"/>
      <c r="AC611" s="92"/>
    </row>
    <row r="612" spans="10:29" ht="15.75" customHeight="1" x14ac:dyDescent="0.25">
      <c r="J612" s="92"/>
      <c r="L612" s="92"/>
      <c r="AC612" s="92"/>
    </row>
    <row r="613" spans="10:29" ht="15.75" customHeight="1" x14ac:dyDescent="0.25">
      <c r="J613" s="92"/>
      <c r="L613" s="92"/>
      <c r="AC613" s="92"/>
    </row>
    <row r="614" spans="10:29" ht="15.75" customHeight="1" x14ac:dyDescent="0.25">
      <c r="J614" s="92"/>
      <c r="L614" s="92"/>
      <c r="AC614" s="92"/>
    </row>
    <row r="615" spans="10:29" ht="15.75" customHeight="1" x14ac:dyDescent="0.25">
      <c r="J615" s="92"/>
      <c r="L615" s="92"/>
      <c r="AC615" s="92"/>
    </row>
    <row r="616" spans="10:29" ht="15.75" customHeight="1" x14ac:dyDescent="0.25">
      <c r="J616" s="92"/>
      <c r="L616" s="92"/>
      <c r="AC616" s="92"/>
    </row>
    <row r="617" spans="10:29" ht="15.75" customHeight="1" x14ac:dyDescent="0.25">
      <c r="J617" s="92"/>
      <c r="L617" s="92"/>
      <c r="AC617" s="92"/>
    </row>
    <row r="618" spans="10:29" ht="15.75" customHeight="1" x14ac:dyDescent="0.25">
      <c r="J618" s="92"/>
      <c r="L618" s="92"/>
      <c r="AC618" s="92"/>
    </row>
    <row r="619" spans="10:29" ht="15.75" customHeight="1" x14ac:dyDescent="0.25">
      <c r="J619" s="92"/>
      <c r="L619" s="92"/>
      <c r="AC619" s="92"/>
    </row>
    <row r="620" spans="10:29" ht="15.75" customHeight="1" x14ac:dyDescent="0.25">
      <c r="J620" s="92"/>
      <c r="L620" s="92"/>
      <c r="AC620" s="92"/>
    </row>
    <row r="621" spans="10:29" ht="15.75" customHeight="1" x14ac:dyDescent="0.25">
      <c r="J621" s="92"/>
      <c r="L621" s="92"/>
      <c r="AC621" s="92"/>
    </row>
    <row r="622" spans="10:29" ht="15.75" customHeight="1" x14ac:dyDescent="0.25">
      <c r="J622" s="92"/>
      <c r="L622" s="92"/>
      <c r="AC622" s="92"/>
    </row>
    <row r="623" spans="10:29" ht="15.75" customHeight="1" x14ac:dyDescent="0.25">
      <c r="J623" s="92"/>
      <c r="L623" s="92"/>
      <c r="AC623" s="92"/>
    </row>
    <row r="624" spans="10:29" ht="15.75" customHeight="1" x14ac:dyDescent="0.25">
      <c r="J624" s="92"/>
      <c r="L624" s="92"/>
      <c r="AC624" s="92"/>
    </row>
    <row r="625" spans="10:29" ht="15.75" customHeight="1" x14ac:dyDescent="0.25">
      <c r="J625" s="92"/>
      <c r="L625" s="92"/>
      <c r="AC625" s="92"/>
    </row>
    <row r="626" spans="10:29" ht="15.75" customHeight="1" x14ac:dyDescent="0.25">
      <c r="J626" s="92"/>
      <c r="L626" s="92"/>
      <c r="AC626" s="92"/>
    </row>
    <row r="627" spans="10:29" ht="15.75" customHeight="1" x14ac:dyDescent="0.25">
      <c r="J627" s="92"/>
      <c r="L627" s="92"/>
      <c r="AC627" s="92"/>
    </row>
    <row r="628" spans="10:29" ht="15.75" customHeight="1" x14ac:dyDescent="0.25">
      <c r="J628" s="92"/>
      <c r="L628" s="92"/>
      <c r="AC628" s="92"/>
    </row>
    <row r="629" spans="10:29" ht="15.75" customHeight="1" x14ac:dyDescent="0.25">
      <c r="J629" s="92"/>
      <c r="L629" s="92"/>
      <c r="AC629" s="92"/>
    </row>
    <row r="630" spans="10:29" ht="15.75" customHeight="1" x14ac:dyDescent="0.25">
      <c r="J630" s="92"/>
      <c r="L630" s="92"/>
      <c r="AC630" s="92"/>
    </row>
    <row r="631" spans="10:29" ht="15.75" customHeight="1" x14ac:dyDescent="0.25">
      <c r="J631" s="92"/>
      <c r="L631" s="92"/>
      <c r="AC631" s="92"/>
    </row>
    <row r="632" spans="10:29" ht="15.75" customHeight="1" x14ac:dyDescent="0.25">
      <c r="J632" s="92"/>
      <c r="L632" s="92"/>
      <c r="AC632" s="92"/>
    </row>
    <row r="633" spans="10:29" ht="15.75" customHeight="1" x14ac:dyDescent="0.25">
      <c r="J633" s="92"/>
      <c r="L633" s="92"/>
      <c r="AC633" s="92"/>
    </row>
    <row r="634" spans="10:29" ht="15.75" customHeight="1" x14ac:dyDescent="0.25">
      <c r="J634" s="92"/>
      <c r="L634" s="92"/>
      <c r="AC634" s="92"/>
    </row>
    <row r="635" spans="10:29" ht="15.75" customHeight="1" x14ac:dyDescent="0.25">
      <c r="J635" s="92"/>
      <c r="L635" s="92"/>
      <c r="AC635" s="92"/>
    </row>
    <row r="636" spans="10:29" ht="15.75" customHeight="1" x14ac:dyDescent="0.25">
      <c r="J636" s="92"/>
      <c r="L636" s="92"/>
      <c r="AC636" s="92"/>
    </row>
    <row r="637" spans="10:29" ht="15.75" customHeight="1" x14ac:dyDescent="0.25">
      <c r="J637" s="92"/>
      <c r="L637" s="92"/>
      <c r="AC637" s="92"/>
    </row>
    <row r="638" spans="10:29" ht="15.75" customHeight="1" x14ac:dyDescent="0.25">
      <c r="J638" s="92"/>
      <c r="L638" s="92"/>
      <c r="AC638" s="92"/>
    </row>
    <row r="639" spans="10:29" ht="15.75" customHeight="1" x14ac:dyDescent="0.25">
      <c r="J639" s="92"/>
      <c r="L639" s="92"/>
      <c r="AC639" s="92"/>
    </row>
    <row r="640" spans="10:29" ht="15.75" customHeight="1" x14ac:dyDescent="0.25">
      <c r="J640" s="92"/>
      <c r="L640" s="92"/>
      <c r="AC640" s="92"/>
    </row>
    <row r="641" spans="10:29" ht="15.75" customHeight="1" x14ac:dyDescent="0.25">
      <c r="J641" s="92"/>
      <c r="L641" s="92"/>
      <c r="AC641" s="92"/>
    </row>
    <row r="642" spans="10:29" ht="15.75" customHeight="1" x14ac:dyDescent="0.25">
      <c r="J642" s="92"/>
      <c r="L642" s="92"/>
      <c r="AC642" s="92"/>
    </row>
    <row r="643" spans="10:29" ht="15.75" customHeight="1" x14ac:dyDescent="0.25">
      <c r="J643" s="92"/>
      <c r="L643" s="92"/>
      <c r="AC643" s="92"/>
    </row>
    <row r="644" spans="10:29" ht="15.75" customHeight="1" x14ac:dyDescent="0.25">
      <c r="J644" s="92"/>
      <c r="L644" s="92"/>
      <c r="AC644" s="92"/>
    </row>
    <row r="645" spans="10:29" ht="15.75" customHeight="1" x14ac:dyDescent="0.25">
      <c r="J645" s="92"/>
      <c r="L645" s="92"/>
      <c r="AC645" s="92"/>
    </row>
    <row r="646" spans="10:29" ht="15.75" customHeight="1" x14ac:dyDescent="0.25">
      <c r="J646" s="92"/>
      <c r="L646" s="92"/>
      <c r="AC646" s="92"/>
    </row>
    <row r="647" spans="10:29" ht="15.75" customHeight="1" x14ac:dyDescent="0.25">
      <c r="J647" s="92"/>
      <c r="L647" s="92"/>
      <c r="AC647" s="92"/>
    </row>
    <row r="648" spans="10:29" ht="15.75" customHeight="1" x14ac:dyDescent="0.25">
      <c r="J648" s="92"/>
      <c r="L648" s="92"/>
      <c r="AC648" s="92"/>
    </row>
    <row r="649" spans="10:29" ht="15.75" customHeight="1" x14ac:dyDescent="0.25">
      <c r="J649" s="92"/>
      <c r="L649" s="92"/>
      <c r="AC649" s="92"/>
    </row>
    <row r="650" spans="10:29" ht="15.75" customHeight="1" x14ac:dyDescent="0.25">
      <c r="J650" s="92"/>
      <c r="L650" s="92"/>
      <c r="AC650" s="92"/>
    </row>
    <row r="651" spans="10:29" ht="15.75" customHeight="1" x14ac:dyDescent="0.25">
      <c r="J651" s="92"/>
      <c r="L651" s="92"/>
      <c r="AC651" s="92"/>
    </row>
    <row r="652" spans="10:29" ht="15.75" customHeight="1" x14ac:dyDescent="0.25">
      <c r="J652" s="92"/>
      <c r="L652" s="92"/>
      <c r="AC652" s="92"/>
    </row>
    <row r="653" spans="10:29" ht="15.75" customHeight="1" x14ac:dyDescent="0.25">
      <c r="J653" s="92"/>
      <c r="L653" s="92"/>
      <c r="AC653" s="92"/>
    </row>
    <row r="654" spans="10:29" ht="15.75" customHeight="1" x14ac:dyDescent="0.25">
      <c r="J654" s="92"/>
      <c r="L654" s="92"/>
      <c r="AC654" s="92"/>
    </row>
    <row r="655" spans="10:29" ht="15.75" customHeight="1" x14ac:dyDescent="0.25">
      <c r="J655" s="92"/>
      <c r="L655" s="92"/>
      <c r="AC655" s="92"/>
    </row>
    <row r="656" spans="10:29" ht="15.75" customHeight="1" x14ac:dyDescent="0.25">
      <c r="J656" s="92"/>
      <c r="L656" s="92"/>
      <c r="AC656" s="92"/>
    </row>
    <row r="657" spans="10:29" ht="15.75" customHeight="1" x14ac:dyDescent="0.25">
      <c r="J657" s="92"/>
      <c r="L657" s="92"/>
      <c r="AC657" s="92"/>
    </row>
    <row r="658" spans="10:29" ht="15.75" customHeight="1" x14ac:dyDescent="0.25">
      <c r="J658" s="92"/>
      <c r="L658" s="92"/>
      <c r="AC658" s="92"/>
    </row>
    <row r="659" spans="10:29" ht="15.75" customHeight="1" x14ac:dyDescent="0.25">
      <c r="J659" s="92"/>
      <c r="L659" s="92"/>
      <c r="AC659" s="92"/>
    </row>
    <row r="660" spans="10:29" ht="15.75" customHeight="1" x14ac:dyDescent="0.25">
      <c r="J660" s="92"/>
      <c r="L660" s="92"/>
      <c r="AC660" s="92"/>
    </row>
    <row r="661" spans="10:29" ht="15.75" customHeight="1" x14ac:dyDescent="0.25">
      <c r="J661" s="92"/>
      <c r="L661" s="92"/>
      <c r="AC661" s="92"/>
    </row>
    <row r="662" spans="10:29" ht="15.75" customHeight="1" x14ac:dyDescent="0.25">
      <c r="J662" s="92"/>
      <c r="L662" s="92"/>
      <c r="AC662" s="92"/>
    </row>
    <row r="663" spans="10:29" ht="15.75" customHeight="1" x14ac:dyDescent="0.25">
      <c r="J663" s="92"/>
      <c r="L663" s="92"/>
      <c r="AC663" s="92"/>
    </row>
    <row r="664" spans="10:29" ht="15.75" customHeight="1" x14ac:dyDescent="0.25">
      <c r="J664" s="92"/>
      <c r="L664" s="92"/>
      <c r="AC664" s="92"/>
    </row>
    <row r="665" spans="10:29" ht="15.75" customHeight="1" x14ac:dyDescent="0.25">
      <c r="J665" s="92"/>
      <c r="L665" s="92"/>
      <c r="AC665" s="92"/>
    </row>
    <row r="666" spans="10:29" ht="15.75" customHeight="1" x14ac:dyDescent="0.25">
      <c r="J666" s="92"/>
      <c r="L666" s="92"/>
      <c r="AC666" s="92"/>
    </row>
    <row r="667" spans="10:29" ht="15.75" customHeight="1" x14ac:dyDescent="0.25">
      <c r="J667" s="92"/>
      <c r="L667" s="92"/>
      <c r="AC667" s="92"/>
    </row>
    <row r="668" spans="10:29" ht="15.75" customHeight="1" x14ac:dyDescent="0.25">
      <c r="J668" s="92"/>
      <c r="L668" s="92"/>
      <c r="AC668" s="92"/>
    </row>
    <row r="669" spans="10:29" ht="15.75" customHeight="1" x14ac:dyDescent="0.25">
      <c r="J669" s="92"/>
      <c r="L669" s="92"/>
      <c r="AC669" s="92"/>
    </row>
    <row r="670" spans="10:29" ht="15.75" customHeight="1" x14ac:dyDescent="0.25">
      <c r="J670" s="92"/>
      <c r="L670" s="92"/>
      <c r="AC670" s="92"/>
    </row>
    <row r="671" spans="10:29" ht="15.75" customHeight="1" x14ac:dyDescent="0.25">
      <c r="J671" s="92"/>
      <c r="L671" s="92"/>
      <c r="AC671" s="92"/>
    </row>
    <row r="672" spans="10:29" ht="15.75" customHeight="1" x14ac:dyDescent="0.25">
      <c r="J672" s="92"/>
      <c r="L672" s="92"/>
      <c r="AC672" s="92"/>
    </row>
    <row r="673" spans="10:29" ht="15.75" customHeight="1" x14ac:dyDescent="0.25">
      <c r="J673" s="92"/>
      <c r="L673" s="92"/>
      <c r="AC673" s="92"/>
    </row>
    <row r="674" spans="10:29" ht="15.75" customHeight="1" x14ac:dyDescent="0.25">
      <c r="J674" s="92"/>
      <c r="L674" s="92"/>
      <c r="AC674" s="92"/>
    </row>
    <row r="675" spans="10:29" ht="15.75" customHeight="1" x14ac:dyDescent="0.25">
      <c r="J675" s="92"/>
      <c r="L675" s="92"/>
      <c r="AC675" s="92"/>
    </row>
    <row r="676" spans="10:29" ht="15.75" customHeight="1" x14ac:dyDescent="0.25">
      <c r="J676" s="92"/>
      <c r="L676" s="92"/>
      <c r="AC676" s="92"/>
    </row>
    <row r="677" spans="10:29" ht="15.75" customHeight="1" x14ac:dyDescent="0.25">
      <c r="J677" s="92"/>
      <c r="L677" s="92"/>
      <c r="AC677" s="92"/>
    </row>
    <row r="678" spans="10:29" ht="15.75" customHeight="1" x14ac:dyDescent="0.25">
      <c r="J678" s="92"/>
      <c r="L678" s="92"/>
      <c r="AC678" s="92"/>
    </row>
    <row r="679" spans="10:29" ht="15.75" customHeight="1" x14ac:dyDescent="0.25">
      <c r="J679" s="92"/>
      <c r="L679" s="92"/>
      <c r="AC679" s="92"/>
    </row>
    <row r="680" spans="10:29" ht="15.75" customHeight="1" x14ac:dyDescent="0.25">
      <c r="J680" s="92"/>
      <c r="L680" s="92"/>
      <c r="AC680" s="92"/>
    </row>
    <row r="681" spans="10:29" ht="15.75" customHeight="1" x14ac:dyDescent="0.25">
      <c r="J681" s="92"/>
      <c r="L681" s="92"/>
      <c r="AC681" s="92"/>
    </row>
    <row r="682" spans="10:29" ht="15.75" customHeight="1" x14ac:dyDescent="0.25">
      <c r="J682" s="92"/>
      <c r="L682" s="92"/>
      <c r="AC682" s="92"/>
    </row>
    <row r="683" spans="10:29" ht="15.75" customHeight="1" x14ac:dyDescent="0.25">
      <c r="J683" s="92"/>
      <c r="L683" s="92"/>
      <c r="AC683" s="92"/>
    </row>
    <row r="684" spans="10:29" ht="15.75" customHeight="1" x14ac:dyDescent="0.25">
      <c r="J684" s="92"/>
      <c r="L684" s="92"/>
      <c r="AC684" s="92"/>
    </row>
    <row r="685" spans="10:29" ht="15.75" customHeight="1" x14ac:dyDescent="0.25">
      <c r="J685" s="92"/>
      <c r="L685" s="92"/>
      <c r="AC685" s="92"/>
    </row>
    <row r="686" spans="10:29" ht="15.75" customHeight="1" x14ac:dyDescent="0.25">
      <c r="J686" s="92"/>
      <c r="L686" s="92"/>
      <c r="AC686" s="92"/>
    </row>
    <row r="687" spans="10:29" ht="15.75" customHeight="1" x14ac:dyDescent="0.25">
      <c r="J687" s="92"/>
      <c r="L687" s="92"/>
      <c r="AC687" s="92"/>
    </row>
    <row r="688" spans="10:29" ht="15.75" customHeight="1" x14ac:dyDescent="0.25">
      <c r="J688" s="92"/>
      <c r="L688" s="92"/>
      <c r="AC688" s="92"/>
    </row>
    <row r="689" spans="10:29" ht="15.75" customHeight="1" x14ac:dyDescent="0.25">
      <c r="J689" s="92"/>
      <c r="L689" s="92"/>
      <c r="AC689" s="92"/>
    </row>
    <row r="690" spans="10:29" ht="15.75" customHeight="1" x14ac:dyDescent="0.25">
      <c r="J690" s="92"/>
      <c r="L690" s="92"/>
      <c r="AC690" s="92"/>
    </row>
    <row r="691" spans="10:29" ht="15.75" customHeight="1" x14ac:dyDescent="0.25">
      <c r="J691" s="92"/>
      <c r="L691" s="92"/>
      <c r="AC691" s="92"/>
    </row>
    <row r="692" spans="10:29" ht="15.75" customHeight="1" x14ac:dyDescent="0.25">
      <c r="J692" s="92"/>
      <c r="L692" s="92"/>
      <c r="AC692" s="92"/>
    </row>
    <row r="693" spans="10:29" ht="15.75" customHeight="1" x14ac:dyDescent="0.25">
      <c r="J693" s="92"/>
      <c r="L693" s="92"/>
      <c r="AC693" s="92"/>
    </row>
    <row r="694" spans="10:29" ht="15.75" customHeight="1" x14ac:dyDescent="0.25">
      <c r="J694" s="92"/>
      <c r="L694" s="92"/>
      <c r="AC694" s="92"/>
    </row>
    <row r="695" spans="10:29" ht="15.75" customHeight="1" x14ac:dyDescent="0.25">
      <c r="J695" s="92"/>
      <c r="L695" s="92"/>
      <c r="AC695" s="92"/>
    </row>
    <row r="696" spans="10:29" ht="15.75" customHeight="1" x14ac:dyDescent="0.25">
      <c r="J696" s="92"/>
      <c r="L696" s="92"/>
      <c r="AC696" s="92"/>
    </row>
    <row r="697" spans="10:29" ht="15.75" customHeight="1" x14ac:dyDescent="0.25">
      <c r="J697" s="92"/>
      <c r="L697" s="92"/>
      <c r="AC697" s="92"/>
    </row>
    <row r="698" spans="10:29" ht="15.75" customHeight="1" x14ac:dyDescent="0.25">
      <c r="J698" s="92"/>
      <c r="L698" s="92"/>
      <c r="AC698" s="92"/>
    </row>
    <row r="699" spans="10:29" ht="15.75" customHeight="1" x14ac:dyDescent="0.25">
      <c r="J699" s="92"/>
      <c r="L699" s="92"/>
      <c r="AC699" s="92"/>
    </row>
    <row r="700" spans="10:29" ht="15.75" customHeight="1" x14ac:dyDescent="0.25">
      <c r="J700" s="92"/>
      <c r="L700" s="92"/>
      <c r="AC700" s="92"/>
    </row>
    <row r="701" spans="10:29" ht="15.75" customHeight="1" x14ac:dyDescent="0.25">
      <c r="J701" s="92"/>
      <c r="L701" s="92"/>
      <c r="AC701" s="92"/>
    </row>
    <row r="702" spans="10:29" ht="15.75" customHeight="1" x14ac:dyDescent="0.25">
      <c r="J702" s="92"/>
      <c r="L702" s="92"/>
      <c r="AC702" s="92"/>
    </row>
    <row r="703" spans="10:29" ht="15.75" customHeight="1" x14ac:dyDescent="0.25">
      <c r="J703" s="92"/>
      <c r="L703" s="92"/>
      <c r="AC703" s="92"/>
    </row>
    <row r="704" spans="10:29" ht="15.75" customHeight="1" x14ac:dyDescent="0.25">
      <c r="J704" s="92"/>
      <c r="L704" s="92"/>
      <c r="AC704" s="92"/>
    </row>
    <row r="705" spans="10:29" ht="15.75" customHeight="1" x14ac:dyDescent="0.25">
      <c r="J705" s="92"/>
      <c r="L705" s="92"/>
      <c r="AC705" s="92"/>
    </row>
    <row r="706" spans="10:29" ht="15.75" customHeight="1" x14ac:dyDescent="0.25">
      <c r="J706" s="92"/>
      <c r="L706" s="92"/>
      <c r="AC706" s="92"/>
    </row>
    <row r="707" spans="10:29" ht="15.75" customHeight="1" x14ac:dyDescent="0.25">
      <c r="J707" s="92"/>
      <c r="L707" s="92"/>
      <c r="AC707" s="92"/>
    </row>
    <row r="708" spans="10:29" ht="15.75" customHeight="1" x14ac:dyDescent="0.25">
      <c r="J708" s="92"/>
      <c r="L708" s="92"/>
      <c r="AC708" s="92"/>
    </row>
    <row r="709" spans="10:29" ht="15.75" customHeight="1" x14ac:dyDescent="0.25">
      <c r="J709" s="92"/>
      <c r="L709" s="92"/>
      <c r="AC709" s="92"/>
    </row>
    <row r="710" spans="10:29" ht="15.75" customHeight="1" x14ac:dyDescent="0.25">
      <c r="J710" s="92"/>
      <c r="L710" s="92"/>
      <c r="AC710" s="92"/>
    </row>
    <row r="711" spans="10:29" ht="15.75" customHeight="1" x14ac:dyDescent="0.25">
      <c r="J711" s="92"/>
      <c r="L711" s="92"/>
      <c r="AC711" s="92"/>
    </row>
    <row r="712" spans="10:29" ht="15.75" customHeight="1" x14ac:dyDescent="0.25">
      <c r="J712" s="92"/>
      <c r="L712" s="92"/>
      <c r="AC712" s="92"/>
    </row>
    <row r="713" spans="10:29" ht="15.75" customHeight="1" x14ac:dyDescent="0.25">
      <c r="J713" s="92"/>
      <c r="L713" s="92"/>
      <c r="AC713" s="92"/>
    </row>
    <row r="714" spans="10:29" ht="15.75" customHeight="1" x14ac:dyDescent="0.25">
      <c r="J714" s="92"/>
      <c r="L714" s="92"/>
      <c r="AC714" s="92"/>
    </row>
    <row r="715" spans="10:29" ht="15.75" customHeight="1" x14ac:dyDescent="0.25">
      <c r="J715" s="92"/>
      <c r="L715" s="92"/>
      <c r="AC715" s="92"/>
    </row>
    <row r="716" spans="10:29" ht="15.75" customHeight="1" x14ac:dyDescent="0.25">
      <c r="J716" s="92"/>
      <c r="L716" s="92"/>
      <c r="AC716" s="92"/>
    </row>
    <row r="717" spans="10:29" ht="15.75" customHeight="1" x14ac:dyDescent="0.25">
      <c r="J717" s="92"/>
      <c r="L717" s="92"/>
      <c r="AC717" s="92"/>
    </row>
    <row r="718" spans="10:29" ht="15.75" customHeight="1" x14ac:dyDescent="0.25">
      <c r="J718" s="92"/>
      <c r="L718" s="92"/>
      <c r="AC718" s="92"/>
    </row>
    <row r="719" spans="10:29" ht="15.75" customHeight="1" x14ac:dyDescent="0.25">
      <c r="J719" s="92"/>
      <c r="L719" s="92"/>
      <c r="AC719" s="92"/>
    </row>
    <row r="720" spans="10:29" ht="15.75" customHeight="1" x14ac:dyDescent="0.25">
      <c r="J720" s="92"/>
      <c r="L720" s="92"/>
      <c r="AC720" s="92"/>
    </row>
    <row r="721" spans="10:29" ht="15.75" customHeight="1" x14ac:dyDescent="0.25">
      <c r="J721" s="92"/>
      <c r="L721" s="92"/>
      <c r="AC721" s="92"/>
    </row>
    <row r="722" spans="10:29" ht="15.75" customHeight="1" x14ac:dyDescent="0.25">
      <c r="J722" s="92"/>
      <c r="L722" s="92"/>
      <c r="AC722" s="92"/>
    </row>
    <row r="723" spans="10:29" ht="15.75" customHeight="1" x14ac:dyDescent="0.25">
      <c r="J723" s="92"/>
      <c r="L723" s="92"/>
      <c r="AC723" s="92"/>
    </row>
    <row r="724" spans="10:29" ht="15.75" customHeight="1" x14ac:dyDescent="0.25">
      <c r="J724" s="92"/>
      <c r="L724" s="92"/>
      <c r="AC724" s="92"/>
    </row>
    <row r="725" spans="10:29" ht="15.75" customHeight="1" x14ac:dyDescent="0.25">
      <c r="J725" s="92"/>
      <c r="L725" s="92"/>
      <c r="AC725" s="92"/>
    </row>
    <row r="726" spans="10:29" ht="15.75" customHeight="1" x14ac:dyDescent="0.25">
      <c r="J726" s="92"/>
      <c r="L726" s="92"/>
      <c r="AC726" s="92"/>
    </row>
    <row r="727" spans="10:29" ht="15.75" customHeight="1" x14ac:dyDescent="0.25">
      <c r="J727" s="92"/>
      <c r="L727" s="92"/>
      <c r="AC727" s="92"/>
    </row>
    <row r="728" spans="10:29" ht="15.75" customHeight="1" x14ac:dyDescent="0.25">
      <c r="J728" s="92"/>
      <c r="L728" s="92"/>
      <c r="AC728" s="92"/>
    </row>
    <row r="729" spans="10:29" ht="15.75" customHeight="1" x14ac:dyDescent="0.25">
      <c r="J729" s="92"/>
      <c r="L729" s="92"/>
      <c r="AC729" s="92"/>
    </row>
    <row r="730" spans="10:29" ht="15.75" customHeight="1" x14ac:dyDescent="0.25">
      <c r="J730" s="92"/>
      <c r="L730" s="92"/>
      <c r="AC730" s="92"/>
    </row>
    <row r="731" spans="10:29" ht="15.75" customHeight="1" x14ac:dyDescent="0.25">
      <c r="J731" s="92"/>
      <c r="L731" s="92"/>
      <c r="AC731" s="92"/>
    </row>
    <row r="732" spans="10:29" ht="15.75" customHeight="1" x14ac:dyDescent="0.25">
      <c r="J732" s="92"/>
      <c r="L732" s="92"/>
      <c r="AC732" s="92"/>
    </row>
    <row r="733" spans="10:29" ht="15.75" customHeight="1" x14ac:dyDescent="0.25">
      <c r="J733" s="92"/>
      <c r="L733" s="92"/>
      <c r="AC733" s="92"/>
    </row>
    <row r="734" spans="10:29" ht="15.75" customHeight="1" x14ac:dyDescent="0.25">
      <c r="J734" s="92"/>
      <c r="L734" s="92"/>
      <c r="AC734" s="92"/>
    </row>
    <row r="735" spans="10:29" ht="15.75" customHeight="1" x14ac:dyDescent="0.25">
      <c r="J735" s="92"/>
      <c r="L735" s="92"/>
      <c r="AC735" s="92"/>
    </row>
    <row r="736" spans="10:29" ht="15.75" customHeight="1" x14ac:dyDescent="0.25">
      <c r="J736" s="92"/>
      <c r="L736" s="92"/>
      <c r="AC736" s="92"/>
    </row>
    <row r="737" spans="10:29" ht="15.75" customHeight="1" x14ac:dyDescent="0.25">
      <c r="J737" s="92"/>
      <c r="L737" s="92"/>
      <c r="AC737" s="92"/>
    </row>
    <row r="738" spans="10:29" ht="15.75" customHeight="1" x14ac:dyDescent="0.25">
      <c r="J738" s="92"/>
      <c r="L738" s="92"/>
      <c r="AC738" s="92"/>
    </row>
    <row r="739" spans="10:29" ht="15.75" customHeight="1" x14ac:dyDescent="0.25">
      <c r="J739" s="92"/>
      <c r="L739" s="92"/>
      <c r="AC739" s="92"/>
    </row>
    <row r="740" spans="10:29" ht="15.75" customHeight="1" x14ac:dyDescent="0.25">
      <c r="J740" s="92"/>
      <c r="L740" s="92"/>
      <c r="AC740" s="92"/>
    </row>
    <row r="741" spans="10:29" ht="15.75" customHeight="1" x14ac:dyDescent="0.25">
      <c r="J741" s="92"/>
      <c r="L741" s="92"/>
      <c r="AC741" s="92"/>
    </row>
    <row r="742" spans="10:29" ht="15.75" customHeight="1" x14ac:dyDescent="0.25">
      <c r="J742" s="92"/>
      <c r="L742" s="92"/>
      <c r="AC742" s="92"/>
    </row>
    <row r="743" spans="10:29" ht="15.75" customHeight="1" x14ac:dyDescent="0.25">
      <c r="J743" s="92"/>
      <c r="L743" s="92"/>
      <c r="AC743" s="92"/>
    </row>
    <row r="744" spans="10:29" ht="15.75" customHeight="1" x14ac:dyDescent="0.25">
      <c r="J744" s="92"/>
      <c r="L744" s="92"/>
      <c r="AC744" s="92"/>
    </row>
    <row r="745" spans="10:29" ht="15.75" customHeight="1" x14ac:dyDescent="0.25">
      <c r="J745" s="92"/>
      <c r="L745" s="92"/>
      <c r="AC745" s="92"/>
    </row>
    <row r="746" spans="10:29" ht="15.75" customHeight="1" x14ac:dyDescent="0.25">
      <c r="J746" s="92"/>
      <c r="L746" s="92"/>
      <c r="AC746" s="92"/>
    </row>
    <row r="747" spans="10:29" ht="15.75" customHeight="1" x14ac:dyDescent="0.25">
      <c r="J747" s="92"/>
      <c r="L747" s="92"/>
      <c r="AC747" s="92"/>
    </row>
    <row r="748" spans="10:29" ht="15.75" customHeight="1" x14ac:dyDescent="0.25">
      <c r="J748" s="92"/>
      <c r="L748" s="92"/>
      <c r="AC748" s="92"/>
    </row>
    <row r="749" spans="10:29" ht="15.75" customHeight="1" x14ac:dyDescent="0.25">
      <c r="J749" s="92"/>
      <c r="L749" s="92"/>
      <c r="AC749" s="92"/>
    </row>
    <row r="750" spans="10:29" ht="15.75" customHeight="1" x14ac:dyDescent="0.25">
      <c r="J750" s="92"/>
      <c r="L750" s="92"/>
      <c r="AC750" s="92"/>
    </row>
    <row r="751" spans="10:29" ht="15.75" customHeight="1" x14ac:dyDescent="0.25">
      <c r="J751" s="92"/>
      <c r="L751" s="92"/>
      <c r="AC751" s="92"/>
    </row>
    <row r="752" spans="10:29" ht="15.75" customHeight="1" x14ac:dyDescent="0.25">
      <c r="J752" s="92"/>
      <c r="L752" s="92"/>
      <c r="AC752" s="92"/>
    </row>
    <row r="753" spans="10:29" ht="15.75" customHeight="1" x14ac:dyDescent="0.25">
      <c r="J753" s="92"/>
      <c r="L753" s="92"/>
      <c r="AC753" s="92"/>
    </row>
    <row r="754" spans="10:29" ht="15.75" customHeight="1" x14ac:dyDescent="0.25">
      <c r="J754" s="92"/>
      <c r="L754" s="92"/>
      <c r="AC754" s="92"/>
    </row>
    <row r="755" spans="10:29" ht="15.75" customHeight="1" x14ac:dyDescent="0.25">
      <c r="J755" s="92"/>
      <c r="L755" s="92"/>
      <c r="AC755" s="92"/>
    </row>
    <row r="756" spans="10:29" ht="15.75" customHeight="1" x14ac:dyDescent="0.25">
      <c r="J756" s="92"/>
      <c r="L756" s="92"/>
      <c r="AC756" s="92"/>
    </row>
    <row r="757" spans="10:29" ht="15.75" customHeight="1" x14ac:dyDescent="0.25">
      <c r="J757" s="92"/>
      <c r="L757" s="92"/>
      <c r="AC757" s="92"/>
    </row>
    <row r="758" spans="10:29" ht="15.75" customHeight="1" x14ac:dyDescent="0.25">
      <c r="J758" s="92"/>
      <c r="L758" s="92"/>
      <c r="AC758" s="92"/>
    </row>
    <row r="759" spans="10:29" ht="15.75" customHeight="1" x14ac:dyDescent="0.25">
      <c r="J759" s="92"/>
      <c r="L759" s="92"/>
      <c r="AC759" s="92"/>
    </row>
    <row r="760" spans="10:29" ht="15.75" customHeight="1" x14ac:dyDescent="0.25">
      <c r="J760" s="92"/>
      <c r="L760" s="92"/>
      <c r="AC760" s="92"/>
    </row>
    <row r="761" spans="10:29" ht="15.75" customHeight="1" x14ac:dyDescent="0.25">
      <c r="J761" s="92"/>
      <c r="L761" s="92"/>
      <c r="AC761" s="92"/>
    </row>
    <row r="762" spans="10:29" ht="15.75" customHeight="1" x14ac:dyDescent="0.25">
      <c r="J762" s="92"/>
      <c r="L762" s="92"/>
      <c r="AC762" s="92"/>
    </row>
    <row r="763" spans="10:29" ht="15.75" customHeight="1" x14ac:dyDescent="0.25">
      <c r="J763" s="92"/>
      <c r="L763" s="92"/>
      <c r="AC763" s="92"/>
    </row>
    <row r="764" spans="10:29" ht="15.75" customHeight="1" x14ac:dyDescent="0.25">
      <c r="J764" s="92"/>
      <c r="L764" s="92"/>
      <c r="AC764" s="92"/>
    </row>
    <row r="765" spans="10:29" ht="15.75" customHeight="1" x14ac:dyDescent="0.25">
      <c r="J765" s="92"/>
      <c r="L765" s="92"/>
      <c r="AC765" s="92"/>
    </row>
    <row r="766" spans="10:29" ht="15.75" customHeight="1" x14ac:dyDescent="0.25">
      <c r="J766" s="92"/>
      <c r="L766" s="92"/>
      <c r="AC766" s="92"/>
    </row>
    <row r="767" spans="10:29" ht="15.75" customHeight="1" x14ac:dyDescent="0.25">
      <c r="J767" s="92"/>
      <c r="L767" s="92"/>
      <c r="AC767" s="92"/>
    </row>
    <row r="768" spans="10:29" ht="15.75" customHeight="1" x14ac:dyDescent="0.25">
      <c r="J768" s="92"/>
      <c r="L768" s="92"/>
      <c r="AC768" s="92"/>
    </row>
    <row r="769" spans="10:29" ht="15.75" customHeight="1" x14ac:dyDescent="0.25">
      <c r="J769" s="92"/>
      <c r="L769" s="92"/>
      <c r="AC769" s="92"/>
    </row>
    <row r="770" spans="10:29" ht="15.75" customHeight="1" x14ac:dyDescent="0.25">
      <c r="J770" s="92"/>
      <c r="L770" s="92"/>
      <c r="AC770" s="92"/>
    </row>
    <row r="771" spans="10:29" ht="15.75" customHeight="1" x14ac:dyDescent="0.25">
      <c r="J771" s="92"/>
      <c r="L771" s="92"/>
      <c r="AC771" s="92"/>
    </row>
    <row r="772" spans="10:29" ht="15.75" customHeight="1" x14ac:dyDescent="0.25">
      <c r="J772" s="92"/>
      <c r="L772" s="92"/>
      <c r="AC772" s="92"/>
    </row>
    <row r="773" spans="10:29" ht="15.75" customHeight="1" x14ac:dyDescent="0.25">
      <c r="J773" s="92"/>
      <c r="L773" s="92"/>
      <c r="AC773" s="92"/>
    </row>
    <row r="774" spans="10:29" ht="15.75" customHeight="1" x14ac:dyDescent="0.25">
      <c r="J774" s="92"/>
      <c r="L774" s="92"/>
      <c r="AC774" s="92"/>
    </row>
    <row r="775" spans="10:29" ht="15.75" customHeight="1" x14ac:dyDescent="0.25">
      <c r="J775" s="92"/>
      <c r="L775" s="92"/>
      <c r="AC775" s="92"/>
    </row>
    <row r="776" spans="10:29" ht="15.75" customHeight="1" x14ac:dyDescent="0.25">
      <c r="J776" s="92"/>
      <c r="L776" s="92"/>
      <c r="AC776" s="92"/>
    </row>
    <row r="777" spans="10:29" ht="15.75" customHeight="1" x14ac:dyDescent="0.25">
      <c r="J777" s="92"/>
      <c r="L777" s="92"/>
      <c r="AC777" s="92"/>
    </row>
    <row r="778" spans="10:29" ht="15.75" customHeight="1" x14ac:dyDescent="0.25">
      <c r="J778" s="92"/>
      <c r="L778" s="92"/>
      <c r="AC778" s="92"/>
    </row>
    <row r="779" spans="10:29" ht="15.75" customHeight="1" x14ac:dyDescent="0.25">
      <c r="J779" s="92"/>
      <c r="L779" s="92"/>
      <c r="AC779" s="92"/>
    </row>
    <row r="780" spans="10:29" ht="15.75" customHeight="1" x14ac:dyDescent="0.25">
      <c r="J780" s="92"/>
      <c r="L780" s="92"/>
      <c r="AC780" s="92"/>
    </row>
    <row r="781" spans="10:29" ht="15.75" customHeight="1" x14ac:dyDescent="0.25">
      <c r="J781" s="92"/>
      <c r="L781" s="92"/>
      <c r="AC781" s="92"/>
    </row>
    <row r="782" spans="10:29" ht="15.75" customHeight="1" x14ac:dyDescent="0.25">
      <c r="J782" s="92"/>
      <c r="L782" s="92"/>
      <c r="AC782" s="92"/>
    </row>
    <row r="783" spans="10:29" ht="15.75" customHeight="1" x14ac:dyDescent="0.25">
      <c r="J783" s="92"/>
      <c r="L783" s="92"/>
      <c r="AC783" s="92"/>
    </row>
    <row r="784" spans="10:29" ht="15.75" customHeight="1" x14ac:dyDescent="0.25">
      <c r="J784" s="92"/>
      <c r="L784" s="92"/>
      <c r="AC784" s="92"/>
    </row>
    <row r="785" spans="10:29" ht="15.75" customHeight="1" x14ac:dyDescent="0.25">
      <c r="J785" s="92"/>
      <c r="L785" s="92"/>
      <c r="AC785" s="92"/>
    </row>
    <row r="786" spans="10:29" ht="15.75" customHeight="1" x14ac:dyDescent="0.25">
      <c r="J786" s="92"/>
      <c r="L786" s="92"/>
      <c r="AC786" s="92"/>
    </row>
    <row r="787" spans="10:29" ht="15.75" customHeight="1" x14ac:dyDescent="0.25">
      <c r="J787" s="92"/>
      <c r="L787" s="92"/>
      <c r="AC787" s="92"/>
    </row>
    <row r="788" spans="10:29" ht="15.75" customHeight="1" x14ac:dyDescent="0.25">
      <c r="J788" s="92"/>
      <c r="L788" s="92"/>
      <c r="AC788" s="92"/>
    </row>
    <row r="789" spans="10:29" ht="15.75" customHeight="1" x14ac:dyDescent="0.25">
      <c r="J789" s="92"/>
      <c r="L789" s="92"/>
      <c r="AC789" s="92"/>
    </row>
    <row r="790" spans="10:29" ht="15.75" customHeight="1" x14ac:dyDescent="0.25">
      <c r="J790" s="92"/>
      <c r="L790" s="92"/>
      <c r="AC790" s="92"/>
    </row>
    <row r="791" spans="10:29" ht="15.75" customHeight="1" x14ac:dyDescent="0.25">
      <c r="J791" s="92"/>
      <c r="L791" s="92"/>
      <c r="AC791" s="92"/>
    </row>
    <row r="792" spans="10:29" ht="15.75" customHeight="1" x14ac:dyDescent="0.25">
      <c r="J792" s="92"/>
      <c r="L792" s="92"/>
      <c r="AC792" s="92"/>
    </row>
    <row r="793" spans="10:29" ht="15.75" customHeight="1" x14ac:dyDescent="0.25">
      <c r="J793" s="92"/>
      <c r="L793" s="92"/>
      <c r="AC793" s="92"/>
    </row>
    <row r="794" spans="10:29" ht="15.75" customHeight="1" x14ac:dyDescent="0.25">
      <c r="J794" s="92"/>
      <c r="L794" s="92"/>
      <c r="AC794" s="92"/>
    </row>
    <row r="795" spans="10:29" ht="15.75" customHeight="1" x14ac:dyDescent="0.25">
      <c r="J795" s="92"/>
      <c r="L795" s="92"/>
      <c r="AC795" s="92"/>
    </row>
    <row r="796" spans="10:29" ht="15.75" customHeight="1" x14ac:dyDescent="0.25">
      <c r="J796" s="92"/>
      <c r="L796" s="92"/>
      <c r="AC796" s="92"/>
    </row>
    <row r="797" spans="10:29" ht="15.75" customHeight="1" x14ac:dyDescent="0.25">
      <c r="J797" s="92"/>
      <c r="L797" s="92"/>
      <c r="AC797" s="92"/>
    </row>
    <row r="798" spans="10:29" ht="15.75" customHeight="1" x14ac:dyDescent="0.25">
      <c r="J798" s="92"/>
      <c r="L798" s="92"/>
      <c r="AC798" s="92"/>
    </row>
    <row r="799" spans="10:29" ht="15.75" customHeight="1" x14ac:dyDescent="0.25">
      <c r="J799" s="92"/>
      <c r="L799" s="92"/>
      <c r="AC799" s="92"/>
    </row>
    <row r="800" spans="10:29" ht="15.75" customHeight="1" x14ac:dyDescent="0.25">
      <c r="J800" s="92"/>
      <c r="L800" s="92"/>
      <c r="AC800" s="92"/>
    </row>
    <row r="801" spans="10:29" ht="15.75" customHeight="1" x14ac:dyDescent="0.25">
      <c r="J801" s="92"/>
      <c r="L801" s="92"/>
      <c r="AC801" s="92"/>
    </row>
    <row r="802" spans="10:29" ht="15.75" customHeight="1" x14ac:dyDescent="0.25">
      <c r="J802" s="92"/>
      <c r="L802" s="92"/>
      <c r="AC802" s="92"/>
    </row>
    <row r="803" spans="10:29" ht="15.75" customHeight="1" x14ac:dyDescent="0.25">
      <c r="J803" s="92"/>
      <c r="L803" s="92"/>
      <c r="AC803" s="92"/>
    </row>
    <row r="804" spans="10:29" ht="15.75" customHeight="1" x14ac:dyDescent="0.25">
      <c r="J804" s="92"/>
      <c r="L804" s="92"/>
      <c r="AC804" s="92"/>
    </row>
    <row r="805" spans="10:29" ht="15.75" customHeight="1" x14ac:dyDescent="0.25">
      <c r="J805" s="92"/>
      <c r="L805" s="92"/>
      <c r="AC805" s="92"/>
    </row>
    <row r="806" spans="10:29" ht="15.75" customHeight="1" x14ac:dyDescent="0.25">
      <c r="J806" s="92"/>
      <c r="L806" s="92"/>
      <c r="AC806" s="92"/>
    </row>
    <row r="807" spans="10:29" ht="15.75" customHeight="1" x14ac:dyDescent="0.25">
      <c r="J807" s="92"/>
      <c r="L807" s="92"/>
      <c r="AC807" s="92"/>
    </row>
    <row r="808" spans="10:29" ht="15.75" customHeight="1" x14ac:dyDescent="0.25">
      <c r="J808" s="92"/>
      <c r="L808" s="92"/>
      <c r="AC808" s="92"/>
    </row>
    <row r="809" spans="10:29" ht="15.75" customHeight="1" x14ac:dyDescent="0.25">
      <c r="J809" s="92"/>
      <c r="L809" s="92"/>
      <c r="AC809" s="92"/>
    </row>
    <row r="810" spans="10:29" ht="15.75" customHeight="1" x14ac:dyDescent="0.25">
      <c r="J810" s="92"/>
      <c r="L810" s="92"/>
      <c r="AC810" s="92"/>
    </row>
    <row r="811" spans="10:29" ht="15.75" customHeight="1" x14ac:dyDescent="0.25">
      <c r="J811" s="92"/>
      <c r="L811" s="92"/>
      <c r="AC811" s="92"/>
    </row>
    <row r="812" spans="10:29" ht="15.75" customHeight="1" x14ac:dyDescent="0.25">
      <c r="J812" s="92"/>
      <c r="L812" s="92"/>
      <c r="AC812" s="92"/>
    </row>
    <row r="813" spans="10:29" ht="15.75" customHeight="1" x14ac:dyDescent="0.25">
      <c r="J813" s="92"/>
      <c r="L813" s="92"/>
      <c r="AC813" s="92"/>
    </row>
    <row r="814" spans="10:29" ht="15.75" customHeight="1" x14ac:dyDescent="0.25">
      <c r="J814" s="92"/>
      <c r="L814" s="92"/>
      <c r="AC814" s="92"/>
    </row>
    <row r="815" spans="10:29" ht="15.75" customHeight="1" x14ac:dyDescent="0.25">
      <c r="J815" s="92"/>
      <c r="L815" s="92"/>
      <c r="AC815" s="92"/>
    </row>
    <row r="816" spans="10:29" ht="15.75" customHeight="1" x14ac:dyDescent="0.25">
      <c r="J816" s="92"/>
      <c r="L816" s="92"/>
      <c r="AC816" s="92"/>
    </row>
    <row r="817" spans="10:29" ht="15.75" customHeight="1" x14ac:dyDescent="0.25">
      <c r="J817" s="92"/>
      <c r="L817" s="92"/>
      <c r="AC817" s="92"/>
    </row>
    <row r="818" spans="10:29" ht="15.75" customHeight="1" x14ac:dyDescent="0.25">
      <c r="J818" s="92"/>
      <c r="L818" s="92"/>
      <c r="AC818" s="92"/>
    </row>
    <row r="819" spans="10:29" ht="15.75" customHeight="1" x14ac:dyDescent="0.25">
      <c r="J819" s="92"/>
      <c r="L819" s="92"/>
      <c r="AC819" s="92"/>
    </row>
    <row r="820" spans="10:29" ht="15.75" customHeight="1" x14ac:dyDescent="0.25">
      <c r="J820" s="92"/>
      <c r="L820" s="92"/>
      <c r="AC820" s="92"/>
    </row>
    <row r="821" spans="10:29" ht="15.75" customHeight="1" x14ac:dyDescent="0.25">
      <c r="J821" s="92"/>
      <c r="L821" s="92"/>
      <c r="AC821" s="92"/>
    </row>
    <row r="822" spans="10:29" ht="15.75" customHeight="1" x14ac:dyDescent="0.25">
      <c r="J822" s="92"/>
      <c r="L822" s="92"/>
      <c r="AC822" s="92"/>
    </row>
    <row r="823" spans="10:29" ht="15.75" customHeight="1" x14ac:dyDescent="0.25">
      <c r="J823" s="92"/>
      <c r="L823" s="92"/>
      <c r="AC823" s="92"/>
    </row>
    <row r="824" spans="10:29" ht="15.75" customHeight="1" x14ac:dyDescent="0.25">
      <c r="J824" s="92"/>
      <c r="L824" s="92"/>
      <c r="AC824" s="92"/>
    </row>
    <row r="825" spans="10:29" ht="15.75" customHeight="1" x14ac:dyDescent="0.25">
      <c r="J825" s="92"/>
      <c r="L825" s="92"/>
      <c r="AC825" s="92"/>
    </row>
    <row r="826" spans="10:29" ht="15.75" customHeight="1" x14ac:dyDescent="0.25">
      <c r="J826" s="92"/>
      <c r="L826" s="92"/>
      <c r="AC826" s="92"/>
    </row>
    <row r="827" spans="10:29" ht="15.75" customHeight="1" x14ac:dyDescent="0.25">
      <c r="J827" s="92"/>
      <c r="L827" s="92"/>
      <c r="AC827" s="92"/>
    </row>
    <row r="828" spans="10:29" ht="15.75" customHeight="1" x14ac:dyDescent="0.25">
      <c r="J828" s="92"/>
      <c r="L828" s="92"/>
      <c r="AC828" s="92"/>
    </row>
    <row r="829" spans="10:29" ht="15.75" customHeight="1" x14ac:dyDescent="0.25">
      <c r="J829" s="92"/>
      <c r="L829" s="92"/>
      <c r="AC829" s="92"/>
    </row>
    <row r="830" spans="10:29" ht="15.75" customHeight="1" x14ac:dyDescent="0.25">
      <c r="J830" s="92"/>
      <c r="L830" s="92"/>
      <c r="AC830" s="92"/>
    </row>
    <row r="831" spans="10:29" ht="15.75" customHeight="1" x14ac:dyDescent="0.25">
      <c r="J831" s="92"/>
      <c r="L831" s="92"/>
      <c r="AC831" s="92"/>
    </row>
    <row r="832" spans="10:29" ht="15.75" customHeight="1" x14ac:dyDescent="0.25">
      <c r="J832" s="92"/>
      <c r="L832" s="92"/>
      <c r="AC832" s="92"/>
    </row>
    <row r="833" spans="10:29" ht="15.75" customHeight="1" x14ac:dyDescent="0.25">
      <c r="J833" s="92"/>
      <c r="L833" s="92"/>
      <c r="AC833" s="92"/>
    </row>
    <row r="834" spans="10:29" ht="15.75" customHeight="1" x14ac:dyDescent="0.25">
      <c r="J834" s="92"/>
      <c r="L834" s="92"/>
      <c r="AC834" s="92"/>
    </row>
    <row r="835" spans="10:29" ht="15.75" customHeight="1" x14ac:dyDescent="0.25">
      <c r="J835" s="92"/>
      <c r="L835" s="92"/>
      <c r="AC835" s="92"/>
    </row>
    <row r="836" spans="10:29" ht="15.75" customHeight="1" x14ac:dyDescent="0.25">
      <c r="J836" s="92"/>
      <c r="L836" s="92"/>
      <c r="AC836" s="92"/>
    </row>
    <row r="837" spans="10:29" ht="15.75" customHeight="1" x14ac:dyDescent="0.25">
      <c r="J837" s="92"/>
      <c r="L837" s="92"/>
      <c r="AC837" s="92"/>
    </row>
    <row r="838" spans="10:29" ht="15.75" customHeight="1" x14ac:dyDescent="0.25">
      <c r="J838" s="92"/>
      <c r="L838" s="92"/>
      <c r="AC838" s="92"/>
    </row>
    <row r="839" spans="10:29" ht="15.75" customHeight="1" x14ac:dyDescent="0.25">
      <c r="J839" s="92"/>
      <c r="L839" s="92"/>
      <c r="AC839" s="92"/>
    </row>
    <row r="840" spans="10:29" ht="15.75" customHeight="1" x14ac:dyDescent="0.25">
      <c r="J840" s="92"/>
      <c r="L840" s="92"/>
      <c r="AC840" s="92"/>
    </row>
    <row r="841" spans="10:29" ht="15.75" customHeight="1" x14ac:dyDescent="0.25">
      <c r="J841" s="92"/>
      <c r="L841" s="92"/>
      <c r="AC841" s="92"/>
    </row>
    <row r="842" spans="10:29" ht="15.75" customHeight="1" x14ac:dyDescent="0.25">
      <c r="J842" s="92"/>
      <c r="L842" s="92"/>
      <c r="AC842" s="92"/>
    </row>
    <row r="843" spans="10:29" ht="15.75" customHeight="1" x14ac:dyDescent="0.25">
      <c r="J843" s="92"/>
      <c r="L843" s="92"/>
      <c r="AC843" s="92"/>
    </row>
    <row r="844" spans="10:29" ht="15.75" customHeight="1" x14ac:dyDescent="0.25">
      <c r="J844" s="92"/>
      <c r="L844" s="92"/>
      <c r="AC844" s="92"/>
    </row>
    <row r="845" spans="10:29" ht="15.75" customHeight="1" x14ac:dyDescent="0.25">
      <c r="J845" s="92"/>
      <c r="L845" s="92"/>
      <c r="AC845" s="92"/>
    </row>
    <row r="846" spans="10:29" ht="15.75" customHeight="1" x14ac:dyDescent="0.25">
      <c r="J846" s="92"/>
      <c r="L846" s="92"/>
      <c r="AC846" s="92"/>
    </row>
    <row r="847" spans="10:29" ht="15.75" customHeight="1" x14ac:dyDescent="0.25">
      <c r="J847" s="92"/>
      <c r="L847" s="92"/>
      <c r="AC847" s="92"/>
    </row>
    <row r="848" spans="10:29" ht="15.75" customHeight="1" x14ac:dyDescent="0.25">
      <c r="J848" s="92"/>
      <c r="L848" s="92"/>
      <c r="AC848" s="92"/>
    </row>
    <row r="849" spans="10:29" ht="15.75" customHeight="1" x14ac:dyDescent="0.25">
      <c r="J849" s="92"/>
      <c r="L849" s="92"/>
      <c r="AC849" s="92"/>
    </row>
    <row r="850" spans="10:29" ht="15.75" customHeight="1" x14ac:dyDescent="0.25">
      <c r="J850" s="92"/>
      <c r="L850" s="92"/>
      <c r="AC850" s="92"/>
    </row>
    <row r="851" spans="10:29" ht="15.75" customHeight="1" x14ac:dyDescent="0.25">
      <c r="J851" s="92"/>
      <c r="L851" s="92"/>
      <c r="AC851" s="92"/>
    </row>
    <row r="852" spans="10:29" ht="15.75" customHeight="1" x14ac:dyDescent="0.25">
      <c r="J852" s="92"/>
      <c r="L852" s="92"/>
      <c r="AC852" s="92"/>
    </row>
    <row r="853" spans="10:29" ht="15.75" customHeight="1" x14ac:dyDescent="0.25">
      <c r="J853" s="92"/>
      <c r="L853" s="92"/>
      <c r="AC853" s="92"/>
    </row>
    <row r="854" spans="10:29" ht="15.75" customHeight="1" x14ac:dyDescent="0.25">
      <c r="J854" s="92"/>
      <c r="L854" s="92"/>
      <c r="AC854" s="92"/>
    </row>
    <row r="855" spans="10:29" ht="15.75" customHeight="1" x14ac:dyDescent="0.25">
      <c r="J855" s="92"/>
      <c r="L855" s="92"/>
      <c r="AC855" s="92"/>
    </row>
    <row r="856" spans="10:29" ht="15.75" customHeight="1" x14ac:dyDescent="0.25">
      <c r="J856" s="92"/>
      <c r="L856" s="92"/>
      <c r="AC856" s="92"/>
    </row>
    <row r="857" spans="10:29" ht="15.75" customHeight="1" x14ac:dyDescent="0.25">
      <c r="J857" s="92"/>
      <c r="L857" s="92"/>
      <c r="AC857" s="92"/>
    </row>
    <row r="858" spans="10:29" ht="15.75" customHeight="1" x14ac:dyDescent="0.25">
      <c r="J858" s="92"/>
      <c r="L858" s="92"/>
      <c r="AC858" s="92"/>
    </row>
    <row r="859" spans="10:29" ht="15.75" customHeight="1" x14ac:dyDescent="0.25">
      <c r="J859" s="92"/>
      <c r="L859" s="92"/>
      <c r="AC859" s="92"/>
    </row>
    <row r="860" spans="10:29" ht="15.75" customHeight="1" x14ac:dyDescent="0.25">
      <c r="J860" s="92"/>
      <c r="L860" s="92"/>
      <c r="AC860" s="92"/>
    </row>
    <row r="861" spans="10:29" ht="15.75" customHeight="1" x14ac:dyDescent="0.25">
      <c r="J861" s="92"/>
      <c r="L861" s="92"/>
      <c r="AC861" s="92"/>
    </row>
    <row r="862" spans="10:29" ht="15.75" customHeight="1" x14ac:dyDescent="0.25">
      <c r="J862" s="92"/>
      <c r="L862" s="92"/>
      <c r="AC862" s="92"/>
    </row>
    <row r="863" spans="10:29" ht="15.75" customHeight="1" x14ac:dyDescent="0.25">
      <c r="J863" s="92"/>
      <c r="L863" s="92"/>
      <c r="AC863" s="92"/>
    </row>
    <row r="864" spans="10:29" ht="15.75" customHeight="1" x14ac:dyDescent="0.25">
      <c r="J864" s="92"/>
      <c r="L864" s="92"/>
      <c r="AC864" s="92"/>
    </row>
    <row r="865" spans="10:29" ht="15.75" customHeight="1" x14ac:dyDescent="0.25">
      <c r="J865" s="92"/>
      <c r="L865" s="92"/>
      <c r="AC865" s="92"/>
    </row>
    <row r="866" spans="10:29" ht="15.75" customHeight="1" x14ac:dyDescent="0.25">
      <c r="J866" s="92"/>
      <c r="L866" s="92"/>
      <c r="AC866" s="92"/>
    </row>
    <row r="867" spans="10:29" ht="15.75" customHeight="1" x14ac:dyDescent="0.25">
      <c r="J867" s="92"/>
      <c r="L867" s="92"/>
      <c r="AC867" s="92"/>
    </row>
    <row r="868" spans="10:29" ht="15.75" customHeight="1" x14ac:dyDescent="0.25">
      <c r="J868" s="92"/>
      <c r="L868" s="92"/>
      <c r="AC868" s="92"/>
    </row>
    <row r="869" spans="10:29" ht="15.75" customHeight="1" x14ac:dyDescent="0.25">
      <c r="J869" s="92"/>
      <c r="L869" s="92"/>
      <c r="AC869" s="92"/>
    </row>
    <row r="870" spans="10:29" ht="15.75" customHeight="1" x14ac:dyDescent="0.25">
      <c r="J870" s="92"/>
      <c r="L870" s="92"/>
      <c r="AC870" s="92"/>
    </row>
    <row r="871" spans="10:29" ht="15.75" customHeight="1" x14ac:dyDescent="0.25">
      <c r="J871" s="92"/>
      <c r="L871" s="92"/>
      <c r="AC871" s="92"/>
    </row>
    <row r="872" spans="10:29" ht="15.75" customHeight="1" x14ac:dyDescent="0.25">
      <c r="J872" s="92"/>
      <c r="L872" s="92"/>
      <c r="AC872" s="92"/>
    </row>
    <row r="873" spans="10:29" ht="15.75" customHeight="1" x14ac:dyDescent="0.25">
      <c r="J873" s="92"/>
      <c r="L873" s="92"/>
      <c r="AC873" s="92"/>
    </row>
    <row r="874" spans="10:29" ht="15.75" customHeight="1" x14ac:dyDescent="0.25">
      <c r="J874" s="92"/>
      <c r="L874" s="92"/>
      <c r="AC874" s="92"/>
    </row>
    <row r="875" spans="10:29" ht="15.75" customHeight="1" x14ac:dyDescent="0.25">
      <c r="J875" s="92"/>
      <c r="L875" s="92"/>
      <c r="AC875" s="92"/>
    </row>
    <row r="876" spans="10:29" ht="15.75" customHeight="1" x14ac:dyDescent="0.25">
      <c r="J876" s="92"/>
      <c r="L876" s="92"/>
      <c r="AC876" s="92"/>
    </row>
    <row r="877" spans="10:29" ht="15.75" customHeight="1" x14ac:dyDescent="0.25">
      <c r="J877" s="92"/>
      <c r="L877" s="92"/>
      <c r="AC877" s="92"/>
    </row>
    <row r="878" spans="10:29" ht="15.75" customHeight="1" x14ac:dyDescent="0.25">
      <c r="J878" s="92"/>
      <c r="L878" s="92"/>
      <c r="AC878" s="92"/>
    </row>
    <row r="879" spans="10:29" ht="15.75" customHeight="1" x14ac:dyDescent="0.25">
      <c r="J879" s="92"/>
      <c r="L879" s="92"/>
      <c r="AC879" s="92"/>
    </row>
    <row r="880" spans="10:29" ht="15.75" customHeight="1" x14ac:dyDescent="0.25">
      <c r="J880" s="92"/>
      <c r="L880" s="92"/>
      <c r="AC880" s="92"/>
    </row>
    <row r="881" spans="10:29" ht="15.75" customHeight="1" x14ac:dyDescent="0.25">
      <c r="J881" s="92"/>
      <c r="L881" s="92"/>
      <c r="AC881" s="92"/>
    </row>
    <row r="882" spans="10:29" ht="15.75" customHeight="1" x14ac:dyDescent="0.25">
      <c r="J882" s="92"/>
      <c r="L882" s="92"/>
      <c r="AC882" s="92"/>
    </row>
    <row r="883" spans="10:29" ht="15.75" customHeight="1" x14ac:dyDescent="0.25">
      <c r="J883" s="92"/>
      <c r="L883" s="92"/>
      <c r="AC883" s="92"/>
    </row>
    <row r="884" spans="10:29" ht="15.75" customHeight="1" x14ac:dyDescent="0.25">
      <c r="J884" s="92"/>
      <c r="L884" s="92"/>
      <c r="AC884" s="92"/>
    </row>
    <row r="885" spans="10:29" ht="15.75" customHeight="1" x14ac:dyDescent="0.25">
      <c r="J885" s="92"/>
      <c r="L885" s="92"/>
      <c r="AC885" s="92"/>
    </row>
    <row r="886" spans="10:29" ht="15.75" customHeight="1" x14ac:dyDescent="0.25">
      <c r="J886" s="92"/>
      <c r="L886" s="92"/>
      <c r="AC886" s="92"/>
    </row>
    <row r="887" spans="10:29" ht="15.75" customHeight="1" x14ac:dyDescent="0.25">
      <c r="J887" s="92"/>
      <c r="L887" s="92"/>
      <c r="AC887" s="92"/>
    </row>
    <row r="888" spans="10:29" ht="15.75" customHeight="1" x14ac:dyDescent="0.25">
      <c r="J888" s="92"/>
      <c r="L888" s="92"/>
      <c r="AC888" s="92"/>
    </row>
    <row r="889" spans="10:29" ht="15.75" customHeight="1" x14ac:dyDescent="0.25">
      <c r="J889" s="92"/>
      <c r="L889" s="92"/>
      <c r="AC889" s="92"/>
    </row>
    <row r="890" spans="10:29" ht="15.75" customHeight="1" x14ac:dyDescent="0.25">
      <c r="J890" s="92"/>
      <c r="L890" s="92"/>
      <c r="AC890" s="92"/>
    </row>
    <row r="891" spans="10:29" ht="15.75" customHeight="1" x14ac:dyDescent="0.25">
      <c r="J891" s="92"/>
      <c r="L891" s="92"/>
      <c r="AC891" s="92"/>
    </row>
    <row r="892" spans="10:29" ht="15.75" customHeight="1" x14ac:dyDescent="0.25">
      <c r="J892" s="92"/>
      <c r="L892" s="92"/>
      <c r="AC892" s="92"/>
    </row>
    <row r="893" spans="10:29" ht="15.75" customHeight="1" x14ac:dyDescent="0.25">
      <c r="J893" s="92"/>
      <c r="L893" s="92"/>
      <c r="AC893" s="92"/>
    </row>
    <row r="894" spans="10:29" ht="15.75" customHeight="1" x14ac:dyDescent="0.25">
      <c r="J894" s="92"/>
      <c r="L894" s="92"/>
      <c r="AC894" s="92"/>
    </row>
    <row r="895" spans="10:29" ht="15.75" customHeight="1" x14ac:dyDescent="0.25">
      <c r="J895" s="92"/>
      <c r="L895" s="92"/>
      <c r="AC895" s="92"/>
    </row>
    <row r="896" spans="10:29" ht="15.75" customHeight="1" x14ac:dyDescent="0.25">
      <c r="J896" s="92"/>
      <c r="L896" s="92"/>
      <c r="AC896" s="92"/>
    </row>
    <row r="897" spans="10:29" ht="15.75" customHeight="1" x14ac:dyDescent="0.25">
      <c r="J897" s="92"/>
      <c r="L897" s="92"/>
      <c r="AC897" s="92"/>
    </row>
    <row r="898" spans="10:29" ht="15.75" customHeight="1" x14ac:dyDescent="0.25">
      <c r="J898" s="92"/>
      <c r="L898" s="92"/>
      <c r="AC898" s="92"/>
    </row>
    <row r="899" spans="10:29" ht="15.75" customHeight="1" x14ac:dyDescent="0.25">
      <c r="J899" s="92"/>
      <c r="L899" s="92"/>
      <c r="AC899" s="92"/>
    </row>
    <row r="900" spans="10:29" ht="15.75" customHeight="1" x14ac:dyDescent="0.25">
      <c r="J900" s="92"/>
      <c r="L900" s="92"/>
      <c r="AC900" s="92"/>
    </row>
    <row r="901" spans="10:29" ht="15.75" customHeight="1" x14ac:dyDescent="0.25">
      <c r="J901" s="92"/>
      <c r="L901" s="92"/>
      <c r="AC901" s="92"/>
    </row>
    <row r="902" spans="10:29" ht="15.75" customHeight="1" x14ac:dyDescent="0.25">
      <c r="J902" s="92"/>
      <c r="L902" s="92"/>
      <c r="AC902" s="92"/>
    </row>
    <row r="903" spans="10:29" ht="15.75" customHeight="1" x14ac:dyDescent="0.25">
      <c r="J903" s="92"/>
      <c r="L903" s="92"/>
      <c r="AC903" s="92"/>
    </row>
    <row r="904" spans="10:29" ht="15.75" customHeight="1" x14ac:dyDescent="0.25">
      <c r="J904" s="92"/>
      <c r="L904" s="92"/>
      <c r="AC904" s="92"/>
    </row>
    <row r="905" spans="10:29" ht="15.75" customHeight="1" x14ac:dyDescent="0.25">
      <c r="J905" s="92"/>
      <c r="L905" s="92"/>
      <c r="AC905" s="92"/>
    </row>
    <row r="906" spans="10:29" ht="15.75" customHeight="1" x14ac:dyDescent="0.25">
      <c r="J906" s="92"/>
      <c r="L906" s="92"/>
      <c r="AC906" s="92"/>
    </row>
    <row r="907" spans="10:29" ht="15.75" customHeight="1" x14ac:dyDescent="0.25">
      <c r="J907" s="92"/>
      <c r="L907" s="92"/>
      <c r="AC907" s="92"/>
    </row>
    <row r="908" spans="10:29" ht="15.75" customHeight="1" x14ac:dyDescent="0.25">
      <c r="J908" s="92"/>
      <c r="L908" s="92"/>
      <c r="AC908" s="92"/>
    </row>
    <row r="909" spans="10:29" ht="15.75" customHeight="1" x14ac:dyDescent="0.25">
      <c r="J909" s="92"/>
      <c r="L909" s="92"/>
      <c r="AC909" s="92"/>
    </row>
    <row r="910" spans="10:29" ht="15.75" customHeight="1" x14ac:dyDescent="0.25">
      <c r="J910" s="92"/>
      <c r="L910" s="92"/>
      <c r="AC910" s="92"/>
    </row>
    <row r="911" spans="10:29" ht="15.75" customHeight="1" x14ac:dyDescent="0.25">
      <c r="J911" s="92"/>
      <c r="L911" s="92"/>
      <c r="AC911" s="92"/>
    </row>
    <row r="912" spans="10:29" ht="15.75" customHeight="1" x14ac:dyDescent="0.25">
      <c r="J912" s="92"/>
      <c r="L912" s="92"/>
      <c r="AC912" s="92"/>
    </row>
    <row r="913" spans="10:29" ht="15.75" customHeight="1" x14ac:dyDescent="0.25">
      <c r="J913" s="92"/>
      <c r="L913" s="92"/>
      <c r="AC913" s="92"/>
    </row>
    <row r="914" spans="10:29" ht="15.75" customHeight="1" x14ac:dyDescent="0.25">
      <c r="J914" s="92"/>
      <c r="L914" s="92"/>
      <c r="AC914" s="92"/>
    </row>
    <row r="915" spans="10:29" ht="15.75" customHeight="1" x14ac:dyDescent="0.25">
      <c r="J915" s="92"/>
      <c r="L915" s="92"/>
      <c r="AC915" s="92"/>
    </row>
    <row r="916" spans="10:29" ht="15.75" customHeight="1" x14ac:dyDescent="0.25">
      <c r="J916" s="92"/>
      <c r="L916" s="92"/>
      <c r="AC916" s="92"/>
    </row>
    <row r="917" spans="10:29" ht="15.75" customHeight="1" x14ac:dyDescent="0.25">
      <c r="J917" s="92"/>
      <c r="L917" s="92"/>
      <c r="AC917" s="92"/>
    </row>
    <row r="918" spans="10:29" ht="15.75" customHeight="1" x14ac:dyDescent="0.25">
      <c r="J918" s="92"/>
      <c r="L918" s="92"/>
      <c r="AC918" s="92"/>
    </row>
    <row r="919" spans="10:29" ht="15.75" customHeight="1" x14ac:dyDescent="0.25">
      <c r="J919" s="92"/>
      <c r="L919" s="92"/>
      <c r="AC919" s="92"/>
    </row>
    <row r="920" spans="10:29" ht="15.75" customHeight="1" x14ac:dyDescent="0.25">
      <c r="J920" s="92"/>
      <c r="L920" s="92"/>
      <c r="AC920" s="92"/>
    </row>
    <row r="921" spans="10:29" ht="15.75" customHeight="1" x14ac:dyDescent="0.25">
      <c r="J921" s="92"/>
      <c r="L921" s="92"/>
      <c r="AC921" s="92"/>
    </row>
    <row r="922" spans="10:29" ht="15.75" customHeight="1" x14ac:dyDescent="0.25">
      <c r="J922" s="92"/>
      <c r="L922" s="92"/>
      <c r="AC922" s="92"/>
    </row>
    <row r="923" spans="10:29" ht="15.75" customHeight="1" x14ac:dyDescent="0.25">
      <c r="J923" s="92"/>
      <c r="L923" s="92"/>
      <c r="AC923" s="92"/>
    </row>
    <row r="924" spans="10:29" ht="15.75" customHeight="1" x14ac:dyDescent="0.25">
      <c r="J924" s="92"/>
      <c r="L924" s="92"/>
      <c r="AC924" s="92"/>
    </row>
    <row r="925" spans="10:29" ht="15.75" customHeight="1" x14ac:dyDescent="0.25">
      <c r="J925" s="92"/>
      <c r="L925" s="92"/>
      <c r="AC925" s="92"/>
    </row>
    <row r="926" spans="10:29" ht="15.75" customHeight="1" x14ac:dyDescent="0.25">
      <c r="J926" s="92"/>
      <c r="L926" s="92"/>
      <c r="AC926" s="92"/>
    </row>
    <row r="927" spans="10:29" ht="15.75" customHeight="1" x14ac:dyDescent="0.25">
      <c r="J927" s="92"/>
      <c r="L927" s="92"/>
      <c r="AC927" s="92"/>
    </row>
    <row r="928" spans="10:29" ht="15.75" customHeight="1" x14ac:dyDescent="0.25">
      <c r="J928" s="92"/>
      <c r="L928" s="92"/>
      <c r="AC928" s="92"/>
    </row>
    <row r="929" spans="10:29" ht="15.75" customHeight="1" x14ac:dyDescent="0.25">
      <c r="J929" s="92"/>
      <c r="L929" s="92"/>
      <c r="AC929" s="92"/>
    </row>
    <row r="930" spans="10:29" ht="15.75" customHeight="1" x14ac:dyDescent="0.25">
      <c r="J930" s="92"/>
      <c r="L930" s="92"/>
      <c r="AC930" s="92"/>
    </row>
    <row r="931" spans="10:29" ht="15.75" customHeight="1" x14ac:dyDescent="0.25">
      <c r="J931" s="92"/>
      <c r="L931" s="92"/>
      <c r="AC931" s="92"/>
    </row>
    <row r="932" spans="10:29" ht="15.75" customHeight="1" x14ac:dyDescent="0.25">
      <c r="J932" s="92"/>
      <c r="L932" s="92"/>
      <c r="AC932" s="92"/>
    </row>
    <row r="933" spans="10:29" ht="15.75" customHeight="1" x14ac:dyDescent="0.25">
      <c r="J933" s="92"/>
      <c r="L933" s="92"/>
      <c r="AC933" s="92"/>
    </row>
    <row r="934" spans="10:29" ht="15.75" customHeight="1" x14ac:dyDescent="0.25">
      <c r="J934" s="92"/>
      <c r="L934" s="92"/>
      <c r="AC934" s="92"/>
    </row>
    <row r="935" spans="10:29" ht="15.75" customHeight="1" x14ac:dyDescent="0.25">
      <c r="J935" s="92"/>
      <c r="L935" s="92"/>
      <c r="AC935" s="92"/>
    </row>
    <row r="936" spans="10:29" ht="15.75" customHeight="1" x14ac:dyDescent="0.25">
      <c r="J936" s="92"/>
      <c r="L936" s="92"/>
      <c r="AC936" s="92"/>
    </row>
    <row r="937" spans="10:29" ht="15.75" customHeight="1" x14ac:dyDescent="0.25">
      <c r="J937" s="92"/>
      <c r="L937" s="92"/>
      <c r="AC937" s="92"/>
    </row>
    <row r="938" spans="10:29" ht="15.75" customHeight="1" x14ac:dyDescent="0.25">
      <c r="J938" s="92"/>
      <c r="L938" s="92"/>
      <c r="AC938" s="92"/>
    </row>
    <row r="939" spans="10:29" ht="15.75" customHeight="1" x14ac:dyDescent="0.25">
      <c r="J939" s="92"/>
      <c r="L939" s="92"/>
      <c r="AC939" s="92"/>
    </row>
    <row r="940" spans="10:29" ht="15.75" customHeight="1" x14ac:dyDescent="0.25">
      <c r="J940" s="92"/>
      <c r="L940" s="92"/>
      <c r="AC940" s="92"/>
    </row>
    <row r="941" spans="10:29" ht="15.75" customHeight="1" x14ac:dyDescent="0.25">
      <c r="J941" s="92"/>
      <c r="L941" s="92"/>
      <c r="AC941" s="92"/>
    </row>
    <row r="942" spans="10:29" ht="15.75" customHeight="1" x14ac:dyDescent="0.25">
      <c r="J942" s="92"/>
      <c r="L942" s="92"/>
      <c r="AC942" s="92"/>
    </row>
    <row r="943" spans="10:29" ht="15.75" customHeight="1" x14ac:dyDescent="0.25">
      <c r="J943" s="92"/>
      <c r="L943" s="92"/>
      <c r="AC943" s="92"/>
    </row>
    <row r="944" spans="10:29" ht="15.75" customHeight="1" x14ac:dyDescent="0.25">
      <c r="J944" s="92"/>
      <c r="L944" s="92"/>
      <c r="AC944" s="92"/>
    </row>
    <row r="945" spans="10:29" ht="15.75" customHeight="1" x14ac:dyDescent="0.25">
      <c r="J945" s="92"/>
      <c r="L945" s="92"/>
      <c r="AC945" s="92"/>
    </row>
    <row r="946" spans="10:29" ht="15.75" customHeight="1" x14ac:dyDescent="0.25">
      <c r="J946" s="92"/>
      <c r="L946" s="92"/>
      <c r="AC946" s="92"/>
    </row>
    <row r="947" spans="10:29" ht="15.75" customHeight="1" x14ac:dyDescent="0.25">
      <c r="J947" s="92"/>
      <c r="L947" s="92"/>
      <c r="AC947" s="92"/>
    </row>
    <row r="948" spans="10:29" ht="15.75" customHeight="1" x14ac:dyDescent="0.25">
      <c r="J948" s="92"/>
      <c r="L948" s="92"/>
      <c r="AC948" s="92"/>
    </row>
    <row r="949" spans="10:29" ht="15.75" customHeight="1" x14ac:dyDescent="0.25">
      <c r="J949" s="92"/>
      <c r="L949" s="92"/>
      <c r="AC949" s="92"/>
    </row>
    <row r="950" spans="10:29" ht="15.75" customHeight="1" x14ac:dyDescent="0.25">
      <c r="J950" s="92"/>
      <c r="L950" s="92"/>
      <c r="AC950" s="92"/>
    </row>
    <row r="951" spans="10:29" ht="15.75" customHeight="1" x14ac:dyDescent="0.25">
      <c r="J951" s="92"/>
      <c r="L951" s="92"/>
      <c r="AC951" s="92"/>
    </row>
    <row r="952" spans="10:29" ht="15.75" customHeight="1" x14ac:dyDescent="0.25">
      <c r="J952" s="92"/>
      <c r="L952" s="92"/>
      <c r="AC952" s="92"/>
    </row>
    <row r="953" spans="10:29" ht="15.75" customHeight="1" x14ac:dyDescent="0.25">
      <c r="J953" s="92"/>
      <c r="L953" s="92"/>
      <c r="AC953" s="92"/>
    </row>
    <row r="954" spans="10:29" ht="15.75" customHeight="1" x14ac:dyDescent="0.25">
      <c r="J954" s="92"/>
      <c r="L954" s="92"/>
      <c r="AC954" s="92"/>
    </row>
    <row r="955" spans="10:29" ht="15.75" customHeight="1" x14ac:dyDescent="0.25">
      <c r="J955" s="92"/>
      <c r="L955" s="92"/>
      <c r="AC955" s="92"/>
    </row>
    <row r="956" spans="10:29" ht="15.75" customHeight="1" x14ac:dyDescent="0.25">
      <c r="J956" s="92"/>
      <c r="L956" s="92"/>
      <c r="AC956" s="92"/>
    </row>
    <row r="957" spans="10:29" ht="15.75" customHeight="1" x14ac:dyDescent="0.25">
      <c r="J957" s="92"/>
      <c r="L957" s="92"/>
      <c r="AC957" s="92"/>
    </row>
    <row r="958" spans="10:29" ht="15.75" customHeight="1" x14ac:dyDescent="0.25">
      <c r="J958" s="92"/>
      <c r="L958" s="92"/>
      <c r="AC958" s="92"/>
    </row>
    <row r="959" spans="10:29" ht="15.75" customHeight="1" x14ac:dyDescent="0.25">
      <c r="J959" s="92"/>
      <c r="L959" s="92"/>
      <c r="AC959" s="92"/>
    </row>
    <row r="960" spans="10:29" ht="15.75" customHeight="1" x14ac:dyDescent="0.25">
      <c r="J960" s="92"/>
      <c r="L960" s="92"/>
      <c r="AC960" s="92"/>
    </row>
    <row r="961" spans="10:29" ht="15.75" customHeight="1" x14ac:dyDescent="0.25">
      <c r="J961" s="92"/>
      <c r="L961" s="92"/>
      <c r="AC961" s="92"/>
    </row>
    <row r="962" spans="10:29" ht="15.75" customHeight="1" x14ac:dyDescent="0.25">
      <c r="J962" s="92"/>
      <c r="L962" s="92"/>
      <c r="AC962" s="92"/>
    </row>
    <row r="963" spans="10:29" ht="15.75" customHeight="1" x14ac:dyDescent="0.25">
      <c r="J963" s="92"/>
      <c r="L963" s="92"/>
      <c r="AC963" s="92"/>
    </row>
    <row r="964" spans="10:29" ht="15.75" customHeight="1" x14ac:dyDescent="0.25">
      <c r="J964" s="92"/>
      <c r="L964" s="92"/>
      <c r="AC964" s="92"/>
    </row>
    <row r="965" spans="10:29" ht="15.75" customHeight="1" x14ac:dyDescent="0.25">
      <c r="J965" s="92"/>
      <c r="L965" s="92"/>
      <c r="AC965" s="92"/>
    </row>
    <row r="966" spans="10:29" ht="15.75" customHeight="1" x14ac:dyDescent="0.25">
      <c r="J966" s="92"/>
      <c r="L966" s="92"/>
      <c r="AC966" s="92"/>
    </row>
    <row r="967" spans="10:29" ht="15.75" customHeight="1" x14ac:dyDescent="0.25">
      <c r="J967" s="92"/>
      <c r="L967" s="92"/>
      <c r="AC967" s="92"/>
    </row>
    <row r="968" spans="10:29" ht="15.75" customHeight="1" x14ac:dyDescent="0.25">
      <c r="J968" s="92"/>
      <c r="L968" s="92"/>
      <c r="AC968" s="92"/>
    </row>
    <row r="969" spans="10:29" ht="15.75" customHeight="1" x14ac:dyDescent="0.25">
      <c r="J969" s="92"/>
      <c r="L969" s="92"/>
      <c r="AC969" s="92"/>
    </row>
    <row r="970" spans="10:29" ht="15.75" customHeight="1" x14ac:dyDescent="0.25">
      <c r="J970" s="92"/>
      <c r="L970" s="92"/>
      <c r="AC970" s="92"/>
    </row>
    <row r="971" spans="10:29" ht="15.75" customHeight="1" x14ac:dyDescent="0.25">
      <c r="J971" s="92"/>
      <c r="L971" s="92"/>
      <c r="AC971" s="92"/>
    </row>
    <row r="972" spans="10:29" ht="15.75" customHeight="1" x14ac:dyDescent="0.25">
      <c r="J972" s="92"/>
      <c r="L972" s="92"/>
      <c r="AC972" s="92"/>
    </row>
    <row r="973" spans="10:29" ht="15.75" customHeight="1" x14ac:dyDescent="0.25">
      <c r="J973" s="92"/>
      <c r="L973" s="92"/>
      <c r="AC973" s="92"/>
    </row>
    <row r="974" spans="10:29" ht="15.75" customHeight="1" x14ac:dyDescent="0.25">
      <c r="J974" s="92"/>
      <c r="L974" s="92"/>
      <c r="AC974" s="92"/>
    </row>
    <row r="975" spans="10:29" ht="15.75" customHeight="1" x14ac:dyDescent="0.25">
      <c r="J975" s="92"/>
      <c r="L975" s="92"/>
      <c r="AC975" s="92"/>
    </row>
    <row r="976" spans="10:29" ht="15.75" customHeight="1" x14ac:dyDescent="0.25">
      <c r="J976" s="92"/>
      <c r="L976" s="92"/>
      <c r="AC976" s="92"/>
    </row>
    <row r="977" spans="10:29" ht="15.75" customHeight="1" x14ac:dyDescent="0.25">
      <c r="J977" s="92"/>
      <c r="L977" s="92"/>
      <c r="AC977" s="92"/>
    </row>
    <row r="978" spans="10:29" ht="15.75" customHeight="1" x14ac:dyDescent="0.25">
      <c r="J978" s="92"/>
      <c r="L978" s="92"/>
      <c r="AC978" s="92"/>
    </row>
    <row r="979" spans="10:29" ht="15.75" customHeight="1" x14ac:dyDescent="0.25">
      <c r="J979" s="92"/>
      <c r="L979" s="92"/>
      <c r="AC979" s="92"/>
    </row>
    <row r="980" spans="10:29" ht="15.75" customHeight="1" x14ac:dyDescent="0.25">
      <c r="J980" s="92"/>
      <c r="L980" s="92"/>
      <c r="AC980" s="92"/>
    </row>
    <row r="981" spans="10:29" ht="15.75" customHeight="1" x14ac:dyDescent="0.25">
      <c r="J981" s="92"/>
      <c r="L981" s="92"/>
      <c r="AC981" s="92"/>
    </row>
    <row r="982" spans="10:29" ht="15.75" customHeight="1" x14ac:dyDescent="0.25">
      <c r="J982" s="92"/>
      <c r="L982" s="92"/>
      <c r="AC982" s="92"/>
    </row>
    <row r="983" spans="10:29" ht="15.75" customHeight="1" x14ac:dyDescent="0.25">
      <c r="J983" s="92"/>
      <c r="L983" s="92"/>
      <c r="AC983" s="92"/>
    </row>
    <row r="984" spans="10:29" ht="15.75" customHeight="1" x14ac:dyDescent="0.25">
      <c r="J984" s="92"/>
      <c r="L984" s="92"/>
      <c r="AC984" s="92"/>
    </row>
    <row r="985" spans="10:29" ht="15.75" customHeight="1" x14ac:dyDescent="0.25">
      <c r="J985" s="92"/>
      <c r="L985" s="92"/>
      <c r="AC985" s="92"/>
    </row>
    <row r="986" spans="10:29" ht="15.75" customHeight="1" x14ac:dyDescent="0.25">
      <c r="J986" s="92"/>
      <c r="L986" s="92"/>
      <c r="AC986" s="92"/>
    </row>
    <row r="987" spans="10:29" ht="15.75" customHeight="1" x14ac:dyDescent="0.25">
      <c r="J987" s="92"/>
      <c r="L987" s="92"/>
      <c r="AC987" s="92"/>
    </row>
    <row r="988" spans="10:29" ht="15.75" customHeight="1" x14ac:dyDescent="0.25">
      <c r="J988" s="92"/>
      <c r="L988" s="92"/>
      <c r="AC988" s="92"/>
    </row>
    <row r="989" spans="10:29" ht="15.75" customHeight="1" x14ac:dyDescent="0.25">
      <c r="J989" s="92"/>
      <c r="L989" s="92"/>
      <c r="AC989" s="92"/>
    </row>
    <row r="990" spans="10:29" ht="15.75" customHeight="1" x14ac:dyDescent="0.25">
      <c r="J990" s="92"/>
      <c r="L990" s="92"/>
      <c r="AC990" s="92"/>
    </row>
    <row r="991" spans="10:29" ht="15.75" customHeight="1" x14ac:dyDescent="0.25">
      <c r="J991" s="92"/>
      <c r="L991" s="92"/>
      <c r="AC991" s="92"/>
    </row>
    <row r="992" spans="10:29" ht="15.75" customHeight="1" x14ac:dyDescent="0.25">
      <c r="J992" s="92"/>
      <c r="L992" s="92"/>
      <c r="AC992" s="92"/>
    </row>
    <row r="993" spans="10:29" ht="15.75" customHeight="1" x14ac:dyDescent="0.25">
      <c r="J993" s="92"/>
      <c r="L993" s="92"/>
      <c r="AC993" s="92"/>
    </row>
    <row r="994" spans="10:29" ht="15.75" customHeight="1" x14ac:dyDescent="0.25">
      <c r="J994" s="92"/>
      <c r="L994" s="92"/>
      <c r="AC994" s="92"/>
    </row>
    <row r="995" spans="10:29" ht="15.75" customHeight="1" x14ac:dyDescent="0.25">
      <c r="J995" s="92"/>
      <c r="L995" s="92"/>
      <c r="AC995" s="92"/>
    </row>
    <row r="996" spans="10:29" ht="15.75" customHeight="1" x14ac:dyDescent="0.25">
      <c r="J996" s="92"/>
      <c r="L996" s="92"/>
      <c r="AC996" s="92"/>
    </row>
    <row r="997" spans="10:29" ht="15.75" customHeight="1" x14ac:dyDescent="0.25">
      <c r="J997" s="92"/>
      <c r="L997" s="92"/>
      <c r="AC997" s="92"/>
    </row>
    <row r="998" spans="10:29" ht="15.75" customHeight="1" x14ac:dyDescent="0.25">
      <c r="J998" s="92"/>
      <c r="L998" s="92"/>
      <c r="AC998" s="92"/>
    </row>
    <row r="999" spans="10:29" ht="15.75" customHeight="1" x14ac:dyDescent="0.25">
      <c r="J999" s="92"/>
      <c r="L999" s="92"/>
      <c r="AC999" s="92"/>
    </row>
    <row r="1000" spans="10:29" ht="15.75" customHeight="1" x14ac:dyDescent="0.25">
      <c r="J1000" s="92"/>
      <c r="L1000" s="92"/>
      <c r="AC1000" s="92"/>
    </row>
    <row r="1001" spans="10:29" ht="15.75" customHeight="1" x14ac:dyDescent="0.25">
      <c r="J1001" s="92"/>
      <c r="L1001" s="92"/>
      <c r="AC1001" s="92"/>
    </row>
    <row r="1002" spans="10:29" ht="15.75" customHeight="1" x14ac:dyDescent="0.25">
      <c r="J1002" s="92"/>
      <c r="L1002" s="92"/>
      <c r="AC1002" s="92"/>
    </row>
    <row r="1003" spans="10:29" ht="15.75" customHeight="1" x14ac:dyDescent="0.25">
      <c r="J1003" s="92"/>
      <c r="L1003" s="92"/>
      <c r="AC1003" s="92"/>
    </row>
    <row r="1004" spans="10:29" ht="15.75" customHeight="1" x14ac:dyDescent="0.25">
      <c r="J1004" s="92"/>
      <c r="L1004" s="92"/>
      <c r="AC1004" s="92"/>
    </row>
    <row r="1005" spans="10:29" ht="15.75" customHeight="1" x14ac:dyDescent="0.25">
      <c r="J1005" s="92"/>
      <c r="L1005" s="92"/>
      <c r="AC1005" s="92"/>
    </row>
    <row r="1006" spans="10:29" ht="15.75" customHeight="1" x14ac:dyDescent="0.25">
      <c r="J1006" s="92"/>
      <c r="L1006" s="92"/>
      <c r="AC1006" s="92"/>
    </row>
    <row r="1007" spans="10:29" ht="15.75" customHeight="1" x14ac:dyDescent="0.25">
      <c r="J1007" s="92"/>
      <c r="L1007" s="92"/>
      <c r="AC1007" s="92"/>
    </row>
    <row r="1008" spans="10:29" ht="15.75" customHeight="1" x14ac:dyDescent="0.25">
      <c r="J1008" s="92"/>
      <c r="L1008" s="92"/>
      <c r="AC1008" s="92"/>
    </row>
    <row r="1009" spans="10:29" ht="15.75" customHeight="1" x14ac:dyDescent="0.25">
      <c r="J1009" s="92"/>
      <c r="L1009" s="92"/>
      <c r="AC1009" s="92"/>
    </row>
    <row r="1010" spans="10:29" ht="15.75" customHeight="1" x14ac:dyDescent="0.25">
      <c r="J1010" s="92"/>
      <c r="L1010" s="92"/>
      <c r="AC1010" s="92"/>
    </row>
    <row r="1011" spans="10:29" ht="15.75" customHeight="1" x14ac:dyDescent="0.25">
      <c r="J1011" s="92"/>
      <c r="L1011" s="92"/>
      <c r="AC1011" s="92"/>
    </row>
    <row r="1012" spans="10:29" ht="15.75" customHeight="1" x14ac:dyDescent="0.25">
      <c r="J1012" s="92"/>
      <c r="L1012" s="92"/>
      <c r="AC1012" s="92"/>
    </row>
    <row r="1013" spans="10:29" ht="15.75" customHeight="1" x14ac:dyDescent="0.25">
      <c r="J1013" s="92"/>
      <c r="L1013" s="92"/>
      <c r="AC1013" s="92"/>
    </row>
    <row r="1014" spans="10:29" ht="15.75" customHeight="1" x14ac:dyDescent="0.25">
      <c r="J1014" s="92"/>
      <c r="L1014" s="92"/>
      <c r="AC1014" s="92"/>
    </row>
    <row r="1015" spans="10:29" ht="15.75" customHeight="1" x14ac:dyDescent="0.25">
      <c r="J1015" s="92"/>
      <c r="L1015" s="92"/>
      <c r="AC1015" s="92"/>
    </row>
    <row r="1016" spans="10:29" ht="15.75" customHeight="1" x14ac:dyDescent="0.25">
      <c r="J1016" s="92"/>
      <c r="L1016" s="92"/>
      <c r="AC1016" s="92"/>
    </row>
    <row r="1017" spans="10:29" ht="15.75" customHeight="1" x14ac:dyDescent="0.25">
      <c r="J1017" s="92"/>
      <c r="L1017" s="92"/>
      <c r="AC1017" s="92"/>
    </row>
    <row r="1018" spans="10:29" ht="15.75" customHeight="1" x14ac:dyDescent="0.25">
      <c r="J1018" s="92"/>
      <c r="L1018" s="92"/>
      <c r="AC1018" s="92"/>
    </row>
    <row r="1019" spans="10:29" ht="15.75" customHeight="1" x14ac:dyDescent="0.25">
      <c r="J1019" s="92"/>
      <c r="L1019" s="92"/>
      <c r="AC1019" s="92"/>
    </row>
    <row r="1020" spans="10:29" ht="15.75" customHeight="1" x14ac:dyDescent="0.25">
      <c r="J1020" s="92"/>
      <c r="L1020" s="92"/>
      <c r="AC1020" s="92"/>
    </row>
    <row r="1021" spans="10:29" ht="15.75" customHeight="1" x14ac:dyDescent="0.25">
      <c r="J1021" s="92"/>
      <c r="L1021" s="92"/>
      <c r="AC1021" s="92"/>
    </row>
    <row r="1022" spans="10:29" ht="15.75" customHeight="1" x14ac:dyDescent="0.25">
      <c r="J1022" s="92"/>
      <c r="L1022" s="92"/>
      <c r="AC1022" s="92"/>
    </row>
    <row r="1023" spans="10:29" ht="15.75" customHeight="1" x14ac:dyDescent="0.25">
      <c r="J1023" s="92"/>
      <c r="L1023" s="92"/>
      <c r="AC1023" s="92"/>
    </row>
    <row r="1024" spans="10:29" ht="15.75" customHeight="1" x14ac:dyDescent="0.25">
      <c r="J1024" s="92"/>
      <c r="L1024" s="92"/>
      <c r="AC1024" s="92"/>
    </row>
    <row r="1025" spans="10:29" ht="15.75" customHeight="1" x14ac:dyDescent="0.25">
      <c r="J1025" s="92"/>
      <c r="L1025" s="92"/>
      <c r="AC1025" s="92"/>
    </row>
    <row r="1026" spans="10:29" ht="15.75" customHeight="1" x14ac:dyDescent="0.25">
      <c r="J1026" s="92"/>
      <c r="L1026" s="92"/>
      <c r="AC1026" s="92"/>
    </row>
    <row r="1027" spans="10:29" ht="15.75" customHeight="1" x14ac:dyDescent="0.25">
      <c r="J1027" s="92"/>
      <c r="L1027" s="92"/>
      <c r="AC1027" s="92"/>
    </row>
    <row r="1028" spans="10:29" ht="15.75" customHeight="1" x14ac:dyDescent="0.25">
      <c r="J1028" s="92"/>
      <c r="L1028" s="92"/>
      <c r="AC1028" s="92"/>
    </row>
    <row r="1029" spans="10:29" ht="15.75" customHeight="1" x14ac:dyDescent="0.25">
      <c r="J1029" s="92"/>
      <c r="L1029" s="92"/>
      <c r="AC1029" s="92"/>
    </row>
    <row r="1030" spans="10:29" ht="15.75" customHeight="1" x14ac:dyDescent="0.25">
      <c r="J1030" s="92"/>
      <c r="L1030" s="92"/>
      <c r="AC1030" s="92"/>
    </row>
    <row r="1031" spans="10:29" ht="15.75" customHeight="1" x14ac:dyDescent="0.25">
      <c r="J1031" s="92"/>
      <c r="L1031" s="92"/>
      <c r="AC1031" s="92"/>
    </row>
    <row r="1032" spans="10:29" ht="15.75" customHeight="1" x14ac:dyDescent="0.25">
      <c r="J1032" s="92"/>
      <c r="L1032" s="92"/>
      <c r="AC1032" s="92"/>
    </row>
    <row r="1033" spans="10:29" ht="15.75" customHeight="1" x14ac:dyDescent="0.25">
      <c r="J1033" s="92"/>
      <c r="L1033" s="92"/>
      <c r="AC1033" s="92"/>
    </row>
    <row r="1034" spans="10:29" ht="15.75" customHeight="1" x14ac:dyDescent="0.25">
      <c r="J1034" s="92"/>
      <c r="L1034" s="92"/>
      <c r="AC1034" s="92"/>
    </row>
    <row r="1035" spans="10:29" ht="15.75" customHeight="1" x14ac:dyDescent="0.25">
      <c r="J1035" s="92"/>
      <c r="L1035" s="92"/>
      <c r="AC1035" s="92"/>
    </row>
    <row r="1036" spans="10:29" ht="15.75" customHeight="1" x14ac:dyDescent="0.25">
      <c r="J1036" s="92"/>
      <c r="L1036" s="92"/>
      <c r="AC1036" s="92"/>
    </row>
    <row r="1037" spans="10:29" ht="15.75" customHeight="1" x14ac:dyDescent="0.25">
      <c r="J1037" s="92"/>
      <c r="L1037" s="92"/>
      <c r="AC1037" s="92"/>
    </row>
    <row r="1038" spans="10:29" ht="15.75" customHeight="1" x14ac:dyDescent="0.25">
      <c r="J1038" s="92"/>
      <c r="L1038" s="92"/>
      <c r="AC1038" s="92"/>
    </row>
    <row r="1039" spans="10:29" ht="15.75" customHeight="1" x14ac:dyDescent="0.25">
      <c r="J1039" s="92"/>
      <c r="L1039" s="92"/>
      <c r="AC1039" s="92"/>
    </row>
    <row r="1040" spans="10:29" ht="15.75" customHeight="1" x14ac:dyDescent="0.25">
      <c r="J1040" s="92"/>
      <c r="L1040" s="92"/>
      <c r="AC1040" s="92"/>
    </row>
    <row r="1041" spans="10:29" ht="15.75" customHeight="1" x14ac:dyDescent="0.25">
      <c r="J1041" s="92"/>
      <c r="L1041" s="92"/>
      <c r="AC1041" s="92"/>
    </row>
    <row r="1042" spans="10:29" ht="15.75" customHeight="1" x14ac:dyDescent="0.25">
      <c r="J1042" s="92"/>
      <c r="L1042" s="92"/>
      <c r="AC1042" s="92"/>
    </row>
    <row r="1043" spans="10:29" ht="15.75" customHeight="1" x14ac:dyDescent="0.25">
      <c r="J1043" s="92"/>
      <c r="L1043" s="92"/>
      <c r="AC1043" s="92"/>
    </row>
    <row r="1044" spans="10:29" ht="15.75" customHeight="1" x14ac:dyDescent="0.25">
      <c r="J1044" s="92"/>
      <c r="L1044" s="92"/>
      <c r="AC1044" s="92"/>
    </row>
    <row r="1045" spans="10:29" ht="15.75" customHeight="1" x14ac:dyDescent="0.25">
      <c r="J1045" s="92"/>
      <c r="L1045" s="92"/>
      <c r="AC1045" s="92"/>
    </row>
    <row r="1046" spans="10:29" ht="15.75" customHeight="1" x14ac:dyDescent="0.25">
      <c r="J1046" s="92"/>
      <c r="L1046" s="92"/>
      <c r="AC1046" s="92"/>
    </row>
    <row r="1047" spans="10:29" ht="15.75" customHeight="1" x14ac:dyDescent="0.25">
      <c r="J1047" s="92"/>
      <c r="L1047" s="92"/>
      <c r="AC1047" s="92"/>
    </row>
    <row r="1048" spans="10:29" ht="15.75" customHeight="1" x14ac:dyDescent="0.25">
      <c r="J1048" s="92"/>
      <c r="L1048" s="92"/>
      <c r="AC1048" s="92"/>
    </row>
    <row r="1049" spans="10:29" ht="15.75" customHeight="1" x14ac:dyDescent="0.25">
      <c r="J1049" s="92"/>
      <c r="L1049" s="92"/>
      <c r="AC1049" s="92"/>
    </row>
    <row r="1050" spans="10:29" ht="15.75" customHeight="1" x14ac:dyDescent="0.25">
      <c r="J1050" s="92"/>
      <c r="L1050" s="92"/>
      <c r="AC1050" s="92"/>
    </row>
    <row r="1051" spans="10:29" ht="15.75" customHeight="1" x14ac:dyDescent="0.25">
      <c r="J1051" s="92"/>
      <c r="L1051" s="92"/>
      <c r="AC1051" s="92"/>
    </row>
    <row r="1052" spans="10:29" ht="15.75" customHeight="1" x14ac:dyDescent="0.25">
      <c r="J1052" s="92"/>
      <c r="L1052" s="92"/>
      <c r="AC1052" s="92"/>
    </row>
    <row r="1053" spans="10:29" ht="15.75" customHeight="1" x14ac:dyDescent="0.25">
      <c r="J1053" s="92"/>
      <c r="L1053" s="92"/>
      <c r="AC1053" s="92"/>
    </row>
    <row r="1054" spans="10:29" ht="15.75" customHeight="1" x14ac:dyDescent="0.25">
      <c r="J1054" s="92"/>
      <c r="L1054" s="92"/>
      <c r="AC1054" s="92"/>
    </row>
    <row r="1055" spans="10:29" ht="15.75" customHeight="1" x14ac:dyDescent="0.25">
      <c r="J1055" s="92"/>
      <c r="L1055" s="92"/>
      <c r="AC1055" s="92"/>
    </row>
    <row r="1056" spans="10:29" ht="15.75" customHeight="1" x14ac:dyDescent="0.25">
      <c r="J1056" s="92"/>
      <c r="L1056" s="92"/>
      <c r="AC1056" s="92"/>
    </row>
    <row r="1057" spans="10:29" ht="15.75" customHeight="1" x14ac:dyDescent="0.25">
      <c r="J1057" s="92"/>
      <c r="L1057" s="92"/>
      <c r="AC1057" s="92"/>
    </row>
    <row r="1058" spans="10:29" ht="15.75" customHeight="1" x14ac:dyDescent="0.25">
      <c r="J1058" s="92"/>
      <c r="L1058" s="92"/>
      <c r="AC1058" s="92"/>
    </row>
    <row r="1059" spans="10:29" ht="15.75" customHeight="1" x14ac:dyDescent="0.25">
      <c r="J1059" s="92"/>
      <c r="L1059" s="92"/>
      <c r="AC1059" s="92"/>
    </row>
    <row r="1060" spans="10:29" ht="15.75" customHeight="1" x14ac:dyDescent="0.25">
      <c r="J1060" s="92"/>
      <c r="L1060" s="92"/>
      <c r="AC1060" s="92"/>
    </row>
    <row r="1061" spans="10:29" ht="15.75" customHeight="1" x14ac:dyDescent="0.25">
      <c r="J1061" s="92"/>
      <c r="L1061" s="92"/>
      <c r="AC1061" s="92"/>
    </row>
    <row r="1062" spans="10:29" ht="15.75" customHeight="1" x14ac:dyDescent="0.25">
      <c r="J1062" s="92"/>
      <c r="L1062" s="92"/>
      <c r="AC1062" s="92"/>
    </row>
    <row r="1063" spans="10:29" ht="15.75" customHeight="1" x14ac:dyDescent="0.25">
      <c r="J1063" s="92"/>
      <c r="L1063" s="92"/>
      <c r="AC1063" s="92"/>
    </row>
    <row r="1064" spans="10:29" ht="15.75" customHeight="1" x14ac:dyDescent="0.25">
      <c r="J1064" s="92"/>
      <c r="L1064" s="92"/>
      <c r="AC1064" s="92"/>
    </row>
    <row r="1065" spans="10:29" ht="15.75" customHeight="1" x14ac:dyDescent="0.25">
      <c r="J1065" s="92"/>
      <c r="L1065" s="92"/>
      <c r="AC1065" s="92"/>
    </row>
    <row r="1066" spans="10:29" ht="15.75" customHeight="1" x14ac:dyDescent="0.25">
      <c r="J1066" s="92"/>
      <c r="L1066" s="92"/>
      <c r="AC1066" s="92"/>
    </row>
    <row r="1067" spans="10:29" ht="15.75" customHeight="1" x14ac:dyDescent="0.25">
      <c r="J1067" s="92"/>
      <c r="L1067" s="92"/>
      <c r="AC1067" s="92"/>
    </row>
    <row r="1068" spans="10:29" ht="15.75" customHeight="1" x14ac:dyDescent="0.25">
      <c r="J1068" s="92"/>
      <c r="L1068" s="92"/>
      <c r="AC1068" s="92"/>
    </row>
    <row r="1069" spans="10:29" ht="15.75" customHeight="1" x14ac:dyDescent="0.25">
      <c r="J1069" s="92"/>
      <c r="L1069" s="92"/>
      <c r="AC1069" s="92"/>
    </row>
    <row r="1070" spans="10:29" ht="15.75" customHeight="1" x14ac:dyDescent="0.25">
      <c r="J1070" s="92"/>
      <c r="L1070" s="92"/>
      <c r="AC1070" s="92"/>
    </row>
    <row r="1071" spans="10:29" ht="15.75" customHeight="1" x14ac:dyDescent="0.25">
      <c r="J1071" s="92"/>
      <c r="L1071" s="92"/>
      <c r="AC1071" s="92"/>
    </row>
    <row r="1072" spans="10:29" ht="15.75" customHeight="1" x14ac:dyDescent="0.25">
      <c r="J1072" s="92"/>
      <c r="L1072" s="92"/>
      <c r="AC1072" s="92"/>
    </row>
    <row r="1073" spans="10:29" ht="15.75" customHeight="1" x14ac:dyDescent="0.25">
      <c r="J1073" s="92"/>
      <c r="L1073" s="92"/>
      <c r="AC1073" s="92"/>
    </row>
    <row r="1074" spans="10:29" ht="15.75" customHeight="1" x14ac:dyDescent="0.25">
      <c r="J1074" s="92"/>
      <c r="L1074" s="92"/>
      <c r="AC1074" s="92"/>
    </row>
    <row r="1075" spans="10:29" ht="15.75" customHeight="1" x14ac:dyDescent="0.25">
      <c r="J1075" s="92"/>
      <c r="L1075" s="92"/>
      <c r="AC1075" s="92"/>
    </row>
    <row r="1076" spans="10:29" ht="15.75" customHeight="1" x14ac:dyDescent="0.25">
      <c r="J1076" s="92"/>
      <c r="L1076" s="92"/>
      <c r="AC1076" s="92"/>
    </row>
    <row r="1077" spans="10:29" ht="15.75" customHeight="1" x14ac:dyDescent="0.25">
      <c r="J1077" s="92"/>
      <c r="L1077" s="92"/>
      <c r="AC1077" s="92"/>
    </row>
    <row r="1078" spans="10:29" ht="15.75" customHeight="1" x14ac:dyDescent="0.25">
      <c r="J1078" s="92"/>
      <c r="L1078" s="92"/>
      <c r="AC1078" s="92"/>
    </row>
    <row r="1079" spans="10:29" ht="15.75" customHeight="1" x14ac:dyDescent="0.25">
      <c r="J1079" s="92"/>
      <c r="L1079" s="92"/>
      <c r="AC1079" s="92"/>
    </row>
    <row r="1080" spans="10:29" ht="15.75" customHeight="1" x14ac:dyDescent="0.25">
      <c r="J1080" s="92"/>
      <c r="L1080" s="92"/>
      <c r="AC1080" s="92"/>
    </row>
    <row r="1081" spans="10:29" ht="15.75" customHeight="1" x14ac:dyDescent="0.25">
      <c r="J1081" s="92"/>
      <c r="L1081" s="92"/>
      <c r="AC1081" s="92"/>
    </row>
    <row r="1082" spans="10:29" ht="15.75" customHeight="1" x14ac:dyDescent="0.25">
      <c r="J1082" s="92"/>
      <c r="L1082" s="92"/>
      <c r="AC1082" s="92"/>
    </row>
    <row r="1083" spans="10:29" ht="15.75" customHeight="1" x14ac:dyDescent="0.25">
      <c r="J1083" s="92"/>
      <c r="L1083" s="92"/>
      <c r="AC1083" s="92"/>
    </row>
    <row r="1084" spans="10:29" ht="15.75" customHeight="1" x14ac:dyDescent="0.25">
      <c r="J1084" s="92"/>
      <c r="L1084" s="92"/>
      <c r="AC1084" s="92"/>
    </row>
    <row r="1085" spans="10:29" ht="15.75" customHeight="1" x14ac:dyDescent="0.25">
      <c r="J1085" s="92"/>
      <c r="L1085" s="92"/>
      <c r="AC1085" s="92"/>
    </row>
    <row r="1086" spans="10:29" ht="15.75" customHeight="1" x14ac:dyDescent="0.25">
      <c r="J1086" s="92"/>
      <c r="L1086" s="92"/>
      <c r="AC1086" s="92"/>
    </row>
    <row r="1087" spans="10:29" ht="15.75" customHeight="1" x14ac:dyDescent="0.25">
      <c r="J1087" s="92"/>
      <c r="L1087" s="92"/>
      <c r="AC1087" s="92"/>
    </row>
    <row r="1088" spans="10:29" ht="15.75" customHeight="1" x14ac:dyDescent="0.25">
      <c r="J1088" s="92"/>
      <c r="L1088" s="92"/>
      <c r="AC1088" s="92"/>
    </row>
    <row r="1089" spans="10:29" ht="15.75" customHeight="1" x14ac:dyDescent="0.25">
      <c r="J1089" s="92"/>
      <c r="L1089" s="92"/>
      <c r="AC1089" s="92"/>
    </row>
    <row r="1090" spans="10:29" ht="15.75" customHeight="1" x14ac:dyDescent="0.25">
      <c r="J1090" s="92"/>
      <c r="L1090" s="92"/>
      <c r="AC1090" s="92"/>
    </row>
    <row r="1091" spans="10:29" ht="15.75" customHeight="1" x14ac:dyDescent="0.25">
      <c r="J1091" s="92"/>
      <c r="L1091" s="92"/>
      <c r="AC1091" s="92"/>
    </row>
    <row r="1092" spans="10:29" ht="15.75" customHeight="1" x14ac:dyDescent="0.25">
      <c r="J1092" s="92"/>
      <c r="L1092" s="92"/>
      <c r="AC1092" s="92"/>
    </row>
    <row r="1093" spans="10:29" ht="15.75" customHeight="1" x14ac:dyDescent="0.25">
      <c r="J1093" s="92"/>
      <c r="L1093" s="92"/>
      <c r="AC1093" s="92"/>
    </row>
    <row r="1094" spans="10:29" ht="15.75" customHeight="1" x14ac:dyDescent="0.25">
      <c r="J1094" s="92"/>
      <c r="L1094" s="92"/>
      <c r="AC1094" s="92"/>
    </row>
    <row r="1095" spans="10:29" ht="15.75" customHeight="1" x14ac:dyDescent="0.25">
      <c r="J1095" s="92"/>
      <c r="L1095" s="92"/>
      <c r="AC1095" s="92"/>
    </row>
    <row r="1096" spans="10:29" ht="15.75" customHeight="1" x14ac:dyDescent="0.25">
      <c r="J1096" s="92"/>
      <c r="L1096" s="92"/>
      <c r="AC1096" s="92"/>
    </row>
    <row r="1097" spans="10:29" ht="15.75" customHeight="1" x14ac:dyDescent="0.25">
      <c r="J1097" s="92"/>
      <c r="L1097" s="92"/>
      <c r="AC1097" s="92"/>
    </row>
    <row r="1098" spans="10:29" ht="15.75" customHeight="1" x14ac:dyDescent="0.25">
      <c r="J1098" s="92"/>
      <c r="L1098" s="92"/>
      <c r="AC1098" s="92"/>
    </row>
    <row r="1099" spans="10:29" ht="15.75" customHeight="1" x14ac:dyDescent="0.25">
      <c r="J1099" s="92"/>
      <c r="L1099" s="92"/>
      <c r="AC1099" s="92"/>
    </row>
  </sheetData>
  <sortState xmlns:xlrd2="http://schemas.microsoft.com/office/spreadsheetml/2017/richdata2" ref="C12:AC480">
    <sortCondition ref="H12:H480"/>
    <sortCondition ref="C12:C480"/>
    <sortCondition ref="D12:D480"/>
    <sortCondition ref="E12:E480"/>
    <sortCondition ref="F12:F480"/>
  </sortState>
  <mergeCells count="74">
    <mergeCell ref="C502:D502"/>
    <mergeCell ref="H502:I502"/>
    <mergeCell ref="H499:I499"/>
    <mergeCell ref="C501:D501"/>
    <mergeCell ref="H501:I501"/>
    <mergeCell ref="M501:T501"/>
    <mergeCell ref="W501:AB501"/>
    <mergeCell ref="C500:D500"/>
    <mergeCell ref="H500:I500"/>
    <mergeCell ref="M500:T500"/>
    <mergeCell ref="W500:AB500"/>
    <mergeCell ref="C496:D496"/>
    <mergeCell ref="H496:I496"/>
    <mergeCell ref="M496:S496"/>
    <mergeCell ref="T496:X496"/>
    <mergeCell ref="C497:D497"/>
    <mergeCell ref="H497:I497"/>
    <mergeCell ref="M497:S497"/>
    <mergeCell ref="T497:X497"/>
    <mergeCell ref="Z497:AB497"/>
    <mergeCell ref="C498:D498"/>
    <mergeCell ref="H498:I498"/>
    <mergeCell ref="C499:D499"/>
    <mergeCell ref="X495:AA495"/>
    <mergeCell ref="B490:B502"/>
    <mergeCell ref="C490:D490"/>
    <mergeCell ref="H490:I490"/>
    <mergeCell ref="C491:D491"/>
    <mergeCell ref="H491:I491"/>
    <mergeCell ref="C492:D492"/>
    <mergeCell ref="H492:I492"/>
    <mergeCell ref="C493:D493"/>
    <mergeCell ref="H493:I493"/>
    <mergeCell ref="C494:D494"/>
    <mergeCell ref="H494:I494"/>
    <mergeCell ref="C495:D495"/>
    <mergeCell ref="H495:I495"/>
    <mergeCell ref="M495:N495"/>
    <mergeCell ref="R495:T495"/>
    <mergeCell ref="B484:G484"/>
    <mergeCell ref="H484:L484"/>
    <mergeCell ref="M484:AC494"/>
    <mergeCell ref="B485:D486"/>
    <mergeCell ref="E485:E486"/>
    <mergeCell ref="F485:G485"/>
    <mergeCell ref="H485:I486"/>
    <mergeCell ref="J485:J486"/>
    <mergeCell ref="K485:L485"/>
    <mergeCell ref="B487:B489"/>
    <mergeCell ref="C487:D487"/>
    <mergeCell ref="H487:I487"/>
    <mergeCell ref="C488:D488"/>
    <mergeCell ref="H488:I488"/>
    <mergeCell ref="C489:D489"/>
    <mergeCell ref="H489:I489"/>
    <mergeCell ref="B8:AC8"/>
    <mergeCell ref="B9:B11"/>
    <mergeCell ref="C9:F10"/>
    <mergeCell ref="G9:G11"/>
    <mergeCell ref="H9:H11"/>
    <mergeCell ref="I9:I11"/>
    <mergeCell ref="J9:J11"/>
    <mergeCell ref="K9:K11"/>
    <mergeCell ref="L9:L11"/>
    <mergeCell ref="M9:AC9"/>
    <mergeCell ref="M10:M11"/>
    <mergeCell ref="N10:N11"/>
    <mergeCell ref="O10:AC10"/>
    <mergeCell ref="B7:AC7"/>
    <mergeCell ref="B1:AC1"/>
    <mergeCell ref="B2:AC2"/>
    <mergeCell ref="B3:AC3"/>
    <mergeCell ref="B4:AC4"/>
    <mergeCell ref="B5:AC5"/>
  </mergeCells>
  <pageMargins left="0.7" right="0.7" top="0.75" bottom="0.75" header="0" footer="0"/>
  <pageSetup orientation="landscape"/>
  <drawing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Beneficiaries</vt:lpstr>
      <vt:lpstr>MEB</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John Mark Agustin Acido</cp:lastModifiedBy>
  <dcterms:created xsi:type="dcterms:W3CDTF">2025-08-20T02:00:08Z</dcterms:created>
  <dcterms:modified xsi:type="dcterms:W3CDTF">2026-02-22T03:34:05Z</dcterms:modified>
</cp:coreProperties>
</file>