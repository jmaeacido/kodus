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"/>
    </mc:Choice>
  </mc:AlternateContent>
  <xr:revisionPtr revIDLastSave="0" documentId="13_ncr:1_{4B59AD6F-3299-45A7-8447-81D7CD49C60F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Copy of Annex F_IPCRF" sheetId="1" state="hidden" r:id="rId1"/>
    <sheet name="Rating Guide" sheetId="7" r:id="rId2"/>
    <sheet name=" CCEF_COS 1ST SEM" sheetId="2" r:id="rId3"/>
    <sheet name="CCEF_COS 2ND SEM" sheetId="6" r:id="rId4"/>
    <sheet name="CCEF_COS 2ND SEM (July-October)" sheetId="8" r:id="rId5"/>
    <sheet name="CCEF_COS 2ND SEM (Jul-Dec)" sheetId="9" r:id="rId6"/>
  </sheets>
  <definedNames>
    <definedName name="_xlnm.Print_Area" localSheetId="2">' CCEF_COS 1ST SEM'!$A$1:$M$53</definedName>
    <definedName name="_xlnm.Print_Area" localSheetId="3">'CCEF_COS 2ND SEM'!$B$3:$L$53</definedName>
    <definedName name="_xlnm.Print_Area" localSheetId="5">'CCEF_COS 2ND SEM (Jul-Dec)'!$B$3:$K$53</definedName>
    <definedName name="_xlnm.Print_Area" localSheetId="4">'CCEF_COS 2ND SEM (July-October)'!$B$3:$L$53</definedName>
    <definedName name="_xlnm.Print_Area" localSheetId="1">'Rating Guide'!$B$1:$I$139</definedName>
    <definedName name="_xlnm.Print_Titles" localSheetId="2">' CCEF_COS 1ST SEM'!$15:$17</definedName>
    <definedName name="_xlnm.Print_Titles" localSheetId="3">'CCEF_COS 2ND SEM'!$15:$17</definedName>
    <definedName name="_xlnm.Print_Titles" localSheetId="5">'CCEF_COS 2ND SEM (Jul-Dec)'!$15:$17</definedName>
    <definedName name="_xlnm.Print_Titles" localSheetId="4">'CCEF_COS 2ND SEM (July-October)'!$15:$17</definedName>
    <definedName name="_xlnm.Print_Titles" localSheetId="1">'Rating Guide'!$15:$16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n/VPvQ30bNi52cMVA8G2jKTmBlvXFrwmzLf4wRyoVo8="/>
    </ext>
  </extLst>
</workbook>
</file>

<file path=xl/calcChain.xml><?xml version="1.0" encoding="utf-8"?>
<calcChain xmlns="http://schemas.openxmlformats.org/spreadsheetml/2006/main">
  <c r="J42" i="9" l="1"/>
  <c r="J41" i="9"/>
  <c r="J40" i="9"/>
  <c r="J39" i="9"/>
  <c r="J38" i="9"/>
  <c r="J37" i="9"/>
  <c r="J35" i="9"/>
  <c r="J34" i="9"/>
  <c r="J33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30" i="8"/>
  <c r="J29" i="8"/>
  <c r="J25" i="8"/>
  <c r="J41" i="8"/>
  <c r="J40" i="8"/>
  <c r="J39" i="8"/>
  <c r="J38" i="8"/>
  <c r="J37" i="8"/>
  <c r="J35" i="8"/>
  <c r="J42" i="8" s="1"/>
  <c r="J34" i="8"/>
  <c r="J33" i="8"/>
  <c r="J31" i="8"/>
  <c r="J28" i="8"/>
  <c r="J27" i="8"/>
  <c r="J26" i="8"/>
  <c r="J24" i="8"/>
  <c r="J23" i="8"/>
  <c r="J22" i="8"/>
  <c r="J21" i="8"/>
  <c r="J20" i="8"/>
  <c r="J19" i="8"/>
  <c r="J41" i="2"/>
  <c r="J27" i="2"/>
  <c r="J37" i="2"/>
  <c r="J38" i="2"/>
  <c r="J39" i="2"/>
  <c r="J40" i="2"/>
  <c r="J33" i="2"/>
  <c r="J34" i="2"/>
  <c r="J35" i="2"/>
  <c r="J32" i="2"/>
  <c r="J28" i="2"/>
  <c r="J29" i="2"/>
  <c r="J30" i="2"/>
  <c r="J26" i="2"/>
  <c r="J25" i="2"/>
  <c r="J24" i="2"/>
  <c r="J23" i="2"/>
  <c r="J22" i="2"/>
  <c r="J21" i="2"/>
  <c r="J20" i="2"/>
  <c r="J19" i="2"/>
  <c r="J43" i="9" l="1"/>
  <c r="J43" i="8"/>
  <c r="AG18" i="2"/>
  <c r="J42" i="2"/>
  <c r="J43" i="2" s="1"/>
  <c r="AF18" i="2"/>
  <c r="M135" i="7"/>
  <c r="L135" i="7"/>
  <c r="K135" i="7"/>
  <c r="M134" i="7"/>
  <c r="L134" i="7"/>
  <c r="K134" i="7"/>
  <c r="M133" i="7"/>
  <c r="L133" i="7"/>
  <c r="K133" i="7"/>
  <c r="M132" i="7"/>
  <c r="L132" i="7"/>
  <c r="K132" i="7"/>
  <c r="M131" i="7"/>
  <c r="L131" i="7"/>
  <c r="K131" i="7"/>
  <c r="M130" i="7"/>
  <c r="L130" i="7"/>
  <c r="K130" i="7"/>
  <c r="M129" i="7"/>
  <c r="L129" i="7"/>
  <c r="K129" i="7"/>
  <c r="M128" i="7"/>
  <c r="L128" i="7"/>
  <c r="K128" i="7"/>
  <c r="M127" i="7"/>
  <c r="L127" i="7"/>
  <c r="K127" i="7"/>
  <c r="M126" i="7"/>
  <c r="L126" i="7"/>
  <c r="K126" i="7"/>
  <c r="M125" i="7"/>
  <c r="L125" i="7"/>
  <c r="K125" i="7"/>
  <c r="M124" i="7"/>
  <c r="L124" i="7"/>
  <c r="K124" i="7"/>
  <c r="M123" i="7"/>
  <c r="L123" i="7"/>
  <c r="K123" i="7"/>
  <c r="M122" i="7"/>
  <c r="L122" i="7"/>
  <c r="K122" i="7"/>
  <c r="M121" i="7"/>
  <c r="L121" i="7"/>
  <c r="K121" i="7"/>
  <c r="M120" i="7"/>
  <c r="L120" i="7"/>
  <c r="K120" i="7"/>
  <c r="M119" i="7"/>
  <c r="L119" i="7"/>
  <c r="K119" i="7"/>
  <c r="M118" i="7"/>
  <c r="L118" i="7"/>
  <c r="K118" i="7"/>
  <c r="M117" i="7"/>
  <c r="L117" i="7"/>
  <c r="K117" i="7"/>
  <c r="M116" i="7"/>
  <c r="L116" i="7"/>
  <c r="K116" i="7"/>
  <c r="M115" i="7"/>
  <c r="L115" i="7"/>
  <c r="K115" i="7"/>
  <c r="M114" i="7"/>
  <c r="L114" i="7"/>
  <c r="K114" i="7"/>
  <c r="M113" i="7"/>
  <c r="L113" i="7"/>
  <c r="K113" i="7"/>
  <c r="M112" i="7"/>
  <c r="L112" i="7"/>
  <c r="K112" i="7"/>
  <c r="M111" i="7"/>
  <c r="L111" i="7"/>
  <c r="K111" i="7"/>
  <c r="M109" i="7"/>
  <c r="L109" i="7"/>
  <c r="K109" i="7"/>
  <c r="M108" i="7"/>
  <c r="L108" i="7"/>
  <c r="K108" i="7"/>
  <c r="M107" i="7"/>
  <c r="L107" i="7"/>
  <c r="K107" i="7"/>
  <c r="M106" i="7"/>
  <c r="L106" i="7"/>
  <c r="K106" i="7"/>
  <c r="M105" i="7"/>
  <c r="L105" i="7"/>
  <c r="K105" i="7"/>
  <c r="M104" i="7"/>
  <c r="L104" i="7"/>
  <c r="K104" i="7"/>
  <c r="M103" i="7"/>
  <c r="L103" i="7"/>
  <c r="K103" i="7"/>
  <c r="M102" i="7"/>
  <c r="L102" i="7"/>
  <c r="K102" i="7"/>
  <c r="M101" i="7"/>
  <c r="L101" i="7"/>
  <c r="K101" i="7"/>
  <c r="M100" i="7"/>
  <c r="L100" i="7"/>
  <c r="K100" i="7"/>
  <c r="M99" i="7"/>
  <c r="L99" i="7"/>
  <c r="K99" i="7"/>
  <c r="M98" i="7"/>
  <c r="L98" i="7"/>
  <c r="K98" i="7"/>
  <c r="M97" i="7"/>
  <c r="L97" i="7"/>
  <c r="K97" i="7"/>
  <c r="M96" i="7"/>
  <c r="L96" i="7"/>
  <c r="K96" i="7"/>
  <c r="M95" i="7"/>
  <c r="L95" i="7"/>
  <c r="K95" i="7"/>
  <c r="M94" i="7"/>
  <c r="L94" i="7"/>
  <c r="K94" i="7"/>
  <c r="M93" i="7"/>
  <c r="L93" i="7"/>
  <c r="K93" i="7"/>
  <c r="M92" i="7"/>
  <c r="L92" i="7"/>
  <c r="K92" i="7"/>
  <c r="M91" i="7"/>
  <c r="L91" i="7"/>
  <c r="K91" i="7"/>
  <c r="M90" i="7"/>
  <c r="L90" i="7"/>
  <c r="K90" i="7"/>
  <c r="M89" i="7"/>
  <c r="L89" i="7"/>
  <c r="K89" i="7"/>
  <c r="M88" i="7"/>
  <c r="L88" i="7"/>
  <c r="K88" i="7"/>
  <c r="M87" i="7"/>
  <c r="L87" i="7"/>
  <c r="K87" i="7"/>
  <c r="M86" i="7"/>
  <c r="L86" i="7"/>
  <c r="K86" i="7"/>
  <c r="M85" i="7"/>
  <c r="L85" i="7"/>
  <c r="K85" i="7"/>
  <c r="M84" i="7"/>
  <c r="L84" i="7"/>
  <c r="K84" i="7"/>
  <c r="M83" i="7"/>
  <c r="L83" i="7"/>
  <c r="K83" i="7"/>
  <c r="M82" i="7"/>
  <c r="L82" i="7"/>
  <c r="K82" i="7"/>
  <c r="M81" i="7"/>
  <c r="L81" i="7"/>
  <c r="K81" i="7"/>
  <c r="M80" i="7"/>
  <c r="L80" i="7"/>
  <c r="K80" i="7"/>
  <c r="M79" i="7"/>
  <c r="L79" i="7"/>
  <c r="K79" i="7"/>
  <c r="M78" i="7"/>
  <c r="L78" i="7"/>
  <c r="K78" i="7"/>
  <c r="M77" i="7"/>
  <c r="L77" i="7"/>
  <c r="K77" i="7"/>
  <c r="M76" i="7"/>
  <c r="L76" i="7"/>
  <c r="K76" i="7"/>
  <c r="M75" i="7"/>
  <c r="L75" i="7"/>
  <c r="K75" i="7"/>
  <c r="AH18" i="2" l="1"/>
  <c r="AJ18" i="2"/>
  <c r="AI18" i="2"/>
  <c r="AK18" i="2" l="1"/>
</calcChain>
</file>

<file path=xl/sharedStrings.xml><?xml version="1.0" encoding="utf-8"?>
<sst xmlns="http://schemas.openxmlformats.org/spreadsheetml/2006/main" count="977" uniqueCount="358">
  <si>
    <t xml:space="preserve">Annex F. Individual Performance Commitment and Review Form
</t>
  </si>
  <si>
    <t>DEPARTMENT OF SOCIAL WELFARE AND DEVELOPMENT</t>
  </si>
  <si>
    <t>Individual Performance Commitment and Review Form (IPCRF)</t>
  </si>
  <si>
    <t>___ Semester, CY ______</t>
  </si>
  <si>
    <t xml:space="preserve">I commit to deliver and agree to be rated on the attainment of the following targets in accordance with the indicated measures for the rating period __________________________.
</t>
  </si>
  <si>
    <t>NAME OF EMPLOYEE</t>
  </si>
  <si>
    <t>POSITION</t>
  </si>
  <si>
    <t>Date:</t>
  </si>
  <si>
    <t>PART I. INDIVIDUAL COMMITMENTS AND ACCOMPLISHMENTS</t>
  </si>
  <si>
    <t>PERFORMANCE COMMITMENT</t>
  </si>
  <si>
    <t>PERFORMANCE EVALUATION</t>
  </si>
  <si>
    <t>KEY RESULT AREA (KRA)</t>
  </si>
  <si>
    <t>Success Indicator 
(Measure+Target)</t>
  </si>
  <si>
    <t>Accomplishment</t>
  </si>
  <si>
    <t>RATING</t>
  </si>
  <si>
    <t>REMARKS</t>
  </si>
  <si>
    <t>E/Qn</t>
  </si>
  <si>
    <t>Q</t>
  </si>
  <si>
    <t>T</t>
  </si>
  <si>
    <t>A</t>
  </si>
  <si>
    <t>Core Functions</t>
  </si>
  <si>
    <t>Strategic Functions</t>
  </si>
  <si>
    <t>Support Functions</t>
  </si>
  <si>
    <t>FINAL NUMERICAL RATING</t>
  </si>
  <si>
    <t>ADJECTIVAL RATING</t>
  </si>
  <si>
    <t xml:space="preserve">We hereby certify that the above targets, measures, and performance ratings for the rating period _________________________ were discussed and agreed upon with the Ratee.
</t>
  </si>
  <si>
    <t>______________________________________________________        _____________
                                                   Name                                                                  Date</t>
  </si>
  <si>
    <t>Immediate Supervisor</t>
  </si>
  <si>
    <t>Approving Authority</t>
  </si>
  <si>
    <t xml:space="preserve">Legend:   E- Efficiency    Q- Quality   T- Timeliness      A- Average   </t>
  </si>
  <si>
    <t>Rating Scale:  5-Outstanding   4- Very Satisfactory   3-Satisfactory   2-Unsatisfactory   1-Poor</t>
  </si>
  <si>
    <t>PART II. PERFORMANCE FEEDBACK</t>
  </si>
  <si>
    <t>STRENGTHS</t>
  </si>
  <si>
    <t>AREAS FOR IMPROVEMENTS</t>
  </si>
  <si>
    <t>RATER'S COMMENTS, RECOMMENDATIONS, &amp; COMMENDATIONS</t>
  </si>
  <si>
    <t xml:space="preserve">I hereby certify that the above performance ratings, and the identified Performance Feedback were discussed with me by my immediate supervisor.
</t>
  </si>
  <si>
    <t xml:space="preserve">I hereby certify that the above performance ratings, and the identified Performance Feedback were discussed by the undersigned to the Ratee.
</t>
  </si>
  <si>
    <t>_____________________________________________________        _____________
                               Name  of Ratee                                                                     Date</t>
  </si>
  <si>
    <t>_____________________________________________________        _____________
                               Name  of Immediate Supervisor                                          Date</t>
  </si>
  <si>
    <t>Contractor Commitment and Evaluation Form (CCEF)</t>
  </si>
  <si>
    <t>NAME OF RATEE</t>
  </si>
  <si>
    <t>PART I. COMMITMENT AND ACCOMPLISHMENT</t>
  </si>
  <si>
    <t>COMMITMENT AND TARGET</t>
  </si>
  <si>
    <t>EVALUATION RESULT</t>
  </si>
  <si>
    <t>Key Result Area (KRA)</t>
  </si>
  <si>
    <t>PART II. FEEDBACK</t>
  </si>
  <si>
    <t xml:space="preserve">I hereby certify that the above evaluation results, and the identified feedback were discussed with me.
</t>
  </si>
  <si>
    <t xml:space="preserve">I hereby certify that the above evaluation results, and the identified feedback were discussed by the undersigned to the Ratee.
</t>
  </si>
  <si>
    <r>
      <rPr>
        <u/>
        <sz val="10"/>
        <color theme="1"/>
        <rFont val="Arial"/>
        <family val="2"/>
      </rPr>
      <t>1st</t>
    </r>
    <r>
      <rPr>
        <sz val="10"/>
        <color theme="1"/>
        <rFont val="Arial"/>
        <family val="2"/>
      </rPr>
      <t xml:space="preserve"> Semester, CY </t>
    </r>
    <r>
      <rPr>
        <u/>
        <sz val="10"/>
        <color theme="1"/>
        <rFont val="Arial"/>
        <family val="2"/>
      </rPr>
      <t>2024</t>
    </r>
  </si>
  <si>
    <r>
      <t>I commit to deliver and agree to be rated on the attainment of the following targets in accordance with the indicated measures for the rating period</t>
    </r>
    <r>
      <rPr>
        <u/>
        <sz val="10"/>
        <color theme="1"/>
        <rFont val="Arial"/>
        <family val="2"/>
      </rPr>
      <t xml:space="preserve"> January </t>
    </r>
    <r>
      <rPr>
        <sz val="10"/>
        <color theme="1"/>
        <rFont val="Arial"/>
        <family val="2"/>
      </rPr>
      <t xml:space="preserve">- </t>
    </r>
    <r>
      <rPr>
        <u/>
        <sz val="10"/>
        <color theme="1"/>
        <rFont val="Arial"/>
        <family val="2"/>
      </rPr>
      <t>June 2024</t>
    </r>
    <r>
      <rPr>
        <sz val="10"/>
        <color theme="1"/>
        <rFont val="Arial"/>
        <family val="2"/>
      </rPr>
      <t xml:space="preserve">.
</t>
    </r>
  </si>
  <si>
    <r>
      <rPr>
        <u/>
        <sz val="10"/>
        <color theme="1"/>
        <rFont val="Arial"/>
        <family val="2"/>
      </rPr>
      <t>2nd</t>
    </r>
    <r>
      <rPr>
        <sz val="10"/>
        <color theme="1"/>
        <rFont val="Arial"/>
        <family val="2"/>
      </rPr>
      <t xml:space="preserve"> Semester, CY </t>
    </r>
    <r>
      <rPr>
        <u/>
        <sz val="10"/>
        <color theme="1"/>
        <rFont val="Arial"/>
        <family val="2"/>
      </rPr>
      <t>2024</t>
    </r>
  </si>
  <si>
    <r>
      <t>I commit to deliver and agree to be rated on the attainment of the following targets in accordance with the indicated measures for the rating period</t>
    </r>
    <r>
      <rPr>
        <u/>
        <sz val="10"/>
        <color theme="1"/>
        <rFont val="Arial"/>
        <family val="2"/>
      </rPr>
      <t xml:space="preserve"> July </t>
    </r>
    <r>
      <rPr>
        <sz val="10"/>
        <color theme="1"/>
        <rFont val="Arial"/>
        <family val="2"/>
      </rPr>
      <t xml:space="preserve">- </t>
    </r>
    <r>
      <rPr>
        <u/>
        <sz val="10"/>
        <color theme="1"/>
        <rFont val="Arial"/>
        <family val="2"/>
      </rPr>
      <t>December,  2024</t>
    </r>
    <r>
      <rPr>
        <sz val="10"/>
        <color theme="1"/>
        <rFont val="Arial"/>
        <family val="2"/>
      </rPr>
      <t xml:space="preserve">.
</t>
    </r>
  </si>
  <si>
    <t>JOHN MARK AGUSTIN E. ACIDO</t>
  </si>
  <si>
    <t>PDO-I</t>
  </si>
  <si>
    <t>Qn: 5 LGUs oriented on the operational guidelines, processes and procedures
Ql: Minutes/executive summary/feedback/documentation/after-activity report capture agreements with attached photo documentation
T: 31 March 2024</t>
  </si>
  <si>
    <t>Qn: 1 MER baseline data consolidated based on the approved project proposals of target LGUs
Ql: Completely filled-out MER form with corresponding Breakdown of Allocation (Annex A) of the target LGUs reflecting the target date of implementation with minimal revisions in timeline and indicators during implementation
T: 20 April 2024</t>
  </si>
  <si>
    <t>Qn: 3 Monthly Reports/Updates for MER submitted via Online Monitoring Platform (OMP) from April to June 2024
Ql: MER captures the necessary data, acomplishments and updates
T: Every last day of the applicable month</t>
  </si>
  <si>
    <t>Qn: 2 Consolidated Quarterly Reports on GPPA submitted from January to June 2024
Ql: Reports are accurate and consistent and accepted by RRP focal
T: Every 10th day of the first month of the succeeding quarter</t>
  </si>
  <si>
    <t>Track and Review of Pre-implementation Documents</t>
  </si>
  <si>
    <t>Qn: 100% of documents endorsed by DRMD Staff for tracking and review
Ql: Tracked and reviewed documents are complete, accurate, accepted and approved by the RRP Focal
T: Within 3 days after the receipt of documents</t>
  </si>
  <si>
    <t>Track and Review of Post-implementation Documents</t>
  </si>
  <si>
    <t>Qn: 100% of payout documents endorsed by DRMD Staff for review and processing
Ql: Reviewed and processed payout documents are complete, accurate and accepted by Special Disbursing Officer
T: Within 3 days after the receipt of documents</t>
  </si>
  <si>
    <t>Track and Review of Liquidation Documents</t>
  </si>
  <si>
    <t>Qn: 100% of documents endorsed by DRMD Staff for tracking and review
Ql: Tracked and reviewed documents are complete, accurate and accepted by Special Disbursing Officer
T: Within 3 days after the receipt of documents</t>
  </si>
  <si>
    <t>Qn: 2 quarterly meetings and knowledge sharing session attended
Ql: Submitted financial accomplishments and updates for consolidation and presentation of the RRP Focal to Central Office
T: At least 5 days before the conduct of the activity</t>
  </si>
  <si>
    <t>Qn: 2 quarterly meetings and knowledge sharing sessions attended
Ql: Presented financial accomplishments and updates of implementation
T: January to June 2024</t>
  </si>
  <si>
    <t>Qn: 3 projects and activities validated/monitored from April to June 2024
Ql: Site validation/monitoring tool and report captures the findings, observations, issues and concerns, recommendations, agreements and action taken
T: Within 5 working days after the conduct of the activity</t>
  </si>
  <si>
    <t>RRP Payouts</t>
  </si>
  <si>
    <t>Qn: 5 recipient LGUs conducted with payout
Ql: 95% disbursement over actual obligated amount
T: 30 June 2024</t>
  </si>
  <si>
    <t>Qn: 95% of beneficiaries received cash assistance vis-à-vis the targets indicated in the Monitoring, Evaluation and Reporting (MER) platform
Ql: 100% of grievances raised concerning the receipt of assistance resolved
T: Within 30 calendar days in terms of the time the beneficiaries received their assistance after completion of the project and submission of the required documents by the LGU</t>
  </si>
  <si>
    <t>Qn: 95% of cash-for-work/cash-for-training activities implemented vis-à-vis the targets indicated in the Monitoring, Evaluation and Reporting (MER) platform
Ql: Projects and activities were implemented wih minimal revisions in timeline and indicators during implementation
T: 30 June 2024</t>
  </si>
  <si>
    <t>Process referrals and expedite document turnaround times.</t>
  </si>
  <si>
    <t>Qn: ANA
Ql: Provided prompt action/response on referred cases
T: Per set deadline</t>
  </si>
  <si>
    <t>Compile and draft quarterly reports and presentations on MER-related data, including sectoral and sex-disaggregated data percentages.</t>
  </si>
  <si>
    <t>Qn: 1 Quarterly MER-related data and sex-disaggregated data reports/presentations prepared from April to June 2024
Ql: Reports are accurate and consistent and accepted by RRP focal
T: Per set deadline</t>
  </si>
  <si>
    <t>Prepare and submit executive summaries, feedback, and documentation, including after-activity reports, within specified timeframes.</t>
  </si>
  <si>
    <t>Qn: ANA
Ql: Minutes/executive summary/feedback/documentation/after-activity reports capture agreements with attached photo documentation
T: Within 5 working days after the conduct of the activity</t>
  </si>
  <si>
    <t>Implement the 7S framework for maintaining good housekeeping standards.</t>
  </si>
  <si>
    <t>Qn: 1 work station
Ql: Clean and organized working area
T: January to June 2024</t>
  </si>
  <si>
    <t>Undertake any other tasks as assigned by the supervisor.</t>
  </si>
  <si>
    <t>Qn: ANA
Ql: Performed task assigned without complaints
T: January to June 2024</t>
  </si>
  <si>
    <t>Conduct orientations for LGUs on the RRP CY 2024 operational guidelines, processes, and procedures.</t>
  </si>
  <si>
    <t>Submit consolidated baseline data for Monitoring, Evaluation, and Reporting (MER).</t>
  </si>
  <si>
    <t>Submit consolidated monthly reports/updates for Monitoring, Evaluation, and Reporting (MER) forms.</t>
  </si>
  <si>
    <t>Submit consolidated quarterly reports on Government Programs/Projects/Activities (GPPA) to the Commission on Audit (COA).</t>
  </si>
  <si>
    <t>Process Payout Documents</t>
  </si>
  <si>
    <t>Attend Quarterly consultation meeting and knowledge sharing session with DRMB-Central Office</t>
  </si>
  <si>
    <t>Attend Quarterly staff meetings and knowledge sharing sessions</t>
  </si>
  <si>
    <t>Validate and monitor the projects and activities at the site during RRP implementation.</t>
  </si>
  <si>
    <t>Provide additional income support to the poor families through the Risk Resiliency Program (RRP).</t>
  </si>
  <si>
    <t>Implement RRP Cash-for-Work/Training Activities</t>
  </si>
  <si>
    <t>Achieve the percentage rate of budget utilization in relation to Work and Financial Plan (WFP) targets.</t>
  </si>
  <si>
    <t>Submit consolidated Monthly Reports/Updates for Monitoring, Evaluation, and Reporting (MER) Form.</t>
  </si>
  <si>
    <t>Qn: 4 Monthly Reports/Updates for MER submitted via Online Monitoring Platform (OMP) from July to October 2024
Ql: MER captures the necessary data, acomplishments and updates
T: Every last day of the applicable month</t>
  </si>
  <si>
    <t>Submit consolidated Quarterly Reports on Government Programs/Projects/Activities (GPPA) to the Commission on Audit (COA).</t>
  </si>
  <si>
    <t>Qn: 2 Consolidated Quarterly Reports on GPPA submitted from July to December 2024
Ql: Reports are accurate and consistent and accepted by RRP focal
T: Every 10th day of the first month of the succeeding quarter</t>
  </si>
  <si>
    <t>Attend quarterly consultation meetings and knowledge-sharing sessions with the DRMB-Central Office.</t>
  </si>
  <si>
    <t>Qn: 2 quarterly meetings and knowledge sharing sessions attended
Ql: Presented financial accomplishments and updates of implementation
T: July to December 2024</t>
  </si>
  <si>
    <t>Qn: 5 projects and activities validated/monitored from July to December 2024
Ql: Site validation/monitoring tool and report captures the findings, observations, issues and concerns, recommendations, agreements and action taken
T: Within 5 working days after the conduct of the activity</t>
  </si>
  <si>
    <t>Qn: 5 recipient LGUs conducted with payout
Ql: 95% disbursement over actual obligated amount
T: 31 October 2024</t>
  </si>
  <si>
    <t>Submit Annual Accomplishment/Project Completion Reports to the Central Office.</t>
  </si>
  <si>
    <t>Qn: 1 Annual Accomplishment/Project Completion Report
Ql: Report captures accurate and consistent data needed by RRP focal in the preparation of a narrative report
T: Within 20 days from the payout of the last implementing LGU</t>
  </si>
  <si>
    <t>Facilitate or attend the Risk Resiliency Program Implementation Reviews for CY 2024.</t>
  </si>
  <si>
    <t>Qn: 1 Risk Resiliency Program Implementation Review for CY 2024 conducted/facilitated/attended
Ql: Minutes/executive summary/feedback/documentation/after-activity report capture agreements with attached photo documentation
T: 31 December 2024</t>
  </si>
  <si>
    <t>Ensure that poor families receive additional income support through the Risk Resiliency Program (RRP).</t>
  </si>
  <si>
    <t>Implement the Cash-for-Work/Training activities under the RRP.</t>
  </si>
  <si>
    <t>Achieve the budget utilization relative to the Work and Financial Plan (WFP) targets.</t>
  </si>
  <si>
    <t>Qn: 95% of cash-for-work/cash-for-training activities implemented vis-à-vis the targets indicated in the Monitoring, Evaluation and Reporting (MER) platform
Ql: Projects and activities were implemented wih minimal revisions in timeline and indicators during implementation
T: 31 December 2024</t>
  </si>
  <si>
    <t>Qn: 100% of WFP targets (grants/subsidies and admin cost) were obligated in a given timeline. 95% actual disbursement (grants/subsidies and admin cost) over actual obligation
Ql: N/A
T: 31 December 2024</t>
  </si>
  <si>
    <t>Qn: ANA
Ql: Performed task assigned without complaints
T: July to December 2024</t>
  </si>
  <si>
    <t>Qn: 1 work station
Ql: Clean and organized working area
T: July to December 2024</t>
  </si>
  <si>
    <t>Individual Performance Success Indicators and Rating Guide</t>
  </si>
  <si>
    <t>CY 2024</t>
  </si>
  <si>
    <t>I agree for my performance to be rated based on the standards indicated below.</t>
  </si>
  <si>
    <t>KRA</t>
  </si>
  <si>
    <t>Targets</t>
  </si>
  <si>
    <t>*Rating Guide</t>
  </si>
  <si>
    <t>Means of Verification (MOV)</t>
  </si>
  <si>
    <t>Remarks</t>
  </si>
  <si>
    <t>Measure</t>
  </si>
  <si>
    <t>Efficiency</t>
  </si>
  <si>
    <t>Quality</t>
  </si>
  <si>
    <t>Timeliness</t>
  </si>
  <si>
    <t>Rating Period</t>
  </si>
  <si>
    <t>Strategic Priorities</t>
  </si>
  <si>
    <t xml:space="preserve">1st and 2nd Semester
</t>
  </si>
  <si>
    <t xml:space="preserve">Core Functions </t>
  </si>
  <si>
    <t>Vetted by:</t>
  </si>
  <si>
    <t>Approved by:</t>
  </si>
  <si>
    <t>Regional Director</t>
  </si>
  <si>
    <t>*Rating Scale:              5 - Exceptional performance            4 - Exceeded expectations           3 - Met expectation          2 - Failed to meet expectation           1 - Consistently below expectation</t>
  </si>
  <si>
    <t>1. Project Proposal/Monthly  Monitoring Evaluation and Reporting (MER) plaform (Output Indicator 1)
2. Annual Accomplishment or Project Completion Report
3. Receiving copy of documentary requirements/ signed cash assistance payroll/field documentation</t>
  </si>
  <si>
    <t>1. Project Proposal (include Project Concept Note and Risk and Vulnerability Analysis Matrix)
2. Qualitative Performance Assessment Result
3. Monthly MER (Output Indicator 2 and 3)/
Annual Accomplishment or Project Completion Report</t>
  </si>
  <si>
    <t>Qn: 50% of WFP targets (grants/subsidies and admin cost) were obligated in a given timeline
•75% actual disbursement (grants/subsidies and admin cost) over actual obligation
Ql: N/A
T: 30 June 2024</t>
  </si>
  <si>
    <t>1. Statement of Fund Utilization
2. Monitoring Evaluation and Reporting (MER) Tool</t>
  </si>
  <si>
    <t>Conduct orientations for LGUs on the RRP CY 2025 operational guidelines, processes, and procedures.</t>
  </si>
  <si>
    <t>Qn: 5 LGUs oriented on the operational guidelines, processes and procedures
Ql: Minutes/executive summary/feedback/documentation/after-activity report capture agreements with attached photo documentation
T: 31 October 2024</t>
  </si>
  <si>
    <t>1st Semester</t>
  </si>
  <si>
    <t>1. Minutes/ Executive Summary/ Feedback Report with Photo documentation</t>
  </si>
  <si>
    <t>1. Transmittal
2. Breakdown of Allocation per province/ municipality/ barangay
3. Monitoring Evaluation and Reporting (MER) baseline data</t>
  </si>
  <si>
    <t>1. Transmittal
2. Accomplished MER</t>
  </si>
  <si>
    <t>1. Transmittal
2. Consolidated GPPA</t>
  </si>
  <si>
    <t>1. Transmittal
2. Pre-implementation documents</t>
  </si>
  <si>
    <t>1. Transmittal
2. Post-implementation documents</t>
  </si>
  <si>
    <t>1. Vouchers
2. Cash Assistance Payroll
3. Masterlist of Eligible Beneficiaries
4. Project Proposal/Concept Note
5. Breakdown of Allocation (Annex A)</t>
  </si>
  <si>
    <t>1. Transmittal
2. Liquidation documents</t>
  </si>
  <si>
    <t>1. Attendance Sheet/ Screenshot of Virtual Meeting conducted
2. Powerpoint presentation prepared</t>
  </si>
  <si>
    <t>1. Attendance Sheet/ Screenshot of Virtual Meeting conducted
2. Powerpoint presentation prepared
3. Minutes of the meeting</t>
  </si>
  <si>
    <t>1. Accomplished Monitoring and TA form
2. Monitoring/ Feedback report</t>
  </si>
  <si>
    <t>Implement RRP Cash-for-Work/Training ActivitiesCompile and draft quarterly reports and presentations on MER-related data, including sectoral and sex-disaggregated data percentages.</t>
  </si>
  <si>
    <t>1. Transmittal
2. Documents acted</t>
  </si>
  <si>
    <t>Qn: 2 Quarterly MER-related data and sex-disaggregated data reports/presentations prepared from April to June 2024
Ql: Reports are accurate and consistent and accepted by RRP focal
T: Per set deadline</t>
  </si>
  <si>
    <t>1. Accomplished MER
2. Sectoral/sex-disaggregated data
3. Report/ presentation</t>
  </si>
  <si>
    <t>1. Minutes of the meeting</t>
  </si>
  <si>
    <t>1. Work station</t>
  </si>
  <si>
    <t>1. Accomplishment report</t>
  </si>
  <si>
    <t>2nd Semester</t>
  </si>
  <si>
    <t>1. Transmittal
2. Annual Accomplishment/ Completion Report</t>
  </si>
  <si>
    <t>1. Attendance Sheet
2. Minutes/feedback report/Executive Summary
3. Prepared Powerpoint presentation</t>
  </si>
  <si>
    <t>Date: July 1, 2024</t>
  </si>
  <si>
    <t xml:space="preserve">MARI-FLOR A. DOLLAGA-LIBANG ___________
</t>
  </si>
  <si>
    <t>_____________________________________________________        _____________
                               Name  of Ratee                                                        Date</t>
  </si>
  <si>
    <t>_____________________________________________________        _____________
                               Name  of Immediate Supervisor                                 Date</t>
  </si>
  <si>
    <t xml:space="preserve">We hereby certify that the above targets, measures, and performance ratings for the rating period January - June were discussed and agreed upon with the Ratee.
</t>
  </si>
  <si>
    <t xml:space="preserve">ALDIE MAE A. ANDOY _____________
</t>
  </si>
  <si>
    <t xml:space="preserve">ALDIE MAE A. ANDOY ___________
</t>
  </si>
  <si>
    <t xml:space="preserve">MARI-FLOR A. DOLLAGA-LIBANG _____________
</t>
  </si>
  <si>
    <t>SWO IV/ DRMD OIC-Chief</t>
  </si>
  <si>
    <t>5 - Within 30 days the beneficiaries received their assistance upon submission of documentary requirements by the LGU</t>
  </si>
  <si>
    <t>4 - 31-44 days the beneficiaries received their assistance  upon submission of documentary requirements by the LGU</t>
  </si>
  <si>
    <t>3 - 45 days the beneficiaries received their assistance  upon submission of documentary requirements by the LGU</t>
  </si>
  <si>
    <t>2 - 45-89 days the beneficiaries received their assistance  upon submission of documentary requirements by the LGU</t>
  </si>
  <si>
    <t>1 - more than 90 days the beneficiaries received their assistance  upon submission of documentary requirements by the LGU</t>
  </si>
  <si>
    <t xml:space="preserve">5 - </t>
  </si>
  <si>
    <t xml:space="preserve">4 - </t>
  </si>
  <si>
    <t xml:space="preserve">3 - </t>
  </si>
  <si>
    <t xml:space="preserve">2 - </t>
  </si>
  <si>
    <t xml:space="preserve">1 - </t>
  </si>
  <si>
    <t>5 - 95-100% accomplished</t>
  </si>
  <si>
    <t>5 - 100% of grievances raised concerning the receipt of assistance resolved</t>
  </si>
  <si>
    <t>4 - 71-94.99% accomplished</t>
  </si>
  <si>
    <t>4 - 76-99% of grievances raised concerning the receipt of assistance resolved</t>
  </si>
  <si>
    <t>3 - 46-70.99% accomplished</t>
  </si>
  <si>
    <t>3 - 51-75% of grievances raised concerning the receipt of assistance resolved</t>
  </si>
  <si>
    <t>2 - 21-45.99% accomplished</t>
  </si>
  <si>
    <t>2 - 26-50% of grievances raised concerning the receipt of assistance resolved</t>
  </si>
  <si>
    <t>1 - 20.99% and below accomplished</t>
  </si>
  <si>
    <t>1 - 25% and below of grievances raised concerning the receipt of assistance resolved</t>
  </si>
  <si>
    <t>5 - 90-100% accomplished</t>
  </si>
  <si>
    <t>5 - N/A
*performance assessment is done on the second semester</t>
  </si>
  <si>
    <t>5 - Completed on-time or earlier than the target date in terms of the time the activity was implemented</t>
  </si>
  <si>
    <t>4 - 76-89.99% accomplished</t>
  </si>
  <si>
    <t>4 - N/A
*performance assessment is done on the second semester</t>
  </si>
  <si>
    <t>4 - Completed 1-7 days after the target date in terms of the time the activity was implemented</t>
  </si>
  <si>
    <t>3 - 51-75.99% accomplished</t>
  </si>
  <si>
    <t>3 - N/A
*performance assessment is done on the second semester</t>
  </si>
  <si>
    <t>3 - Completed 8-14 days after the target date in terms of the time the activity was implemented</t>
  </si>
  <si>
    <t>2 - 26-50.99% accomplished</t>
  </si>
  <si>
    <t>2 - N/A
*performance assessment is done on the second semester</t>
  </si>
  <si>
    <t>2 - Completed 15-21 days after the target date in terms of the time the activity was implemented</t>
  </si>
  <si>
    <t>1 - 25% and below accomplished</t>
  </si>
  <si>
    <t>1 - N/A
*performance assessment is done on the second semester</t>
  </si>
  <si>
    <t>1 - Completed 22 days or later after the target date in terms of the time the activity was implemented</t>
  </si>
  <si>
    <t>5 - •50% or more accomplished
•75% or more accomplished</t>
  </si>
  <si>
    <t>5 - N/A</t>
  </si>
  <si>
    <t>5 - 130% earlier and above or 2 days before the deadline or earlier</t>
  </si>
  <si>
    <t>4 - •41-49% accomplished
•66-74% accomplished</t>
  </si>
  <si>
    <t>4 - N/A</t>
  </si>
  <si>
    <t>4 - 115%-129% earlier or 1 day before the deadline</t>
  </si>
  <si>
    <t>3 - •31-40% accomplished
•56-65% accomplished</t>
  </si>
  <si>
    <t>3 - N/A</t>
  </si>
  <si>
    <t>3 - 100%-114% earlier than the deadline or on the deadline</t>
  </si>
  <si>
    <t>2 - •21-30% accomplished
•46-55% accomplished</t>
  </si>
  <si>
    <t>2 - N/A</t>
  </si>
  <si>
    <t>2 - 51%-99% earlier than the deadline or 4-5 days after the deadline</t>
  </si>
  <si>
    <t>1 - •20% and below accomplished
•45% and below accomplished</t>
  </si>
  <si>
    <t>1 - N/A</t>
  </si>
  <si>
    <t>1 - 50% later and below than the deadline or more than 5 days after the deadline</t>
  </si>
  <si>
    <t>5 - 80-100% accomplished</t>
  </si>
  <si>
    <t>5 - Minutes/feedback report/executive summary submitted with attached photo documentation</t>
  </si>
  <si>
    <t>5 - Within the month of March, 2024 or earlier</t>
  </si>
  <si>
    <t>4 - 40-60% accomplished</t>
  </si>
  <si>
    <t>4 - Minutes/feedback report/executive summary submitted with no attached photo documentation</t>
  </si>
  <si>
    <t>4 - on the deadline</t>
  </si>
  <si>
    <t>3 - 20-39.99% accomplished</t>
  </si>
  <si>
    <t>3 - 1-2 weeks after the deadline</t>
  </si>
  <si>
    <t>2 - 3-4 weeks after the deadline</t>
  </si>
  <si>
    <t>1 - 0% accomplished</t>
  </si>
  <si>
    <t>1 - No Minutes/feedback report/executive summary submitted</t>
  </si>
  <si>
    <t>1 - more than 4 weeks from the set deadline</t>
  </si>
  <si>
    <t>5 - 100% accomplished</t>
  </si>
  <si>
    <t>5 - MER captures the necessary data for municipal and barangay allocations and targets per indicator 1, 2, 3</t>
  </si>
  <si>
    <t>4 - MER captures targets per indicator 1, 2, 3</t>
  </si>
  <si>
    <t>3 - MER captures targets in indicator 1 and 2 only</t>
  </si>
  <si>
    <t>2 - MER captures targets in indicator 1 only</t>
  </si>
  <si>
    <t>1 - No data reflected</t>
  </si>
  <si>
    <t>5 - Reports are accurate and consistent</t>
  </si>
  <si>
    <t>5 - 2 days before the deadline or earlier</t>
  </si>
  <si>
    <t>4 - 66.67% accomplished</t>
  </si>
  <si>
    <t>4 - Reports are partially accurate and consistent</t>
  </si>
  <si>
    <t>3 - 33.33% accomplished</t>
  </si>
  <si>
    <t>3 - Reports are inaccurate and inconsistent</t>
  </si>
  <si>
    <t>3 - 1-3 days after the deadline</t>
  </si>
  <si>
    <t>2 - 4-5 days after the deadline</t>
  </si>
  <si>
    <t>1 - No reports submitted</t>
  </si>
  <si>
    <t>1 - more than 5 days from the set deadline</t>
  </si>
  <si>
    <t>4 - 50% accomplished</t>
  </si>
  <si>
    <t>5 - Tracked and Reviewed documents accepted and approved by the RRP CFT/W Regional focal</t>
  </si>
  <si>
    <t>5 - Within 3 working days after the receipt of documents</t>
  </si>
  <si>
    <t>4 - 76-99% accomplished</t>
  </si>
  <si>
    <t>4 - 4-10 days after the receipt of documents</t>
  </si>
  <si>
    <t>3 - 51-75% accomplished</t>
  </si>
  <si>
    <t>3 - 15-20 days after the receipt of documents</t>
  </si>
  <si>
    <t>2 - 26-50% accomplished</t>
  </si>
  <si>
    <t>2 - 25-30 days after the receipt of documents</t>
  </si>
  <si>
    <t>1 - Tracked and Reviewed documents are returned and cancelled by the RRP CFT/W Regional focal</t>
  </si>
  <si>
    <t>1 - more than 30 days after the receipt of documents</t>
  </si>
  <si>
    <t>5 - Tracked and Reviewed documents accepted and approved by the Division Chief</t>
  </si>
  <si>
    <t>1 - Reviewed documents are returned and cancelled by the RRP CFT/W Regional focal</t>
  </si>
  <si>
    <t>5 - Reviewed and processed payout documents are 100% complete, accurate and accepted by Special Disbursing Officer</t>
  </si>
  <si>
    <t>4 - Reviewed and processed payout documents are 76-99% complete, accurate and accepted by Special Disbursing Officer</t>
  </si>
  <si>
    <t>4 - 4-5 working days after the receipt of documents</t>
  </si>
  <si>
    <t>3 - Reviewed and processed payout documents are 51-75% complete, accurate and accepted by Special Disbursing Officer</t>
  </si>
  <si>
    <t>3 - 6-7 working days after the receipt of documents</t>
  </si>
  <si>
    <t>2 - Reviewed and processed payout documents are 26-50% complete, accurate and accepted by Special Disbursing Officer</t>
  </si>
  <si>
    <t>2 - 8-10 working days after the receipt of documents</t>
  </si>
  <si>
    <t>1 - Reviewed and processed payout documents are 25% complete, accurate and accepted by Special Disbursing Officer</t>
  </si>
  <si>
    <t>1 - 11 working days or more after the receipt of documents</t>
  </si>
  <si>
    <t>5 - Tracked and Reviewed documents accepted and approved by the Special Disbursing Officer</t>
  </si>
  <si>
    <t>1 - Reviewed documents are returned and cancelled by the Special Disbursing Officer</t>
  </si>
  <si>
    <t>5 - Presented accomplishments and updates of the Field Office</t>
  </si>
  <si>
    <t>5 - Within January to June 2024</t>
  </si>
  <si>
    <t>4 - Beyond June 2024</t>
  </si>
  <si>
    <t>1 - No presentation on the accomplishments and updates of the Field Office</t>
  </si>
  <si>
    <t>5 - Minutes reflects issues and concerns and recommendations and agreements provided</t>
  </si>
  <si>
    <t>1 - No Minutes submitted</t>
  </si>
  <si>
    <t>5 - Monitoring tool and report captures the findings, observations, issues and concerns, recommendations, agreements and action taken</t>
  </si>
  <si>
    <t>5 - Within 5 working days after the conduct of the project monitoring</t>
  </si>
  <si>
    <t>4 - Only Monitoring report captures the findings, observations, issues and concerns, recommendations, agreements and action taken</t>
  </si>
  <si>
    <t>4 - 6-10 days after the conduct of the project monitoring</t>
  </si>
  <si>
    <t>3 - Only Monitoring and TA form captures the findings, observations, issues and concerns, recommendations, agreements and action taken</t>
  </si>
  <si>
    <t>3 - 15-20 days after the conduct of the project monitoring</t>
  </si>
  <si>
    <t>2 - 25-30 days after the conduct of the project monitoring</t>
  </si>
  <si>
    <t>1 - No Monitoring tool and TA form and monitoring/feedback report submitted</t>
  </si>
  <si>
    <t>1 - more than 30 days after the conduct of the project monitoring</t>
  </si>
  <si>
    <t>5 - 95-100% disbursed over actual obligated amount</t>
  </si>
  <si>
    <t>4 - 71-94.99% disbursed over actual obligated amount</t>
  </si>
  <si>
    <t>3 - 46-70.99% disbursed over actual obligated amount</t>
  </si>
  <si>
    <t>2 - 21-45.99% disbursed over actual obligated amount</t>
  </si>
  <si>
    <t>1 - 20.99% and below disbursed over actual obligated amount</t>
  </si>
  <si>
    <t>5 - Within the month of October, 2024 or earlier</t>
  </si>
  <si>
    <t>5 - within December, 2024 or earlier</t>
  </si>
  <si>
    <t>4 - Minutes reflect issues and concerns, but no recommendations and agreements provided</t>
  </si>
  <si>
    <t>4 - Beyond December, 2024</t>
  </si>
  <si>
    <t>3 - Minutes did not reflect issues and concerns and recommendations and agreements provided</t>
  </si>
  <si>
    <t>5 - ANA</t>
  </si>
  <si>
    <t>5 - Provided prompt action/response on referred cases</t>
  </si>
  <si>
    <t>4 - Provided delayed action/response on referred cases</t>
  </si>
  <si>
    <t>5 - Reports are accurate and consistent and accepted by RRP CFT/W Regional Focal</t>
  </si>
  <si>
    <t>5 - Minutes/executive summary/feedback/documentation/after-activity reports capture agreements with attached photo documentation</t>
  </si>
  <si>
    <t>1 - No minutes/executive summary/feedback/ documentation/after-activity reports prepared and submitted</t>
  </si>
  <si>
    <t>5 - Clean and organized working area</t>
  </si>
  <si>
    <t>4 - Area are not so clean and organized</t>
  </si>
  <si>
    <t>5 - Performed task assigned with no complaints</t>
  </si>
  <si>
    <t>4 - Performed task assigned with complaints</t>
  </si>
  <si>
    <t>Contractor Success Indicators and Rating Guide</t>
  </si>
  <si>
    <t>Project Development Officer I</t>
  </si>
  <si>
    <t>I hereby certify that the above evaluation results, and the identified feedback were discussed with me.</t>
  </si>
  <si>
    <t>I hereby certify that the above evaluation results, and the identified feedback were discussed by the undersigned to the Ratee.</t>
  </si>
  <si>
    <t>Qn: 5 LGUs oriented on the operational guidelines, processes and procedures
Ql: Minutes/executive summary/feedback/documentation/after-activity report capture agreements with attached photo documentation
23-25 April 2024</t>
  </si>
  <si>
    <t>Qn: 1 MER baseline data consolidated based on the approved project proposals of target LGUs
Ql: Completely filled-out MER form with corresponding Breakdown of Allocation (Annex A) of the target LGUs reflecting the target date of implementation with minimal revisions in timeline and indicators during implementation
T: 24 April 2024</t>
  </si>
  <si>
    <t>Qn: 2 projects and activities validated/monitored from April to June 2024
Ql: Site validation/monitoring tool and report captures the findings, observations, issues and concerns, recommendations, agreements and action taken
T: Within 5 working days after the conduct of the activity</t>
  </si>
  <si>
    <t>Qn: (529 out of 423) 125.06% of beneficiaries received cash assistance vis-à-vis the targets indicated in the Monitoring, Evaluation and Reporting (MER) platform
Ql: 100% of grievances raised concerning the receipt of assistance resolved
T: Within 30 calendar days in terms of the time the beneficiaries received their assistance after completion of the project and submission of the required documents by the LGU</t>
  </si>
  <si>
    <t>Qn: (1 out of 5) 500% of cash-for-work/cash-for-training activities implemented vis-à-vis the targets indicated in the Monitoring, Evaluation and Reporting (MER) platform
Ql: Projects and activities were implemented wih minimal revisions in timeline and indicators during implementation
T: 30 June 2024</t>
  </si>
  <si>
    <t>Qn: 50% of WFP targets (grants/subsidies and admin cost) were obligated in a given timeline.
Ql: N/A
T: 30 June 2024</t>
  </si>
  <si>
    <t>Qn: 96.42% of WFP targets (grants/subsidies and admin cost) were obligated in a given timeline.
Ql: N/A
T: 30 June 2024</t>
  </si>
  <si>
    <t>Qn: 75% actual disbursement (grants/subsidies and admin cost) over actual obligation
Ql: N/A
T: 30 June 2024</t>
  </si>
  <si>
    <t>Qn: 1 Consolidated Quarterly Report on GPPA submitted from January to June 2024
Ql: Reports are accurate and consistent and accepted by RRP focal
T: 3rd day of the first month (April 3) of the succeeding quarter</t>
  </si>
  <si>
    <t>N/A</t>
  </si>
  <si>
    <t>June 13, 2024 (Santiago, ADN)
June 14, 2024 (Hinatuan, SDS)
Feedback Reports (June 17, 2024)</t>
  </si>
  <si>
    <t>BPSF - March 23, 2024</t>
  </si>
  <si>
    <t>Please be deligent and prompt in the updating of database and submission of the reports.</t>
  </si>
  <si>
    <t>Updating of database and submission of the reports.</t>
  </si>
  <si>
    <t>Prompt processing of payments for program beneficiaries.</t>
  </si>
  <si>
    <t>Qn: 2 recipient LGUs conducted with payout
Ql: 7.22% disbursement over actual obligated amount
T: 24 June 2024</t>
  </si>
  <si>
    <t>Qn: 7.22% actual disbursement (grants/subsidies and admin cost) over actual obligation
Ql: N/A
T: 28 June 2024</t>
  </si>
  <si>
    <t>Qn: 4 Monthly Reports/Updates for MER submitted via Online Monitoring Platform (OMP) from July to October 2024
Ql: MER captures the necessary data, acomplishments and updates
T: 3-5 days before the deadline</t>
  </si>
  <si>
    <t>Qn: 2 Consolidated Quarterly Reports on GPPA submitted from July to October 2024
Ql: Reports are accurate and consistent and accepted by RRP focal
T: Every 10th day of the first month of the succeeding quarter</t>
  </si>
  <si>
    <t>Qn: 1 Consolidated Quarterly Report on GPPA submitted from July to October 2024
Ql: Reports are accurate and consistent and accepted by RRP focal
T: 130% earlier and above or 2 days before the deadline or earlier</t>
  </si>
  <si>
    <t>Qn: 1 quarterly meeting and knowledge sharing sessions attended
Ql: Presented financial accomplishments and updates of implementation
T: July to October 2024</t>
  </si>
  <si>
    <t>Qn: 100% of beneficiaries received cash assistance vis-à-vis the targets indicated in the Monitoring, Evaluation and Reporting (MER) platform
Ql: 100% of grievances raised concerning the receipt of assistance resolved
T: Within 30 calendar days in terms of the time the beneficiaries received their assistance after completion of the project and submission of the required documents by the LGU</t>
  </si>
  <si>
    <t>Qn: 99.78% of WFP targets (grants/subsidies and admin cost) were obligated in a given timeline. 93.76% actual disbursement (grants/subsidies and admin cost) over actual obligation
Ql: N/A
T: October 2024</t>
  </si>
  <si>
    <t>Qn: 1 Quarterly MER-related data and sex-disaggregated data reports/presentations prepared from July to September 2024
Ql: Reports are accurate and consistent and accepted by RRP focal
T: Per set deadline</t>
  </si>
  <si>
    <t>Qn: 1 feedback report (Post-Monitoring at ADS)
Ql: Minutes/executive summary/feedback/documentation/after-activity reports capture agreements with attached photo documentation
T: Within 5 working days after the conduct of the activity</t>
  </si>
  <si>
    <t>Qn: 1 work station
Ql: Clean and organized working area
T: July to October 2024</t>
  </si>
  <si>
    <t>Qn: ANA
Ql: Performed task assigned without complaints
T: July to October 2024</t>
  </si>
  <si>
    <t>Qn: Prepare materials for forums, create trackers, administrative tasks
Ql: Performed task assigned without complaints
T: July to October 2024</t>
  </si>
  <si>
    <t>Qn: 100% of WFP targets (grants/subsidies and admin cost) were obligated in a given timeline. 95% actual disbursement (grants/subsidies and admin cost) over actual obligation
Ql: N/A
T: 31 October 2024</t>
  </si>
  <si>
    <t>Qn: 95% of cash-for-work/cash-for-training activities implemented vis-à-vis the targets indicated in the Monitoring, Evaluation and Reporting (MER) platform
Ql: Projects and activities were implemented wih minimal revisions in timeline and indicators during implementation
T: 31 October 2024</t>
  </si>
  <si>
    <t xml:space="preserve">I commit to deliver and agree to be rated on the attainment of the following targets in accordance with the indicated measures for the rating period July - October,  2024.
</t>
  </si>
  <si>
    <t>Qn: 5 projects and activities validated/monitored from July to October 2024
Ql: Site validation/monitoring tool and report captures the findings, observations, issues and concerns, recommendations, agreements and action taken
T: Within 5 working days after the conduct of the activity</t>
  </si>
  <si>
    <t>Qn: 1 Risk Resiliency Program Implementation Review for CY 2024 conducted/facilitated/attended
Ql: Minutes/executive summary/feedback/documentation/after-activity report capture agreements with attached photo documentation
T: 31 October 2024</t>
  </si>
  <si>
    <t>Qn: 100% of cash-for-work/cash-for-training activities implemented vis-à-vis the targets indicated in the Monitoring, Evaluation and Reporting (MER) platform
Ql: Projects and activities were implemented wih minimal revisions in timeline and indicators during implementation
T: 31 October 2024</t>
  </si>
  <si>
    <t xml:space="preserve">I commit to deliver and agree to be rated on the attainment of the following targets in accordance with the indicated measures for the rating period July - December,  2024.
</t>
  </si>
  <si>
    <t>Qn: 5 LGUs oriented on the operational guidelines, processes and procedures
Ql: Minutes/executive summary/feedback/documentation/after-activity report capture agreements with attached photo documentation
T: 31 December 2024</t>
  </si>
  <si>
    <t>Qn: 4 Monthly Reports/Updates for MER submitted via Online Monitoring Platform (OMP) from July to December 2024
Ql: MER captures the necessary data, acomplishments and updates
T: Every last day of the applicable month</t>
  </si>
  <si>
    <t>Qn: 4 Monthly Reports/Updates for MER submitted via Online Monitoring Platform (OMP) from July to December 2024
Ql: MER captures the necessary data, acomplishments and updates
T: 3-5 days before the deadline</t>
  </si>
  <si>
    <t>Qn: 1 Consolidated Quarterly Report on GPPA submitted from July to December 2024
Ql: Reports are accurate and consistent and accepted by RRP focal
T: 130% earlier and above or 2 days before the deadline or earlier</t>
  </si>
  <si>
    <t>Qn: 1 quarterly meeting and knowledge sharing sessions attended
Ql: Presented financial accomplishments and updates of implementation
T: July to December 2024</t>
  </si>
  <si>
    <t>Qn: 5 recipient LGUs conducted with payout
Ql: 95% disbursement over actual obligated amount
T: 31 December 2024</t>
  </si>
  <si>
    <t>Qn: 100% of cash-for-work/cash-for-training activities implemented vis-à-vis the targets indicated in the Monitoring, Evaluation and Reporting (MER) platform
Ql: Projects and activities were implemented wih minimal revisions in timeline and indicators during implementation
T: 31 December 2024</t>
  </si>
  <si>
    <t>Qn: 99.78% of WFP targets (grants/subsidies and admin cost) were obligated in a given timeline. 93.76% actual disbursement (grants/subsidies and admin cost) over actual obligation
Ql: N/A
T: December 2024</t>
  </si>
  <si>
    <t>Qn: Prepare materials for forums, create trackers, administrative tasks
Ql: Performed task assigned without complaints
T: July to December 2024</t>
  </si>
  <si>
    <t>First Semester Activity</t>
  </si>
  <si>
    <t>No Referrals and Document Turnaround</t>
  </si>
  <si>
    <t>Qn: 1 Risk Resiliency Program Implementation Review for CY 2024 attended
Ql: Minutes/executive summary/feedback/documentation/after-activity report capture agreements with attached photo documentation
T: 10 September 2024</t>
  </si>
  <si>
    <t>Qn: 1 Annual Accomplishment/Project Completion Report submitted
Ql: Report captures accurate and consistent data needed by RRP focal in the preparation of a narrative report
T: Within 20 days from the payout of the last implementing LGU</t>
  </si>
  <si>
    <t>No  Meetings and KSS for this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</si>
</sst>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mmmm&quot; &quot;d&quot;, &quot;yyyy"/>
  </numFmts>
  <fonts count="25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Comfortaa"/>
    </font>
    <font>
      <b/>
      <i/>
      <sz val="7"/>
      <color theme="1"/>
      <name val="Comfortaa"/>
    </font>
    <font>
      <sz val="10"/>
      <color rgb="FF000000"/>
      <name val="Arial"/>
      <family val="2"/>
      <scheme val="minor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69138"/>
        <bgColor rgb="FFE69138"/>
      </patternFill>
    </fill>
    <fill>
      <patternFill patternType="solid">
        <fgColor theme="5" tint="0.89999084444715716"/>
        <bgColor indexed="64"/>
      </patternFill>
    </fill>
    <fill>
      <patternFill patternType="solid">
        <fgColor rgb="FFA2C4C9"/>
        <bgColor rgb="FFA2C4C9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EFEFEF"/>
      </patternFill>
    </fill>
    <fill>
      <patternFill patternType="solid">
        <fgColor rgb="FF5891AD"/>
        <bgColor rgb="FF5891AD"/>
      </patternFill>
    </fill>
  </fills>
  <borders count="1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666666"/>
      </bottom>
      <diagonal/>
    </border>
    <border>
      <left/>
      <right/>
      <top style="medium">
        <color rgb="FF000000"/>
      </top>
      <bottom style="hair">
        <color rgb="FF666666"/>
      </bottom>
      <diagonal/>
    </border>
    <border>
      <left/>
      <right style="medium">
        <color rgb="FF000000"/>
      </right>
      <top style="medium">
        <color rgb="FF000000"/>
      </top>
      <bottom style="hair">
        <color rgb="FF666666"/>
      </bottom>
      <diagonal/>
    </border>
    <border>
      <left style="medium">
        <color rgb="FF000000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 style="medium">
        <color rgb="FF000000"/>
      </right>
      <top style="hair">
        <color rgb="FF666666"/>
      </top>
      <bottom style="hair">
        <color rgb="FF666666"/>
      </bottom>
      <diagonal/>
    </border>
    <border>
      <left style="medium">
        <color rgb="FF000000"/>
      </left>
      <right style="hair">
        <color rgb="FF666666"/>
      </right>
      <top style="hair">
        <color rgb="FF666666"/>
      </top>
      <bottom/>
      <diagonal/>
    </border>
    <border>
      <left style="hair">
        <color rgb="FF666666"/>
      </left>
      <right/>
      <top style="hair">
        <color rgb="FF666666"/>
      </top>
      <bottom/>
      <diagonal/>
    </border>
    <border>
      <left/>
      <right/>
      <top style="hair">
        <color rgb="FF666666"/>
      </top>
      <bottom/>
      <diagonal/>
    </border>
    <border>
      <left/>
      <right style="hair">
        <color rgb="FF666666"/>
      </right>
      <top style="hair">
        <color rgb="FF666666"/>
      </top>
      <bottom/>
      <diagonal/>
    </border>
    <border>
      <left style="hair">
        <color rgb="FF666666"/>
      </left>
      <right style="hair">
        <color rgb="FF666666"/>
      </right>
      <top style="hair">
        <color rgb="FF666666"/>
      </top>
      <bottom/>
      <diagonal/>
    </border>
    <border>
      <left/>
      <right style="medium">
        <color rgb="FF000000"/>
      </right>
      <top style="hair">
        <color rgb="FF666666"/>
      </top>
      <bottom/>
      <diagonal/>
    </border>
    <border>
      <left style="medium">
        <color rgb="FF000000"/>
      </left>
      <right style="hair">
        <color rgb="FF666666"/>
      </right>
      <top/>
      <bottom style="hair">
        <color rgb="FF666666"/>
      </bottom>
      <diagonal/>
    </border>
    <border>
      <left style="hair">
        <color rgb="FF666666"/>
      </left>
      <right/>
      <top/>
      <bottom style="hair">
        <color rgb="FF666666"/>
      </bottom>
      <diagonal/>
    </border>
    <border>
      <left/>
      <right/>
      <top/>
      <bottom style="hair">
        <color rgb="FF666666"/>
      </bottom>
      <diagonal/>
    </border>
    <border>
      <left/>
      <right style="hair">
        <color rgb="FF666666"/>
      </right>
      <top/>
      <bottom style="hair">
        <color rgb="FF666666"/>
      </bottom>
      <diagonal/>
    </border>
    <border>
      <left style="hair">
        <color rgb="FF666666"/>
      </left>
      <right style="hair">
        <color rgb="FF666666"/>
      </right>
      <top/>
      <bottom style="hair">
        <color rgb="FF666666"/>
      </bottom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/>
      <right style="medium">
        <color rgb="FF000000"/>
      </right>
      <top/>
      <bottom style="hair">
        <color rgb="FF666666"/>
      </bottom>
      <diagonal/>
    </border>
    <border>
      <left style="medium">
        <color rgb="FF000000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medium">
        <color rgb="FF000000"/>
      </left>
      <right/>
      <top style="hair">
        <color rgb="FFB7B7B7"/>
      </top>
      <bottom style="hair">
        <color rgb="FFB7B7B7"/>
      </bottom>
      <diagonal/>
    </border>
    <border>
      <left/>
      <right/>
      <top style="hair">
        <color rgb="FFB7B7B7"/>
      </top>
      <bottom style="hair">
        <color rgb="FFB7B7B7"/>
      </bottom>
      <diagonal/>
    </border>
    <border>
      <left/>
      <right style="hair">
        <color rgb="FF999999"/>
      </right>
      <top style="hair">
        <color rgb="FFB7B7B7"/>
      </top>
      <bottom style="hair">
        <color rgb="FFB7B7B7"/>
      </bottom>
      <diagonal/>
    </border>
    <border>
      <left/>
      <right style="medium">
        <color rgb="FF000000"/>
      </right>
      <top style="hair">
        <color rgb="FFB7B7B7"/>
      </top>
      <bottom style="hair">
        <color rgb="FFB7B7B7"/>
      </bottom>
      <diagonal/>
    </border>
    <border>
      <left style="medium">
        <color rgb="FF000000"/>
      </left>
      <right/>
      <top style="hair">
        <color rgb="FFB7B7B7"/>
      </top>
      <bottom/>
      <diagonal/>
    </border>
    <border>
      <left/>
      <right/>
      <top style="hair">
        <color rgb="FFB7B7B7"/>
      </top>
      <bottom/>
      <diagonal/>
    </border>
    <border>
      <left/>
      <right style="hair">
        <color rgb="FF999999"/>
      </right>
      <top style="hair">
        <color rgb="FFB7B7B7"/>
      </top>
      <bottom/>
      <diagonal/>
    </border>
    <border>
      <left/>
      <right style="medium">
        <color rgb="FF000000"/>
      </right>
      <top style="hair">
        <color rgb="FFB7B7B7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B7B7B7"/>
      </bottom>
      <diagonal/>
    </border>
    <border>
      <left/>
      <right/>
      <top style="thin">
        <color rgb="FF000000"/>
      </top>
      <bottom style="hair">
        <color rgb="FFB7B7B7"/>
      </bottom>
      <diagonal/>
    </border>
    <border>
      <left/>
      <right style="medium">
        <color rgb="FF000000"/>
      </right>
      <top style="thin">
        <color rgb="FF000000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  <border>
      <left style="medium">
        <color rgb="FF000000"/>
      </left>
      <right/>
      <top style="hair">
        <color rgb="FFB7B7B7"/>
      </top>
      <bottom style="medium">
        <color rgb="FF000000"/>
      </bottom>
      <diagonal/>
    </border>
    <border>
      <left/>
      <right/>
      <top style="hair">
        <color rgb="FFB7B7B7"/>
      </top>
      <bottom style="medium">
        <color rgb="FF000000"/>
      </bottom>
      <diagonal/>
    </border>
    <border>
      <left/>
      <right style="hair">
        <color rgb="FFB7B7B7"/>
      </right>
      <top style="hair">
        <color rgb="FFB7B7B7"/>
      </top>
      <bottom style="medium">
        <color rgb="FF000000"/>
      </bottom>
      <diagonal/>
    </border>
    <border>
      <left style="hair">
        <color rgb="FFB7B7B7"/>
      </left>
      <right/>
      <top style="hair">
        <color rgb="FFB7B7B7"/>
      </top>
      <bottom style="medium">
        <color rgb="FF000000"/>
      </bottom>
      <diagonal/>
    </border>
    <border>
      <left/>
      <right style="medium">
        <color rgb="FF000000"/>
      </right>
      <top style="hair">
        <color rgb="FFB7B7B7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999999"/>
      </bottom>
      <diagonal/>
    </border>
    <border>
      <left/>
      <right/>
      <top style="medium">
        <color rgb="FF000000"/>
      </top>
      <bottom style="hair">
        <color rgb="FF999999"/>
      </bottom>
      <diagonal/>
    </border>
    <border>
      <left/>
      <right style="medium">
        <color rgb="FF000000"/>
      </right>
      <top style="medium">
        <color rgb="FF000000"/>
      </top>
      <bottom style="hair">
        <color rgb="FF999999"/>
      </bottom>
      <diagonal/>
    </border>
    <border>
      <left style="medium">
        <color rgb="FF000000"/>
      </left>
      <right style="hair">
        <color rgb="FF999999"/>
      </right>
      <top style="hair">
        <color rgb="FF999999"/>
      </top>
      <bottom style="hair">
        <color rgb="FF999999"/>
      </bottom>
      <diagonal/>
    </border>
    <border>
      <left style="hair">
        <color rgb="FF999999"/>
      </left>
      <right/>
      <top style="hair">
        <color rgb="FF999999"/>
      </top>
      <bottom style="hair">
        <color rgb="FF999999"/>
      </bottom>
      <diagonal/>
    </border>
    <border>
      <left/>
      <right/>
      <top style="hair">
        <color rgb="FF999999"/>
      </top>
      <bottom style="hair">
        <color rgb="FF999999"/>
      </bottom>
      <diagonal/>
    </border>
    <border>
      <left/>
      <right style="medium">
        <color rgb="FF000000"/>
      </right>
      <top style="hair">
        <color rgb="FF999999"/>
      </top>
      <bottom style="hair">
        <color rgb="FF999999"/>
      </bottom>
      <diagonal/>
    </border>
    <border>
      <left style="medium">
        <color rgb="FF000000"/>
      </left>
      <right style="hair">
        <color rgb="FF999999"/>
      </right>
      <top style="hair">
        <color rgb="FF999999"/>
      </top>
      <bottom/>
      <diagonal/>
    </border>
    <border>
      <left style="hair">
        <color rgb="FF999999"/>
      </left>
      <right/>
      <top style="hair">
        <color rgb="FF999999"/>
      </top>
      <bottom/>
      <diagonal/>
    </border>
    <border>
      <left/>
      <right/>
      <top style="hair">
        <color rgb="FF999999"/>
      </top>
      <bottom/>
      <diagonal/>
    </border>
    <border>
      <left/>
      <right style="medium">
        <color rgb="FF000000"/>
      </right>
      <top style="hair">
        <color rgb="FF999999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999999"/>
      </bottom>
      <diagonal/>
    </border>
    <border>
      <left/>
      <right/>
      <top style="thin">
        <color rgb="FF000000"/>
      </top>
      <bottom style="hair">
        <color rgb="FF999999"/>
      </bottom>
      <diagonal/>
    </border>
    <border>
      <left/>
      <right style="hair">
        <color rgb="FF999999"/>
      </right>
      <top style="thin">
        <color rgb="FF000000"/>
      </top>
      <bottom style="hair">
        <color rgb="FF999999"/>
      </bottom>
      <diagonal/>
    </border>
    <border>
      <left style="hair">
        <color rgb="FF999999"/>
      </left>
      <right/>
      <top style="thin">
        <color rgb="FF000000"/>
      </top>
      <bottom style="hair">
        <color rgb="FF999999"/>
      </bottom>
      <diagonal/>
    </border>
    <border>
      <left/>
      <right style="medium">
        <color rgb="FF000000"/>
      </right>
      <top style="thin">
        <color rgb="FF000000"/>
      </top>
      <bottom style="hair">
        <color rgb="FF999999"/>
      </bottom>
      <diagonal/>
    </border>
    <border>
      <left style="medium">
        <color rgb="FF000000"/>
      </left>
      <right/>
      <top style="hair">
        <color rgb="FF999999"/>
      </top>
      <bottom style="medium">
        <color rgb="FF000000"/>
      </bottom>
      <diagonal/>
    </border>
    <border>
      <left/>
      <right/>
      <top style="hair">
        <color rgb="FF999999"/>
      </top>
      <bottom style="medium">
        <color rgb="FF000000"/>
      </bottom>
      <diagonal/>
    </border>
    <border>
      <left/>
      <right style="hair">
        <color rgb="FF999999"/>
      </right>
      <top style="hair">
        <color rgb="FF999999"/>
      </top>
      <bottom style="medium">
        <color rgb="FF000000"/>
      </bottom>
      <diagonal/>
    </border>
    <border>
      <left style="hair">
        <color rgb="FF999999"/>
      </left>
      <right/>
      <top style="hair">
        <color rgb="FF999999"/>
      </top>
      <bottom style="medium">
        <color rgb="FF000000"/>
      </bottom>
      <diagonal/>
    </border>
    <border>
      <left/>
      <right style="medium">
        <color rgb="FF000000"/>
      </right>
      <top style="hair">
        <color rgb="FF999999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666666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666666"/>
      </bottom>
      <diagonal/>
    </border>
    <border>
      <left/>
      <right/>
      <top style="hair">
        <color rgb="FF000000"/>
      </top>
      <bottom style="hair">
        <color rgb="FF666666"/>
      </bottom>
      <diagonal/>
    </border>
    <border>
      <left/>
      <right style="medium">
        <color rgb="FF000000"/>
      </right>
      <top style="hair">
        <color rgb="FF000000"/>
      </top>
      <bottom style="hair">
        <color rgb="FF666666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medium">
        <color rgb="FF000000"/>
      </top>
      <bottom style="dotted">
        <color rgb="FFB7B7B7"/>
      </bottom>
      <diagonal/>
    </border>
    <border>
      <left/>
      <right/>
      <top style="medium">
        <color rgb="FF000000"/>
      </top>
      <bottom style="dotted">
        <color rgb="FFB7B7B7"/>
      </bottom>
      <diagonal/>
    </border>
    <border>
      <left/>
      <right style="thick">
        <color rgb="FF000000"/>
      </right>
      <top style="medium">
        <color rgb="FF000000"/>
      </top>
      <bottom style="dotted">
        <color rgb="FFB7B7B7"/>
      </bottom>
      <diagonal/>
    </border>
    <border>
      <left style="thick">
        <color rgb="FF000000"/>
      </left>
      <right/>
      <top style="dotted">
        <color rgb="FFB7B7B7"/>
      </top>
      <bottom style="dotted">
        <color rgb="FFB7B7B7"/>
      </bottom>
      <diagonal/>
    </border>
    <border>
      <left/>
      <right/>
      <top style="dotted">
        <color rgb="FFB7B7B7"/>
      </top>
      <bottom style="dotted">
        <color rgb="FFB7B7B7"/>
      </bottom>
      <diagonal/>
    </border>
    <border>
      <left/>
      <right style="dotted">
        <color rgb="FF999999"/>
      </right>
      <top style="dotted">
        <color rgb="FFB7B7B7"/>
      </top>
      <bottom style="dotted">
        <color rgb="FFB7B7B7"/>
      </bottom>
      <diagonal/>
    </border>
    <border>
      <left style="dotted">
        <color rgb="FF999999"/>
      </left>
      <right/>
      <top style="dotted">
        <color rgb="FFB7B7B7"/>
      </top>
      <bottom style="dotted">
        <color rgb="FFB7B7B7"/>
      </bottom>
      <diagonal/>
    </border>
    <border>
      <left/>
      <right style="thick">
        <color rgb="FF000000"/>
      </right>
      <top style="dotted">
        <color rgb="FFB7B7B7"/>
      </top>
      <bottom style="dotted">
        <color rgb="FFB7B7B7"/>
      </bottom>
      <diagonal/>
    </border>
    <border>
      <left style="thick">
        <color rgb="FF000000"/>
      </left>
      <right/>
      <top style="dotted">
        <color rgb="FFB7B7B7"/>
      </top>
      <bottom style="thick">
        <color rgb="FF000000"/>
      </bottom>
      <diagonal/>
    </border>
    <border>
      <left/>
      <right/>
      <top style="dotted">
        <color rgb="FFB7B7B7"/>
      </top>
      <bottom style="thick">
        <color rgb="FF000000"/>
      </bottom>
      <diagonal/>
    </border>
    <border>
      <left/>
      <right style="dotted">
        <color rgb="FF999999"/>
      </right>
      <top style="dotted">
        <color rgb="FFB7B7B7"/>
      </top>
      <bottom style="thick">
        <color rgb="FF000000"/>
      </bottom>
      <diagonal/>
    </border>
    <border>
      <left style="dotted">
        <color rgb="FF999999"/>
      </left>
      <right/>
      <top style="dotted">
        <color rgb="FFB7B7B7"/>
      </top>
      <bottom style="thick">
        <color rgb="FF000000"/>
      </bottom>
      <diagonal/>
    </border>
    <border>
      <left/>
      <right style="thick">
        <color rgb="FF000000"/>
      </right>
      <top style="dotted">
        <color rgb="FFB7B7B7"/>
      </top>
      <bottom style="thick">
        <color rgb="FF000000"/>
      </bottom>
      <diagonal/>
    </border>
    <border>
      <left style="hair">
        <color rgb="FF666666"/>
      </left>
      <right style="medium">
        <color auto="1"/>
      </right>
      <top style="hair">
        <color rgb="FF666666"/>
      </top>
      <bottom style="hair">
        <color rgb="FF666666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/>
      <right style="medium">
        <color auto="1"/>
      </right>
      <top style="hair">
        <color rgb="FF666666"/>
      </top>
      <bottom style="hair">
        <color rgb="FF666666"/>
      </bottom>
      <diagonal/>
    </border>
    <border>
      <left style="medium">
        <color auto="1"/>
      </left>
      <right style="hair">
        <color rgb="FF666666"/>
      </right>
      <top style="hair">
        <color rgb="FF666666"/>
      </top>
      <bottom style="hair">
        <color rgb="FF666666"/>
      </bottom>
      <diagonal/>
    </border>
  </borders>
  <cellStyleXfs count="3">
    <xf numFmtId="0" fontId="0" fillId="0" borderId="0"/>
    <xf numFmtId="0" fontId="15" fillId="0" borderId="0"/>
    <xf numFmtId="9" fontId="23" fillId="0" borderId="0" applyFont="0" applyFill="0" applyBorder="0" applyAlignment="0" applyProtection="0"/>
  </cellStyleXfs>
  <cellXfs count="3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/>
    <xf numFmtId="0" fontId="6" fillId="4" borderId="27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left" wrapText="1"/>
    </xf>
    <xf numFmtId="0" fontId="7" fillId="4" borderId="27" xfId="0" applyFont="1" applyFill="1" applyBorder="1" applyAlignment="1">
      <alignment horizontal="left" wrapText="1"/>
    </xf>
    <xf numFmtId="164" fontId="7" fillId="4" borderId="27" xfId="0" applyNumberFormat="1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left" vertical="top" wrapText="1"/>
    </xf>
    <xf numFmtId="0" fontId="7" fillId="3" borderId="29" xfId="0" applyFont="1" applyFill="1" applyBorder="1" applyAlignment="1">
      <alignment horizontal="left" wrapText="1"/>
    </xf>
    <xf numFmtId="0" fontId="7" fillId="0" borderId="51" xfId="0" applyFont="1" applyBorder="1" applyAlignment="1">
      <alignment vertical="center"/>
    </xf>
    <xf numFmtId="0" fontId="7" fillId="0" borderId="51" xfId="0" applyFont="1" applyBorder="1" applyAlignment="1">
      <alignment vertical="center" wrapText="1"/>
    </xf>
    <xf numFmtId="0" fontId="7" fillId="0" borderId="55" xfId="0" applyFont="1" applyBorder="1" applyAlignment="1">
      <alignment vertical="center" wrapText="1"/>
    </xf>
    <xf numFmtId="0" fontId="7" fillId="0" borderId="0" xfId="0" applyFont="1"/>
    <xf numFmtId="0" fontId="6" fillId="4" borderId="14" xfId="0" applyFont="1" applyFill="1" applyBorder="1" applyAlignment="1">
      <alignment horizontal="center" vertical="center" wrapText="1"/>
    </xf>
    <xf numFmtId="0" fontId="1" fillId="6" borderId="0" xfId="0" applyFont="1" applyFill="1"/>
    <xf numFmtId="0" fontId="0" fillId="6" borderId="0" xfId="0" applyFill="1"/>
    <xf numFmtId="0" fontId="12" fillId="3" borderId="29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/>
    </xf>
    <xf numFmtId="0" fontId="12" fillId="3" borderId="29" xfId="0" applyFont="1" applyFill="1" applyBorder="1" applyAlignment="1">
      <alignment vertical="center" wrapText="1"/>
    </xf>
    <xf numFmtId="0" fontId="1" fillId="0" borderId="70" xfId="0" applyFont="1" applyBorder="1"/>
    <xf numFmtId="0" fontId="1" fillId="0" borderId="71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72" xfId="0" applyFont="1" applyBorder="1"/>
    <xf numFmtId="0" fontId="6" fillId="4" borderId="14" xfId="0" applyFont="1" applyFill="1" applyBorder="1" applyAlignment="1">
      <alignment horizontal="center" vertical="center" wrapText="1"/>
    </xf>
    <xf numFmtId="0" fontId="7" fillId="10" borderId="27" xfId="0" applyFont="1" applyFill="1" applyBorder="1" applyAlignment="1">
      <alignment horizontal="left" wrapText="1"/>
    </xf>
    <xf numFmtId="164" fontId="7" fillId="10" borderId="27" xfId="0" applyNumberFormat="1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8" borderId="29" xfId="0" applyFont="1" applyFill="1" applyBorder="1" applyAlignment="1">
      <alignment horizontal="left" wrapText="1"/>
    </xf>
    <xf numFmtId="0" fontId="14" fillId="7" borderId="25" xfId="0" applyFont="1" applyFill="1" applyBorder="1" applyAlignment="1">
      <alignment horizontal="left" wrapText="1"/>
    </xf>
    <xf numFmtId="0" fontId="14" fillId="8" borderId="29" xfId="0" applyFont="1" applyFill="1" applyBorder="1" applyAlignment="1">
      <alignment horizontal="left" wrapText="1"/>
    </xf>
    <xf numFmtId="0" fontId="1" fillId="9" borderId="0" xfId="0" applyFont="1" applyFill="1"/>
    <xf numFmtId="0" fontId="0" fillId="9" borderId="0" xfId="0" applyFill="1"/>
    <xf numFmtId="0" fontId="11" fillId="0" borderId="73" xfId="1" applyFont="1" applyBorder="1"/>
    <xf numFmtId="0" fontId="11" fillId="0" borderId="77" xfId="1" applyFont="1" applyBorder="1"/>
    <xf numFmtId="0" fontId="15" fillId="0" borderId="0" xfId="1"/>
    <xf numFmtId="0" fontId="11" fillId="0" borderId="78" xfId="1" applyFont="1" applyBorder="1"/>
    <xf numFmtId="0" fontId="19" fillId="0" borderId="82" xfId="1" applyFont="1" applyBorder="1" applyAlignment="1">
      <alignment horizontal="center" wrapText="1"/>
    </xf>
    <xf numFmtId="0" fontId="19" fillId="0" borderId="73" xfId="1" applyFont="1" applyBorder="1" applyAlignment="1">
      <alignment horizontal="center" vertical="center" wrapText="1"/>
    </xf>
    <xf numFmtId="0" fontId="19" fillId="0" borderId="73" xfId="1" applyFont="1" applyBorder="1" applyAlignment="1">
      <alignment horizontal="center" wrapText="1"/>
    </xf>
    <xf numFmtId="0" fontId="19" fillId="0" borderId="83" xfId="1" applyFont="1" applyBorder="1" applyAlignment="1">
      <alignment horizontal="center" vertical="center" wrapText="1"/>
    </xf>
    <xf numFmtId="0" fontId="19" fillId="0" borderId="84" xfId="1" applyFont="1" applyBorder="1" applyAlignment="1">
      <alignment horizontal="center" wrapText="1"/>
    </xf>
    <xf numFmtId="0" fontId="19" fillId="0" borderId="85" xfId="1" applyFont="1" applyBorder="1" applyAlignment="1">
      <alignment horizontal="center" vertical="center" wrapText="1"/>
    </xf>
    <xf numFmtId="0" fontId="19" fillId="0" borderId="85" xfId="1" applyFont="1" applyBorder="1" applyAlignment="1">
      <alignment horizontal="center" wrapText="1"/>
    </xf>
    <xf numFmtId="0" fontId="11" fillId="0" borderId="85" xfId="1" applyFont="1" applyBorder="1"/>
    <xf numFmtId="0" fontId="11" fillId="0" borderId="85" xfId="1" applyFont="1" applyBorder="1" applyAlignment="1">
      <alignment horizontal="right"/>
    </xf>
    <xf numFmtId="0" fontId="11" fillId="0" borderId="74" xfId="1" applyFont="1" applyBorder="1"/>
    <xf numFmtId="0" fontId="19" fillId="11" borderId="88" xfId="1" applyFont="1" applyFill="1" applyBorder="1" applyAlignment="1">
      <alignment horizontal="center" wrapText="1"/>
    </xf>
    <xf numFmtId="0" fontId="11" fillId="11" borderId="93" xfId="1" applyFont="1" applyFill="1" applyBorder="1"/>
    <xf numFmtId="0" fontId="19" fillId="11" borderId="95" xfId="1" applyFont="1" applyFill="1" applyBorder="1" applyAlignment="1">
      <alignment horizontal="center" wrapText="1"/>
    </xf>
    <xf numFmtId="0" fontId="19" fillId="11" borderId="97" xfId="1" applyFont="1" applyFill="1" applyBorder="1" applyAlignment="1">
      <alignment horizontal="center" wrapText="1"/>
    </xf>
    <xf numFmtId="0" fontId="19" fillId="11" borderId="97" xfId="1" applyFont="1" applyFill="1" applyBorder="1" applyAlignment="1">
      <alignment horizontal="center"/>
    </xf>
    <xf numFmtId="0" fontId="19" fillId="2" borderId="99" xfId="1" applyFont="1" applyFill="1" applyBorder="1" applyAlignment="1">
      <alignment horizontal="left"/>
    </xf>
    <xf numFmtId="0" fontId="19" fillId="2" borderId="100" xfId="1" applyFont="1" applyFill="1" applyBorder="1" applyAlignment="1">
      <alignment horizontal="left"/>
    </xf>
    <xf numFmtId="0" fontId="19" fillId="2" borderId="101" xfId="1" applyFont="1" applyFill="1" applyBorder="1" applyAlignment="1">
      <alignment horizontal="left"/>
    </xf>
    <xf numFmtId="0" fontId="20" fillId="0" borderId="102" xfId="1" applyFont="1" applyBorder="1"/>
    <xf numFmtId="0" fontId="11" fillId="0" borderId="96" xfId="1" applyFont="1" applyBorder="1"/>
    <xf numFmtId="0" fontId="11" fillId="0" borderId="98" xfId="1" applyFont="1" applyBorder="1"/>
    <xf numFmtId="0" fontId="11" fillId="0" borderId="96" xfId="1" applyFont="1" applyBorder="1" applyAlignment="1">
      <alignment vertical="top" wrapText="1"/>
    </xf>
    <xf numFmtId="0" fontId="11" fillId="0" borderId="96" xfId="1" applyFont="1" applyBorder="1" applyAlignment="1">
      <alignment vertical="top"/>
    </xf>
    <xf numFmtId="0" fontId="11" fillId="0" borderId="106" xfId="1" applyFont="1" applyBorder="1" applyAlignment="1">
      <alignment vertical="top" wrapText="1"/>
    </xf>
    <xf numFmtId="0" fontId="20" fillId="0" borderId="108" xfId="1" applyFont="1" applyBorder="1"/>
    <xf numFmtId="0" fontId="11" fillId="0" borderId="106" xfId="1" applyFont="1" applyBorder="1"/>
    <xf numFmtId="0" fontId="11" fillId="0" borderId="109" xfId="1" applyFont="1" applyBorder="1"/>
    <xf numFmtId="0" fontId="11" fillId="0" borderId="96" xfId="1" applyFont="1" applyBorder="1" applyAlignment="1">
      <alignment vertical="center" wrapText="1"/>
    </xf>
    <xf numFmtId="0" fontId="11" fillId="0" borderId="96" xfId="1" applyFont="1" applyBorder="1" applyAlignment="1">
      <alignment horizontal="left" vertical="center" wrapText="1"/>
    </xf>
    <xf numFmtId="0" fontId="11" fillId="0" borderId="106" xfId="1" applyFont="1" applyBorder="1" applyAlignment="1">
      <alignment vertical="center" wrapText="1"/>
    </xf>
    <xf numFmtId="0" fontId="11" fillId="0" borderId="110" xfId="1" applyFont="1" applyBorder="1" applyAlignment="1">
      <alignment vertical="top" wrapText="1"/>
    </xf>
    <xf numFmtId="0" fontId="21" fillId="0" borderId="73" xfId="1" applyFont="1" applyBorder="1"/>
    <xf numFmtId="0" fontId="22" fillId="0" borderId="77" xfId="1" applyFont="1" applyBorder="1" applyAlignment="1">
      <alignment vertical="top"/>
    </xf>
    <xf numFmtId="0" fontId="21" fillId="0" borderId="77" xfId="1" applyFont="1" applyBorder="1"/>
    <xf numFmtId="0" fontId="20" fillId="0" borderId="108" xfId="1" applyFont="1" applyBorder="1" applyAlignment="1">
      <alignment vertical="center"/>
    </xf>
    <xf numFmtId="0" fontId="11" fillId="0" borderId="106" xfId="1" applyFont="1" applyBorder="1" applyAlignment="1">
      <alignment vertical="center"/>
    </xf>
    <xf numFmtId="0" fontId="11" fillId="0" borderId="96" xfId="1" applyFont="1" applyBorder="1" applyAlignment="1">
      <alignment vertical="center"/>
    </xf>
    <xf numFmtId="0" fontId="11" fillId="0" borderId="104" xfId="1" applyFont="1" applyBorder="1" applyAlignment="1">
      <alignment vertical="center" wrapText="1"/>
    </xf>
    <xf numFmtId="0" fontId="17" fillId="0" borderId="104" xfId="1" applyFont="1" applyBorder="1" applyAlignment="1">
      <alignment wrapText="1"/>
    </xf>
    <xf numFmtId="0" fontId="17" fillId="0" borderId="96" xfId="1" applyFont="1" applyBorder="1" applyAlignment="1">
      <alignment wrapText="1"/>
    </xf>
    <xf numFmtId="0" fontId="15" fillId="0" borderId="0" xfId="1"/>
    <xf numFmtId="0" fontId="1" fillId="0" borderId="0" xfId="0" applyFont="1" applyAlignment="1"/>
    <xf numFmtId="0" fontId="6" fillId="4" borderId="138" xfId="0" applyFont="1" applyFill="1" applyBorder="1" applyAlignment="1">
      <alignment horizontal="center" vertical="center" wrapText="1"/>
    </xf>
    <xf numFmtId="0" fontId="6" fillId="10" borderId="138" xfId="0" applyFont="1" applyFill="1" applyBorder="1" applyAlignment="1">
      <alignment horizontal="center" vertical="center" wrapText="1"/>
    </xf>
    <xf numFmtId="0" fontId="15" fillId="0" borderId="0" xfId="1"/>
    <xf numFmtId="0" fontId="1" fillId="0" borderId="96" xfId="1" applyFont="1" applyBorder="1" applyAlignment="1">
      <alignment vertical="center" wrapText="1"/>
    </xf>
    <xf numFmtId="0" fontId="1" fillId="0" borderId="77" xfId="1" applyFont="1" applyBorder="1"/>
    <xf numFmtId="0" fontId="3" fillId="0" borderId="142" xfId="1" applyFont="1" applyBorder="1" applyAlignment="1">
      <alignment horizontal="centerContinuous"/>
    </xf>
    <xf numFmtId="0" fontId="19" fillId="0" borderId="142" xfId="1" applyFont="1" applyBorder="1" applyAlignment="1">
      <alignment horizontal="centerContinuous" wrapText="1"/>
    </xf>
    <xf numFmtId="0" fontId="19" fillId="0" borderId="141" xfId="1" applyFont="1" applyBorder="1" applyAlignment="1">
      <alignment horizontal="centerContinuous" wrapText="1"/>
    </xf>
    <xf numFmtId="0" fontId="0" fillId="0" borderId="0" xfId="0"/>
    <xf numFmtId="0" fontId="1" fillId="4" borderId="27" xfId="0" applyFont="1" applyFill="1" applyBorder="1" applyAlignment="1">
      <alignment horizontal="left" wrapText="1"/>
    </xf>
    <xf numFmtId="0" fontId="1" fillId="4" borderId="27" xfId="0" applyFont="1" applyFill="1" applyBorder="1" applyAlignment="1">
      <alignment horizontal="left" vertical="center" wrapText="1"/>
    </xf>
    <xf numFmtId="0" fontId="1" fillId="4" borderId="27" xfId="0" applyFont="1" applyFill="1" applyBorder="1" applyAlignment="1">
      <alignment horizontal="left" vertical="top" wrapText="1"/>
    </xf>
    <xf numFmtId="0" fontId="7" fillId="4" borderId="27" xfId="0" applyFont="1" applyFill="1" applyBorder="1" applyAlignment="1">
      <alignment horizontal="left" vertical="center" wrapText="1"/>
    </xf>
    <xf numFmtId="9" fontId="0" fillId="0" borderId="0" xfId="2" applyFont="1" applyAlignment="1">
      <alignment horizontal="left"/>
    </xf>
    <xf numFmtId="0" fontId="14" fillId="7" borderId="144" xfId="0" applyFont="1" applyFill="1" applyBorder="1" applyAlignment="1">
      <alignment horizontal="left" wrapText="1"/>
    </xf>
    <xf numFmtId="164" fontId="1" fillId="4" borderId="27" xfId="0" applyNumberFormat="1" applyFont="1" applyFill="1" applyBorder="1" applyAlignment="1">
      <alignment horizontal="center" vertical="center" wrapText="1"/>
    </xf>
    <xf numFmtId="164" fontId="0" fillId="6" borderId="0" xfId="0" applyNumberFormat="1" applyFill="1"/>
    <xf numFmtId="0" fontId="0" fillId="0" borderId="0" xfId="0"/>
    <xf numFmtId="0" fontId="6" fillId="4" borderId="14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7" fillId="10" borderId="27" xfId="0" applyFont="1" applyFill="1" applyBorder="1" applyAlignment="1">
      <alignment horizontal="left" vertical="center" wrapText="1"/>
    </xf>
    <xf numFmtId="0" fontId="0" fillId="0" borderId="0" xfId="0"/>
    <xf numFmtId="0" fontId="6" fillId="4" borderId="14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4" fillId="0" borderId="12" xfId="0" applyFont="1" applyBorder="1"/>
    <xf numFmtId="0" fontId="4" fillId="0" borderId="13" xfId="0" applyFont="1" applyBorder="1"/>
    <xf numFmtId="0" fontId="7" fillId="3" borderId="14" xfId="0" applyFont="1" applyFill="1" applyBorder="1"/>
    <xf numFmtId="0" fontId="9" fillId="0" borderId="30" xfId="0" applyFont="1" applyBorder="1" applyAlignment="1">
      <alignment horizontal="right"/>
    </xf>
    <xf numFmtId="0" fontId="4" fillId="0" borderId="31" xfId="0" applyFont="1" applyBorder="1"/>
    <xf numFmtId="0" fontId="4" fillId="0" borderId="32" xfId="0" applyFont="1" applyBorder="1"/>
    <xf numFmtId="0" fontId="9" fillId="0" borderId="34" xfId="0" applyFont="1" applyBorder="1" applyAlignment="1">
      <alignment horizontal="right"/>
    </xf>
    <xf numFmtId="0" fontId="4" fillId="0" borderId="35" xfId="0" applyFont="1" applyBorder="1"/>
    <xf numFmtId="0" fontId="4" fillId="0" borderId="36" xfId="0" applyFont="1" applyBorder="1"/>
    <xf numFmtId="0" fontId="6" fillId="4" borderId="14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3" xfId="0" applyFont="1" applyBorder="1"/>
    <xf numFmtId="0" fontId="4" fillId="0" borderId="28" xfId="0" applyFont="1" applyBorder="1"/>
    <xf numFmtId="0" fontId="4" fillId="0" borderId="15" xfId="0" applyFont="1" applyBorder="1"/>
    <xf numFmtId="164" fontId="9" fillId="0" borderId="31" xfId="0" applyNumberFormat="1" applyFont="1" applyBorder="1" applyAlignment="1">
      <alignment horizontal="center" vertical="center"/>
    </xf>
    <xf numFmtId="0" fontId="4" fillId="0" borderId="33" xfId="0" applyFont="1" applyBorder="1"/>
    <xf numFmtId="0" fontId="9" fillId="0" borderId="35" xfId="0" applyFont="1" applyBorder="1" applyAlignment="1">
      <alignment horizontal="center" vertical="center"/>
    </xf>
    <xf numFmtId="0" fontId="4" fillId="0" borderId="37" xfId="0" applyFont="1" applyBorder="1"/>
    <xf numFmtId="0" fontId="6" fillId="3" borderId="16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6" fillId="3" borderId="17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19" xfId="0" applyFont="1" applyBorder="1"/>
    <xf numFmtId="0" fontId="4" fillId="0" borderId="24" xfId="0" applyFont="1" applyBorder="1"/>
    <xf numFmtId="0" fontId="4" fillId="0" borderId="25" xfId="0" applyFont="1" applyBorder="1"/>
    <xf numFmtId="0" fontId="6" fillId="4" borderId="20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1" fillId="0" borderId="4" xfId="0" applyFont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4" fillId="0" borderId="7" xfId="0" applyFont="1" applyBorder="1"/>
    <xf numFmtId="0" fontId="1" fillId="0" borderId="5" xfId="0" applyFont="1" applyBorder="1"/>
    <xf numFmtId="0" fontId="4" fillId="0" borderId="5" xfId="0" applyFont="1" applyBorder="1"/>
    <xf numFmtId="0" fontId="4" fillId="0" borderId="6" xfId="0" applyFont="1" applyBorder="1"/>
    <xf numFmtId="0" fontId="5" fillId="2" borderId="8" xfId="0" applyFont="1" applyFill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6" fillId="3" borderId="11" xfId="0" applyFont="1" applyFill="1" applyBorder="1" applyAlignment="1">
      <alignment horizontal="center" wrapText="1"/>
    </xf>
    <xf numFmtId="0" fontId="6" fillId="4" borderId="14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1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3" fillId="0" borderId="4" xfId="0" applyFont="1" applyBorder="1" applyAlignment="1">
      <alignment horizontal="center"/>
    </xf>
    <xf numFmtId="0" fontId="7" fillId="0" borderId="64" xfId="0" applyFont="1" applyBorder="1"/>
    <xf numFmtId="0" fontId="4" fillId="0" borderId="65" xfId="0" applyFont="1" applyBorder="1"/>
    <xf numFmtId="0" fontId="4" fillId="0" borderId="66" xfId="0" applyFont="1" applyBorder="1"/>
    <xf numFmtId="0" fontId="7" fillId="0" borderId="67" xfId="0" applyFont="1" applyBorder="1"/>
    <xf numFmtId="0" fontId="4" fillId="0" borderId="68" xfId="0" applyFont="1" applyBorder="1"/>
    <xf numFmtId="0" fontId="7" fillId="0" borderId="38" xfId="0" applyFont="1" applyBorder="1" applyAlignment="1">
      <alignment horizontal="left" vertical="center" wrapText="1"/>
    </xf>
    <xf numFmtId="0" fontId="4" fillId="0" borderId="39" xfId="0" applyFont="1" applyBorder="1"/>
    <xf numFmtId="0" fontId="4" fillId="0" borderId="40" xfId="0" applyFont="1" applyBorder="1"/>
    <xf numFmtId="0" fontId="7" fillId="0" borderId="30" xfId="0" applyFont="1" applyBorder="1"/>
    <xf numFmtId="0" fontId="4" fillId="0" borderId="41" xfId="0" applyFont="1" applyBorder="1"/>
    <xf numFmtId="0" fontId="7" fillId="0" borderId="42" xfId="0" applyFont="1" applyBorder="1"/>
    <xf numFmtId="0" fontId="7" fillId="0" borderId="43" xfId="0" applyFont="1" applyBorder="1" applyAlignment="1">
      <alignment horizontal="center"/>
    </xf>
    <xf numFmtId="0" fontId="4" fillId="0" borderId="44" xfId="0" applyFont="1" applyBorder="1"/>
    <xf numFmtId="0" fontId="4" fillId="0" borderId="45" xfId="0" applyFont="1" applyBorder="1"/>
    <xf numFmtId="0" fontId="7" fillId="0" borderId="46" xfId="0" applyFont="1" applyBorder="1" applyAlignment="1">
      <alignment horizontal="center"/>
    </xf>
    <xf numFmtId="0" fontId="4" fillId="0" borderId="47" xfId="0" applyFont="1" applyBorder="1"/>
    <xf numFmtId="0" fontId="10" fillId="0" borderId="0" xfId="0" applyFont="1" applyAlignment="1">
      <alignment vertical="top"/>
    </xf>
    <xf numFmtId="0" fontId="5" fillId="5" borderId="48" xfId="0" applyFont="1" applyFill="1" applyBorder="1" applyAlignment="1">
      <alignment horizontal="left"/>
    </xf>
    <xf numFmtId="0" fontId="4" fillId="0" borderId="49" xfId="0" applyFont="1" applyBorder="1"/>
    <xf numFmtId="0" fontId="4" fillId="0" borderId="50" xfId="0" applyFont="1" applyBorder="1"/>
    <xf numFmtId="0" fontId="7" fillId="0" borderId="52" xfId="0" applyFont="1" applyBorder="1"/>
    <xf numFmtId="0" fontId="4" fillId="0" borderId="53" xfId="0" applyFont="1" applyBorder="1"/>
    <xf numFmtId="0" fontId="4" fillId="0" borderId="54" xfId="0" applyFont="1" applyBorder="1"/>
    <xf numFmtId="0" fontId="7" fillId="0" borderId="56" xfId="0" applyFont="1" applyBorder="1"/>
    <xf numFmtId="0" fontId="4" fillId="0" borderId="57" xfId="0" applyFont="1" applyBorder="1"/>
    <xf numFmtId="0" fontId="4" fillId="0" borderId="58" xfId="0" applyFont="1" applyBorder="1"/>
    <xf numFmtId="0" fontId="7" fillId="0" borderId="59" xfId="0" applyFont="1" applyBorder="1" applyAlignment="1">
      <alignment wrapText="1"/>
    </xf>
    <xf numFmtId="0" fontId="4" fillId="0" borderId="60" xfId="0" applyFont="1" applyBorder="1"/>
    <xf numFmtId="0" fontId="4" fillId="0" borderId="61" xfId="0" applyFont="1" applyBorder="1"/>
    <xf numFmtId="0" fontId="7" fillId="0" borderId="62" xfId="0" applyFont="1" applyBorder="1" applyAlignment="1">
      <alignment wrapText="1"/>
    </xf>
    <xf numFmtId="0" fontId="4" fillId="0" borderId="63" xfId="0" applyFont="1" applyBorder="1"/>
    <xf numFmtId="0" fontId="1" fillId="0" borderId="0" xfId="1" applyFont="1" applyAlignment="1">
      <alignment horizontal="center"/>
    </xf>
    <xf numFmtId="0" fontId="15" fillId="0" borderId="0" xfId="1"/>
    <xf numFmtId="0" fontId="17" fillId="0" borderId="7" xfId="1" applyFont="1" applyBorder="1"/>
    <xf numFmtId="165" fontId="11" fillId="0" borderId="86" xfId="1" applyNumberFormat="1" applyFont="1" applyBorder="1" applyAlignment="1">
      <alignment horizontal="left"/>
    </xf>
    <xf numFmtId="0" fontId="17" fillId="0" borderId="87" xfId="1" applyFont="1" applyBorder="1"/>
    <xf numFmtId="0" fontId="19" fillId="11" borderId="89" xfId="1" applyFont="1" applyFill="1" applyBorder="1" applyAlignment="1">
      <alignment horizontal="center" vertical="center" wrapText="1"/>
    </xf>
    <xf numFmtId="0" fontId="17" fillId="0" borderId="96" xfId="1" applyFont="1" applyBorder="1"/>
    <xf numFmtId="0" fontId="19" fillId="11" borderId="90" xfId="1" applyFont="1" applyFill="1" applyBorder="1" applyAlignment="1">
      <alignment horizontal="center" wrapText="1"/>
    </xf>
    <xf numFmtId="0" fontId="17" fillId="0" borderId="91" xfId="1" applyFont="1" applyBorder="1"/>
    <xf numFmtId="0" fontId="17" fillId="0" borderId="92" xfId="1" applyFont="1" applyBorder="1"/>
    <xf numFmtId="0" fontId="19" fillId="11" borderId="94" xfId="1" applyFont="1" applyFill="1" applyBorder="1" applyAlignment="1">
      <alignment horizontal="center" vertical="center" wrapText="1"/>
    </xf>
    <xf numFmtId="0" fontId="17" fillId="0" borderId="98" xfId="1" applyFont="1" applyBorder="1"/>
    <xf numFmtId="0" fontId="16" fillId="0" borderId="74" xfId="1" applyFont="1" applyBorder="1" applyAlignment="1">
      <alignment horizontal="right"/>
    </xf>
    <xf numFmtId="0" fontId="17" fillId="0" borderId="75" xfId="1" applyFont="1" applyBorder="1"/>
    <xf numFmtId="0" fontId="17" fillId="0" borderId="76" xfId="1" applyFont="1" applyBorder="1"/>
    <xf numFmtId="0" fontId="18" fillId="0" borderId="74" xfId="1" applyFont="1" applyBorder="1" applyAlignment="1">
      <alignment horizontal="center"/>
    </xf>
    <xf numFmtId="0" fontId="1" fillId="0" borderId="74" xfId="1" applyFont="1" applyBorder="1" applyAlignment="1">
      <alignment horizontal="center"/>
    </xf>
    <xf numFmtId="0" fontId="11" fillId="0" borderId="74" xfId="1" applyFont="1" applyBorder="1" applyAlignment="1">
      <alignment horizontal="center"/>
    </xf>
    <xf numFmtId="0" fontId="12" fillId="3" borderId="79" xfId="1" applyFont="1" applyFill="1" applyBorder="1" applyAlignment="1">
      <alignment horizontal="left" vertical="top"/>
    </xf>
    <xf numFmtId="0" fontId="17" fillId="0" borderId="80" xfId="1" applyFont="1" applyBorder="1"/>
    <xf numFmtId="0" fontId="17" fillId="0" borderId="81" xfId="1" applyFont="1" applyBorder="1"/>
    <xf numFmtId="0" fontId="11" fillId="0" borderId="103" xfId="1" applyFont="1" applyBorder="1" applyAlignment="1">
      <alignment horizontal="left" vertical="center" wrapText="1"/>
    </xf>
    <xf numFmtId="0" fontId="17" fillId="0" borderId="103" xfId="1" applyFont="1" applyBorder="1" applyAlignment="1">
      <alignment horizontal="left" vertical="center"/>
    </xf>
    <xf numFmtId="0" fontId="17" fillId="0" borderId="102" xfId="1" applyFont="1" applyBorder="1" applyAlignment="1">
      <alignment horizontal="left" vertical="center"/>
    </xf>
    <xf numFmtId="0" fontId="11" fillId="0" borderId="104" xfId="1" applyFont="1" applyBorder="1" applyAlignment="1">
      <alignment vertical="center" wrapText="1"/>
    </xf>
    <xf numFmtId="0" fontId="17" fillId="0" borderId="104" xfId="1" applyFont="1" applyBorder="1" applyAlignment="1">
      <alignment vertical="center"/>
    </xf>
    <xf numFmtId="0" fontId="17" fillId="0" borderId="96" xfId="1" applyFont="1" applyBorder="1" applyAlignment="1">
      <alignment vertical="center"/>
    </xf>
    <xf numFmtId="0" fontId="11" fillId="0" borderId="104" xfId="1" applyFont="1" applyBorder="1" applyAlignment="1">
      <alignment horizontal="left" vertical="center" wrapText="1"/>
    </xf>
    <xf numFmtId="0" fontId="11" fillId="0" borderId="105" xfId="1" applyFont="1" applyBorder="1"/>
    <xf numFmtId="0" fontId="17" fillId="0" borderId="105" xfId="1" applyFont="1" applyBorder="1"/>
    <xf numFmtId="0" fontId="11" fillId="0" borderId="95" xfId="1" applyFont="1" applyBorder="1" applyAlignment="1">
      <alignment horizontal="left" vertical="center" wrapText="1"/>
    </xf>
    <xf numFmtId="0" fontId="11" fillId="0" borderId="97" xfId="1" applyFont="1" applyBorder="1" applyAlignment="1">
      <alignment vertical="center" wrapText="1"/>
    </xf>
    <xf numFmtId="0" fontId="11" fillId="0" borderId="107" xfId="1" applyFont="1" applyBorder="1"/>
    <xf numFmtId="0" fontId="17" fillId="0" borderId="103" xfId="1" applyFont="1" applyBorder="1" applyAlignment="1">
      <alignment horizontal="left"/>
    </xf>
    <xf numFmtId="0" fontId="17" fillId="0" borderId="102" xfId="1" applyFont="1" applyBorder="1" applyAlignment="1">
      <alignment horizontal="left"/>
    </xf>
    <xf numFmtId="0" fontId="17" fillId="0" borderId="104" xfId="1" applyFont="1" applyBorder="1"/>
    <xf numFmtId="0" fontId="11" fillId="0" borderId="111" xfId="1" applyFont="1" applyBorder="1" applyAlignment="1">
      <alignment horizontal="center"/>
    </xf>
    <xf numFmtId="0" fontId="17" fillId="0" borderId="112" xfId="1" applyFont="1" applyBorder="1"/>
    <xf numFmtId="0" fontId="11" fillId="0" borderId="110" xfId="1" applyFont="1" applyBorder="1" applyAlignment="1">
      <alignment horizontal="center"/>
    </xf>
    <xf numFmtId="0" fontId="17" fillId="0" borderId="113" xfId="1" applyFont="1" applyBorder="1"/>
    <xf numFmtId="0" fontId="17" fillId="0" borderId="114" xfId="1" applyFont="1" applyBorder="1"/>
    <xf numFmtId="0" fontId="15" fillId="0" borderId="120" xfId="0" applyFont="1" applyBorder="1" applyAlignment="1">
      <alignment horizontal="center" wrapText="1"/>
    </xf>
    <xf numFmtId="0" fontId="15" fillId="0" borderId="121" xfId="0" applyFont="1" applyBorder="1" applyAlignment="1">
      <alignment horizontal="center" wrapText="1"/>
    </xf>
    <xf numFmtId="0" fontId="15" fillId="0" borderId="122" xfId="0" applyFont="1" applyBorder="1" applyAlignment="1">
      <alignment horizontal="center" wrapText="1"/>
    </xf>
    <xf numFmtId="0" fontId="15" fillId="0" borderId="123" xfId="0" applyFont="1" applyBorder="1" applyAlignment="1">
      <alignment horizontal="center" wrapText="1"/>
    </xf>
    <xf numFmtId="0" fontId="15" fillId="0" borderId="124" xfId="0" applyFont="1" applyBorder="1" applyAlignment="1">
      <alignment horizontal="center" wrapText="1"/>
    </xf>
    <xf numFmtId="0" fontId="11" fillId="0" borderId="115" xfId="1" applyFont="1" applyBorder="1" applyAlignment="1">
      <alignment horizontal="center" wrapText="1"/>
    </xf>
    <xf numFmtId="0" fontId="17" fillId="0" borderId="116" xfId="1" applyFont="1" applyBorder="1"/>
    <xf numFmtId="0" fontId="11" fillId="3" borderId="117" xfId="1" applyFont="1" applyFill="1" applyBorder="1" applyAlignment="1">
      <alignment horizontal="center"/>
    </xf>
    <xf numFmtId="0" fontId="17" fillId="0" borderId="118" xfId="1" applyFont="1" applyBorder="1"/>
    <xf numFmtId="0" fontId="17" fillId="0" borderId="119" xfId="1" applyFont="1" applyBorder="1"/>
    <xf numFmtId="0" fontId="11" fillId="0" borderId="96" xfId="1" applyFont="1" applyBorder="1" applyAlignment="1">
      <alignment vertical="center" wrapText="1"/>
    </xf>
    <xf numFmtId="0" fontId="15" fillId="0" borderId="133" xfId="0" applyFont="1" applyBorder="1" applyAlignment="1">
      <alignment horizontal="center" wrapText="1"/>
    </xf>
    <xf numFmtId="0" fontId="15" fillId="0" borderId="134" xfId="0" applyFont="1" applyBorder="1" applyAlignment="1">
      <alignment horizontal="center" wrapText="1"/>
    </xf>
    <xf numFmtId="0" fontId="15" fillId="0" borderId="135" xfId="0" applyFont="1" applyBorder="1" applyAlignment="1">
      <alignment horizontal="center" wrapText="1"/>
    </xf>
    <xf numFmtId="0" fontId="15" fillId="0" borderId="125" xfId="0" applyFont="1" applyBorder="1" applyAlignment="1">
      <alignment wrapText="1"/>
    </xf>
    <xf numFmtId="0" fontId="15" fillId="0" borderId="126" xfId="0" applyFont="1" applyBorder="1" applyAlignment="1">
      <alignment wrapText="1"/>
    </xf>
    <xf numFmtId="0" fontId="15" fillId="0" borderId="127" xfId="0" applyFont="1" applyBorder="1" applyAlignment="1">
      <alignment wrapText="1"/>
    </xf>
    <xf numFmtId="0" fontId="15" fillId="0" borderId="128" xfId="0" applyFont="1" applyBorder="1" applyAlignment="1">
      <alignment horizontal="center" vertical="center" wrapText="1"/>
    </xf>
    <xf numFmtId="0" fontId="15" fillId="0" borderId="129" xfId="0" applyFont="1" applyBorder="1" applyAlignment="1">
      <alignment horizontal="center" vertical="center" wrapText="1"/>
    </xf>
    <xf numFmtId="0" fontId="15" fillId="0" borderId="130" xfId="0" applyFont="1" applyBorder="1" applyAlignment="1">
      <alignment horizontal="center" vertical="center" wrapText="1"/>
    </xf>
    <xf numFmtId="0" fontId="15" fillId="0" borderId="131" xfId="0" applyFont="1" applyBorder="1" applyAlignment="1">
      <alignment horizontal="center" vertical="center" wrapText="1"/>
    </xf>
    <xf numFmtId="0" fontId="15" fillId="0" borderId="132" xfId="0" applyFont="1" applyBorder="1" applyAlignment="1">
      <alignment horizontal="center" vertical="center" wrapText="1"/>
    </xf>
    <xf numFmtId="0" fontId="15" fillId="0" borderId="136" xfId="0" applyFont="1" applyBorder="1" applyAlignment="1">
      <alignment horizontal="center" wrapText="1"/>
    </xf>
    <xf numFmtId="0" fontId="15" fillId="0" borderId="137" xfId="0" applyFont="1" applyBorder="1" applyAlignment="1">
      <alignment horizontal="center" wrapText="1"/>
    </xf>
    <xf numFmtId="0" fontId="1" fillId="3" borderId="14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5" fontId="11" fillId="0" borderId="5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7" fillId="3" borderId="12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7" fillId="8" borderId="14" xfId="0" applyFont="1" applyFill="1" applyBorder="1"/>
    <xf numFmtId="0" fontId="4" fillId="9" borderId="12" xfId="0" applyFont="1" applyFill="1" applyBorder="1"/>
    <xf numFmtId="0" fontId="4" fillId="9" borderId="13" xfId="0" applyFont="1" applyFill="1" applyBorder="1"/>
    <xf numFmtId="0" fontId="11" fillId="0" borderId="64" xfId="0" applyFont="1" applyBorder="1" applyAlignment="1">
      <alignment wrapText="1"/>
    </xf>
    <xf numFmtId="0" fontId="11" fillId="0" borderId="67" xfId="0" applyFont="1" applyBorder="1" applyAlignment="1">
      <alignment wrapText="1"/>
    </xf>
    <xf numFmtId="0" fontId="1" fillId="0" borderId="52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1" fillId="0" borderId="59" xfId="0" applyFont="1" applyBorder="1" applyAlignment="1">
      <alignment vertical="center" wrapText="1"/>
    </xf>
    <xf numFmtId="0" fontId="1" fillId="0" borderId="60" xfId="0" applyFont="1" applyBorder="1" applyAlignment="1">
      <alignment vertical="center" wrapText="1"/>
    </xf>
    <xf numFmtId="0" fontId="1" fillId="0" borderId="61" xfId="0" applyFont="1" applyBorder="1" applyAlignment="1">
      <alignment vertical="center" wrapText="1"/>
    </xf>
    <xf numFmtId="0" fontId="1" fillId="0" borderId="62" xfId="0" applyFont="1" applyBorder="1" applyAlignment="1">
      <alignment vertical="center" wrapText="1"/>
    </xf>
    <xf numFmtId="0" fontId="1" fillId="0" borderId="63" xfId="0" applyFont="1" applyBorder="1" applyAlignment="1">
      <alignment vertical="center" wrapText="1"/>
    </xf>
    <xf numFmtId="0" fontId="11" fillId="0" borderId="0" xfId="0" applyFont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3" borderId="14" xfId="0" applyFont="1" applyFill="1" applyBorder="1" applyAlignment="1">
      <alignment horizontal="left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4" fillId="9" borderId="15" xfId="0" applyFont="1" applyFill="1" applyBorder="1"/>
    <xf numFmtId="0" fontId="6" fillId="4" borderId="14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43" xfId="0" applyFont="1" applyFill="1" applyBorder="1" applyAlignment="1">
      <alignment horizontal="center" vertical="center" wrapText="1"/>
    </xf>
    <xf numFmtId="0" fontId="6" fillId="10" borderId="143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wrapText="1"/>
    </xf>
    <xf numFmtId="0" fontId="1" fillId="0" borderId="60" xfId="0" applyFont="1" applyBorder="1" applyAlignment="1">
      <alignment wrapText="1"/>
    </xf>
    <xf numFmtId="0" fontId="1" fillId="0" borderId="61" xfId="0" applyFont="1" applyBorder="1" applyAlignment="1">
      <alignment wrapText="1"/>
    </xf>
    <xf numFmtId="0" fontId="1" fillId="0" borderId="62" xfId="0" applyFont="1" applyBorder="1" applyAlignment="1">
      <alignment wrapText="1"/>
    </xf>
    <xf numFmtId="0" fontId="1" fillId="0" borderId="63" xfId="0" applyFont="1" applyBorder="1" applyAlignment="1">
      <alignment wrapText="1"/>
    </xf>
    <xf numFmtId="0" fontId="11" fillId="0" borderId="0" xfId="0" applyFont="1" applyBorder="1" applyAlignment="1">
      <alignment horizontal="center"/>
    </xf>
    <xf numFmtId="0" fontId="11" fillId="0" borderId="140" xfId="0" applyFont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14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/>
    </xf>
    <xf numFmtId="0" fontId="11" fillId="0" borderId="0" xfId="0" applyFont="1" applyBorder="1" applyAlignment="1">
      <alignment horizontal="center" wrapText="1"/>
    </xf>
    <xf numFmtId="0" fontId="11" fillId="0" borderId="140" xfId="0" applyFont="1" applyBorder="1" applyAlignment="1">
      <alignment horizontal="center" wrapText="1"/>
    </xf>
    <xf numFmtId="15" fontId="11" fillId="0" borderId="72" xfId="0" applyNumberFormat="1" applyFont="1" applyBorder="1" applyAlignment="1">
      <alignment horizontal="left"/>
    </xf>
    <xf numFmtId="15" fontId="1" fillId="0" borderId="72" xfId="0" applyNumberFormat="1" applyFont="1" applyBorder="1" applyAlignment="1">
      <alignment horizontal="left"/>
    </xf>
    <xf numFmtId="15" fontId="1" fillId="0" borderId="139" xfId="0" applyNumberFormat="1" applyFont="1" applyBorder="1" applyAlignment="1">
      <alignment horizontal="left"/>
    </xf>
    <xf numFmtId="0" fontId="5" fillId="2" borderId="69" xfId="0" applyFont="1" applyFill="1" applyBorder="1" applyAlignment="1">
      <alignment horizontal="left"/>
    </xf>
    <xf numFmtId="0" fontId="4" fillId="0" borderId="15" xfId="0" applyFont="1" applyBorder="1" applyAlignment="1">
      <alignment vertical="center"/>
    </xf>
  </cellXfs>
  <cellStyles count="3">
    <cellStyle name="Normal" xfId="0" builtinId="0"/>
    <cellStyle name="Normal 2" xfId="1" xr:uid="{02D794E9-E9BB-4830-A331-3282FEDAEF8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136</xdr:row>
      <xdr:rowOff>559824</xdr:rowOff>
    </xdr:from>
    <xdr:ext cx="561975" cy="2402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6D3E9B-5EDF-449F-BDB7-2ED9A1E59959}"/>
            </a:ext>
          </a:extLst>
        </xdr:cNvPr>
        <xdr:cNvSpPr txBox="1"/>
      </xdr:nvSpPr>
      <xdr:spPr>
        <a:xfrm>
          <a:off x="7991475" y="60795924"/>
          <a:ext cx="5619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Name</a:t>
          </a:r>
        </a:p>
      </xdr:txBody>
    </xdr:sp>
    <xdr:clientData/>
  </xdr:oneCellAnchor>
  <xdr:oneCellAnchor>
    <xdr:from>
      <xdr:col>1</xdr:col>
      <xdr:colOff>1352550</xdr:colOff>
      <xdr:row>136</xdr:row>
      <xdr:rowOff>559824</xdr:rowOff>
    </xdr:from>
    <xdr:ext cx="561975" cy="24027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9B5F40-5EDF-4962-9A02-C571DCBCA994}"/>
            </a:ext>
          </a:extLst>
        </xdr:cNvPr>
        <xdr:cNvSpPr txBox="1"/>
      </xdr:nvSpPr>
      <xdr:spPr>
        <a:xfrm>
          <a:off x="1524000" y="60795924"/>
          <a:ext cx="5619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Name</a:t>
          </a:r>
        </a:p>
      </xdr:txBody>
    </xdr:sp>
    <xdr:clientData/>
  </xdr:oneCellAnchor>
  <xdr:oneCellAnchor>
    <xdr:from>
      <xdr:col>2</xdr:col>
      <xdr:colOff>638175</xdr:colOff>
      <xdr:row>136</xdr:row>
      <xdr:rowOff>559824</xdr:rowOff>
    </xdr:from>
    <xdr:ext cx="561975" cy="24027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22A9F1-1E88-456C-B1A2-8E952E8B1570}"/>
            </a:ext>
          </a:extLst>
        </xdr:cNvPr>
        <xdr:cNvSpPr txBox="1"/>
      </xdr:nvSpPr>
      <xdr:spPr>
        <a:xfrm>
          <a:off x="2543175" y="60795924"/>
          <a:ext cx="5619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Date</a:t>
          </a:r>
        </a:p>
      </xdr:txBody>
    </xdr:sp>
    <xdr:clientData/>
  </xdr:oneCellAnchor>
  <xdr:oneCellAnchor>
    <xdr:from>
      <xdr:col>6</xdr:col>
      <xdr:colOff>114300</xdr:colOff>
      <xdr:row>136</xdr:row>
      <xdr:rowOff>559824</xdr:rowOff>
    </xdr:from>
    <xdr:ext cx="561975" cy="24027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891A97-FB46-4664-AF79-C457DC60184A}"/>
            </a:ext>
          </a:extLst>
        </xdr:cNvPr>
        <xdr:cNvSpPr txBox="1"/>
      </xdr:nvSpPr>
      <xdr:spPr>
        <a:xfrm>
          <a:off x="9391650" y="60795924"/>
          <a:ext cx="5619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Date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247650</xdr:colOff>
      <xdr:row>44</xdr:row>
      <xdr:rowOff>314325</xdr:rowOff>
    </xdr:from>
    <xdr:ext cx="561975" cy="2402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41C775-4AEA-43DE-B255-095711DE3C62}"/>
            </a:ext>
          </a:extLst>
        </xdr:cNvPr>
        <xdr:cNvSpPr txBox="1"/>
      </xdr:nvSpPr>
      <xdr:spPr>
        <a:xfrm>
          <a:off x="1952625" y="22250400"/>
          <a:ext cx="5619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Name</a:t>
          </a:r>
        </a:p>
      </xdr:txBody>
    </xdr:sp>
    <xdr:clientData/>
  </xdr:oneCellAnchor>
  <xdr:oneCellAnchor>
    <xdr:from>
      <xdr:col>2</xdr:col>
      <xdr:colOff>1333500</xdr:colOff>
      <xdr:row>44</xdr:row>
      <xdr:rowOff>314558</xdr:rowOff>
    </xdr:from>
    <xdr:ext cx="561975" cy="2398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C456F8-AA67-420C-BECA-BA6B2D9C815E}"/>
            </a:ext>
          </a:extLst>
        </xdr:cNvPr>
        <xdr:cNvSpPr txBox="1"/>
      </xdr:nvSpPr>
      <xdr:spPr>
        <a:xfrm>
          <a:off x="3038475" y="22250633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Date</a:t>
          </a:r>
        </a:p>
      </xdr:txBody>
    </xdr:sp>
    <xdr:clientData/>
  </xdr:oneCellAnchor>
  <xdr:oneCellAnchor>
    <xdr:from>
      <xdr:col>7</xdr:col>
      <xdr:colOff>85725</xdr:colOff>
      <xdr:row>44</xdr:row>
      <xdr:rowOff>314558</xdr:rowOff>
    </xdr:from>
    <xdr:ext cx="561975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D5D2107-BEB7-4924-8785-E3DAF62D669D}"/>
            </a:ext>
          </a:extLst>
        </xdr:cNvPr>
        <xdr:cNvSpPr txBox="1"/>
      </xdr:nvSpPr>
      <xdr:spPr>
        <a:xfrm>
          <a:off x="9591675" y="23022158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Date</a:t>
          </a:r>
        </a:p>
      </xdr:txBody>
    </xdr:sp>
    <xdr:clientData/>
  </xdr:oneCellAnchor>
  <xdr:oneCellAnchor>
    <xdr:from>
      <xdr:col>5</xdr:col>
      <xdr:colOff>2733675</xdr:colOff>
      <xdr:row>44</xdr:row>
      <xdr:rowOff>314558</xdr:rowOff>
    </xdr:from>
    <xdr:ext cx="561975" cy="2398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B3043C-1962-4DB8-9797-0AE66BEC620E}"/>
            </a:ext>
          </a:extLst>
        </xdr:cNvPr>
        <xdr:cNvSpPr txBox="1"/>
      </xdr:nvSpPr>
      <xdr:spPr>
        <a:xfrm>
          <a:off x="8105775" y="23022158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Name</a:t>
          </a:r>
        </a:p>
      </xdr:txBody>
    </xdr:sp>
    <xdr:clientData/>
  </xdr:oneCellAnchor>
  <xdr:oneCellAnchor>
    <xdr:from>
      <xdr:col>1</xdr:col>
      <xdr:colOff>19050</xdr:colOff>
      <xdr:row>52</xdr:row>
      <xdr:rowOff>266700</xdr:rowOff>
    </xdr:from>
    <xdr:ext cx="3267075" cy="24027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4E2B29A-B555-42ED-97B7-FE8E80D9DDA8}"/>
            </a:ext>
          </a:extLst>
        </xdr:cNvPr>
        <xdr:cNvSpPr txBox="1"/>
      </xdr:nvSpPr>
      <xdr:spPr>
        <a:xfrm>
          <a:off x="19050" y="251841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JOHN MARK AGUSTIN E. ACIDO</a:t>
          </a:r>
        </a:p>
      </xdr:txBody>
    </xdr:sp>
    <xdr:clientData/>
  </xdr:oneCellAnchor>
  <xdr:oneCellAnchor>
    <xdr:from>
      <xdr:col>5</xdr:col>
      <xdr:colOff>419100</xdr:colOff>
      <xdr:row>52</xdr:row>
      <xdr:rowOff>266700</xdr:rowOff>
    </xdr:from>
    <xdr:ext cx="3267075" cy="24027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0BE272-F2B0-463C-8D34-680EB2D4EA6D}"/>
            </a:ext>
          </a:extLst>
        </xdr:cNvPr>
        <xdr:cNvSpPr txBox="1"/>
      </xdr:nvSpPr>
      <xdr:spPr>
        <a:xfrm>
          <a:off x="5791200" y="251841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ALDIE MAE A. ANDOY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52</xdr:row>
      <xdr:rowOff>266700</xdr:rowOff>
    </xdr:from>
    <xdr:ext cx="3267075" cy="24027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916D76F-29C3-42A7-AB87-826575D325A8}"/>
            </a:ext>
          </a:extLst>
        </xdr:cNvPr>
        <xdr:cNvSpPr txBox="1"/>
      </xdr:nvSpPr>
      <xdr:spPr>
        <a:xfrm>
          <a:off x="19050" y="251841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JOHN MARK AGUSTIN E. ACIDO</a:t>
          </a:r>
        </a:p>
      </xdr:txBody>
    </xdr:sp>
    <xdr:clientData/>
  </xdr:oneCellAnchor>
  <xdr:oneCellAnchor>
    <xdr:from>
      <xdr:col>2</xdr:col>
      <xdr:colOff>247650</xdr:colOff>
      <xdr:row>44</xdr:row>
      <xdr:rowOff>314325</xdr:rowOff>
    </xdr:from>
    <xdr:ext cx="561975" cy="24027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7B6FC4E-11F0-4B0A-842F-98C90A2C7EAF}"/>
            </a:ext>
          </a:extLst>
        </xdr:cNvPr>
        <xdr:cNvSpPr txBox="1"/>
      </xdr:nvSpPr>
      <xdr:spPr>
        <a:xfrm>
          <a:off x="1952625" y="22250400"/>
          <a:ext cx="5619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Name</a:t>
          </a:r>
        </a:p>
      </xdr:txBody>
    </xdr:sp>
    <xdr:clientData/>
  </xdr:oneCellAnchor>
  <xdr:oneCellAnchor>
    <xdr:from>
      <xdr:col>2</xdr:col>
      <xdr:colOff>1333500</xdr:colOff>
      <xdr:row>44</xdr:row>
      <xdr:rowOff>314558</xdr:rowOff>
    </xdr:from>
    <xdr:ext cx="561975" cy="239809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1E9A6C4-28AA-4BE1-BEFD-9284BF094709}"/>
            </a:ext>
          </a:extLst>
        </xdr:cNvPr>
        <xdr:cNvSpPr txBox="1"/>
      </xdr:nvSpPr>
      <xdr:spPr>
        <a:xfrm>
          <a:off x="3038475" y="22250633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Date</a:t>
          </a:r>
        </a:p>
      </xdr:txBody>
    </xdr:sp>
    <xdr:clientData/>
  </xdr:oneCellAnchor>
  <xdr:oneCellAnchor>
    <xdr:from>
      <xdr:col>9</xdr:col>
      <xdr:colOff>19050</xdr:colOff>
      <xdr:row>44</xdr:row>
      <xdr:rowOff>314558</xdr:rowOff>
    </xdr:from>
    <xdr:ext cx="561975" cy="239809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453A51F-4BE0-401C-BB41-8FBC6DAAB123}"/>
            </a:ext>
          </a:extLst>
        </xdr:cNvPr>
        <xdr:cNvSpPr txBox="1"/>
      </xdr:nvSpPr>
      <xdr:spPr>
        <a:xfrm>
          <a:off x="8515350" y="22250633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Date</a:t>
          </a:r>
        </a:p>
      </xdr:txBody>
    </xdr:sp>
    <xdr:clientData/>
  </xdr:oneCellAnchor>
  <xdr:oneCellAnchor>
    <xdr:from>
      <xdr:col>6</xdr:col>
      <xdr:colOff>228600</xdr:colOff>
      <xdr:row>44</xdr:row>
      <xdr:rowOff>314558</xdr:rowOff>
    </xdr:from>
    <xdr:ext cx="561975" cy="239809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086ED09-F44D-4015-A2D5-9B3738C33FD0}"/>
            </a:ext>
          </a:extLst>
        </xdr:cNvPr>
        <xdr:cNvSpPr txBox="1"/>
      </xdr:nvSpPr>
      <xdr:spPr>
        <a:xfrm>
          <a:off x="7038975" y="22250633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Name</a:t>
          </a:r>
        </a:p>
      </xdr:txBody>
    </xdr:sp>
    <xdr:clientData/>
  </xdr:oneCellAnchor>
  <xdr:oneCellAnchor>
    <xdr:from>
      <xdr:col>1</xdr:col>
      <xdr:colOff>19050</xdr:colOff>
      <xdr:row>52</xdr:row>
      <xdr:rowOff>266700</xdr:rowOff>
    </xdr:from>
    <xdr:ext cx="3267075" cy="24027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2CA75FA-6066-45A4-8D4D-AA784F457EFD}"/>
            </a:ext>
          </a:extLst>
        </xdr:cNvPr>
        <xdr:cNvSpPr txBox="1"/>
      </xdr:nvSpPr>
      <xdr:spPr>
        <a:xfrm>
          <a:off x="19050" y="251841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JOHN MARK AGUSTIN E. ACIDO</a:t>
          </a:r>
        </a:p>
      </xdr:txBody>
    </xdr:sp>
    <xdr:clientData/>
  </xdr:oneCellAnchor>
  <xdr:oneCellAnchor>
    <xdr:from>
      <xdr:col>5</xdr:col>
      <xdr:colOff>419100</xdr:colOff>
      <xdr:row>52</xdr:row>
      <xdr:rowOff>266700</xdr:rowOff>
    </xdr:from>
    <xdr:ext cx="3267075" cy="24027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846C396-E6F7-4E6F-8F11-5F59F150EB8C}"/>
            </a:ext>
          </a:extLst>
        </xdr:cNvPr>
        <xdr:cNvSpPr txBox="1"/>
      </xdr:nvSpPr>
      <xdr:spPr>
        <a:xfrm>
          <a:off x="5791200" y="251841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ALDIE MAE A. ANDOY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52</xdr:row>
      <xdr:rowOff>266700</xdr:rowOff>
    </xdr:from>
    <xdr:ext cx="3267075" cy="2402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7D502F-0A77-4CEE-9CE9-C726EDC372BB}"/>
            </a:ext>
          </a:extLst>
        </xdr:cNvPr>
        <xdr:cNvSpPr txBox="1"/>
      </xdr:nvSpPr>
      <xdr:spPr>
        <a:xfrm>
          <a:off x="19050" y="269367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JOHN MARK AGUSTIN E. ACIDO</a:t>
          </a:r>
        </a:p>
      </xdr:txBody>
    </xdr:sp>
    <xdr:clientData/>
  </xdr:oneCellAnchor>
  <xdr:oneCellAnchor>
    <xdr:from>
      <xdr:col>2</xdr:col>
      <xdr:colOff>247650</xdr:colOff>
      <xdr:row>44</xdr:row>
      <xdr:rowOff>314325</xdr:rowOff>
    </xdr:from>
    <xdr:ext cx="561975" cy="24027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EF5916-3009-49F4-92FE-EBED3087618A}"/>
            </a:ext>
          </a:extLst>
        </xdr:cNvPr>
        <xdr:cNvSpPr txBox="1"/>
      </xdr:nvSpPr>
      <xdr:spPr>
        <a:xfrm>
          <a:off x="1952625" y="23879175"/>
          <a:ext cx="5619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Name</a:t>
          </a:r>
        </a:p>
      </xdr:txBody>
    </xdr:sp>
    <xdr:clientData/>
  </xdr:oneCellAnchor>
  <xdr:oneCellAnchor>
    <xdr:from>
      <xdr:col>2</xdr:col>
      <xdr:colOff>1333500</xdr:colOff>
      <xdr:row>44</xdr:row>
      <xdr:rowOff>314558</xdr:rowOff>
    </xdr:from>
    <xdr:ext cx="561975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D0E215-9532-45CD-B56B-5F921E854D2E}"/>
            </a:ext>
          </a:extLst>
        </xdr:cNvPr>
        <xdr:cNvSpPr txBox="1"/>
      </xdr:nvSpPr>
      <xdr:spPr>
        <a:xfrm>
          <a:off x="3038475" y="23879408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Date</a:t>
          </a:r>
        </a:p>
      </xdr:txBody>
    </xdr:sp>
    <xdr:clientData/>
  </xdr:oneCellAnchor>
  <xdr:oneCellAnchor>
    <xdr:from>
      <xdr:col>9</xdr:col>
      <xdr:colOff>19050</xdr:colOff>
      <xdr:row>44</xdr:row>
      <xdr:rowOff>314558</xdr:rowOff>
    </xdr:from>
    <xdr:ext cx="561975" cy="2398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17BE5D-5253-4432-808C-88BE7B24C79E}"/>
            </a:ext>
          </a:extLst>
        </xdr:cNvPr>
        <xdr:cNvSpPr txBox="1"/>
      </xdr:nvSpPr>
      <xdr:spPr>
        <a:xfrm>
          <a:off x="8515350" y="23879408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Date</a:t>
          </a:r>
        </a:p>
      </xdr:txBody>
    </xdr:sp>
    <xdr:clientData/>
  </xdr:oneCellAnchor>
  <xdr:oneCellAnchor>
    <xdr:from>
      <xdr:col>6</xdr:col>
      <xdr:colOff>228600</xdr:colOff>
      <xdr:row>44</xdr:row>
      <xdr:rowOff>314558</xdr:rowOff>
    </xdr:from>
    <xdr:ext cx="561975" cy="2398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33BE92C-B42E-4C77-9C18-B6A9370716A8}"/>
            </a:ext>
          </a:extLst>
        </xdr:cNvPr>
        <xdr:cNvSpPr txBox="1"/>
      </xdr:nvSpPr>
      <xdr:spPr>
        <a:xfrm>
          <a:off x="7038975" y="23879408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Name</a:t>
          </a:r>
        </a:p>
      </xdr:txBody>
    </xdr:sp>
    <xdr:clientData/>
  </xdr:oneCellAnchor>
  <xdr:oneCellAnchor>
    <xdr:from>
      <xdr:col>1</xdr:col>
      <xdr:colOff>19050</xdr:colOff>
      <xdr:row>52</xdr:row>
      <xdr:rowOff>266700</xdr:rowOff>
    </xdr:from>
    <xdr:ext cx="3267075" cy="24027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C39D2A-CC1F-4149-AEA6-25E0918E0400}"/>
            </a:ext>
          </a:extLst>
        </xdr:cNvPr>
        <xdr:cNvSpPr txBox="1"/>
      </xdr:nvSpPr>
      <xdr:spPr>
        <a:xfrm>
          <a:off x="19050" y="269367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JOHN MARK AGUSTIN E. ACIDO</a:t>
          </a:r>
        </a:p>
      </xdr:txBody>
    </xdr:sp>
    <xdr:clientData/>
  </xdr:oneCellAnchor>
  <xdr:oneCellAnchor>
    <xdr:from>
      <xdr:col>5</xdr:col>
      <xdr:colOff>419100</xdr:colOff>
      <xdr:row>52</xdr:row>
      <xdr:rowOff>266700</xdr:rowOff>
    </xdr:from>
    <xdr:ext cx="3267075" cy="24027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40ADBC-08BA-474B-87FF-9165D1046398}"/>
            </a:ext>
          </a:extLst>
        </xdr:cNvPr>
        <xdr:cNvSpPr txBox="1"/>
      </xdr:nvSpPr>
      <xdr:spPr>
        <a:xfrm>
          <a:off x="5791200" y="269367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ALDIE MAE A. ANDOY</a:t>
          </a:r>
        </a:p>
      </xdr:txBody>
    </xdr:sp>
    <xdr:clientData/>
  </xdr:oneCellAnchor>
  <xdr:oneCellAnchor>
    <xdr:from>
      <xdr:col>8</xdr:col>
      <xdr:colOff>285750</xdr:colOff>
      <xdr:row>44</xdr:row>
      <xdr:rowOff>152633</xdr:rowOff>
    </xdr:from>
    <xdr:ext cx="1190625" cy="23980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0569DC-ECDA-4629-A580-8132ADAC2B89}"/>
            </a:ext>
          </a:extLst>
        </xdr:cNvPr>
        <xdr:cNvSpPr txBox="1"/>
      </xdr:nvSpPr>
      <xdr:spPr>
        <a:xfrm>
          <a:off x="11172825" y="23717483"/>
          <a:ext cx="119062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____________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52</xdr:row>
      <xdr:rowOff>266700</xdr:rowOff>
    </xdr:from>
    <xdr:ext cx="3267075" cy="2402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19BBC6-734E-4F5C-B568-101A2BD5330D}"/>
            </a:ext>
          </a:extLst>
        </xdr:cNvPr>
        <xdr:cNvSpPr txBox="1"/>
      </xdr:nvSpPr>
      <xdr:spPr>
        <a:xfrm>
          <a:off x="19050" y="269367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JOHN MARK AGUSTIN E. ACIDO</a:t>
          </a:r>
        </a:p>
      </xdr:txBody>
    </xdr:sp>
    <xdr:clientData/>
  </xdr:oneCellAnchor>
  <xdr:oneCellAnchor>
    <xdr:from>
      <xdr:col>2</xdr:col>
      <xdr:colOff>247650</xdr:colOff>
      <xdr:row>44</xdr:row>
      <xdr:rowOff>314325</xdr:rowOff>
    </xdr:from>
    <xdr:ext cx="561975" cy="24027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BE4181-411E-49CB-858E-7380297C8E98}"/>
            </a:ext>
          </a:extLst>
        </xdr:cNvPr>
        <xdr:cNvSpPr txBox="1"/>
      </xdr:nvSpPr>
      <xdr:spPr>
        <a:xfrm>
          <a:off x="1952625" y="23879175"/>
          <a:ext cx="5619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Name</a:t>
          </a:r>
        </a:p>
      </xdr:txBody>
    </xdr:sp>
    <xdr:clientData/>
  </xdr:oneCellAnchor>
  <xdr:oneCellAnchor>
    <xdr:from>
      <xdr:col>2</xdr:col>
      <xdr:colOff>1333500</xdr:colOff>
      <xdr:row>44</xdr:row>
      <xdr:rowOff>314558</xdr:rowOff>
    </xdr:from>
    <xdr:ext cx="561975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E07DC9B-FC5D-4D94-BDC0-3438BB3D5697}"/>
            </a:ext>
          </a:extLst>
        </xdr:cNvPr>
        <xdr:cNvSpPr txBox="1"/>
      </xdr:nvSpPr>
      <xdr:spPr>
        <a:xfrm>
          <a:off x="3038475" y="23879408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Date</a:t>
          </a:r>
        </a:p>
      </xdr:txBody>
    </xdr:sp>
    <xdr:clientData/>
  </xdr:oneCellAnchor>
  <xdr:oneCellAnchor>
    <xdr:from>
      <xdr:col>9</xdr:col>
      <xdr:colOff>19050</xdr:colOff>
      <xdr:row>44</xdr:row>
      <xdr:rowOff>314558</xdr:rowOff>
    </xdr:from>
    <xdr:ext cx="561975" cy="2398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4A5762B-3009-47C9-B8A4-2B6902A10A21}"/>
            </a:ext>
          </a:extLst>
        </xdr:cNvPr>
        <xdr:cNvSpPr txBox="1"/>
      </xdr:nvSpPr>
      <xdr:spPr>
        <a:xfrm>
          <a:off x="11468100" y="23879408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Date</a:t>
          </a:r>
        </a:p>
      </xdr:txBody>
    </xdr:sp>
    <xdr:clientData/>
  </xdr:oneCellAnchor>
  <xdr:oneCellAnchor>
    <xdr:from>
      <xdr:col>6</xdr:col>
      <xdr:colOff>228600</xdr:colOff>
      <xdr:row>44</xdr:row>
      <xdr:rowOff>314558</xdr:rowOff>
    </xdr:from>
    <xdr:ext cx="561975" cy="2398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C644DC-8F39-427E-BCDC-D19A2E69382E}"/>
            </a:ext>
          </a:extLst>
        </xdr:cNvPr>
        <xdr:cNvSpPr txBox="1"/>
      </xdr:nvSpPr>
      <xdr:spPr>
        <a:xfrm>
          <a:off x="9991725" y="23879408"/>
          <a:ext cx="5619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Name</a:t>
          </a:r>
        </a:p>
      </xdr:txBody>
    </xdr:sp>
    <xdr:clientData/>
  </xdr:oneCellAnchor>
  <xdr:oneCellAnchor>
    <xdr:from>
      <xdr:col>1</xdr:col>
      <xdr:colOff>19050</xdr:colOff>
      <xdr:row>52</xdr:row>
      <xdr:rowOff>266700</xdr:rowOff>
    </xdr:from>
    <xdr:ext cx="3267075" cy="24027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15CACE0-C1D5-4C69-B175-0CA8F94B9836}"/>
            </a:ext>
          </a:extLst>
        </xdr:cNvPr>
        <xdr:cNvSpPr txBox="1"/>
      </xdr:nvSpPr>
      <xdr:spPr>
        <a:xfrm>
          <a:off x="19050" y="269367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JOHN MARK AGUSTIN E. ACIDO</a:t>
          </a:r>
        </a:p>
      </xdr:txBody>
    </xdr:sp>
    <xdr:clientData/>
  </xdr:oneCellAnchor>
  <xdr:oneCellAnchor>
    <xdr:from>
      <xdr:col>5</xdr:col>
      <xdr:colOff>419100</xdr:colOff>
      <xdr:row>52</xdr:row>
      <xdr:rowOff>266700</xdr:rowOff>
    </xdr:from>
    <xdr:ext cx="3267075" cy="24027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EC921E8-2B5E-4971-8C92-AF39762EED49}"/>
            </a:ext>
          </a:extLst>
        </xdr:cNvPr>
        <xdr:cNvSpPr txBox="1"/>
      </xdr:nvSpPr>
      <xdr:spPr>
        <a:xfrm>
          <a:off x="5791200" y="26936700"/>
          <a:ext cx="3267075" cy="2402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ALDIE MAE A. ANDOY</a:t>
          </a:r>
        </a:p>
      </xdr:txBody>
    </xdr:sp>
    <xdr:clientData/>
  </xdr:oneCellAnchor>
  <xdr:oneCellAnchor>
    <xdr:from>
      <xdr:col>8</xdr:col>
      <xdr:colOff>285750</xdr:colOff>
      <xdr:row>44</xdr:row>
      <xdr:rowOff>152633</xdr:rowOff>
    </xdr:from>
    <xdr:ext cx="1190625" cy="23980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B25779A-DF71-4E16-A932-08EF481EAF82}"/>
            </a:ext>
          </a:extLst>
        </xdr:cNvPr>
        <xdr:cNvSpPr txBox="1"/>
      </xdr:nvSpPr>
      <xdr:spPr>
        <a:xfrm>
          <a:off x="11172825" y="23717483"/>
          <a:ext cx="119062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PH" sz="1000">
              <a:latin typeface="+mj-lt"/>
            </a:rPr>
            <a:t>____________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1000"/>
  <sheetViews>
    <sheetView showGridLines="0" topLeftCell="A7" workbookViewId="0">
      <selection activeCell="B6" sqref="B6:L6"/>
    </sheetView>
  </sheetViews>
  <sheetFormatPr defaultColWidth="12.5703125" defaultRowHeight="15" customHeight="1"/>
  <cols>
    <col min="1" max="1" width="2.42578125" customWidth="1"/>
    <col min="2" max="2" width="18.85546875" customWidth="1"/>
    <col min="3" max="3" width="21.5703125" customWidth="1"/>
    <col min="4" max="4" width="9.140625" customWidth="1"/>
    <col min="5" max="5" width="24.28515625" customWidth="1"/>
    <col min="6" max="6" width="21.5703125" customWidth="1"/>
    <col min="7" max="10" width="8.42578125" customWidth="1"/>
    <col min="11" max="11" width="6.5703125" customWidth="1"/>
    <col min="12" max="12" width="11.42578125" customWidth="1"/>
    <col min="13" max="13" width="3.42578125" customWidth="1"/>
    <col min="14" max="22" width="12.5703125" hidden="1" customWidth="1"/>
  </cols>
  <sheetData>
    <row r="1" spans="1:22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8.5" customHeight="1">
      <c r="A2" s="1"/>
      <c r="B2" s="150" t="s">
        <v>0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>
      <c r="A4" s="1"/>
      <c r="B4" s="149" t="s">
        <v>1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8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>
      <c r="A6" s="1"/>
      <c r="B6" s="139" t="s">
        <v>2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>
      <c r="A7" s="1"/>
      <c r="B7" s="139" t="s">
        <v>3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9" customHeight="1">
      <c r="A8" s="1"/>
      <c r="B8" s="139"/>
      <c r="C8" s="138"/>
      <c r="D8" s="138"/>
      <c r="E8" s="138"/>
      <c r="F8" s="138"/>
      <c r="G8" s="138"/>
      <c r="H8" s="138"/>
      <c r="I8" s="138"/>
      <c r="J8" s="138"/>
      <c r="K8" s="138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>
      <c r="A9" s="1"/>
      <c r="B9" s="2"/>
      <c r="C9" s="2"/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8.5" customHeight="1">
      <c r="A10" s="1"/>
      <c r="B10" s="151" t="s">
        <v>4</v>
      </c>
      <c r="C10" s="152"/>
      <c r="D10" s="152"/>
      <c r="E10" s="152"/>
      <c r="F10" s="152"/>
      <c r="G10" s="152"/>
      <c r="H10" s="152"/>
      <c r="I10" s="152"/>
      <c r="J10" s="152"/>
      <c r="K10" s="152"/>
      <c r="L10" s="153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7.75" customHeight="1">
      <c r="A11" s="1"/>
      <c r="B11" s="3"/>
      <c r="C11" s="1"/>
      <c r="D11" s="1"/>
      <c r="E11" s="1"/>
      <c r="F11" s="1"/>
      <c r="G11" s="141"/>
      <c r="H11" s="142"/>
      <c r="I11" s="142"/>
      <c r="J11" s="142"/>
      <c r="K11" s="142"/>
      <c r="L11" s="143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>
      <c r="A12" s="1"/>
      <c r="B12" s="154"/>
      <c r="C12" s="138"/>
      <c r="D12" s="1"/>
      <c r="E12" s="1"/>
      <c r="F12" s="1"/>
      <c r="G12" s="149" t="s">
        <v>5</v>
      </c>
      <c r="H12" s="138"/>
      <c r="I12" s="138"/>
      <c r="J12" s="138"/>
      <c r="K12" s="138"/>
      <c r="L12" s="140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>
      <c r="A13" s="1"/>
      <c r="B13" s="137"/>
      <c r="C13" s="138"/>
      <c r="D13" s="1"/>
      <c r="E13" s="1"/>
      <c r="F13" s="1"/>
      <c r="G13" s="1"/>
      <c r="H13" s="139" t="s">
        <v>6</v>
      </c>
      <c r="I13" s="138"/>
      <c r="J13" s="138"/>
      <c r="K13" s="138"/>
      <c r="L13" s="140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>
      <c r="A14" s="1"/>
      <c r="B14" s="4"/>
      <c r="C14" s="5"/>
      <c r="D14" s="1"/>
      <c r="E14" s="1"/>
      <c r="F14" s="1"/>
      <c r="G14" s="1"/>
      <c r="H14" s="1" t="s">
        <v>7</v>
      </c>
      <c r="I14" s="141"/>
      <c r="J14" s="142"/>
      <c r="K14" s="142"/>
      <c r="L14" s="143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customHeight="1">
      <c r="A15" s="1"/>
      <c r="B15" s="4"/>
      <c r="C15" s="5"/>
      <c r="D15" s="1"/>
      <c r="E15" s="1"/>
      <c r="F15" s="1"/>
      <c r="G15" s="1"/>
      <c r="H15" s="1"/>
      <c r="I15" s="1"/>
      <c r="J15" s="1"/>
      <c r="K15" s="1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>
      <c r="A16" s="1"/>
      <c r="B16" s="144" t="s">
        <v>8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6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>
      <c r="A17" s="1"/>
      <c r="B17" s="147" t="s">
        <v>9</v>
      </c>
      <c r="C17" s="109"/>
      <c r="D17" s="109"/>
      <c r="E17" s="110"/>
      <c r="F17" s="148" t="s">
        <v>10</v>
      </c>
      <c r="G17" s="109"/>
      <c r="H17" s="109"/>
      <c r="I17" s="109"/>
      <c r="J17" s="109"/>
      <c r="K17" s="109"/>
      <c r="L17" s="123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>
      <c r="A18" s="1"/>
      <c r="B18" s="128" t="s">
        <v>11</v>
      </c>
      <c r="C18" s="130" t="s">
        <v>12</v>
      </c>
      <c r="D18" s="131"/>
      <c r="E18" s="132"/>
      <c r="F18" s="135" t="s">
        <v>13</v>
      </c>
      <c r="G18" s="118" t="s">
        <v>14</v>
      </c>
      <c r="H18" s="109"/>
      <c r="I18" s="109"/>
      <c r="J18" s="109"/>
      <c r="K18" s="119" t="s">
        <v>15</v>
      </c>
      <c r="L18" s="120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>
      <c r="A19" s="1"/>
      <c r="B19" s="129"/>
      <c r="C19" s="121"/>
      <c r="D19" s="133"/>
      <c r="E19" s="134"/>
      <c r="F19" s="136"/>
      <c r="G19" s="7" t="s">
        <v>16</v>
      </c>
      <c r="H19" s="7" t="s">
        <v>17</v>
      </c>
      <c r="I19" s="7" t="s">
        <v>18</v>
      </c>
      <c r="J19" s="7" t="s">
        <v>19</v>
      </c>
      <c r="K19" s="121"/>
      <c r="L19" s="122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>
      <c r="A20" s="1"/>
      <c r="B20" s="8" t="s">
        <v>20</v>
      </c>
      <c r="C20" s="111"/>
      <c r="D20" s="109"/>
      <c r="E20" s="110"/>
      <c r="F20" s="9"/>
      <c r="G20" s="10"/>
      <c r="H20" s="10"/>
      <c r="I20" s="10"/>
      <c r="J20" s="10"/>
      <c r="K20" s="118"/>
      <c r="L20" s="123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>
      <c r="A21" s="1"/>
      <c r="B21" s="11"/>
      <c r="C21" s="108"/>
      <c r="D21" s="109"/>
      <c r="E21" s="110"/>
      <c r="F21" s="9"/>
      <c r="G21" s="10"/>
      <c r="H21" s="10"/>
      <c r="I21" s="10"/>
      <c r="J21" s="10"/>
      <c r="K21" s="118"/>
      <c r="L21" s="123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>
      <c r="A22" s="1"/>
      <c r="B22" s="11"/>
      <c r="C22" s="108"/>
      <c r="D22" s="109"/>
      <c r="E22" s="110"/>
      <c r="F22" s="9"/>
      <c r="G22" s="10"/>
      <c r="H22" s="10"/>
      <c r="I22" s="10"/>
      <c r="J22" s="10"/>
      <c r="K22" s="118"/>
      <c r="L22" s="123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>
      <c r="A23" s="1"/>
      <c r="B23" s="8" t="s">
        <v>21</v>
      </c>
      <c r="C23" s="111"/>
      <c r="D23" s="109"/>
      <c r="E23" s="110"/>
      <c r="F23" s="9"/>
      <c r="G23" s="10"/>
      <c r="H23" s="10"/>
      <c r="I23" s="10"/>
      <c r="J23" s="10"/>
      <c r="K23" s="118"/>
      <c r="L23" s="123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>
      <c r="A24" s="1"/>
      <c r="B24" s="11"/>
      <c r="C24" s="108"/>
      <c r="D24" s="109"/>
      <c r="E24" s="110"/>
      <c r="F24" s="9"/>
      <c r="G24" s="10"/>
      <c r="H24" s="10"/>
      <c r="I24" s="10"/>
      <c r="J24" s="10"/>
      <c r="K24" s="118"/>
      <c r="L24" s="123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>
      <c r="A25" s="1"/>
      <c r="B25" s="11"/>
      <c r="C25" s="108"/>
      <c r="D25" s="109"/>
      <c r="E25" s="110"/>
      <c r="F25" s="9"/>
      <c r="G25" s="10"/>
      <c r="H25" s="10"/>
      <c r="I25" s="10"/>
      <c r="J25" s="10"/>
      <c r="K25" s="118"/>
      <c r="L25" s="123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>
      <c r="A26" s="1"/>
      <c r="B26" s="8" t="s">
        <v>22</v>
      </c>
      <c r="C26" s="111"/>
      <c r="D26" s="109"/>
      <c r="E26" s="110"/>
      <c r="F26" s="9"/>
      <c r="G26" s="10"/>
      <c r="H26" s="10"/>
      <c r="I26" s="10"/>
      <c r="J26" s="10"/>
      <c r="K26" s="118"/>
      <c r="L26" s="123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1"/>
      <c r="B27" s="11"/>
      <c r="C27" s="108"/>
      <c r="D27" s="109"/>
      <c r="E27" s="110"/>
      <c r="F27" s="9"/>
      <c r="G27" s="10"/>
      <c r="H27" s="10"/>
      <c r="I27" s="10"/>
      <c r="J27" s="10"/>
      <c r="K27" s="118"/>
      <c r="L27" s="123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1"/>
      <c r="B28" s="8"/>
      <c r="C28" s="111"/>
      <c r="D28" s="109"/>
      <c r="E28" s="110"/>
      <c r="F28" s="9"/>
      <c r="G28" s="10"/>
      <c r="H28" s="10"/>
      <c r="I28" s="10"/>
      <c r="J28" s="10"/>
      <c r="K28" s="118"/>
      <c r="L28" s="123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/>
      <c r="B29" s="12"/>
      <c r="C29" s="111"/>
      <c r="D29" s="109"/>
      <c r="E29" s="110"/>
      <c r="F29" s="9"/>
      <c r="G29" s="10"/>
      <c r="H29" s="10"/>
      <c r="I29" s="10"/>
      <c r="J29" s="10"/>
      <c r="K29" s="118"/>
      <c r="L29" s="123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/>
      <c r="B30" s="112" t="s">
        <v>23</v>
      </c>
      <c r="C30" s="113"/>
      <c r="D30" s="113"/>
      <c r="E30" s="113"/>
      <c r="F30" s="113"/>
      <c r="G30" s="113"/>
      <c r="H30" s="113"/>
      <c r="I30" s="114"/>
      <c r="J30" s="124"/>
      <c r="K30" s="113"/>
      <c r="L30" s="125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1"/>
      <c r="B31" s="115" t="s">
        <v>24</v>
      </c>
      <c r="C31" s="116"/>
      <c r="D31" s="116"/>
      <c r="E31" s="116"/>
      <c r="F31" s="116"/>
      <c r="G31" s="116"/>
      <c r="H31" s="116"/>
      <c r="I31" s="117"/>
      <c r="J31" s="126"/>
      <c r="K31" s="116"/>
      <c r="L31" s="127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30" customHeight="1">
      <c r="A32" s="1"/>
      <c r="B32" s="160" t="s">
        <v>25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2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57" customHeight="1">
      <c r="A33" s="1"/>
      <c r="B33" s="163" t="s">
        <v>26</v>
      </c>
      <c r="C33" s="113"/>
      <c r="D33" s="113"/>
      <c r="E33" s="164"/>
      <c r="F33" s="165" t="s">
        <v>26</v>
      </c>
      <c r="G33" s="113"/>
      <c r="H33" s="113"/>
      <c r="I33" s="113"/>
      <c r="J33" s="113"/>
      <c r="K33" s="113"/>
      <c r="L33" s="125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66" t="s">
        <v>27</v>
      </c>
      <c r="C34" s="167"/>
      <c r="D34" s="167"/>
      <c r="E34" s="168"/>
      <c r="F34" s="169" t="s">
        <v>28</v>
      </c>
      <c r="G34" s="167"/>
      <c r="H34" s="167"/>
      <c r="I34" s="167"/>
      <c r="J34" s="167"/>
      <c r="K34" s="167"/>
      <c r="L34" s="170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2.5" customHeight="1">
      <c r="A35" s="1"/>
      <c r="B35" s="171" t="s">
        <v>29</v>
      </c>
      <c r="C35" s="138"/>
      <c r="D35" s="138"/>
      <c r="E35" s="138"/>
      <c r="F35" s="171" t="s">
        <v>30</v>
      </c>
      <c r="G35" s="138"/>
      <c r="H35" s="138"/>
      <c r="I35" s="138"/>
      <c r="J35" s="138"/>
      <c r="K35" s="138"/>
      <c r="L35" s="138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72" t="s">
        <v>31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4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43.5" customHeight="1">
      <c r="A37" s="1"/>
      <c r="B37" s="13" t="s">
        <v>32</v>
      </c>
      <c r="C37" s="175"/>
      <c r="D37" s="176"/>
      <c r="E37" s="176"/>
      <c r="F37" s="176"/>
      <c r="G37" s="176"/>
      <c r="H37" s="176"/>
      <c r="I37" s="176"/>
      <c r="J37" s="176"/>
      <c r="K37" s="176"/>
      <c r="L37" s="177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43.5" customHeight="1">
      <c r="A38" s="1"/>
      <c r="B38" s="14" t="s">
        <v>33</v>
      </c>
      <c r="C38" s="175"/>
      <c r="D38" s="176"/>
      <c r="E38" s="176"/>
      <c r="F38" s="176"/>
      <c r="G38" s="176"/>
      <c r="H38" s="176"/>
      <c r="I38" s="176"/>
      <c r="J38" s="176"/>
      <c r="K38" s="176"/>
      <c r="L38" s="177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78" customHeight="1">
      <c r="A39" s="1"/>
      <c r="B39" s="15" t="s">
        <v>34</v>
      </c>
      <c r="C39" s="178"/>
      <c r="D39" s="179"/>
      <c r="E39" s="179"/>
      <c r="F39" s="179"/>
      <c r="G39" s="179"/>
      <c r="H39" s="179"/>
      <c r="I39" s="179"/>
      <c r="J39" s="179"/>
      <c r="K39" s="179"/>
      <c r="L39" s="180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32.25" customHeight="1">
      <c r="A40" s="1"/>
      <c r="B40" s="181" t="s">
        <v>35</v>
      </c>
      <c r="C40" s="182"/>
      <c r="D40" s="182"/>
      <c r="E40" s="183"/>
      <c r="F40" s="184" t="s">
        <v>36</v>
      </c>
      <c r="G40" s="182"/>
      <c r="H40" s="182"/>
      <c r="I40" s="182"/>
      <c r="J40" s="182"/>
      <c r="K40" s="182"/>
      <c r="L40" s="185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47.25" customHeight="1">
      <c r="A41" s="1"/>
      <c r="B41" s="155" t="s">
        <v>37</v>
      </c>
      <c r="C41" s="156"/>
      <c r="D41" s="156"/>
      <c r="E41" s="157"/>
      <c r="F41" s="158" t="s">
        <v>38</v>
      </c>
      <c r="G41" s="156"/>
      <c r="H41" s="156"/>
      <c r="I41" s="156"/>
      <c r="J41" s="156"/>
      <c r="K41" s="156"/>
      <c r="L41" s="159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hidden="1" customHeight="1">
      <c r="A44" s="1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hidden="1" customHeight="1">
      <c r="A45" s="1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hidden="1" customHeight="1">
      <c r="A46" s="1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hidden="1" customHeight="1">
      <c r="A47" s="1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hidden="1" customHeight="1">
      <c r="A48" s="1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/>
    <row r="243" spans="1:22" ht="15.75" customHeight="1"/>
    <row r="244" spans="1:22" ht="15.75" customHeight="1"/>
    <row r="245" spans="1:22" ht="15.75" customHeight="1"/>
    <row r="246" spans="1:22" ht="15.75" customHeight="1"/>
    <row r="247" spans="1:22" ht="15.75" customHeight="1"/>
    <row r="248" spans="1:22" ht="15.75" customHeight="1"/>
    <row r="249" spans="1:22" ht="15.75" customHeight="1"/>
    <row r="250" spans="1:22" ht="15.75" customHeight="1"/>
    <row r="251" spans="1:22" ht="15.75" customHeight="1"/>
    <row r="252" spans="1:22" ht="15.75" customHeight="1"/>
    <row r="253" spans="1:22" ht="15.75" customHeight="1"/>
    <row r="254" spans="1:22" ht="15.75" customHeight="1"/>
    <row r="255" spans="1:22" ht="15.75" customHeight="1"/>
    <row r="256" spans="1:2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B41:E41"/>
    <mergeCell ref="F41:L41"/>
    <mergeCell ref="B32:L32"/>
    <mergeCell ref="B33:E33"/>
    <mergeCell ref="F33:L33"/>
    <mergeCell ref="B34:E34"/>
    <mergeCell ref="F34:L34"/>
    <mergeCell ref="B35:E35"/>
    <mergeCell ref="F35:L35"/>
    <mergeCell ref="B36:L36"/>
    <mergeCell ref="C37:L37"/>
    <mergeCell ref="C38:L38"/>
    <mergeCell ref="C39:L39"/>
    <mergeCell ref="B40:E40"/>
    <mergeCell ref="F40:L40"/>
    <mergeCell ref="G11:L11"/>
    <mergeCell ref="G12:L12"/>
    <mergeCell ref="B2:L2"/>
    <mergeCell ref="B4:L4"/>
    <mergeCell ref="B6:L6"/>
    <mergeCell ref="B7:L7"/>
    <mergeCell ref="B8:K8"/>
    <mergeCell ref="B10:L10"/>
    <mergeCell ref="B12:C12"/>
    <mergeCell ref="B13:C13"/>
    <mergeCell ref="H13:L13"/>
    <mergeCell ref="I14:L14"/>
    <mergeCell ref="B16:L16"/>
    <mergeCell ref="B17:E17"/>
    <mergeCell ref="F17:L17"/>
    <mergeCell ref="B18:B19"/>
    <mergeCell ref="C18:E19"/>
    <mergeCell ref="F18:F19"/>
    <mergeCell ref="C20:E20"/>
    <mergeCell ref="C21:E21"/>
    <mergeCell ref="C22:E22"/>
    <mergeCell ref="C23:E23"/>
    <mergeCell ref="C24:E24"/>
    <mergeCell ref="K25:L25"/>
    <mergeCell ref="K26:L26"/>
    <mergeCell ref="K23:L23"/>
    <mergeCell ref="K24:L24"/>
    <mergeCell ref="C25:E25"/>
    <mergeCell ref="C26:E26"/>
    <mergeCell ref="K27:L27"/>
    <mergeCell ref="K28:L28"/>
    <mergeCell ref="K29:L29"/>
    <mergeCell ref="J30:L30"/>
    <mergeCell ref="J31:L31"/>
    <mergeCell ref="G18:J18"/>
    <mergeCell ref="K18:L19"/>
    <mergeCell ref="K20:L20"/>
    <mergeCell ref="K21:L21"/>
    <mergeCell ref="K22:L22"/>
    <mergeCell ref="C27:E27"/>
    <mergeCell ref="C28:E28"/>
    <mergeCell ref="C29:E29"/>
    <mergeCell ref="B30:I30"/>
    <mergeCell ref="B31:I3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4E73-202B-44DF-A05D-339AC9D011F6}">
  <sheetPr>
    <outlinePr summaryBelow="0" summaryRight="0"/>
    <pageSetUpPr fitToPage="1"/>
  </sheetPr>
  <dimension ref="A1:M1109"/>
  <sheetViews>
    <sheetView showGridLines="0" view="pageBreakPreview" topLeftCell="A94" zoomScaleNormal="100" zoomScaleSheetLayoutView="100" workbookViewId="0">
      <selection activeCell="B3" sqref="B3:L3"/>
    </sheetView>
  </sheetViews>
  <sheetFormatPr defaultColWidth="12.5703125" defaultRowHeight="15" customHeight="1"/>
  <cols>
    <col min="1" max="1" width="2.5703125" style="38" customWidth="1"/>
    <col min="2" max="2" width="26" style="38" customWidth="1"/>
    <col min="3" max="3" width="34.7109375" style="38" customWidth="1"/>
    <col min="4" max="4" width="26" style="38" customWidth="1"/>
    <col min="5" max="5" width="28.85546875" style="38" customWidth="1"/>
    <col min="6" max="6" width="21" style="38" customWidth="1"/>
    <col min="7" max="7" width="19.42578125" style="38" customWidth="1"/>
    <col min="8" max="8" width="23.42578125" style="38" customWidth="1"/>
    <col min="9" max="9" width="15.42578125" style="38" customWidth="1"/>
    <col min="10" max="10" width="4" style="38" customWidth="1"/>
    <col min="11" max="16384" width="12.5703125" style="38"/>
  </cols>
  <sheetData>
    <row r="1" spans="1:10" ht="15.75" customHeight="1">
      <c r="A1" s="36"/>
      <c r="B1" s="198" t="s">
        <v>111</v>
      </c>
      <c r="C1" s="199"/>
      <c r="D1" s="199"/>
      <c r="E1" s="199"/>
      <c r="F1" s="199"/>
      <c r="G1" s="199"/>
      <c r="H1" s="199"/>
      <c r="I1" s="200"/>
      <c r="J1" s="37"/>
    </row>
    <row r="2" spans="1:10" ht="15.75" customHeight="1">
      <c r="A2" s="36"/>
      <c r="B2" s="36"/>
      <c r="C2" s="36"/>
      <c r="D2" s="36"/>
      <c r="E2" s="36"/>
      <c r="F2" s="36"/>
      <c r="G2" s="36"/>
      <c r="H2" s="36"/>
      <c r="I2" s="36"/>
      <c r="J2" s="37"/>
    </row>
    <row r="3" spans="1:10" ht="15.75" customHeight="1">
      <c r="A3" s="36"/>
      <c r="B3" s="201" t="s">
        <v>1</v>
      </c>
      <c r="C3" s="199"/>
      <c r="D3" s="199"/>
      <c r="E3" s="199"/>
      <c r="F3" s="199"/>
      <c r="G3" s="199"/>
      <c r="H3" s="199"/>
      <c r="I3" s="200"/>
      <c r="J3" s="37"/>
    </row>
    <row r="4" spans="1:10" ht="15.75" customHeight="1">
      <c r="A4" s="36"/>
      <c r="B4" s="202" t="s">
        <v>305</v>
      </c>
      <c r="C4" s="199"/>
      <c r="D4" s="199"/>
      <c r="E4" s="199"/>
      <c r="F4" s="199"/>
      <c r="G4" s="199"/>
      <c r="H4" s="199"/>
      <c r="I4" s="200"/>
      <c r="J4" s="37"/>
    </row>
    <row r="5" spans="1:10" ht="15.75" customHeight="1">
      <c r="A5" s="36"/>
      <c r="B5" s="203" t="s">
        <v>112</v>
      </c>
      <c r="C5" s="199"/>
      <c r="D5" s="199"/>
      <c r="E5" s="199"/>
      <c r="F5" s="199"/>
      <c r="G5" s="199"/>
      <c r="H5" s="199"/>
      <c r="I5" s="200"/>
      <c r="J5" s="37"/>
    </row>
    <row r="6" spans="1:10" ht="15.75" customHeight="1">
      <c r="A6" s="36"/>
      <c r="B6" s="39"/>
      <c r="C6" s="39"/>
      <c r="D6" s="39"/>
      <c r="E6" s="39"/>
      <c r="F6" s="39"/>
      <c r="G6" s="39"/>
      <c r="H6" s="39"/>
      <c r="I6" s="39"/>
      <c r="J6" s="37"/>
    </row>
    <row r="7" spans="1:10" ht="15.75" customHeight="1" thickBot="1">
      <c r="A7" s="36"/>
      <c r="B7" s="39"/>
      <c r="C7" s="39"/>
      <c r="D7" s="39"/>
      <c r="E7" s="39"/>
      <c r="F7" s="39"/>
      <c r="G7" s="39"/>
      <c r="H7" s="39"/>
      <c r="I7" s="39"/>
      <c r="J7" s="37"/>
    </row>
    <row r="8" spans="1:10" ht="15.75" customHeight="1">
      <c r="A8" s="36"/>
      <c r="B8" s="204" t="s">
        <v>113</v>
      </c>
      <c r="C8" s="205"/>
      <c r="D8" s="205"/>
      <c r="E8" s="205"/>
      <c r="F8" s="205"/>
      <c r="G8" s="205"/>
      <c r="H8" s="205"/>
      <c r="I8" s="206"/>
      <c r="J8" s="37"/>
    </row>
    <row r="9" spans="1:10" ht="15.75" customHeight="1">
      <c r="A9" s="36"/>
      <c r="B9" s="40"/>
      <c r="C9" s="41"/>
      <c r="D9" s="42"/>
      <c r="E9" s="42"/>
      <c r="F9" s="42"/>
      <c r="G9" s="36"/>
      <c r="H9" s="41"/>
      <c r="I9" s="43"/>
      <c r="J9" s="37"/>
    </row>
    <row r="10" spans="1:10" ht="15.75" customHeight="1">
      <c r="A10" s="36"/>
      <c r="B10" s="40"/>
      <c r="C10" s="41"/>
      <c r="D10" s="42"/>
      <c r="E10" s="42"/>
      <c r="F10" s="42"/>
      <c r="G10" s="36"/>
      <c r="H10" s="41"/>
      <c r="I10" s="43"/>
      <c r="J10" s="37"/>
    </row>
    <row r="11" spans="1:10" s="84" customFormat="1" ht="15.75" customHeight="1">
      <c r="A11" s="36"/>
      <c r="B11" s="40"/>
      <c r="C11" s="41"/>
      <c r="D11" s="42"/>
      <c r="E11" s="42"/>
      <c r="F11" s="42"/>
      <c r="G11" s="36"/>
      <c r="H11" s="41"/>
      <c r="I11" s="43"/>
      <c r="J11" s="37"/>
    </row>
    <row r="12" spans="1:10" s="84" customFormat="1" ht="15.75" customHeight="1">
      <c r="A12" s="36"/>
      <c r="B12" s="40"/>
      <c r="C12" s="41"/>
      <c r="D12" s="42"/>
      <c r="E12" s="42"/>
      <c r="F12" s="42"/>
      <c r="G12" s="87" t="s">
        <v>52</v>
      </c>
      <c r="H12" s="88"/>
      <c r="I12" s="89"/>
      <c r="J12" s="37"/>
    </row>
    <row r="13" spans="1:10" ht="15.75" customHeight="1">
      <c r="A13" s="36"/>
      <c r="B13" s="40"/>
      <c r="C13" s="41"/>
      <c r="D13" s="42"/>
      <c r="E13" s="36"/>
      <c r="F13" s="36"/>
      <c r="G13" s="186" t="s">
        <v>306</v>
      </c>
      <c r="H13" s="187"/>
      <c r="I13" s="188"/>
      <c r="J13" s="37"/>
    </row>
    <row r="14" spans="1:10" ht="15.75" customHeight="1" thickBot="1">
      <c r="A14" s="36"/>
      <c r="B14" s="44"/>
      <c r="C14" s="45"/>
      <c r="D14" s="46"/>
      <c r="E14" s="47"/>
      <c r="F14" s="47"/>
      <c r="G14" s="48" t="s">
        <v>7</v>
      </c>
      <c r="H14" s="189">
        <v>45474</v>
      </c>
      <c r="I14" s="190"/>
      <c r="J14" s="37"/>
    </row>
    <row r="15" spans="1:10" ht="15.75" customHeight="1">
      <c r="A15" s="49"/>
      <c r="B15" s="50" t="s">
        <v>114</v>
      </c>
      <c r="C15" s="191" t="s">
        <v>115</v>
      </c>
      <c r="D15" s="193" t="s">
        <v>116</v>
      </c>
      <c r="E15" s="194"/>
      <c r="F15" s="195"/>
      <c r="G15" s="51"/>
      <c r="H15" s="191" t="s">
        <v>117</v>
      </c>
      <c r="I15" s="196" t="s">
        <v>118</v>
      </c>
      <c r="J15" s="37"/>
    </row>
    <row r="16" spans="1:10" ht="15.75" customHeight="1">
      <c r="A16" s="49"/>
      <c r="B16" s="52" t="s">
        <v>119</v>
      </c>
      <c r="C16" s="192"/>
      <c r="D16" s="53" t="s">
        <v>120</v>
      </c>
      <c r="E16" s="53" t="s">
        <v>121</v>
      </c>
      <c r="F16" s="53" t="s">
        <v>122</v>
      </c>
      <c r="G16" s="54" t="s">
        <v>123</v>
      </c>
      <c r="H16" s="192"/>
      <c r="I16" s="197"/>
      <c r="J16" s="37"/>
    </row>
    <row r="17" spans="1:13" ht="15.75" customHeight="1">
      <c r="A17" s="49"/>
      <c r="B17" s="55" t="s">
        <v>8</v>
      </c>
      <c r="C17" s="56"/>
      <c r="D17" s="56"/>
      <c r="E17" s="56"/>
      <c r="F17" s="56"/>
      <c r="G17" s="56"/>
      <c r="H17" s="56"/>
      <c r="I17" s="57"/>
      <c r="J17" s="37"/>
    </row>
    <row r="18" spans="1:13" ht="15.75" customHeight="1">
      <c r="A18" s="49"/>
      <c r="B18" s="58" t="s">
        <v>124</v>
      </c>
      <c r="C18" s="59"/>
      <c r="D18" s="59"/>
      <c r="E18" s="59"/>
      <c r="F18" s="59"/>
      <c r="G18" s="59"/>
      <c r="H18" s="59"/>
      <c r="I18" s="60"/>
      <c r="J18" s="37"/>
    </row>
    <row r="19" spans="1:13" ht="89.25">
      <c r="A19" s="49"/>
      <c r="B19" s="207" t="s">
        <v>89</v>
      </c>
      <c r="C19" s="210" t="s">
        <v>69</v>
      </c>
      <c r="D19" s="67" t="s">
        <v>178</v>
      </c>
      <c r="E19" s="67" t="s">
        <v>179</v>
      </c>
      <c r="F19" s="85" t="s">
        <v>168</v>
      </c>
      <c r="G19" s="213" t="s">
        <v>125</v>
      </c>
      <c r="H19" s="210" t="s">
        <v>131</v>
      </c>
      <c r="I19" s="214"/>
      <c r="J19" s="86"/>
    </row>
    <row r="20" spans="1:13" ht="89.25">
      <c r="A20" s="49"/>
      <c r="B20" s="208"/>
      <c r="C20" s="211"/>
      <c r="D20" s="67" t="s">
        <v>180</v>
      </c>
      <c r="E20" s="67" t="s">
        <v>181</v>
      </c>
      <c r="F20" s="85" t="s">
        <v>169</v>
      </c>
      <c r="G20" s="211"/>
      <c r="H20" s="211"/>
      <c r="I20" s="215"/>
      <c r="J20" s="86"/>
      <c r="K20" s="80"/>
      <c r="L20" s="80"/>
    </row>
    <row r="21" spans="1:13" ht="89.25">
      <c r="A21" s="49"/>
      <c r="B21" s="208"/>
      <c r="C21" s="211"/>
      <c r="D21" s="67" t="s">
        <v>182</v>
      </c>
      <c r="E21" s="67" t="s">
        <v>183</v>
      </c>
      <c r="F21" s="85" t="s">
        <v>170</v>
      </c>
      <c r="G21" s="211"/>
      <c r="H21" s="211"/>
      <c r="I21" s="215"/>
      <c r="J21" s="86"/>
      <c r="K21" s="80"/>
      <c r="L21" s="80"/>
    </row>
    <row r="22" spans="1:13" ht="89.25">
      <c r="A22" s="49"/>
      <c r="B22" s="208"/>
      <c r="C22" s="211"/>
      <c r="D22" s="67" t="s">
        <v>184</v>
      </c>
      <c r="E22" s="67" t="s">
        <v>185</v>
      </c>
      <c r="F22" s="85" t="s">
        <v>171</v>
      </c>
      <c r="G22" s="211"/>
      <c r="H22" s="211"/>
      <c r="I22" s="215"/>
      <c r="J22" s="86"/>
      <c r="K22" s="80"/>
      <c r="L22" s="80"/>
    </row>
    <row r="23" spans="1:13" ht="102">
      <c r="A23" s="49"/>
      <c r="B23" s="209"/>
      <c r="C23" s="212"/>
      <c r="D23" s="67" t="s">
        <v>186</v>
      </c>
      <c r="E23" s="67" t="s">
        <v>187</v>
      </c>
      <c r="F23" s="85" t="s">
        <v>172</v>
      </c>
      <c r="G23" s="212"/>
      <c r="H23" s="212"/>
      <c r="I23" s="197"/>
      <c r="J23" s="86"/>
      <c r="K23" s="80"/>
      <c r="L23" s="80"/>
    </row>
    <row r="24" spans="1:13" ht="63.75">
      <c r="A24" s="49"/>
      <c r="B24" s="207" t="s">
        <v>90</v>
      </c>
      <c r="C24" s="210" t="s">
        <v>70</v>
      </c>
      <c r="D24" s="67" t="s">
        <v>188</v>
      </c>
      <c r="E24" s="67" t="s">
        <v>189</v>
      </c>
      <c r="F24" s="67" t="s">
        <v>190</v>
      </c>
      <c r="G24" s="213" t="s">
        <v>125</v>
      </c>
      <c r="H24" s="210" t="s">
        <v>132</v>
      </c>
      <c r="I24" s="214"/>
      <c r="J24" s="86"/>
      <c r="K24" s="80"/>
      <c r="L24" s="80"/>
    </row>
    <row r="25" spans="1:13" ht="63.75">
      <c r="A25" s="49"/>
      <c r="B25" s="208"/>
      <c r="C25" s="211"/>
      <c r="D25" s="67" t="s">
        <v>191</v>
      </c>
      <c r="E25" s="67" t="s">
        <v>192</v>
      </c>
      <c r="F25" s="67" t="s">
        <v>193</v>
      </c>
      <c r="G25" s="211"/>
      <c r="H25" s="211"/>
      <c r="I25" s="215"/>
      <c r="J25" s="86"/>
      <c r="K25" s="80"/>
      <c r="L25" s="80"/>
      <c r="M25" s="80"/>
    </row>
    <row r="26" spans="1:13" ht="63.75">
      <c r="A26" s="49"/>
      <c r="B26" s="208"/>
      <c r="C26" s="211"/>
      <c r="D26" s="67" t="s">
        <v>194</v>
      </c>
      <c r="E26" s="67" t="s">
        <v>195</v>
      </c>
      <c r="F26" s="67" t="s">
        <v>196</v>
      </c>
      <c r="G26" s="211"/>
      <c r="H26" s="211"/>
      <c r="I26" s="215"/>
      <c r="J26" s="86"/>
      <c r="K26" s="80"/>
      <c r="L26" s="80"/>
      <c r="M26" s="80"/>
    </row>
    <row r="27" spans="1:13" ht="63.75">
      <c r="A27" s="49"/>
      <c r="B27" s="208"/>
      <c r="C27" s="211"/>
      <c r="D27" s="67" t="s">
        <v>197</v>
      </c>
      <c r="E27" s="67" t="s">
        <v>198</v>
      </c>
      <c r="F27" s="67" t="s">
        <v>199</v>
      </c>
      <c r="G27" s="211"/>
      <c r="H27" s="211"/>
      <c r="I27" s="215"/>
      <c r="J27" s="86"/>
      <c r="K27" s="80"/>
      <c r="L27" s="80"/>
      <c r="M27" s="80"/>
    </row>
    <row r="28" spans="1:13" ht="63.75">
      <c r="A28" s="49"/>
      <c r="B28" s="209"/>
      <c r="C28" s="212"/>
      <c r="D28" s="67" t="s">
        <v>200</v>
      </c>
      <c r="E28" s="67" t="s">
        <v>201</v>
      </c>
      <c r="F28" s="67" t="s">
        <v>202</v>
      </c>
      <c r="G28" s="212"/>
      <c r="H28" s="212"/>
      <c r="I28" s="197"/>
      <c r="J28" s="86"/>
      <c r="K28" s="80"/>
      <c r="L28" s="80"/>
      <c r="M28" s="80"/>
    </row>
    <row r="29" spans="1:13" ht="38.25">
      <c r="A29" s="49"/>
      <c r="B29" s="216" t="s">
        <v>91</v>
      </c>
      <c r="C29" s="210" t="s">
        <v>133</v>
      </c>
      <c r="D29" s="67" t="s">
        <v>203</v>
      </c>
      <c r="E29" s="69" t="s">
        <v>204</v>
      </c>
      <c r="F29" s="67" t="s">
        <v>205</v>
      </c>
      <c r="G29" s="213" t="s">
        <v>125</v>
      </c>
      <c r="H29" s="217" t="s">
        <v>134</v>
      </c>
      <c r="I29" s="218"/>
      <c r="J29" s="86"/>
      <c r="K29" s="80"/>
      <c r="L29" s="80"/>
      <c r="M29" s="80"/>
    </row>
    <row r="30" spans="1:13" ht="38.25">
      <c r="A30" s="49"/>
      <c r="B30" s="208"/>
      <c r="C30" s="211"/>
      <c r="D30" s="67" t="s">
        <v>206</v>
      </c>
      <c r="E30" s="69" t="s">
        <v>207</v>
      </c>
      <c r="F30" s="67" t="s">
        <v>208</v>
      </c>
      <c r="G30" s="211"/>
      <c r="H30" s="211"/>
      <c r="I30" s="215"/>
      <c r="J30" s="86"/>
      <c r="K30" s="80"/>
      <c r="L30" s="80"/>
      <c r="M30" s="80"/>
    </row>
    <row r="31" spans="1:13" ht="38.25">
      <c r="A31" s="49"/>
      <c r="B31" s="208"/>
      <c r="C31" s="211"/>
      <c r="D31" s="67" t="s">
        <v>209</v>
      </c>
      <c r="E31" s="69" t="s">
        <v>210</v>
      </c>
      <c r="F31" s="67" t="s">
        <v>211</v>
      </c>
      <c r="G31" s="211"/>
      <c r="H31" s="211"/>
      <c r="I31" s="215"/>
      <c r="J31" s="86"/>
      <c r="K31" s="80"/>
      <c r="L31" s="80"/>
      <c r="M31" s="80"/>
    </row>
    <row r="32" spans="1:13" ht="38.25">
      <c r="A32" s="49"/>
      <c r="B32" s="208"/>
      <c r="C32" s="211"/>
      <c r="D32" s="67" t="s">
        <v>212</v>
      </c>
      <c r="E32" s="69" t="s">
        <v>213</v>
      </c>
      <c r="F32" s="67" t="s">
        <v>214</v>
      </c>
      <c r="G32" s="211"/>
      <c r="H32" s="211"/>
      <c r="I32" s="215"/>
      <c r="J32" s="86"/>
      <c r="K32" s="80"/>
      <c r="L32" s="80"/>
      <c r="M32" s="80"/>
    </row>
    <row r="33" spans="1:13" ht="51">
      <c r="A33" s="49"/>
      <c r="B33" s="209"/>
      <c r="C33" s="212"/>
      <c r="D33" s="67" t="s">
        <v>215</v>
      </c>
      <c r="E33" s="69" t="s">
        <v>216</v>
      </c>
      <c r="F33" s="67" t="s">
        <v>217</v>
      </c>
      <c r="G33" s="212"/>
      <c r="H33" s="212"/>
      <c r="I33" s="197"/>
      <c r="J33" s="86"/>
      <c r="K33" s="80"/>
      <c r="L33" s="80"/>
      <c r="M33" s="80"/>
    </row>
    <row r="34" spans="1:13" ht="15.75" customHeight="1">
      <c r="A34" s="49"/>
      <c r="B34" s="74" t="s">
        <v>126</v>
      </c>
      <c r="C34" s="75"/>
      <c r="D34" s="75"/>
      <c r="E34" s="75"/>
      <c r="F34" s="75"/>
      <c r="G34" s="75"/>
      <c r="H34" s="75"/>
      <c r="I34" s="66"/>
      <c r="J34" s="37"/>
    </row>
    <row r="35" spans="1:13" ht="51">
      <c r="A35" s="49"/>
      <c r="B35" s="216" t="s">
        <v>81</v>
      </c>
      <c r="C35" s="210" t="s">
        <v>54</v>
      </c>
      <c r="D35" s="67" t="s">
        <v>218</v>
      </c>
      <c r="E35" s="69" t="s">
        <v>219</v>
      </c>
      <c r="F35" s="69" t="s">
        <v>220</v>
      </c>
      <c r="G35" s="213" t="s">
        <v>137</v>
      </c>
      <c r="H35" s="217" t="s">
        <v>138</v>
      </c>
      <c r="I35" s="218"/>
      <c r="J35" s="86"/>
      <c r="K35" s="80"/>
      <c r="L35" s="80"/>
      <c r="M35" s="80"/>
    </row>
    <row r="36" spans="1:13" ht="51">
      <c r="A36" s="49"/>
      <c r="B36" s="208"/>
      <c r="C36" s="211"/>
      <c r="D36" s="67" t="s">
        <v>221</v>
      </c>
      <c r="E36" s="69" t="s">
        <v>222</v>
      </c>
      <c r="F36" s="67" t="s">
        <v>223</v>
      </c>
      <c r="G36" s="211"/>
      <c r="H36" s="211"/>
      <c r="I36" s="215"/>
      <c r="J36" s="86"/>
      <c r="K36" s="80"/>
      <c r="L36" s="80"/>
      <c r="M36" s="80"/>
    </row>
    <row r="37" spans="1:13" ht="25.5">
      <c r="A37" s="49"/>
      <c r="B37" s="208"/>
      <c r="C37" s="211"/>
      <c r="D37" s="67" t="s">
        <v>224</v>
      </c>
      <c r="E37" s="69" t="s">
        <v>175</v>
      </c>
      <c r="F37" s="67" t="s">
        <v>225</v>
      </c>
      <c r="G37" s="211"/>
      <c r="H37" s="211"/>
      <c r="I37" s="215"/>
      <c r="J37" s="86"/>
      <c r="K37" s="80"/>
      <c r="L37" s="80"/>
      <c r="M37" s="80"/>
    </row>
    <row r="38" spans="1:13" ht="25.5">
      <c r="A38" s="49"/>
      <c r="B38" s="208"/>
      <c r="C38" s="211"/>
      <c r="D38" s="67" t="s">
        <v>176</v>
      </c>
      <c r="E38" s="69" t="s">
        <v>176</v>
      </c>
      <c r="F38" s="67" t="s">
        <v>226</v>
      </c>
      <c r="G38" s="211"/>
      <c r="H38" s="211"/>
      <c r="I38" s="215"/>
      <c r="J38" s="86"/>
      <c r="K38" s="80"/>
      <c r="L38" s="80"/>
      <c r="M38" s="80"/>
    </row>
    <row r="39" spans="1:13" ht="38.25">
      <c r="A39" s="49"/>
      <c r="B39" s="209"/>
      <c r="C39" s="212"/>
      <c r="D39" s="67" t="s">
        <v>227</v>
      </c>
      <c r="E39" s="69" t="s">
        <v>228</v>
      </c>
      <c r="F39" s="67" t="s">
        <v>229</v>
      </c>
      <c r="G39" s="212"/>
      <c r="H39" s="212"/>
      <c r="I39" s="197"/>
      <c r="J39" s="86"/>
      <c r="K39" s="80"/>
      <c r="L39" s="80"/>
      <c r="M39" s="80"/>
    </row>
    <row r="40" spans="1:13" ht="51">
      <c r="A40" s="49"/>
      <c r="B40" s="216" t="s">
        <v>82</v>
      </c>
      <c r="C40" s="210" t="s">
        <v>55</v>
      </c>
      <c r="D40" s="67" t="s">
        <v>230</v>
      </c>
      <c r="E40" s="69" t="s">
        <v>231</v>
      </c>
      <c r="F40" s="69" t="s">
        <v>205</v>
      </c>
      <c r="G40" s="213" t="s">
        <v>137</v>
      </c>
      <c r="H40" s="217" t="s">
        <v>139</v>
      </c>
      <c r="I40" s="218"/>
      <c r="J40" s="86"/>
      <c r="K40" s="80"/>
      <c r="L40" s="80"/>
      <c r="M40" s="80"/>
    </row>
    <row r="41" spans="1:13" ht="25.5">
      <c r="A41" s="49"/>
      <c r="B41" s="208"/>
      <c r="C41" s="211"/>
      <c r="D41" s="67" t="s">
        <v>174</v>
      </c>
      <c r="E41" s="69" t="s">
        <v>232</v>
      </c>
      <c r="F41" s="76" t="s">
        <v>208</v>
      </c>
      <c r="G41" s="211"/>
      <c r="H41" s="211"/>
      <c r="I41" s="215"/>
      <c r="J41" s="86"/>
      <c r="K41" s="80"/>
      <c r="L41" s="80"/>
      <c r="M41" s="80"/>
    </row>
    <row r="42" spans="1:13" ht="25.5">
      <c r="A42" s="49"/>
      <c r="B42" s="208"/>
      <c r="C42" s="211"/>
      <c r="D42" s="67" t="s">
        <v>175</v>
      </c>
      <c r="E42" s="69" t="s">
        <v>233</v>
      </c>
      <c r="F42" s="76" t="s">
        <v>211</v>
      </c>
      <c r="G42" s="211"/>
      <c r="H42" s="211"/>
      <c r="I42" s="215"/>
      <c r="J42" s="86"/>
      <c r="K42" s="80"/>
      <c r="L42" s="80"/>
      <c r="M42" s="80"/>
    </row>
    <row r="43" spans="1:13" ht="25.5">
      <c r="A43" s="49"/>
      <c r="B43" s="208"/>
      <c r="C43" s="211"/>
      <c r="D43" s="67" t="s">
        <v>176</v>
      </c>
      <c r="E43" s="69" t="s">
        <v>234</v>
      </c>
      <c r="F43" s="76" t="s">
        <v>214</v>
      </c>
      <c r="G43" s="211"/>
      <c r="H43" s="211"/>
      <c r="I43" s="215"/>
      <c r="J43" s="86"/>
      <c r="K43" s="80"/>
      <c r="L43" s="80"/>
      <c r="M43" s="80"/>
    </row>
    <row r="44" spans="1:13" ht="12.75">
      <c r="A44" s="49"/>
      <c r="B44" s="209"/>
      <c r="C44" s="212"/>
      <c r="D44" s="67" t="s">
        <v>177</v>
      </c>
      <c r="E44" s="69" t="s">
        <v>235</v>
      </c>
      <c r="F44" s="76" t="s">
        <v>217</v>
      </c>
      <c r="G44" s="212"/>
      <c r="H44" s="212"/>
      <c r="I44" s="197"/>
      <c r="J44" s="86"/>
      <c r="K44" s="80"/>
      <c r="L44" s="80"/>
      <c r="M44" s="80"/>
    </row>
    <row r="45" spans="1:13" ht="25.5">
      <c r="A45" s="49"/>
      <c r="B45" s="216" t="s">
        <v>83</v>
      </c>
      <c r="C45" s="210" t="s">
        <v>56</v>
      </c>
      <c r="D45" s="67" t="s">
        <v>230</v>
      </c>
      <c r="E45" s="69" t="s">
        <v>236</v>
      </c>
      <c r="F45" s="76" t="s">
        <v>237</v>
      </c>
      <c r="G45" s="213" t="s">
        <v>125</v>
      </c>
      <c r="H45" s="217" t="s">
        <v>140</v>
      </c>
      <c r="I45" s="218"/>
      <c r="J45" s="86"/>
      <c r="K45" s="80"/>
      <c r="L45" s="80"/>
      <c r="M45" s="80"/>
    </row>
    <row r="46" spans="1:13" ht="25.5">
      <c r="A46" s="49"/>
      <c r="B46" s="208"/>
      <c r="C46" s="211"/>
      <c r="D46" s="67" t="s">
        <v>238</v>
      </c>
      <c r="E46" s="69" t="s">
        <v>239</v>
      </c>
      <c r="F46" s="67" t="s">
        <v>223</v>
      </c>
      <c r="G46" s="211"/>
      <c r="H46" s="211"/>
      <c r="I46" s="215"/>
      <c r="J46" s="86"/>
      <c r="K46" s="80"/>
      <c r="L46" s="80"/>
      <c r="M46" s="80"/>
    </row>
    <row r="47" spans="1:13" ht="25.5">
      <c r="A47" s="49"/>
      <c r="B47" s="208"/>
      <c r="C47" s="211"/>
      <c r="D47" s="67" t="s">
        <v>240</v>
      </c>
      <c r="E47" s="69" t="s">
        <v>241</v>
      </c>
      <c r="F47" s="67" t="s">
        <v>242</v>
      </c>
      <c r="G47" s="211"/>
      <c r="H47" s="211"/>
      <c r="I47" s="215"/>
      <c r="J47" s="86"/>
      <c r="K47" s="80"/>
      <c r="L47" s="80"/>
      <c r="M47" s="80"/>
    </row>
    <row r="48" spans="1:13" ht="25.5">
      <c r="A48" s="49"/>
      <c r="B48" s="208"/>
      <c r="C48" s="211"/>
      <c r="D48" s="67" t="s">
        <v>176</v>
      </c>
      <c r="E48" s="69" t="s">
        <v>176</v>
      </c>
      <c r="F48" s="67" t="s">
        <v>243</v>
      </c>
      <c r="G48" s="211"/>
      <c r="H48" s="211"/>
      <c r="I48" s="215"/>
      <c r="J48" s="86"/>
      <c r="K48" s="80"/>
      <c r="L48" s="80"/>
      <c r="M48" s="80"/>
    </row>
    <row r="49" spans="1:13" ht="12.75">
      <c r="A49" s="49"/>
      <c r="B49" s="209"/>
      <c r="C49" s="212"/>
      <c r="D49" s="67" t="s">
        <v>227</v>
      </c>
      <c r="E49" s="69" t="s">
        <v>244</v>
      </c>
      <c r="F49" s="76" t="s">
        <v>245</v>
      </c>
      <c r="G49" s="212"/>
      <c r="H49" s="212"/>
      <c r="I49" s="197"/>
      <c r="J49" s="86"/>
      <c r="K49" s="80"/>
      <c r="L49" s="80"/>
      <c r="M49" s="80"/>
    </row>
    <row r="50" spans="1:13" ht="38.25">
      <c r="A50" s="49"/>
      <c r="B50" s="216" t="s">
        <v>84</v>
      </c>
      <c r="C50" s="210" t="s">
        <v>57</v>
      </c>
      <c r="D50" s="67" t="s">
        <v>230</v>
      </c>
      <c r="E50" s="69" t="s">
        <v>236</v>
      </c>
      <c r="F50" s="85" t="s">
        <v>205</v>
      </c>
      <c r="G50" s="213" t="s">
        <v>125</v>
      </c>
      <c r="H50" s="213" t="s">
        <v>141</v>
      </c>
      <c r="I50" s="218"/>
      <c r="J50" s="86"/>
      <c r="K50" s="80"/>
      <c r="L50" s="80"/>
      <c r="M50" s="80"/>
    </row>
    <row r="51" spans="1:13" ht="38.25">
      <c r="A51" s="49"/>
      <c r="B51" s="208"/>
      <c r="C51" s="211"/>
      <c r="D51" s="67" t="s">
        <v>246</v>
      </c>
      <c r="E51" s="69" t="s">
        <v>239</v>
      </c>
      <c r="F51" s="67" t="s">
        <v>208</v>
      </c>
      <c r="G51" s="211"/>
      <c r="H51" s="211"/>
      <c r="I51" s="215"/>
      <c r="J51" s="86"/>
      <c r="K51" s="80"/>
      <c r="L51" s="80"/>
      <c r="M51" s="80"/>
    </row>
    <row r="52" spans="1:13" ht="38.25">
      <c r="A52" s="49"/>
      <c r="B52" s="208"/>
      <c r="C52" s="211"/>
      <c r="D52" s="67" t="s">
        <v>175</v>
      </c>
      <c r="E52" s="69" t="s">
        <v>241</v>
      </c>
      <c r="F52" s="67" t="s">
        <v>211</v>
      </c>
      <c r="G52" s="211"/>
      <c r="H52" s="211"/>
      <c r="I52" s="215"/>
      <c r="J52" s="86"/>
      <c r="K52" s="80"/>
      <c r="L52" s="80"/>
      <c r="M52" s="80"/>
    </row>
    <row r="53" spans="1:13" ht="38.25">
      <c r="A53" s="49"/>
      <c r="B53" s="208"/>
      <c r="C53" s="211"/>
      <c r="D53" s="67" t="s">
        <v>176</v>
      </c>
      <c r="E53" s="69" t="s">
        <v>176</v>
      </c>
      <c r="F53" s="67" t="s">
        <v>214</v>
      </c>
      <c r="G53" s="211"/>
      <c r="H53" s="211"/>
      <c r="I53" s="215"/>
      <c r="J53" s="86"/>
      <c r="K53" s="80"/>
      <c r="L53" s="80"/>
      <c r="M53" s="80"/>
    </row>
    <row r="54" spans="1:13" ht="51">
      <c r="A54" s="49"/>
      <c r="B54" s="209"/>
      <c r="C54" s="212"/>
      <c r="D54" s="67" t="s">
        <v>227</v>
      </c>
      <c r="E54" s="69" t="s">
        <v>244</v>
      </c>
      <c r="F54" s="67" t="s">
        <v>217</v>
      </c>
      <c r="G54" s="212"/>
      <c r="H54" s="212"/>
      <c r="I54" s="197"/>
      <c r="J54" s="86"/>
      <c r="K54" s="80"/>
      <c r="L54" s="80"/>
      <c r="M54" s="80"/>
    </row>
    <row r="55" spans="1:13" ht="51">
      <c r="A55" s="49"/>
      <c r="B55" s="216" t="s">
        <v>58</v>
      </c>
      <c r="C55" s="210" t="s">
        <v>59</v>
      </c>
      <c r="D55" s="67" t="s">
        <v>230</v>
      </c>
      <c r="E55" s="69" t="s">
        <v>247</v>
      </c>
      <c r="F55" s="69" t="s">
        <v>248</v>
      </c>
      <c r="G55" s="213" t="s">
        <v>125</v>
      </c>
      <c r="H55" s="217" t="s">
        <v>142</v>
      </c>
      <c r="I55" s="218"/>
      <c r="J55" s="86"/>
      <c r="K55" s="80"/>
      <c r="L55" s="80"/>
      <c r="M55" s="80"/>
    </row>
    <row r="56" spans="1:13" ht="12.75">
      <c r="A56" s="49"/>
      <c r="B56" s="208"/>
      <c r="C56" s="211"/>
      <c r="D56" s="67" t="s">
        <v>249</v>
      </c>
      <c r="E56" s="69" t="s">
        <v>174</v>
      </c>
      <c r="F56" s="76" t="s">
        <v>250</v>
      </c>
      <c r="G56" s="211"/>
      <c r="H56" s="211"/>
      <c r="I56" s="215"/>
      <c r="J56" s="86"/>
      <c r="K56" s="80"/>
      <c r="L56" s="80"/>
      <c r="M56" s="80"/>
    </row>
    <row r="57" spans="1:13" ht="12.75">
      <c r="A57" s="49"/>
      <c r="B57" s="208"/>
      <c r="C57" s="211"/>
      <c r="D57" s="67" t="s">
        <v>251</v>
      </c>
      <c r="E57" s="69" t="s">
        <v>175</v>
      </c>
      <c r="F57" s="76" t="s">
        <v>252</v>
      </c>
      <c r="G57" s="211"/>
      <c r="H57" s="211"/>
      <c r="I57" s="215"/>
      <c r="J57" s="86"/>
      <c r="K57" s="80"/>
      <c r="L57" s="80"/>
      <c r="M57" s="80"/>
    </row>
    <row r="58" spans="1:13" ht="12.75">
      <c r="A58" s="49"/>
      <c r="B58" s="208"/>
      <c r="C58" s="211"/>
      <c r="D58" s="67" t="s">
        <v>253</v>
      </c>
      <c r="E58" s="69" t="s">
        <v>176</v>
      </c>
      <c r="F58" s="76" t="s">
        <v>254</v>
      </c>
      <c r="G58" s="211"/>
      <c r="H58" s="211"/>
      <c r="I58" s="215"/>
      <c r="J58" s="86"/>
      <c r="K58" s="80"/>
      <c r="L58" s="80"/>
      <c r="M58" s="80"/>
    </row>
    <row r="59" spans="1:13" ht="51">
      <c r="A59" s="49"/>
      <c r="B59" s="209"/>
      <c r="C59" s="212"/>
      <c r="D59" s="67" t="s">
        <v>200</v>
      </c>
      <c r="E59" s="69" t="s">
        <v>255</v>
      </c>
      <c r="F59" s="76" t="s">
        <v>256</v>
      </c>
      <c r="G59" s="212"/>
      <c r="H59" s="212"/>
      <c r="I59" s="197"/>
      <c r="J59" s="86"/>
      <c r="K59" s="80"/>
      <c r="L59" s="80"/>
      <c r="M59" s="80"/>
    </row>
    <row r="60" spans="1:13" ht="38.25">
      <c r="A60" s="49"/>
      <c r="B60" s="216" t="s">
        <v>60</v>
      </c>
      <c r="C60" s="210" t="s">
        <v>59</v>
      </c>
      <c r="D60" s="67" t="s">
        <v>230</v>
      </c>
      <c r="E60" s="69" t="s">
        <v>257</v>
      </c>
      <c r="F60" s="69" t="s">
        <v>248</v>
      </c>
      <c r="G60" s="213" t="s">
        <v>125</v>
      </c>
      <c r="H60" s="217" t="s">
        <v>143</v>
      </c>
      <c r="I60" s="218"/>
      <c r="J60" s="86"/>
      <c r="K60" s="80"/>
      <c r="L60" s="80"/>
      <c r="M60" s="80"/>
    </row>
    <row r="61" spans="1:13" ht="12.75">
      <c r="A61" s="49"/>
      <c r="B61" s="208"/>
      <c r="C61" s="211"/>
      <c r="D61" s="67" t="s">
        <v>249</v>
      </c>
      <c r="E61" s="69" t="s">
        <v>174</v>
      </c>
      <c r="F61" s="76" t="s">
        <v>250</v>
      </c>
      <c r="G61" s="211"/>
      <c r="H61" s="211"/>
      <c r="I61" s="215"/>
      <c r="J61" s="86"/>
      <c r="K61" s="80"/>
      <c r="L61" s="80"/>
      <c r="M61" s="80"/>
    </row>
    <row r="62" spans="1:13" ht="12.75">
      <c r="A62" s="49"/>
      <c r="B62" s="208"/>
      <c r="C62" s="211"/>
      <c r="D62" s="67" t="s">
        <v>251</v>
      </c>
      <c r="E62" s="69" t="s">
        <v>175</v>
      </c>
      <c r="F62" s="76" t="s">
        <v>252</v>
      </c>
      <c r="G62" s="211"/>
      <c r="H62" s="211"/>
      <c r="I62" s="215"/>
      <c r="J62" s="86"/>
      <c r="K62" s="80"/>
      <c r="L62" s="80"/>
      <c r="M62" s="80"/>
    </row>
    <row r="63" spans="1:13" ht="12.75">
      <c r="A63" s="49"/>
      <c r="B63" s="208"/>
      <c r="C63" s="211"/>
      <c r="D63" s="67" t="s">
        <v>253</v>
      </c>
      <c r="E63" s="69" t="s">
        <v>176</v>
      </c>
      <c r="F63" s="76" t="s">
        <v>254</v>
      </c>
      <c r="G63" s="211"/>
      <c r="H63" s="211"/>
      <c r="I63" s="215"/>
      <c r="J63" s="86"/>
      <c r="K63" s="80"/>
      <c r="L63" s="80"/>
      <c r="M63" s="80"/>
    </row>
    <row r="64" spans="1:13" ht="38.25">
      <c r="A64" s="49"/>
      <c r="B64" s="209"/>
      <c r="C64" s="212"/>
      <c r="D64" s="67" t="s">
        <v>200</v>
      </c>
      <c r="E64" s="69" t="s">
        <v>258</v>
      </c>
      <c r="F64" s="76" t="s">
        <v>256</v>
      </c>
      <c r="G64" s="212"/>
      <c r="H64" s="212"/>
      <c r="I64" s="197"/>
      <c r="J64" s="86"/>
      <c r="K64" s="80"/>
      <c r="L64" s="80"/>
      <c r="M64" s="80"/>
    </row>
    <row r="65" spans="1:13" ht="63.75">
      <c r="A65" s="49"/>
      <c r="B65" s="216" t="s">
        <v>85</v>
      </c>
      <c r="C65" s="210" t="s">
        <v>61</v>
      </c>
      <c r="D65" s="67" t="s">
        <v>230</v>
      </c>
      <c r="E65" s="69" t="s">
        <v>259</v>
      </c>
      <c r="F65" s="76" t="s">
        <v>248</v>
      </c>
      <c r="G65" s="213" t="s">
        <v>125</v>
      </c>
      <c r="H65" s="217" t="s">
        <v>144</v>
      </c>
      <c r="I65" s="218"/>
      <c r="J65" s="86"/>
      <c r="K65" s="80"/>
      <c r="L65" s="80"/>
      <c r="M65" s="80"/>
    </row>
    <row r="66" spans="1:13" ht="63.75">
      <c r="A66" s="49"/>
      <c r="B66" s="208"/>
      <c r="C66" s="211"/>
      <c r="D66" s="67" t="s">
        <v>249</v>
      </c>
      <c r="E66" s="69" t="s">
        <v>260</v>
      </c>
      <c r="F66" s="67" t="s">
        <v>261</v>
      </c>
      <c r="G66" s="211"/>
      <c r="H66" s="211"/>
      <c r="I66" s="215"/>
      <c r="J66" s="86"/>
      <c r="K66" s="80"/>
      <c r="L66" s="80"/>
      <c r="M66" s="80"/>
    </row>
    <row r="67" spans="1:13" ht="63.75">
      <c r="A67" s="49"/>
      <c r="B67" s="208"/>
      <c r="C67" s="211"/>
      <c r="D67" s="67" t="s">
        <v>251</v>
      </c>
      <c r="E67" s="69" t="s">
        <v>262</v>
      </c>
      <c r="F67" s="67" t="s">
        <v>263</v>
      </c>
      <c r="G67" s="211"/>
      <c r="H67" s="211"/>
      <c r="I67" s="215"/>
      <c r="J67" s="86"/>
      <c r="K67" s="80"/>
      <c r="L67" s="80"/>
      <c r="M67" s="80"/>
    </row>
    <row r="68" spans="1:13" ht="63.75">
      <c r="A68" s="49"/>
      <c r="B68" s="208"/>
      <c r="C68" s="211"/>
      <c r="D68" s="67" t="s">
        <v>253</v>
      </c>
      <c r="E68" s="69" t="s">
        <v>264</v>
      </c>
      <c r="F68" s="67" t="s">
        <v>265</v>
      </c>
      <c r="G68" s="211"/>
      <c r="H68" s="211"/>
      <c r="I68" s="215"/>
      <c r="J68" s="86"/>
      <c r="K68" s="80"/>
      <c r="L68" s="80"/>
      <c r="M68" s="80"/>
    </row>
    <row r="69" spans="1:13" ht="63.75">
      <c r="A69" s="49"/>
      <c r="B69" s="209"/>
      <c r="C69" s="212"/>
      <c r="D69" s="67" t="s">
        <v>200</v>
      </c>
      <c r="E69" s="69" t="s">
        <v>266</v>
      </c>
      <c r="F69" s="76" t="s">
        <v>267</v>
      </c>
      <c r="G69" s="212"/>
      <c r="H69" s="212"/>
      <c r="I69" s="197"/>
      <c r="J69" s="86"/>
      <c r="K69" s="80"/>
      <c r="L69" s="80"/>
      <c r="M69" s="80"/>
    </row>
    <row r="70" spans="1:13" ht="51">
      <c r="A70" s="49"/>
      <c r="B70" s="216" t="s">
        <v>62</v>
      </c>
      <c r="C70" s="210" t="s">
        <v>63</v>
      </c>
      <c r="D70" s="67" t="s">
        <v>230</v>
      </c>
      <c r="E70" s="69" t="s">
        <v>268</v>
      </c>
      <c r="F70" s="67" t="s">
        <v>248</v>
      </c>
      <c r="G70" s="213" t="s">
        <v>125</v>
      </c>
      <c r="H70" s="213" t="s">
        <v>145</v>
      </c>
      <c r="I70" s="218"/>
      <c r="J70" s="86"/>
      <c r="K70" s="80"/>
      <c r="L70" s="80"/>
      <c r="M70" s="80"/>
    </row>
    <row r="71" spans="1:13" ht="25.5">
      <c r="A71" s="49"/>
      <c r="B71" s="208"/>
      <c r="C71" s="211"/>
      <c r="D71" s="67" t="s">
        <v>249</v>
      </c>
      <c r="E71" s="69" t="s">
        <v>174</v>
      </c>
      <c r="F71" s="67" t="s">
        <v>250</v>
      </c>
      <c r="G71" s="211"/>
      <c r="H71" s="211"/>
      <c r="I71" s="215"/>
      <c r="J71" s="86"/>
      <c r="K71" s="80"/>
      <c r="L71" s="80"/>
      <c r="M71" s="80"/>
    </row>
    <row r="72" spans="1:13" ht="25.5">
      <c r="A72" s="49"/>
      <c r="B72" s="208"/>
      <c r="C72" s="211"/>
      <c r="D72" s="67" t="s">
        <v>251</v>
      </c>
      <c r="E72" s="69" t="s">
        <v>175</v>
      </c>
      <c r="F72" s="67" t="s">
        <v>252</v>
      </c>
      <c r="G72" s="211"/>
      <c r="H72" s="211"/>
      <c r="I72" s="215"/>
      <c r="J72" s="86"/>
      <c r="K72" s="80"/>
      <c r="L72" s="80"/>
      <c r="M72" s="80"/>
    </row>
    <row r="73" spans="1:13" ht="25.5">
      <c r="A73" s="49"/>
      <c r="B73" s="208"/>
      <c r="C73" s="211"/>
      <c r="D73" s="67" t="s">
        <v>253</v>
      </c>
      <c r="E73" s="69" t="s">
        <v>176</v>
      </c>
      <c r="F73" s="67" t="s">
        <v>254</v>
      </c>
      <c r="G73" s="211"/>
      <c r="H73" s="211"/>
      <c r="I73" s="215"/>
      <c r="J73" s="86"/>
      <c r="K73" s="80"/>
      <c r="L73" s="80"/>
      <c r="M73" s="80"/>
    </row>
    <row r="74" spans="1:13" ht="38.25">
      <c r="A74" s="49"/>
      <c r="B74" s="209"/>
      <c r="C74" s="212"/>
      <c r="D74" s="67" t="s">
        <v>200</v>
      </c>
      <c r="E74" s="69" t="s">
        <v>269</v>
      </c>
      <c r="F74" s="67" t="s">
        <v>256</v>
      </c>
      <c r="G74" s="212"/>
      <c r="H74" s="212"/>
      <c r="I74" s="197"/>
      <c r="J74" s="86"/>
      <c r="K74" s="80"/>
      <c r="L74" s="80"/>
      <c r="M74" s="80"/>
    </row>
    <row r="75" spans="1:13" ht="25.5">
      <c r="A75" s="49"/>
      <c r="B75" s="216" t="s">
        <v>86</v>
      </c>
      <c r="C75" s="210" t="s">
        <v>64</v>
      </c>
      <c r="D75" s="67" t="s">
        <v>230</v>
      </c>
      <c r="E75" s="69" t="s">
        <v>270</v>
      </c>
      <c r="F75" s="69" t="s">
        <v>271</v>
      </c>
      <c r="G75" s="213" t="s">
        <v>125</v>
      </c>
      <c r="H75" s="217" t="s">
        <v>146</v>
      </c>
      <c r="I75" s="218"/>
      <c r="J75" s="86" t="s">
        <v>173</v>
      </c>
      <c r="K75" s="80" t="str">
        <f t="shared" ref="K75:K109" si="0">_xlfn.CONCAT(J75,D75)</f>
        <v>5 - 5 - 100% accomplished</v>
      </c>
      <c r="L75" s="80" t="str">
        <f t="shared" ref="L75:L109" si="1">_xlfn.CONCAT(J75,E75)</f>
        <v>5 - 5 - Presented accomplishments and updates of the Field Office</v>
      </c>
      <c r="M75" s="80" t="str">
        <f t="shared" ref="M75:M109" si="2">_xlfn.CONCAT(J75,F75)</f>
        <v>5 - 5 - Within January to June 2024</v>
      </c>
    </row>
    <row r="76" spans="1:13" ht="12.75">
      <c r="A76" s="49"/>
      <c r="B76" s="208"/>
      <c r="C76" s="211"/>
      <c r="D76" s="67" t="s">
        <v>246</v>
      </c>
      <c r="E76" s="69" t="s">
        <v>174</v>
      </c>
      <c r="F76" s="76" t="s">
        <v>272</v>
      </c>
      <c r="G76" s="211"/>
      <c r="H76" s="211"/>
      <c r="I76" s="215"/>
      <c r="J76" s="86" t="s">
        <v>174</v>
      </c>
      <c r="K76" s="80" t="str">
        <f t="shared" si="0"/>
        <v>4 - 4 - 50% accomplished</v>
      </c>
      <c r="L76" s="80" t="str">
        <f t="shared" si="1"/>
        <v xml:space="preserve">4 - 4 - </v>
      </c>
      <c r="M76" s="80" t="str">
        <f t="shared" si="2"/>
        <v>4 - 4 - Beyond June 2024</v>
      </c>
    </row>
    <row r="77" spans="1:13" ht="12.75">
      <c r="A77" s="49"/>
      <c r="B77" s="208"/>
      <c r="C77" s="211"/>
      <c r="D77" s="67" t="s">
        <v>175</v>
      </c>
      <c r="E77" s="69" t="s">
        <v>175</v>
      </c>
      <c r="F77" s="76" t="s">
        <v>175</v>
      </c>
      <c r="G77" s="211"/>
      <c r="H77" s="211"/>
      <c r="I77" s="215"/>
      <c r="J77" s="86" t="s">
        <v>175</v>
      </c>
      <c r="K77" s="80" t="str">
        <f t="shared" si="0"/>
        <v xml:space="preserve">3 - 3 - </v>
      </c>
      <c r="L77" s="80" t="str">
        <f t="shared" si="1"/>
        <v xml:space="preserve">3 - 3 - </v>
      </c>
      <c r="M77" s="80" t="str">
        <f t="shared" si="2"/>
        <v xml:space="preserve">3 - 3 - </v>
      </c>
    </row>
    <row r="78" spans="1:13" ht="12.75">
      <c r="A78" s="49"/>
      <c r="B78" s="208"/>
      <c r="C78" s="211"/>
      <c r="D78" s="67" t="s">
        <v>176</v>
      </c>
      <c r="E78" s="69" t="s">
        <v>176</v>
      </c>
      <c r="F78" s="76" t="s">
        <v>176</v>
      </c>
      <c r="G78" s="211"/>
      <c r="H78" s="211"/>
      <c r="I78" s="215"/>
      <c r="J78" s="86" t="s">
        <v>176</v>
      </c>
      <c r="K78" s="80" t="str">
        <f t="shared" si="0"/>
        <v xml:space="preserve">2 - 2 - </v>
      </c>
      <c r="L78" s="80" t="str">
        <f t="shared" si="1"/>
        <v xml:space="preserve">2 - 2 - </v>
      </c>
      <c r="M78" s="80" t="str">
        <f t="shared" si="2"/>
        <v xml:space="preserve">2 - 2 - </v>
      </c>
    </row>
    <row r="79" spans="1:13" ht="38.25">
      <c r="A79" s="49"/>
      <c r="B79" s="209"/>
      <c r="C79" s="212"/>
      <c r="D79" s="67" t="s">
        <v>227</v>
      </c>
      <c r="E79" s="69" t="s">
        <v>273</v>
      </c>
      <c r="F79" s="76" t="s">
        <v>177</v>
      </c>
      <c r="G79" s="212"/>
      <c r="H79" s="212"/>
      <c r="I79" s="197"/>
      <c r="J79" s="86" t="s">
        <v>177</v>
      </c>
      <c r="K79" s="80" t="str">
        <f t="shared" si="0"/>
        <v>1 - 1 - 0% accomplished</v>
      </c>
      <c r="L79" s="80" t="str">
        <f t="shared" si="1"/>
        <v>1 - 1 - No presentation on the accomplishments and updates of the Field Office</v>
      </c>
      <c r="M79" s="80" t="str">
        <f t="shared" si="2"/>
        <v xml:space="preserve">1 - 1 - </v>
      </c>
    </row>
    <row r="80" spans="1:13" ht="38.25">
      <c r="A80" s="49"/>
      <c r="B80" s="216" t="s">
        <v>87</v>
      </c>
      <c r="C80" s="210" t="s">
        <v>65</v>
      </c>
      <c r="D80" s="67" t="s">
        <v>230</v>
      </c>
      <c r="E80" s="69" t="s">
        <v>274</v>
      </c>
      <c r="F80" s="69" t="s">
        <v>271</v>
      </c>
      <c r="G80" s="213" t="s">
        <v>125</v>
      </c>
      <c r="H80" s="217" t="s">
        <v>147</v>
      </c>
      <c r="I80" s="218"/>
      <c r="J80" s="86" t="s">
        <v>173</v>
      </c>
      <c r="K80" s="80" t="str">
        <f t="shared" si="0"/>
        <v>5 - 5 - 100% accomplished</v>
      </c>
      <c r="L80" s="80" t="str">
        <f t="shared" si="1"/>
        <v>5 - 5 - Minutes reflects issues and concerns and recommendations and agreements provided</v>
      </c>
      <c r="M80" s="80" t="str">
        <f t="shared" si="2"/>
        <v>5 - 5 - Within January to June 2024</v>
      </c>
    </row>
    <row r="81" spans="1:13" ht="12.75">
      <c r="A81" s="49"/>
      <c r="B81" s="208"/>
      <c r="C81" s="211"/>
      <c r="D81" s="67" t="s">
        <v>246</v>
      </c>
      <c r="E81" s="69" t="s">
        <v>174</v>
      </c>
      <c r="F81" s="76" t="s">
        <v>272</v>
      </c>
      <c r="G81" s="211"/>
      <c r="H81" s="211"/>
      <c r="I81" s="215"/>
      <c r="J81" s="86" t="s">
        <v>174</v>
      </c>
      <c r="K81" s="80" t="str">
        <f t="shared" si="0"/>
        <v>4 - 4 - 50% accomplished</v>
      </c>
      <c r="L81" s="80" t="str">
        <f t="shared" si="1"/>
        <v xml:space="preserve">4 - 4 - </v>
      </c>
      <c r="M81" s="80" t="str">
        <f t="shared" si="2"/>
        <v>4 - 4 - Beyond June 2024</v>
      </c>
    </row>
    <row r="82" spans="1:13" ht="12.75">
      <c r="A82" s="49"/>
      <c r="B82" s="208"/>
      <c r="C82" s="211"/>
      <c r="D82" s="67" t="s">
        <v>175</v>
      </c>
      <c r="E82" s="69" t="s">
        <v>175</v>
      </c>
      <c r="F82" s="76" t="s">
        <v>175</v>
      </c>
      <c r="G82" s="211"/>
      <c r="H82" s="211"/>
      <c r="I82" s="215"/>
      <c r="J82" s="86" t="s">
        <v>175</v>
      </c>
      <c r="K82" s="80" t="str">
        <f t="shared" si="0"/>
        <v xml:space="preserve">3 - 3 - </v>
      </c>
      <c r="L82" s="80" t="str">
        <f t="shared" si="1"/>
        <v xml:space="preserve">3 - 3 - </v>
      </c>
      <c r="M82" s="80" t="str">
        <f t="shared" si="2"/>
        <v xml:space="preserve">3 - 3 - </v>
      </c>
    </row>
    <row r="83" spans="1:13" ht="12.75">
      <c r="A83" s="49"/>
      <c r="B83" s="208"/>
      <c r="C83" s="211"/>
      <c r="D83" s="67" t="s">
        <v>176</v>
      </c>
      <c r="E83" s="69" t="s">
        <v>176</v>
      </c>
      <c r="F83" s="76" t="s">
        <v>176</v>
      </c>
      <c r="G83" s="211"/>
      <c r="H83" s="211"/>
      <c r="I83" s="215"/>
      <c r="J83" s="86" t="s">
        <v>176</v>
      </c>
      <c r="K83" s="80" t="str">
        <f t="shared" si="0"/>
        <v xml:space="preserve">2 - 2 - </v>
      </c>
      <c r="L83" s="80" t="str">
        <f t="shared" si="1"/>
        <v xml:space="preserve">2 - 2 - </v>
      </c>
      <c r="M83" s="80" t="str">
        <f t="shared" si="2"/>
        <v xml:space="preserve">2 - 2 - </v>
      </c>
    </row>
    <row r="84" spans="1:13" ht="12.75">
      <c r="A84" s="49"/>
      <c r="B84" s="209"/>
      <c r="C84" s="212"/>
      <c r="D84" s="67" t="s">
        <v>227</v>
      </c>
      <c r="E84" s="69" t="s">
        <v>275</v>
      </c>
      <c r="F84" s="76" t="s">
        <v>177</v>
      </c>
      <c r="G84" s="212"/>
      <c r="H84" s="212"/>
      <c r="I84" s="197"/>
      <c r="J84" s="86" t="s">
        <v>177</v>
      </c>
      <c r="K84" s="80" t="str">
        <f t="shared" si="0"/>
        <v>1 - 1 - 0% accomplished</v>
      </c>
      <c r="L84" s="80" t="str">
        <f t="shared" si="1"/>
        <v>1 - 1 - No Minutes submitted</v>
      </c>
      <c r="M84" s="80" t="str">
        <f t="shared" si="2"/>
        <v xml:space="preserve">1 - 1 - </v>
      </c>
    </row>
    <row r="85" spans="1:13" ht="63.75">
      <c r="A85" s="49"/>
      <c r="B85" s="216" t="s">
        <v>88</v>
      </c>
      <c r="C85" s="210" t="s">
        <v>66</v>
      </c>
      <c r="D85" s="67" t="s">
        <v>230</v>
      </c>
      <c r="E85" s="69" t="s">
        <v>276</v>
      </c>
      <c r="F85" s="67" t="s">
        <v>277</v>
      </c>
      <c r="G85" s="213" t="s">
        <v>125</v>
      </c>
      <c r="H85" s="217" t="s">
        <v>148</v>
      </c>
      <c r="I85" s="218"/>
      <c r="J85" s="86" t="s">
        <v>173</v>
      </c>
      <c r="K85" s="80" t="str">
        <f t="shared" si="0"/>
        <v>5 - 5 - 100% accomplished</v>
      </c>
      <c r="L85" s="80" t="str">
        <f t="shared" si="1"/>
        <v>5 - 5 - Monitoring tool and report captures the findings, observations, issues and concerns, recommendations, agreements and action taken</v>
      </c>
      <c r="M85" s="80" t="str">
        <f t="shared" si="2"/>
        <v>5 - 5 - Within 5 working days after the conduct of the project monitoring</v>
      </c>
    </row>
    <row r="86" spans="1:13" ht="63.75">
      <c r="A86" s="49"/>
      <c r="B86" s="208"/>
      <c r="C86" s="211"/>
      <c r="D86" s="67" t="s">
        <v>238</v>
      </c>
      <c r="E86" s="69" t="s">
        <v>278</v>
      </c>
      <c r="F86" s="67" t="s">
        <v>279</v>
      </c>
      <c r="G86" s="211"/>
      <c r="H86" s="211"/>
      <c r="I86" s="215"/>
      <c r="J86" s="86" t="s">
        <v>174</v>
      </c>
      <c r="K86" s="80" t="str">
        <f t="shared" si="0"/>
        <v>4 - 4 - 66.67% accomplished</v>
      </c>
      <c r="L86" s="80" t="str">
        <f t="shared" si="1"/>
        <v>4 - 4 - Only Monitoring report captures the findings, observations, issues and concerns, recommendations, agreements and action taken</v>
      </c>
      <c r="M86" s="80" t="str">
        <f t="shared" si="2"/>
        <v>4 - 4 - 6-10 days after the conduct of the project monitoring</v>
      </c>
    </row>
    <row r="87" spans="1:13" ht="63.75">
      <c r="A87" s="49"/>
      <c r="B87" s="208"/>
      <c r="C87" s="211"/>
      <c r="D87" s="67" t="s">
        <v>240</v>
      </c>
      <c r="E87" s="69" t="s">
        <v>280</v>
      </c>
      <c r="F87" s="67" t="s">
        <v>281</v>
      </c>
      <c r="G87" s="211"/>
      <c r="H87" s="211"/>
      <c r="I87" s="215"/>
      <c r="J87" s="86" t="s">
        <v>175</v>
      </c>
      <c r="K87" s="80" t="str">
        <f t="shared" si="0"/>
        <v>3 - 3 - 33.33% accomplished</v>
      </c>
      <c r="L87" s="80" t="str">
        <f t="shared" si="1"/>
        <v>3 - 3 - Only Monitoring and TA form captures the findings, observations, issues and concerns, recommendations, agreements and action taken</v>
      </c>
      <c r="M87" s="80" t="str">
        <f t="shared" si="2"/>
        <v>3 - 3 - 15-20 days after the conduct of the project monitoring</v>
      </c>
    </row>
    <row r="88" spans="1:13" ht="38.25">
      <c r="A88" s="49"/>
      <c r="B88" s="208"/>
      <c r="C88" s="211"/>
      <c r="D88" s="67" t="s">
        <v>176</v>
      </c>
      <c r="E88" s="69" t="s">
        <v>176</v>
      </c>
      <c r="F88" s="67" t="s">
        <v>282</v>
      </c>
      <c r="G88" s="211"/>
      <c r="H88" s="211"/>
      <c r="I88" s="215"/>
      <c r="J88" s="86" t="s">
        <v>176</v>
      </c>
      <c r="K88" s="80" t="str">
        <f t="shared" si="0"/>
        <v xml:space="preserve">2 - 2 - </v>
      </c>
      <c r="L88" s="80" t="str">
        <f t="shared" si="1"/>
        <v xml:space="preserve">2 - 2 - </v>
      </c>
      <c r="M88" s="80" t="str">
        <f t="shared" si="2"/>
        <v>2 - 2 - 25-30 days after the conduct of the project monitoring</v>
      </c>
    </row>
    <row r="89" spans="1:13" ht="38.25">
      <c r="A89" s="49"/>
      <c r="B89" s="209"/>
      <c r="C89" s="212"/>
      <c r="D89" s="67" t="s">
        <v>227</v>
      </c>
      <c r="E89" s="69" t="s">
        <v>283</v>
      </c>
      <c r="F89" s="67" t="s">
        <v>284</v>
      </c>
      <c r="G89" s="212"/>
      <c r="H89" s="212"/>
      <c r="I89" s="197"/>
      <c r="J89" s="86" t="s">
        <v>177</v>
      </c>
      <c r="K89" s="80" t="str">
        <f t="shared" si="0"/>
        <v>1 - 1 - 0% accomplished</v>
      </c>
      <c r="L89" s="80" t="str">
        <f t="shared" si="1"/>
        <v>1 - 1 - No Monitoring tool and TA form and monitoring/feedback report submitted</v>
      </c>
      <c r="M89" s="80" t="str">
        <f t="shared" si="2"/>
        <v>1 - 1 - more than 30 days after the conduct of the project monitoring</v>
      </c>
    </row>
    <row r="90" spans="1:13" ht="63.75">
      <c r="A90" s="49"/>
      <c r="B90" s="216" t="s">
        <v>67</v>
      </c>
      <c r="C90" s="210" t="s">
        <v>68</v>
      </c>
      <c r="D90" s="67" t="s">
        <v>218</v>
      </c>
      <c r="E90" s="69" t="s">
        <v>285</v>
      </c>
      <c r="F90" s="67" t="s">
        <v>190</v>
      </c>
      <c r="G90" s="213"/>
      <c r="H90" s="213"/>
      <c r="I90" s="218"/>
      <c r="J90" s="86" t="s">
        <v>173</v>
      </c>
      <c r="K90" s="80" t="str">
        <f t="shared" si="0"/>
        <v>5 - 5 - 80-100% accomplished</v>
      </c>
      <c r="L90" s="80" t="str">
        <f t="shared" si="1"/>
        <v>5 - 5 - 95-100% disbursed over actual obligated amount</v>
      </c>
      <c r="M90" s="80" t="str">
        <f t="shared" si="2"/>
        <v>5 - 5 - Completed on-time or earlier than the target date in terms of the time the activity was implemented</v>
      </c>
    </row>
    <row r="91" spans="1:13" ht="63.75">
      <c r="A91" s="49"/>
      <c r="B91" s="208"/>
      <c r="C91" s="211"/>
      <c r="D91" s="67" t="s">
        <v>221</v>
      </c>
      <c r="E91" s="69" t="s">
        <v>286</v>
      </c>
      <c r="F91" s="67" t="s">
        <v>193</v>
      </c>
      <c r="G91" s="211"/>
      <c r="H91" s="211"/>
      <c r="I91" s="215"/>
      <c r="J91" s="86" t="s">
        <v>174</v>
      </c>
      <c r="K91" s="80" t="str">
        <f t="shared" si="0"/>
        <v>4 - 4 - 40-60% accomplished</v>
      </c>
      <c r="L91" s="80" t="str">
        <f t="shared" si="1"/>
        <v>4 - 4 - 71-94.99% disbursed over actual obligated amount</v>
      </c>
      <c r="M91" s="80" t="str">
        <f t="shared" si="2"/>
        <v>4 - 4 - Completed 1-7 days after the target date in terms of the time the activity was implemented</v>
      </c>
    </row>
    <row r="92" spans="1:13" ht="63.75">
      <c r="A92" s="49"/>
      <c r="B92" s="208"/>
      <c r="C92" s="211"/>
      <c r="D92" s="67" t="s">
        <v>224</v>
      </c>
      <c r="E92" s="69" t="s">
        <v>287</v>
      </c>
      <c r="F92" s="67" t="s">
        <v>196</v>
      </c>
      <c r="G92" s="211"/>
      <c r="H92" s="211"/>
      <c r="I92" s="215"/>
      <c r="J92" s="86" t="s">
        <v>175</v>
      </c>
      <c r="K92" s="80" t="str">
        <f t="shared" si="0"/>
        <v>3 - 3 - 20-39.99% accomplished</v>
      </c>
      <c r="L92" s="80" t="str">
        <f t="shared" si="1"/>
        <v>3 - 3 - 46-70.99% disbursed over actual obligated amount</v>
      </c>
      <c r="M92" s="80" t="str">
        <f t="shared" si="2"/>
        <v>3 - 3 - Completed 8-14 days after the target date in terms of the time the activity was implemented</v>
      </c>
    </row>
    <row r="93" spans="1:13" ht="63.75">
      <c r="A93" s="49"/>
      <c r="B93" s="208"/>
      <c r="C93" s="211"/>
      <c r="D93" s="67" t="s">
        <v>176</v>
      </c>
      <c r="E93" s="69" t="s">
        <v>288</v>
      </c>
      <c r="F93" s="67" t="s">
        <v>199</v>
      </c>
      <c r="G93" s="211"/>
      <c r="H93" s="211"/>
      <c r="I93" s="215"/>
      <c r="J93" s="86" t="s">
        <v>176</v>
      </c>
      <c r="K93" s="80" t="str">
        <f t="shared" si="0"/>
        <v xml:space="preserve">2 - 2 - </v>
      </c>
      <c r="L93" s="80" t="str">
        <f t="shared" si="1"/>
        <v>2 - 2 - 21-45.99% disbursed over actual obligated amount</v>
      </c>
      <c r="M93" s="80" t="str">
        <f t="shared" si="2"/>
        <v>2 - 2 - Completed 15-21 days after the target date in terms of the time the activity was implemented</v>
      </c>
    </row>
    <row r="94" spans="1:13" ht="63.75">
      <c r="A94" s="49"/>
      <c r="B94" s="209"/>
      <c r="C94" s="212"/>
      <c r="D94" s="67" t="s">
        <v>227</v>
      </c>
      <c r="E94" s="69" t="s">
        <v>289</v>
      </c>
      <c r="F94" s="67" t="s">
        <v>202</v>
      </c>
      <c r="G94" s="212"/>
      <c r="H94" s="212"/>
      <c r="I94" s="197"/>
      <c r="J94" s="86" t="s">
        <v>177</v>
      </c>
      <c r="K94" s="80" t="str">
        <f t="shared" si="0"/>
        <v>1 - 1 - 0% accomplished</v>
      </c>
      <c r="L94" s="80" t="str">
        <f t="shared" si="1"/>
        <v>1 - 1 - 20.99% and below disbursed over actual obligated amount</v>
      </c>
      <c r="M94" s="80" t="str">
        <f t="shared" si="2"/>
        <v>1 - 1 - Completed 22 days or later after the target date in terms of the time the activity was implemented</v>
      </c>
    </row>
    <row r="95" spans="1:13" ht="51">
      <c r="A95" s="49"/>
      <c r="B95" s="216" t="s">
        <v>135</v>
      </c>
      <c r="C95" s="210" t="s">
        <v>136</v>
      </c>
      <c r="D95" s="67" t="s">
        <v>218</v>
      </c>
      <c r="E95" s="69" t="s">
        <v>219</v>
      </c>
      <c r="F95" s="69" t="s">
        <v>290</v>
      </c>
      <c r="G95" s="213" t="s">
        <v>156</v>
      </c>
      <c r="H95" s="217" t="s">
        <v>138</v>
      </c>
      <c r="I95" s="218"/>
      <c r="J95" s="86" t="s">
        <v>173</v>
      </c>
      <c r="K95" s="80" t="str">
        <f t="shared" si="0"/>
        <v>5 - 5 - 80-100% accomplished</v>
      </c>
      <c r="L95" s="80" t="str">
        <f t="shared" si="1"/>
        <v>5 - 5 - Minutes/feedback report/executive summary submitted with attached photo documentation</v>
      </c>
      <c r="M95" s="80" t="str">
        <f t="shared" si="2"/>
        <v>5 - 5 - Within the month of October, 2024 or earlier</v>
      </c>
    </row>
    <row r="96" spans="1:13" ht="51">
      <c r="A96" s="49"/>
      <c r="B96" s="208"/>
      <c r="C96" s="211"/>
      <c r="D96" s="67" t="s">
        <v>221</v>
      </c>
      <c r="E96" s="69" t="s">
        <v>222</v>
      </c>
      <c r="F96" s="67" t="s">
        <v>223</v>
      </c>
      <c r="G96" s="211"/>
      <c r="H96" s="211"/>
      <c r="I96" s="215"/>
      <c r="J96" s="86" t="s">
        <v>174</v>
      </c>
      <c r="K96" s="80" t="str">
        <f t="shared" si="0"/>
        <v>4 - 4 - 40-60% accomplished</v>
      </c>
      <c r="L96" s="80" t="str">
        <f t="shared" si="1"/>
        <v>4 - 4 - Minutes/feedback report/executive summary submitted with no attached photo documentation</v>
      </c>
      <c r="M96" s="80" t="str">
        <f t="shared" si="2"/>
        <v>4 - 4 - on the deadline</v>
      </c>
    </row>
    <row r="97" spans="1:13" ht="25.5">
      <c r="A97" s="49"/>
      <c r="B97" s="208"/>
      <c r="C97" s="211"/>
      <c r="D97" s="67" t="s">
        <v>224</v>
      </c>
      <c r="E97" s="69" t="s">
        <v>175</v>
      </c>
      <c r="F97" s="67" t="s">
        <v>225</v>
      </c>
      <c r="G97" s="211"/>
      <c r="H97" s="211"/>
      <c r="I97" s="215"/>
      <c r="J97" s="86" t="s">
        <v>175</v>
      </c>
      <c r="K97" s="80" t="str">
        <f t="shared" si="0"/>
        <v>3 - 3 - 20-39.99% accomplished</v>
      </c>
      <c r="L97" s="80" t="str">
        <f t="shared" si="1"/>
        <v xml:space="preserve">3 - 3 - </v>
      </c>
      <c r="M97" s="80" t="str">
        <f t="shared" si="2"/>
        <v>3 - 3 - 1-2 weeks after the deadline</v>
      </c>
    </row>
    <row r="98" spans="1:13" ht="25.5">
      <c r="A98" s="49"/>
      <c r="B98" s="208"/>
      <c r="C98" s="211"/>
      <c r="D98" s="67" t="s">
        <v>176</v>
      </c>
      <c r="E98" s="69" t="s">
        <v>176</v>
      </c>
      <c r="F98" s="67" t="s">
        <v>226</v>
      </c>
      <c r="G98" s="211"/>
      <c r="H98" s="211"/>
      <c r="I98" s="215"/>
      <c r="J98" s="86" t="s">
        <v>176</v>
      </c>
      <c r="K98" s="80" t="str">
        <f t="shared" si="0"/>
        <v xml:space="preserve">2 - 2 - </v>
      </c>
      <c r="L98" s="80" t="str">
        <f t="shared" si="1"/>
        <v xml:space="preserve">2 - 2 - </v>
      </c>
      <c r="M98" s="80" t="str">
        <f t="shared" si="2"/>
        <v>2 - 2 - 3-4 weeks after the deadline</v>
      </c>
    </row>
    <row r="99" spans="1:13" ht="38.25">
      <c r="A99" s="49"/>
      <c r="B99" s="209"/>
      <c r="C99" s="212"/>
      <c r="D99" s="67" t="s">
        <v>227</v>
      </c>
      <c r="E99" s="69" t="s">
        <v>228</v>
      </c>
      <c r="F99" s="67" t="s">
        <v>229</v>
      </c>
      <c r="G99" s="212"/>
      <c r="H99" s="212"/>
      <c r="I99" s="197"/>
      <c r="J99" s="86" t="s">
        <v>177</v>
      </c>
      <c r="K99" s="80" t="str">
        <f t="shared" si="0"/>
        <v>1 - 1 - 0% accomplished</v>
      </c>
      <c r="L99" s="80" t="str">
        <f t="shared" si="1"/>
        <v>1 - 1 - No Minutes/feedback report/executive summary submitted</v>
      </c>
      <c r="M99" s="80" t="str">
        <f t="shared" si="2"/>
        <v>1 - 1 - more than 4 weeks from the set deadline</v>
      </c>
    </row>
    <row r="100" spans="1:13" ht="38.25">
      <c r="A100" s="49"/>
      <c r="B100" s="216" t="s">
        <v>100</v>
      </c>
      <c r="C100" s="210" t="s">
        <v>101</v>
      </c>
      <c r="D100" s="67" t="s">
        <v>230</v>
      </c>
      <c r="E100" s="69" t="s">
        <v>236</v>
      </c>
      <c r="F100" s="69" t="s">
        <v>205</v>
      </c>
      <c r="G100" s="213" t="s">
        <v>156</v>
      </c>
      <c r="H100" s="217" t="s">
        <v>157</v>
      </c>
      <c r="I100" s="218"/>
      <c r="J100" s="86" t="s">
        <v>173</v>
      </c>
      <c r="K100" s="80" t="str">
        <f t="shared" si="0"/>
        <v>5 - 5 - 100% accomplished</v>
      </c>
      <c r="L100" s="80" t="str">
        <f t="shared" si="1"/>
        <v>5 - 5 - Reports are accurate and consistent</v>
      </c>
      <c r="M100" s="80" t="str">
        <f t="shared" si="2"/>
        <v>5 - 5 - 130% earlier and above or 2 days before the deadline or earlier</v>
      </c>
    </row>
    <row r="101" spans="1:13" ht="38.25">
      <c r="A101" s="49"/>
      <c r="B101" s="208"/>
      <c r="C101" s="211"/>
      <c r="D101" s="67" t="s">
        <v>174</v>
      </c>
      <c r="E101" s="69" t="s">
        <v>239</v>
      </c>
      <c r="F101" s="67" t="s">
        <v>208</v>
      </c>
      <c r="G101" s="211"/>
      <c r="H101" s="211"/>
      <c r="I101" s="215"/>
      <c r="J101" s="86" t="s">
        <v>174</v>
      </c>
      <c r="K101" s="80" t="str">
        <f t="shared" si="0"/>
        <v xml:space="preserve">4 - 4 - </v>
      </c>
      <c r="L101" s="80" t="str">
        <f t="shared" si="1"/>
        <v>4 - 4 - Reports are partially accurate and consistent</v>
      </c>
      <c r="M101" s="80" t="str">
        <f t="shared" si="2"/>
        <v>4 - 4 - 115%-129% earlier or 1 day before the deadline</v>
      </c>
    </row>
    <row r="102" spans="1:13" ht="38.25">
      <c r="A102" s="49"/>
      <c r="B102" s="208"/>
      <c r="C102" s="211"/>
      <c r="D102" s="67" t="s">
        <v>175</v>
      </c>
      <c r="E102" s="69" t="s">
        <v>241</v>
      </c>
      <c r="F102" s="67" t="s">
        <v>211</v>
      </c>
      <c r="G102" s="211"/>
      <c r="H102" s="211"/>
      <c r="I102" s="215"/>
      <c r="J102" s="86" t="s">
        <v>175</v>
      </c>
      <c r="K102" s="80" t="str">
        <f t="shared" si="0"/>
        <v xml:space="preserve">3 - 3 - </v>
      </c>
      <c r="L102" s="80" t="str">
        <f t="shared" si="1"/>
        <v>3 - 3 - Reports are inaccurate and inconsistent</v>
      </c>
      <c r="M102" s="80" t="str">
        <f t="shared" si="2"/>
        <v>3 - 3 - 100%-114% earlier than the deadline or on the deadline</v>
      </c>
    </row>
    <row r="103" spans="1:13" ht="38.25">
      <c r="A103" s="49"/>
      <c r="B103" s="208"/>
      <c r="C103" s="211"/>
      <c r="D103" s="67" t="s">
        <v>176</v>
      </c>
      <c r="E103" s="69" t="s">
        <v>176</v>
      </c>
      <c r="F103" s="67" t="s">
        <v>214</v>
      </c>
      <c r="G103" s="211"/>
      <c r="H103" s="211"/>
      <c r="I103" s="215"/>
      <c r="J103" s="86" t="s">
        <v>176</v>
      </c>
      <c r="K103" s="80" t="str">
        <f t="shared" si="0"/>
        <v xml:space="preserve">2 - 2 - </v>
      </c>
      <c r="L103" s="80" t="str">
        <f t="shared" si="1"/>
        <v xml:space="preserve">2 - 2 - </v>
      </c>
      <c r="M103" s="80" t="str">
        <f t="shared" si="2"/>
        <v>2 - 2 - 51%-99% earlier than the deadline or 4-5 days after the deadline</v>
      </c>
    </row>
    <row r="104" spans="1:13" ht="51">
      <c r="A104" s="49"/>
      <c r="B104" s="209"/>
      <c r="C104" s="212"/>
      <c r="D104" s="67" t="s">
        <v>227</v>
      </c>
      <c r="E104" s="69" t="s">
        <v>244</v>
      </c>
      <c r="F104" s="67" t="s">
        <v>217</v>
      </c>
      <c r="G104" s="212"/>
      <c r="H104" s="212"/>
      <c r="I104" s="197"/>
      <c r="J104" s="86" t="s">
        <v>177</v>
      </c>
      <c r="K104" s="80" t="str">
        <f t="shared" si="0"/>
        <v>1 - 1 - 0% accomplished</v>
      </c>
      <c r="L104" s="80" t="str">
        <f t="shared" si="1"/>
        <v>1 - 1 - No reports submitted</v>
      </c>
      <c r="M104" s="80" t="str">
        <f t="shared" si="2"/>
        <v>1 - 1 - 50% later and below than the deadline or more than 5 days after the deadline</v>
      </c>
    </row>
    <row r="105" spans="1:13" ht="38.25">
      <c r="A105" s="49"/>
      <c r="B105" s="216" t="s">
        <v>102</v>
      </c>
      <c r="C105" s="210" t="s">
        <v>103</v>
      </c>
      <c r="D105" s="67" t="s">
        <v>230</v>
      </c>
      <c r="E105" s="69" t="s">
        <v>274</v>
      </c>
      <c r="F105" s="69" t="s">
        <v>291</v>
      </c>
      <c r="G105" s="213" t="s">
        <v>156</v>
      </c>
      <c r="H105" s="217" t="s">
        <v>158</v>
      </c>
      <c r="I105" s="218"/>
      <c r="J105" s="86" t="s">
        <v>173</v>
      </c>
      <c r="K105" s="80" t="str">
        <f t="shared" si="0"/>
        <v>5 - 5 - 100% accomplished</v>
      </c>
      <c r="L105" s="80" t="str">
        <f t="shared" si="1"/>
        <v>5 - 5 - Minutes reflects issues and concerns and recommendations and agreements provided</v>
      </c>
      <c r="M105" s="80" t="str">
        <f t="shared" si="2"/>
        <v>5 - 5 - within December, 2024 or earlier</v>
      </c>
    </row>
    <row r="106" spans="1:13" ht="51">
      <c r="A106" s="49"/>
      <c r="B106" s="208"/>
      <c r="C106" s="211"/>
      <c r="D106" s="67" t="s">
        <v>174</v>
      </c>
      <c r="E106" s="69" t="s">
        <v>292</v>
      </c>
      <c r="F106" s="67" t="s">
        <v>293</v>
      </c>
      <c r="G106" s="211"/>
      <c r="H106" s="211"/>
      <c r="I106" s="215"/>
      <c r="J106" s="86" t="s">
        <v>174</v>
      </c>
      <c r="K106" s="80" t="str">
        <f t="shared" si="0"/>
        <v xml:space="preserve">4 - 4 - </v>
      </c>
      <c r="L106" s="80" t="str">
        <f t="shared" si="1"/>
        <v>4 - 4 - Minutes reflect issues and concerns, but no recommendations and agreements provided</v>
      </c>
      <c r="M106" s="80" t="str">
        <f t="shared" si="2"/>
        <v>4 - 4 - Beyond December, 2024</v>
      </c>
    </row>
    <row r="107" spans="1:13" ht="51">
      <c r="A107" s="49"/>
      <c r="B107" s="208"/>
      <c r="C107" s="211"/>
      <c r="D107" s="67" t="s">
        <v>175</v>
      </c>
      <c r="E107" s="69" t="s">
        <v>294</v>
      </c>
      <c r="F107" s="67" t="s">
        <v>175</v>
      </c>
      <c r="G107" s="211"/>
      <c r="H107" s="211"/>
      <c r="I107" s="215"/>
      <c r="J107" s="86" t="s">
        <v>175</v>
      </c>
      <c r="K107" s="80" t="str">
        <f t="shared" si="0"/>
        <v xml:space="preserve">3 - 3 - </v>
      </c>
      <c r="L107" s="80" t="str">
        <f t="shared" si="1"/>
        <v>3 - 3 - Minutes did not reflect issues and concerns and recommendations and agreements provided</v>
      </c>
      <c r="M107" s="80" t="str">
        <f t="shared" si="2"/>
        <v xml:space="preserve">3 - 3 - </v>
      </c>
    </row>
    <row r="108" spans="1:13" ht="12.75">
      <c r="A108" s="49"/>
      <c r="B108" s="208"/>
      <c r="C108" s="211"/>
      <c r="D108" s="67" t="s">
        <v>176</v>
      </c>
      <c r="E108" s="69" t="s">
        <v>176</v>
      </c>
      <c r="F108" s="67" t="s">
        <v>176</v>
      </c>
      <c r="G108" s="211"/>
      <c r="H108" s="211"/>
      <c r="I108" s="215"/>
      <c r="J108" s="86" t="s">
        <v>176</v>
      </c>
      <c r="K108" s="80" t="str">
        <f t="shared" si="0"/>
        <v xml:space="preserve">2 - 2 - </v>
      </c>
      <c r="L108" s="80" t="str">
        <f t="shared" si="1"/>
        <v xml:space="preserve">2 - 2 - </v>
      </c>
      <c r="M108" s="80" t="str">
        <f t="shared" si="2"/>
        <v xml:space="preserve">2 - 2 - </v>
      </c>
    </row>
    <row r="109" spans="1:13" ht="12.75">
      <c r="A109" s="49"/>
      <c r="B109" s="209"/>
      <c r="C109" s="212"/>
      <c r="D109" s="67" t="s">
        <v>227</v>
      </c>
      <c r="E109" s="69" t="s">
        <v>275</v>
      </c>
      <c r="F109" s="67" t="s">
        <v>177</v>
      </c>
      <c r="G109" s="212"/>
      <c r="H109" s="212"/>
      <c r="I109" s="197"/>
      <c r="J109" s="86" t="s">
        <v>177</v>
      </c>
      <c r="K109" s="80" t="str">
        <f t="shared" si="0"/>
        <v>1 - 1 - 0% accomplished</v>
      </c>
      <c r="L109" s="80" t="str">
        <f t="shared" si="1"/>
        <v>1 - 1 - No Minutes submitted</v>
      </c>
      <c r="M109" s="80" t="str">
        <f t="shared" si="2"/>
        <v xml:space="preserve">1 - 1 - </v>
      </c>
    </row>
    <row r="110" spans="1:13" ht="15.75" customHeight="1">
      <c r="A110" s="49"/>
      <c r="B110" s="64" t="s">
        <v>22</v>
      </c>
      <c r="C110" s="67"/>
      <c r="D110" s="61"/>
      <c r="E110" s="65"/>
      <c r="F110" s="62"/>
      <c r="G110" s="68"/>
      <c r="H110" s="69"/>
      <c r="I110" s="66"/>
      <c r="J110" s="37"/>
    </row>
    <row r="111" spans="1:13" ht="38.25">
      <c r="A111" s="49"/>
      <c r="B111" s="216" t="s">
        <v>71</v>
      </c>
      <c r="C111" s="210" t="s">
        <v>72</v>
      </c>
      <c r="D111" s="63" t="s">
        <v>295</v>
      </c>
      <c r="E111" s="63" t="s">
        <v>296</v>
      </c>
      <c r="F111" s="77" t="s">
        <v>205</v>
      </c>
      <c r="G111" s="213" t="s">
        <v>125</v>
      </c>
      <c r="H111" s="217" t="s">
        <v>150</v>
      </c>
      <c r="I111" s="218"/>
      <c r="J111" s="86" t="s">
        <v>173</v>
      </c>
      <c r="K111" s="80" t="str">
        <f t="shared" ref="K111:K135" si="3">_xlfn.CONCAT(J111,D111)</f>
        <v>5 - 5 - ANA</v>
      </c>
      <c r="L111" s="80" t="str">
        <f t="shared" ref="L111:L135" si="4">_xlfn.CONCAT(J111,E111)</f>
        <v>5 - 5 - Provided prompt action/response on referred cases</v>
      </c>
      <c r="M111" s="80" t="str">
        <f t="shared" ref="M111:M135" si="5">_xlfn.CONCAT(J111,F111)</f>
        <v>5 - 5 - 130% earlier and above or 2 days before the deadline or earlier</v>
      </c>
    </row>
    <row r="112" spans="1:13" ht="38.25">
      <c r="A112" s="49"/>
      <c r="B112" s="219"/>
      <c r="C112" s="221"/>
      <c r="D112" s="63" t="s">
        <v>174</v>
      </c>
      <c r="E112" s="63" t="s">
        <v>297</v>
      </c>
      <c r="F112" s="78" t="s">
        <v>208</v>
      </c>
      <c r="G112" s="221"/>
      <c r="H112" s="221"/>
      <c r="I112" s="215"/>
      <c r="J112" s="86" t="s">
        <v>174</v>
      </c>
      <c r="K112" s="80" t="str">
        <f t="shared" si="3"/>
        <v xml:space="preserve">4 - 4 - </v>
      </c>
      <c r="L112" s="80" t="str">
        <f t="shared" si="4"/>
        <v>4 - 4 - Provided delayed action/response on referred cases</v>
      </c>
      <c r="M112" s="80" t="str">
        <f t="shared" si="5"/>
        <v>4 - 4 - 115%-129% earlier or 1 day before the deadline</v>
      </c>
    </row>
    <row r="113" spans="1:13" ht="38.25">
      <c r="A113" s="49"/>
      <c r="B113" s="219"/>
      <c r="C113" s="221"/>
      <c r="D113" s="63" t="s">
        <v>175</v>
      </c>
      <c r="E113" s="63" t="s">
        <v>175</v>
      </c>
      <c r="F113" s="78" t="s">
        <v>211</v>
      </c>
      <c r="G113" s="221"/>
      <c r="H113" s="221"/>
      <c r="I113" s="215"/>
      <c r="J113" s="86" t="s">
        <v>175</v>
      </c>
      <c r="K113" s="80" t="str">
        <f t="shared" si="3"/>
        <v xml:space="preserve">3 - 3 - </v>
      </c>
      <c r="L113" s="80" t="str">
        <f t="shared" si="4"/>
        <v xml:space="preserve">3 - 3 - </v>
      </c>
      <c r="M113" s="80" t="str">
        <f t="shared" si="5"/>
        <v>3 - 3 - 100%-114% earlier than the deadline or on the deadline</v>
      </c>
    </row>
    <row r="114" spans="1:13" ht="38.25">
      <c r="A114" s="49"/>
      <c r="B114" s="219"/>
      <c r="C114" s="221"/>
      <c r="D114" s="63" t="s">
        <v>176</v>
      </c>
      <c r="E114" s="63" t="s">
        <v>176</v>
      </c>
      <c r="F114" s="78" t="s">
        <v>214</v>
      </c>
      <c r="G114" s="221"/>
      <c r="H114" s="221"/>
      <c r="I114" s="215"/>
      <c r="J114" s="86" t="s">
        <v>176</v>
      </c>
      <c r="K114" s="80" t="str">
        <f t="shared" si="3"/>
        <v xml:space="preserve">2 - 2 - </v>
      </c>
      <c r="L114" s="80" t="str">
        <f t="shared" si="4"/>
        <v xml:space="preserve">2 - 2 - </v>
      </c>
      <c r="M114" s="80" t="str">
        <f t="shared" si="5"/>
        <v>2 - 2 - 51%-99% earlier than the deadline or 4-5 days after the deadline</v>
      </c>
    </row>
    <row r="115" spans="1:13" ht="51">
      <c r="A115" s="49"/>
      <c r="B115" s="220"/>
      <c r="C115" s="192"/>
      <c r="D115" s="63" t="s">
        <v>177</v>
      </c>
      <c r="E115" s="63" t="s">
        <v>177</v>
      </c>
      <c r="F115" s="79" t="s">
        <v>217</v>
      </c>
      <c r="G115" s="192"/>
      <c r="H115" s="192"/>
      <c r="I115" s="197"/>
      <c r="J115" s="86" t="s">
        <v>177</v>
      </c>
      <c r="K115" s="80" t="str">
        <f t="shared" si="3"/>
        <v xml:space="preserve">1 - 1 - </v>
      </c>
      <c r="L115" s="80" t="str">
        <f t="shared" si="4"/>
        <v xml:space="preserve">1 - 1 - </v>
      </c>
      <c r="M115" s="80" t="str">
        <f t="shared" si="5"/>
        <v>1 - 1 - 50% later and below than the deadline or more than 5 days after the deadline</v>
      </c>
    </row>
    <row r="116" spans="1:13" ht="38.25">
      <c r="A116" s="49"/>
      <c r="B116" s="216" t="s">
        <v>149</v>
      </c>
      <c r="C116" s="210" t="s">
        <v>151</v>
      </c>
      <c r="D116" s="63" t="s">
        <v>230</v>
      </c>
      <c r="E116" s="63" t="s">
        <v>298</v>
      </c>
      <c r="F116" s="77" t="s">
        <v>205</v>
      </c>
      <c r="G116" s="213" t="s">
        <v>125</v>
      </c>
      <c r="H116" s="210" t="s">
        <v>152</v>
      </c>
      <c r="I116" s="218"/>
      <c r="J116" s="86" t="s">
        <v>173</v>
      </c>
      <c r="K116" s="80" t="str">
        <f t="shared" si="3"/>
        <v>5 - 5 - 100% accomplished</v>
      </c>
      <c r="L116" s="80" t="str">
        <f t="shared" si="4"/>
        <v>5 - 5 - Reports are accurate and consistent and accepted by RRP CFT/W Regional Focal</v>
      </c>
      <c r="M116" s="80" t="str">
        <f t="shared" si="5"/>
        <v>5 - 5 - 130% earlier and above or 2 days before the deadline or earlier</v>
      </c>
    </row>
    <row r="117" spans="1:13" ht="38.25">
      <c r="A117" s="49"/>
      <c r="B117" s="219"/>
      <c r="C117" s="221"/>
      <c r="D117" s="63" t="s">
        <v>246</v>
      </c>
      <c r="E117" s="63" t="s">
        <v>174</v>
      </c>
      <c r="F117" s="78" t="s">
        <v>208</v>
      </c>
      <c r="G117" s="221"/>
      <c r="H117" s="221"/>
      <c r="I117" s="215"/>
      <c r="J117" s="86" t="s">
        <v>174</v>
      </c>
      <c r="K117" s="80" t="str">
        <f t="shared" si="3"/>
        <v>4 - 4 - 50% accomplished</v>
      </c>
      <c r="L117" s="80" t="str">
        <f t="shared" si="4"/>
        <v xml:space="preserve">4 - 4 - </v>
      </c>
      <c r="M117" s="80" t="str">
        <f t="shared" si="5"/>
        <v>4 - 4 - 115%-129% earlier or 1 day before the deadline</v>
      </c>
    </row>
    <row r="118" spans="1:13" ht="38.25">
      <c r="A118" s="49"/>
      <c r="B118" s="219"/>
      <c r="C118" s="221"/>
      <c r="D118" s="63" t="s">
        <v>175</v>
      </c>
      <c r="E118" s="63" t="s">
        <v>175</v>
      </c>
      <c r="F118" s="78" t="s">
        <v>211</v>
      </c>
      <c r="G118" s="221"/>
      <c r="H118" s="221"/>
      <c r="I118" s="215"/>
      <c r="J118" s="86" t="s">
        <v>175</v>
      </c>
      <c r="K118" s="80" t="str">
        <f t="shared" si="3"/>
        <v xml:space="preserve">3 - 3 - </v>
      </c>
      <c r="L118" s="80" t="str">
        <f t="shared" si="4"/>
        <v xml:space="preserve">3 - 3 - </v>
      </c>
      <c r="M118" s="80" t="str">
        <f t="shared" si="5"/>
        <v>3 - 3 - 100%-114% earlier than the deadline or on the deadline</v>
      </c>
    </row>
    <row r="119" spans="1:13" ht="38.25">
      <c r="A119" s="49"/>
      <c r="B119" s="219"/>
      <c r="C119" s="221"/>
      <c r="D119" s="63" t="s">
        <v>176</v>
      </c>
      <c r="E119" s="63" t="s">
        <v>176</v>
      </c>
      <c r="F119" s="78" t="s">
        <v>214</v>
      </c>
      <c r="G119" s="221"/>
      <c r="H119" s="221"/>
      <c r="I119" s="215"/>
      <c r="J119" s="86" t="s">
        <v>176</v>
      </c>
      <c r="K119" s="80" t="str">
        <f t="shared" si="3"/>
        <v xml:space="preserve">2 - 2 - </v>
      </c>
      <c r="L119" s="80" t="str">
        <f t="shared" si="4"/>
        <v xml:space="preserve">2 - 2 - </v>
      </c>
      <c r="M119" s="80" t="str">
        <f t="shared" si="5"/>
        <v>2 - 2 - 51%-99% earlier than the deadline or 4-5 days after the deadline</v>
      </c>
    </row>
    <row r="120" spans="1:13" ht="51">
      <c r="A120" s="49"/>
      <c r="B120" s="220"/>
      <c r="C120" s="192"/>
      <c r="D120" s="63" t="s">
        <v>227</v>
      </c>
      <c r="E120" s="70" t="s">
        <v>177</v>
      </c>
      <c r="F120" s="79" t="s">
        <v>217</v>
      </c>
      <c r="G120" s="192"/>
      <c r="H120" s="192"/>
      <c r="I120" s="197"/>
      <c r="J120" s="86" t="s">
        <v>177</v>
      </c>
      <c r="K120" s="80" t="str">
        <f t="shared" si="3"/>
        <v>1 - 1 - 0% accomplished</v>
      </c>
      <c r="L120" s="80" t="str">
        <f t="shared" si="4"/>
        <v xml:space="preserve">1 - 1 - </v>
      </c>
      <c r="M120" s="80" t="str">
        <f t="shared" si="5"/>
        <v>1 - 1 - 50% later and below than the deadline or more than 5 days after the deadline</v>
      </c>
    </row>
    <row r="121" spans="1:13" ht="63.75">
      <c r="A121" s="49"/>
      <c r="B121" s="216" t="s">
        <v>75</v>
      </c>
      <c r="C121" s="210" t="s">
        <v>76</v>
      </c>
      <c r="D121" s="63" t="s">
        <v>230</v>
      </c>
      <c r="E121" s="63" t="s">
        <v>299</v>
      </c>
      <c r="F121" s="77" t="s">
        <v>205</v>
      </c>
      <c r="G121" s="213" t="s">
        <v>125</v>
      </c>
      <c r="H121" s="217" t="s">
        <v>153</v>
      </c>
      <c r="I121" s="218"/>
      <c r="J121" s="86" t="s">
        <v>173</v>
      </c>
      <c r="K121" s="80" t="str">
        <f t="shared" si="3"/>
        <v>5 - 5 - 100% accomplished</v>
      </c>
      <c r="L121" s="80" t="str">
        <f t="shared" si="4"/>
        <v>5 - 5 - Minutes/executive summary/feedback/documentation/after-activity reports capture agreements with attached photo documentation</v>
      </c>
      <c r="M121" s="80" t="str">
        <f t="shared" si="5"/>
        <v>5 - 5 - 130% earlier and above or 2 days before the deadline or earlier</v>
      </c>
    </row>
    <row r="122" spans="1:13" ht="38.25">
      <c r="A122" s="49"/>
      <c r="B122" s="219"/>
      <c r="C122" s="221"/>
      <c r="D122" s="63" t="s">
        <v>246</v>
      </c>
      <c r="E122" s="63" t="s">
        <v>174</v>
      </c>
      <c r="F122" s="78" t="s">
        <v>208</v>
      </c>
      <c r="G122" s="221"/>
      <c r="H122" s="210"/>
      <c r="I122" s="215"/>
      <c r="J122" s="86" t="s">
        <v>174</v>
      </c>
      <c r="K122" s="80" t="str">
        <f t="shared" si="3"/>
        <v>4 - 4 - 50% accomplished</v>
      </c>
      <c r="L122" s="80" t="str">
        <f t="shared" si="4"/>
        <v xml:space="preserve">4 - 4 - </v>
      </c>
      <c r="M122" s="80" t="str">
        <f t="shared" si="5"/>
        <v>4 - 4 - 115%-129% earlier or 1 day before the deadline</v>
      </c>
    </row>
    <row r="123" spans="1:13" ht="38.25">
      <c r="A123" s="49"/>
      <c r="B123" s="219"/>
      <c r="C123" s="221"/>
      <c r="D123" s="63" t="s">
        <v>175</v>
      </c>
      <c r="E123" s="63" t="s">
        <v>175</v>
      </c>
      <c r="F123" s="78" t="s">
        <v>211</v>
      </c>
      <c r="G123" s="221"/>
      <c r="H123" s="210"/>
      <c r="I123" s="215"/>
      <c r="J123" s="86" t="s">
        <v>175</v>
      </c>
      <c r="K123" s="80" t="str">
        <f t="shared" si="3"/>
        <v xml:space="preserve">3 - 3 - </v>
      </c>
      <c r="L123" s="80" t="str">
        <f t="shared" si="4"/>
        <v xml:space="preserve">3 - 3 - </v>
      </c>
      <c r="M123" s="80" t="str">
        <f t="shared" si="5"/>
        <v>3 - 3 - 100%-114% earlier than the deadline or on the deadline</v>
      </c>
    </row>
    <row r="124" spans="1:13" ht="38.25">
      <c r="A124" s="49"/>
      <c r="B124" s="219"/>
      <c r="C124" s="221"/>
      <c r="D124" s="63" t="s">
        <v>176</v>
      </c>
      <c r="E124" s="63" t="s">
        <v>176</v>
      </c>
      <c r="F124" s="78" t="s">
        <v>214</v>
      </c>
      <c r="G124" s="221"/>
      <c r="H124" s="210"/>
      <c r="I124" s="215"/>
      <c r="J124" s="86" t="s">
        <v>176</v>
      </c>
      <c r="K124" s="80" t="str">
        <f t="shared" si="3"/>
        <v xml:space="preserve">2 - 2 - </v>
      </c>
      <c r="L124" s="80" t="str">
        <f t="shared" si="4"/>
        <v xml:space="preserve">2 - 2 - </v>
      </c>
      <c r="M124" s="80" t="str">
        <f t="shared" si="5"/>
        <v>2 - 2 - 51%-99% earlier than the deadline or 4-5 days after the deadline</v>
      </c>
    </row>
    <row r="125" spans="1:13" ht="51">
      <c r="A125" s="49"/>
      <c r="B125" s="220"/>
      <c r="C125" s="192"/>
      <c r="D125" s="63" t="s">
        <v>227</v>
      </c>
      <c r="E125" s="70" t="s">
        <v>300</v>
      </c>
      <c r="F125" s="79" t="s">
        <v>217</v>
      </c>
      <c r="G125" s="192"/>
      <c r="H125" s="237"/>
      <c r="I125" s="197"/>
      <c r="J125" s="86" t="s">
        <v>177</v>
      </c>
      <c r="K125" s="80" t="str">
        <f t="shared" si="3"/>
        <v>1 - 1 - 0% accomplished</v>
      </c>
      <c r="L125" s="80" t="str">
        <f t="shared" si="4"/>
        <v>1 - 1 - No minutes/executive summary/feedback/ documentation/after-activity reports prepared and submitted</v>
      </c>
      <c r="M125" s="80" t="str">
        <f t="shared" si="5"/>
        <v>1 - 1 - 50% later and below than the deadline or more than 5 days after the deadline</v>
      </c>
    </row>
    <row r="126" spans="1:13" ht="25.5">
      <c r="A126" s="49"/>
      <c r="B126" s="216" t="s">
        <v>77</v>
      </c>
      <c r="C126" s="210" t="s">
        <v>78</v>
      </c>
      <c r="D126" s="63" t="s">
        <v>230</v>
      </c>
      <c r="E126" s="63" t="s">
        <v>301</v>
      </c>
      <c r="F126" s="77" t="s">
        <v>271</v>
      </c>
      <c r="G126" s="213" t="s">
        <v>125</v>
      </c>
      <c r="H126" s="217" t="s">
        <v>154</v>
      </c>
      <c r="I126" s="218"/>
      <c r="J126" s="86" t="s">
        <v>173</v>
      </c>
      <c r="K126" s="80" t="str">
        <f t="shared" si="3"/>
        <v>5 - 5 - 100% accomplished</v>
      </c>
      <c r="L126" s="80" t="str">
        <f t="shared" si="4"/>
        <v>5 - 5 - Clean and organized working area</v>
      </c>
      <c r="M126" s="80" t="str">
        <f t="shared" si="5"/>
        <v>5 - 5 - Within January to June 2024</v>
      </c>
    </row>
    <row r="127" spans="1:13" ht="25.5">
      <c r="A127" s="49"/>
      <c r="B127" s="219"/>
      <c r="C127" s="221"/>
      <c r="D127" s="63" t="s">
        <v>174</v>
      </c>
      <c r="E127" s="63" t="s">
        <v>302</v>
      </c>
      <c r="F127" s="78" t="s">
        <v>272</v>
      </c>
      <c r="G127" s="221"/>
      <c r="H127" s="221"/>
      <c r="I127" s="215"/>
      <c r="J127" s="86" t="s">
        <v>174</v>
      </c>
      <c r="K127" s="80" t="str">
        <f t="shared" si="3"/>
        <v xml:space="preserve">4 - 4 - </v>
      </c>
      <c r="L127" s="80" t="str">
        <f t="shared" si="4"/>
        <v>4 - 4 - Area are not so clean and organized</v>
      </c>
      <c r="M127" s="80" t="str">
        <f t="shared" si="5"/>
        <v>4 - 4 - Beyond June 2024</v>
      </c>
    </row>
    <row r="128" spans="1:13" ht="12.75">
      <c r="A128" s="49"/>
      <c r="B128" s="219"/>
      <c r="C128" s="221"/>
      <c r="D128" s="63" t="s">
        <v>175</v>
      </c>
      <c r="E128" s="63" t="s">
        <v>175</v>
      </c>
      <c r="F128" s="78" t="s">
        <v>175</v>
      </c>
      <c r="G128" s="221"/>
      <c r="H128" s="221"/>
      <c r="I128" s="215"/>
      <c r="J128" s="86" t="s">
        <v>175</v>
      </c>
      <c r="K128" s="80" t="str">
        <f t="shared" si="3"/>
        <v xml:space="preserve">3 - 3 - </v>
      </c>
      <c r="L128" s="80" t="str">
        <f t="shared" si="4"/>
        <v xml:space="preserve">3 - 3 - </v>
      </c>
      <c r="M128" s="80" t="str">
        <f t="shared" si="5"/>
        <v xml:space="preserve">3 - 3 - </v>
      </c>
    </row>
    <row r="129" spans="1:13" ht="12.75">
      <c r="A129" s="49"/>
      <c r="B129" s="219"/>
      <c r="C129" s="221"/>
      <c r="D129" s="63" t="s">
        <v>176</v>
      </c>
      <c r="E129" s="63" t="s">
        <v>176</v>
      </c>
      <c r="F129" s="78" t="s">
        <v>176</v>
      </c>
      <c r="G129" s="221"/>
      <c r="H129" s="221"/>
      <c r="I129" s="215"/>
      <c r="J129" s="86" t="s">
        <v>176</v>
      </c>
      <c r="K129" s="80" t="str">
        <f t="shared" si="3"/>
        <v xml:space="preserve">2 - 2 - </v>
      </c>
      <c r="L129" s="80" t="str">
        <f t="shared" si="4"/>
        <v xml:space="preserve">2 - 2 - </v>
      </c>
      <c r="M129" s="80" t="str">
        <f t="shared" si="5"/>
        <v xml:space="preserve">2 - 2 - </v>
      </c>
    </row>
    <row r="130" spans="1:13" ht="12.75">
      <c r="A130" s="49"/>
      <c r="B130" s="220"/>
      <c r="C130" s="192"/>
      <c r="D130" s="63" t="s">
        <v>177</v>
      </c>
      <c r="E130" s="63" t="s">
        <v>177</v>
      </c>
      <c r="F130" s="79" t="s">
        <v>177</v>
      </c>
      <c r="G130" s="192"/>
      <c r="H130" s="192"/>
      <c r="I130" s="197"/>
      <c r="J130" s="86" t="s">
        <v>177</v>
      </c>
      <c r="K130" s="80" t="str">
        <f t="shared" si="3"/>
        <v xml:space="preserve">1 - 1 - </v>
      </c>
      <c r="L130" s="80" t="str">
        <f t="shared" si="4"/>
        <v xml:space="preserve">1 - 1 - </v>
      </c>
      <c r="M130" s="80" t="str">
        <f t="shared" si="5"/>
        <v xml:space="preserve">1 - 1 - </v>
      </c>
    </row>
    <row r="131" spans="1:13" ht="25.5">
      <c r="A131" s="49"/>
      <c r="B131" s="216" t="s">
        <v>79</v>
      </c>
      <c r="C131" s="210" t="s">
        <v>80</v>
      </c>
      <c r="D131" s="63" t="s">
        <v>295</v>
      </c>
      <c r="E131" s="63" t="s">
        <v>303</v>
      </c>
      <c r="F131" s="77" t="s">
        <v>271</v>
      </c>
      <c r="G131" s="213" t="s">
        <v>125</v>
      </c>
      <c r="H131" s="210" t="s">
        <v>155</v>
      </c>
      <c r="I131" s="218"/>
      <c r="J131" s="86" t="s">
        <v>173</v>
      </c>
      <c r="K131" s="80" t="str">
        <f t="shared" si="3"/>
        <v>5 - 5 - ANA</v>
      </c>
      <c r="L131" s="80" t="str">
        <f t="shared" si="4"/>
        <v>5 - 5 - Performed task assigned with no complaints</v>
      </c>
      <c r="M131" s="80" t="str">
        <f t="shared" si="5"/>
        <v>5 - 5 - Within January to June 2024</v>
      </c>
    </row>
    <row r="132" spans="1:13" ht="25.5">
      <c r="A132" s="49"/>
      <c r="B132" s="219"/>
      <c r="C132" s="221"/>
      <c r="D132" s="63" t="s">
        <v>174</v>
      </c>
      <c r="E132" s="63" t="s">
        <v>304</v>
      </c>
      <c r="F132" s="78" t="s">
        <v>272</v>
      </c>
      <c r="G132" s="221"/>
      <c r="H132" s="221"/>
      <c r="I132" s="215"/>
      <c r="J132" s="86" t="s">
        <v>174</v>
      </c>
      <c r="K132" s="80" t="str">
        <f t="shared" si="3"/>
        <v xml:space="preserve">4 - 4 - </v>
      </c>
      <c r="L132" s="80" t="str">
        <f t="shared" si="4"/>
        <v>4 - 4 - Performed task assigned with complaints</v>
      </c>
      <c r="M132" s="80" t="str">
        <f t="shared" si="5"/>
        <v>4 - 4 - Beyond June 2024</v>
      </c>
    </row>
    <row r="133" spans="1:13" ht="12.75">
      <c r="A133" s="49"/>
      <c r="B133" s="219"/>
      <c r="C133" s="221"/>
      <c r="D133" s="63" t="s">
        <v>175</v>
      </c>
      <c r="E133" s="63" t="s">
        <v>175</v>
      </c>
      <c r="F133" s="78" t="s">
        <v>175</v>
      </c>
      <c r="G133" s="221"/>
      <c r="H133" s="221"/>
      <c r="I133" s="215"/>
      <c r="J133" s="86" t="s">
        <v>175</v>
      </c>
      <c r="K133" s="80" t="str">
        <f t="shared" si="3"/>
        <v xml:space="preserve">3 - 3 - </v>
      </c>
      <c r="L133" s="80" t="str">
        <f t="shared" si="4"/>
        <v xml:space="preserve">3 - 3 - </v>
      </c>
      <c r="M133" s="80" t="str">
        <f t="shared" si="5"/>
        <v xml:space="preserve">3 - 3 - </v>
      </c>
    </row>
    <row r="134" spans="1:13" ht="12.75">
      <c r="A134" s="49"/>
      <c r="B134" s="219"/>
      <c r="C134" s="221"/>
      <c r="D134" s="63" t="s">
        <v>176</v>
      </c>
      <c r="E134" s="63" t="s">
        <v>176</v>
      </c>
      <c r="F134" s="78" t="s">
        <v>176</v>
      </c>
      <c r="G134" s="221"/>
      <c r="H134" s="221"/>
      <c r="I134" s="215"/>
      <c r="J134" s="86" t="s">
        <v>176</v>
      </c>
      <c r="K134" s="80" t="str">
        <f t="shared" si="3"/>
        <v xml:space="preserve">2 - 2 - </v>
      </c>
      <c r="L134" s="80" t="str">
        <f t="shared" si="4"/>
        <v xml:space="preserve">2 - 2 - </v>
      </c>
      <c r="M134" s="80" t="str">
        <f t="shared" si="5"/>
        <v xml:space="preserve">2 - 2 - </v>
      </c>
    </row>
    <row r="135" spans="1:13" ht="12.75">
      <c r="A135" s="49"/>
      <c r="B135" s="220"/>
      <c r="C135" s="192"/>
      <c r="D135" s="63" t="s">
        <v>177</v>
      </c>
      <c r="E135" s="70" t="s">
        <v>177</v>
      </c>
      <c r="F135" s="79" t="s">
        <v>177</v>
      </c>
      <c r="G135" s="192"/>
      <c r="H135" s="192"/>
      <c r="I135" s="197"/>
      <c r="J135" s="86" t="s">
        <v>177</v>
      </c>
      <c r="K135" s="80" t="str">
        <f t="shared" si="3"/>
        <v xml:space="preserve">1 - 1 - </v>
      </c>
      <c r="L135" s="80" t="str">
        <f t="shared" si="4"/>
        <v xml:space="preserve">1 - 1 - </v>
      </c>
      <c r="M135" s="80" t="str">
        <f t="shared" si="5"/>
        <v xml:space="preserve">1 - 1 - </v>
      </c>
    </row>
    <row r="136" spans="1:13" ht="15.75" customHeight="1">
      <c r="A136" s="49"/>
      <c r="B136" s="222" t="s">
        <v>127</v>
      </c>
      <c r="C136" s="223"/>
      <c r="D136" s="224" t="s">
        <v>128</v>
      </c>
      <c r="E136" s="225"/>
      <c r="F136" s="225"/>
      <c r="G136" s="225"/>
      <c r="H136" s="225"/>
      <c r="I136" s="226"/>
      <c r="J136" s="37"/>
    </row>
    <row r="137" spans="1:13" ht="72.75" customHeight="1">
      <c r="A137" s="49"/>
      <c r="B137" s="227" t="s">
        <v>165</v>
      </c>
      <c r="C137" s="228"/>
      <c r="D137" s="229" t="s">
        <v>160</v>
      </c>
      <c r="E137" s="230"/>
      <c r="F137" s="230"/>
      <c r="G137" s="230"/>
      <c r="H137" s="230"/>
      <c r="I137" s="231"/>
      <c r="J137" s="37"/>
    </row>
    <row r="138" spans="1:13" ht="15.75" customHeight="1" thickBot="1">
      <c r="A138" s="49"/>
      <c r="B138" s="232" t="s">
        <v>167</v>
      </c>
      <c r="C138" s="233"/>
      <c r="D138" s="234" t="s">
        <v>129</v>
      </c>
      <c r="E138" s="235"/>
      <c r="F138" s="235"/>
      <c r="G138" s="235"/>
      <c r="H138" s="235"/>
      <c r="I138" s="236"/>
      <c r="J138" s="37"/>
    </row>
    <row r="139" spans="1:13" ht="15.75" customHeight="1">
      <c r="A139" s="71"/>
      <c r="B139" s="72" t="s">
        <v>130</v>
      </c>
      <c r="C139" s="73"/>
      <c r="D139" s="73"/>
      <c r="E139" s="73"/>
      <c r="F139" s="73"/>
      <c r="G139" s="73"/>
      <c r="H139" s="73"/>
      <c r="I139" s="73"/>
      <c r="J139" s="73"/>
    </row>
    <row r="140" spans="1:13" ht="15.75" customHeight="1"/>
    <row r="141" spans="1:13" ht="15.75" customHeight="1"/>
    <row r="142" spans="1:13" ht="15.75" customHeight="1"/>
    <row r="143" spans="1:13" ht="15.75" customHeight="1"/>
    <row r="144" spans="1:13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</sheetData>
  <mergeCells count="132">
    <mergeCell ref="H65:H69"/>
    <mergeCell ref="I65:I69"/>
    <mergeCell ref="B121:B125"/>
    <mergeCell ref="C121:C125"/>
    <mergeCell ref="G121:G125"/>
    <mergeCell ref="H121:H125"/>
    <mergeCell ref="I121:I125"/>
    <mergeCell ref="B111:B115"/>
    <mergeCell ref="C111:C115"/>
    <mergeCell ref="G111:G115"/>
    <mergeCell ref="H111:H115"/>
    <mergeCell ref="I111:I115"/>
    <mergeCell ref="B105:B109"/>
    <mergeCell ref="C105:C109"/>
    <mergeCell ref="G105:G109"/>
    <mergeCell ref="H105:H109"/>
    <mergeCell ref="I105:I109"/>
    <mergeCell ref="B116:B120"/>
    <mergeCell ref="C116:C120"/>
    <mergeCell ref="G116:G120"/>
    <mergeCell ref="H116:H120"/>
    <mergeCell ref="I116:I120"/>
    <mergeCell ref="B100:B104"/>
    <mergeCell ref="C100:C104"/>
    <mergeCell ref="I45:I49"/>
    <mergeCell ref="B70:B74"/>
    <mergeCell ref="C70:C74"/>
    <mergeCell ref="G70:G74"/>
    <mergeCell ref="H70:H74"/>
    <mergeCell ref="I70:I74"/>
    <mergeCell ref="B50:B54"/>
    <mergeCell ref="C50:C54"/>
    <mergeCell ref="G50:G54"/>
    <mergeCell ref="H50:H54"/>
    <mergeCell ref="I50:I54"/>
    <mergeCell ref="B55:B59"/>
    <mergeCell ref="C55:C59"/>
    <mergeCell ref="G55:G59"/>
    <mergeCell ref="H55:H59"/>
    <mergeCell ref="I55:I59"/>
    <mergeCell ref="B60:B64"/>
    <mergeCell ref="C60:C64"/>
    <mergeCell ref="G60:G64"/>
    <mergeCell ref="H60:H64"/>
    <mergeCell ref="I60:I64"/>
    <mergeCell ref="B65:B69"/>
    <mergeCell ref="C65:C69"/>
    <mergeCell ref="G65:G69"/>
    <mergeCell ref="B136:C136"/>
    <mergeCell ref="D136:I136"/>
    <mergeCell ref="B137:C137"/>
    <mergeCell ref="D137:I137"/>
    <mergeCell ref="B138:C138"/>
    <mergeCell ref="D138:I138"/>
    <mergeCell ref="I126:I130"/>
    <mergeCell ref="B131:B135"/>
    <mergeCell ref="C131:C135"/>
    <mergeCell ref="G131:G135"/>
    <mergeCell ref="H131:H135"/>
    <mergeCell ref="I131:I135"/>
    <mergeCell ref="B90:B94"/>
    <mergeCell ref="C90:C94"/>
    <mergeCell ref="G90:G94"/>
    <mergeCell ref="H90:H94"/>
    <mergeCell ref="I90:I94"/>
    <mergeCell ref="B126:B130"/>
    <mergeCell ref="C126:C130"/>
    <mergeCell ref="G126:G130"/>
    <mergeCell ref="H126:H130"/>
    <mergeCell ref="G100:G104"/>
    <mergeCell ref="H100:H104"/>
    <mergeCell ref="I100:I104"/>
    <mergeCell ref="B95:B99"/>
    <mergeCell ref="C95:C99"/>
    <mergeCell ref="G95:G99"/>
    <mergeCell ref="H95:H99"/>
    <mergeCell ref="I95:I99"/>
    <mergeCell ref="B80:B84"/>
    <mergeCell ref="C80:C84"/>
    <mergeCell ref="G80:G84"/>
    <mergeCell ref="H80:H84"/>
    <mergeCell ref="I80:I84"/>
    <mergeCell ref="B85:B89"/>
    <mergeCell ref="C85:C89"/>
    <mergeCell ref="G85:G89"/>
    <mergeCell ref="H85:H89"/>
    <mergeCell ref="I85:I89"/>
    <mergeCell ref="B29:B33"/>
    <mergeCell ref="C29:C33"/>
    <mergeCell ref="G29:G33"/>
    <mergeCell ref="H29:H33"/>
    <mergeCell ref="I29:I33"/>
    <mergeCell ref="B75:B79"/>
    <mergeCell ref="C75:C79"/>
    <mergeCell ref="G75:G79"/>
    <mergeCell ref="H75:H79"/>
    <mergeCell ref="I75:I79"/>
    <mergeCell ref="B35:B39"/>
    <mergeCell ref="C35:C39"/>
    <mergeCell ref="G35:G39"/>
    <mergeCell ref="H35:H39"/>
    <mergeCell ref="I35:I39"/>
    <mergeCell ref="B40:B44"/>
    <mergeCell ref="C40:C44"/>
    <mergeCell ref="G40:G44"/>
    <mergeCell ref="H40:H44"/>
    <mergeCell ref="I40:I44"/>
    <mergeCell ref="B45:B49"/>
    <mergeCell ref="C45:C49"/>
    <mergeCell ref="G45:G49"/>
    <mergeCell ref="H45:H49"/>
    <mergeCell ref="B19:B23"/>
    <mergeCell ref="C19:C23"/>
    <mergeCell ref="G19:G23"/>
    <mergeCell ref="H19:H23"/>
    <mergeCell ref="I19:I23"/>
    <mergeCell ref="B24:B28"/>
    <mergeCell ref="C24:C28"/>
    <mergeCell ref="G24:G28"/>
    <mergeCell ref="H24:H28"/>
    <mergeCell ref="I24:I28"/>
    <mergeCell ref="G13:I13"/>
    <mergeCell ref="H14:I14"/>
    <mergeCell ref="C15:C16"/>
    <mergeCell ref="D15:F15"/>
    <mergeCell ref="H15:H16"/>
    <mergeCell ref="I15:I16"/>
    <mergeCell ref="B1:I1"/>
    <mergeCell ref="B3:I3"/>
    <mergeCell ref="B4:I4"/>
    <mergeCell ref="B5:I5"/>
    <mergeCell ref="B8:I8"/>
  </mergeCells>
  <printOptions horizontalCentered="1" gridLines="1"/>
  <pageMargins left="0" right="0" top="0.27559055118110237" bottom="0.19685039370078741" header="0" footer="0"/>
  <pageSetup paperSize="9" scale="75" fitToHeight="0" pageOrder="overThenDown" orientation="landscape" cellComments="atEnd" r:id="rId1"/>
  <headerFooter>
    <oddFooter>Page &amp;P of &amp;N</oddFooter>
  </headerFooter>
  <rowBreaks count="1" manualBreakCount="1">
    <brk id="130" min="1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K1015"/>
  <sheetViews>
    <sheetView showGridLines="0" view="pageBreakPreview" topLeftCell="B3" zoomScaleNormal="100" zoomScaleSheetLayoutView="100" workbookViewId="0">
      <selection activeCell="B3" sqref="B3:L3"/>
    </sheetView>
  </sheetViews>
  <sheetFormatPr defaultColWidth="12.5703125" defaultRowHeight="15" customHeight="1"/>
  <cols>
    <col min="1" max="1" width="2.42578125" hidden="1" customWidth="1"/>
    <col min="2" max="2" width="25.5703125" customWidth="1"/>
    <col min="3" max="3" width="21.5703125" customWidth="1"/>
    <col min="4" max="4" width="9.140625" customWidth="1"/>
    <col min="5" max="5" width="24.28515625" customWidth="1"/>
    <col min="6" max="6" width="53.5703125" customWidth="1"/>
    <col min="7" max="10" width="8.42578125" customWidth="1"/>
    <col min="11" max="11" width="6.5703125" customWidth="1"/>
    <col min="12" max="12" width="11.42578125" customWidth="1"/>
    <col min="13" max="13" width="3.42578125" hidden="1" customWidth="1"/>
    <col min="14" max="22" width="12.5703125" hidden="1" customWidth="1"/>
    <col min="23" max="31" width="0" hidden="1" customWidth="1"/>
  </cols>
  <sheetData>
    <row r="1" spans="1:26" ht="15.7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49" t="s">
        <v>1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139" customFormat="1" ht="8.25" customHeight="1"/>
    <row r="5" spans="1:26" ht="15.75" customHeight="1">
      <c r="A5" s="1"/>
      <c r="B5" s="139" t="s">
        <v>39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254" t="s">
        <v>48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" customHeight="1">
      <c r="A7" s="1"/>
      <c r="B7" s="139"/>
      <c r="C7" s="138"/>
      <c r="D7" s="138"/>
      <c r="E7" s="138"/>
      <c r="F7" s="138"/>
      <c r="G7" s="138"/>
      <c r="H7" s="138"/>
      <c r="I7" s="138"/>
      <c r="J7" s="138"/>
      <c r="K7" s="13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139" customFormat="1" ht="15" customHeight="1" thickBot="1"/>
    <row r="9" spans="1:26" ht="46.5" customHeight="1">
      <c r="A9" s="1"/>
      <c r="B9" s="255" t="s">
        <v>49</v>
      </c>
      <c r="C9" s="256"/>
      <c r="D9" s="256"/>
      <c r="E9" s="256"/>
      <c r="F9" s="256"/>
      <c r="G9" s="256"/>
      <c r="H9" s="256"/>
      <c r="I9" s="256"/>
      <c r="J9" s="256"/>
      <c r="K9" s="256"/>
      <c r="L9" s="25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>
      <c r="A10" s="1"/>
      <c r="B10" s="3"/>
      <c r="C10" s="1"/>
      <c r="D10" s="1"/>
      <c r="E10" s="1"/>
      <c r="F10" s="1"/>
      <c r="G10" s="258" t="s">
        <v>52</v>
      </c>
      <c r="H10" s="259"/>
      <c r="I10" s="259"/>
      <c r="J10" s="259"/>
      <c r="K10" s="259"/>
      <c r="L10" s="26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54"/>
      <c r="C11" s="138"/>
      <c r="D11" s="1"/>
      <c r="E11" s="1"/>
      <c r="F11" s="1"/>
      <c r="G11" s="261" t="s">
        <v>40</v>
      </c>
      <c r="H11" s="262"/>
      <c r="I11" s="262"/>
      <c r="J11" s="262"/>
      <c r="K11" s="262"/>
      <c r="L11" s="26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37"/>
      <c r="C12" s="138"/>
      <c r="D12" s="1"/>
      <c r="E12" s="1"/>
      <c r="F12" s="1"/>
      <c r="G12" s="285" t="s">
        <v>53</v>
      </c>
      <c r="H12" s="285"/>
      <c r="I12" s="285"/>
      <c r="J12" s="285"/>
      <c r="K12" s="285"/>
      <c r="L12" s="28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thickBot="1">
      <c r="A13" s="1"/>
      <c r="B13" s="4"/>
      <c r="C13" s="5"/>
      <c r="D13" s="1"/>
      <c r="E13" s="1"/>
      <c r="F13" s="1"/>
      <c r="G13" s="1"/>
      <c r="H13" s="1"/>
      <c r="I13" s="264" t="s">
        <v>159</v>
      </c>
      <c r="J13" s="265"/>
      <c r="K13" s="265"/>
      <c r="L13" s="26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44" t="s">
        <v>41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47" t="s">
        <v>42</v>
      </c>
      <c r="C15" s="109"/>
      <c r="D15" s="109"/>
      <c r="E15" s="110"/>
      <c r="F15" s="148" t="s">
        <v>43</v>
      </c>
      <c r="G15" s="109"/>
      <c r="H15" s="109"/>
      <c r="I15" s="109"/>
      <c r="J15" s="109"/>
      <c r="K15" s="109"/>
      <c r="L15" s="12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28" t="s">
        <v>44</v>
      </c>
      <c r="C16" s="130" t="s">
        <v>12</v>
      </c>
      <c r="D16" s="131"/>
      <c r="E16" s="132"/>
      <c r="F16" s="135" t="s">
        <v>13</v>
      </c>
      <c r="G16" s="118" t="s">
        <v>14</v>
      </c>
      <c r="H16" s="109"/>
      <c r="I16" s="109"/>
      <c r="J16" s="109"/>
      <c r="K16" s="119" t="s">
        <v>15</v>
      </c>
      <c r="L16" s="12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37" ht="15.75" customHeight="1">
      <c r="A17" s="1"/>
      <c r="B17" s="129"/>
      <c r="C17" s="121"/>
      <c r="D17" s="133"/>
      <c r="E17" s="134"/>
      <c r="F17" s="136"/>
      <c r="G17" s="7" t="s">
        <v>16</v>
      </c>
      <c r="H17" s="7" t="s">
        <v>17</v>
      </c>
      <c r="I17" s="7" t="s">
        <v>18</v>
      </c>
      <c r="J17" s="7" t="s">
        <v>19</v>
      </c>
      <c r="K17" s="121"/>
      <c r="L17" s="12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37" s="19" customFormat="1" ht="15.75" customHeight="1">
      <c r="A18" s="18"/>
      <c r="B18" s="96" t="s">
        <v>20</v>
      </c>
      <c r="C18" s="269"/>
      <c r="D18" s="270"/>
      <c r="E18" s="271"/>
      <c r="F18" s="28"/>
      <c r="G18" s="29"/>
      <c r="H18" s="29"/>
      <c r="I18" s="29"/>
      <c r="J18" s="29"/>
      <c r="K18" s="288"/>
      <c r="L18" s="289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F18" s="98">
        <f>SUM(J19,J20,J21,J22,J23,J24,J25,J26,J28,J29,J30,J32,J33,J34,J35,J40,J41)</f>
        <v>73.333333333333329</v>
      </c>
      <c r="AG18" s="19">
        <f>COUNTA(J19,J20,J21,J22,J23,J24,J25,J26,J28,J29,J30,J32,J33,J34,J35,J40)</f>
        <v>16</v>
      </c>
      <c r="AH18" s="19">
        <f>AF18/AG18</f>
        <v>4.583333333333333</v>
      </c>
      <c r="AI18" s="98">
        <f>SUM(J18,J31,J36)</f>
        <v>0</v>
      </c>
      <c r="AJ18" s="19">
        <f>COUNTA(J18,J31,J36)</f>
        <v>0</v>
      </c>
      <c r="AK18" s="19" t="e">
        <f>AI18/AJ18</f>
        <v>#DIV/0!</v>
      </c>
    </row>
    <row r="19" spans="1:37" ht="76.5">
      <c r="A19" s="1"/>
      <c r="B19" s="22" t="s">
        <v>81</v>
      </c>
      <c r="C19" s="251" t="s">
        <v>54</v>
      </c>
      <c r="D19" s="267"/>
      <c r="E19" s="268"/>
      <c r="F19" s="92" t="s">
        <v>309</v>
      </c>
      <c r="G19" s="10">
        <v>5</v>
      </c>
      <c r="H19" s="10">
        <v>5</v>
      </c>
      <c r="I19" s="10">
        <v>2</v>
      </c>
      <c r="J19" s="10">
        <f t="shared" ref="J19:J26" si="0">IFERROR(AVERAGE(G19:I19),"")</f>
        <v>4</v>
      </c>
      <c r="K19" s="118"/>
      <c r="L19" s="29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37" ht="89.25">
      <c r="A20" s="1"/>
      <c r="B20" s="20" t="s">
        <v>82</v>
      </c>
      <c r="C20" s="287" t="s">
        <v>55</v>
      </c>
      <c r="D20" s="252"/>
      <c r="E20" s="253"/>
      <c r="F20" s="92" t="s">
        <v>310</v>
      </c>
      <c r="G20" s="10">
        <v>5</v>
      </c>
      <c r="H20" s="10">
        <v>4</v>
      </c>
      <c r="I20" s="10">
        <v>2</v>
      </c>
      <c r="J20" s="10">
        <f t="shared" si="0"/>
        <v>3.6666666666666665</v>
      </c>
      <c r="K20" s="118"/>
      <c r="L20" s="29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37" ht="63.75">
      <c r="A21" s="1"/>
      <c r="B21" s="20" t="s">
        <v>83</v>
      </c>
      <c r="C21" s="287" t="s">
        <v>56</v>
      </c>
      <c r="D21" s="267"/>
      <c r="E21" s="268"/>
      <c r="F21" s="94" t="s">
        <v>56</v>
      </c>
      <c r="G21" s="10">
        <v>5</v>
      </c>
      <c r="H21" s="10">
        <v>4</v>
      </c>
      <c r="I21" s="10">
        <v>3</v>
      </c>
      <c r="J21" s="10">
        <f t="shared" si="0"/>
        <v>4</v>
      </c>
      <c r="K21" s="118"/>
      <c r="L21" s="29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7" ht="76.5">
      <c r="A22" s="1"/>
      <c r="B22" s="20" t="s">
        <v>84</v>
      </c>
      <c r="C22" s="251" t="s">
        <v>57</v>
      </c>
      <c r="D22" s="267"/>
      <c r="E22" s="268"/>
      <c r="F22" s="92" t="s">
        <v>317</v>
      </c>
      <c r="G22" s="10">
        <v>4</v>
      </c>
      <c r="H22" s="10">
        <v>5</v>
      </c>
      <c r="I22" s="10">
        <v>5</v>
      </c>
      <c r="J22" s="10">
        <f t="shared" si="0"/>
        <v>4.666666666666667</v>
      </c>
      <c r="K22" s="118"/>
      <c r="L22" s="29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37" ht="63.75">
      <c r="A23" s="1"/>
      <c r="B23" s="20" t="s">
        <v>58</v>
      </c>
      <c r="C23" s="287" t="s">
        <v>59</v>
      </c>
      <c r="D23" s="252"/>
      <c r="E23" s="253"/>
      <c r="F23" s="94" t="s">
        <v>59</v>
      </c>
      <c r="G23" s="10">
        <v>5</v>
      </c>
      <c r="H23" s="10">
        <v>4</v>
      </c>
      <c r="I23" s="10">
        <v>4</v>
      </c>
      <c r="J23" s="10">
        <f t="shared" si="0"/>
        <v>4.333333333333333</v>
      </c>
      <c r="K23" s="118"/>
      <c r="L23" s="29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37" ht="63.75">
      <c r="A24" s="1"/>
      <c r="B24" s="20" t="s">
        <v>60</v>
      </c>
      <c r="C24" s="287" t="s">
        <v>59</v>
      </c>
      <c r="D24" s="267"/>
      <c r="E24" s="268"/>
      <c r="F24" s="92" t="s">
        <v>59</v>
      </c>
      <c r="G24" s="10">
        <v>5</v>
      </c>
      <c r="H24" s="10">
        <v>4</v>
      </c>
      <c r="I24" s="10">
        <v>4</v>
      </c>
      <c r="J24" s="10">
        <f t="shared" si="0"/>
        <v>4.333333333333333</v>
      </c>
      <c r="K24" s="118"/>
      <c r="L24" s="29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37" ht="63.75">
      <c r="A25" s="1"/>
      <c r="B25" s="20" t="s">
        <v>85</v>
      </c>
      <c r="C25" s="287" t="s">
        <v>61</v>
      </c>
      <c r="D25" s="267"/>
      <c r="E25" s="268"/>
      <c r="F25" s="94" t="s">
        <v>61</v>
      </c>
      <c r="G25" s="10">
        <v>5</v>
      </c>
      <c r="H25" s="10">
        <v>5</v>
      </c>
      <c r="I25" s="10">
        <v>5</v>
      </c>
      <c r="J25" s="10">
        <f t="shared" si="0"/>
        <v>5</v>
      </c>
      <c r="K25" s="118"/>
      <c r="L25" s="29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37" ht="63.75">
      <c r="A26" s="1"/>
      <c r="B26" s="20" t="s">
        <v>62</v>
      </c>
      <c r="C26" s="287" t="s">
        <v>63</v>
      </c>
      <c r="D26" s="267"/>
      <c r="E26" s="268"/>
      <c r="F26" s="94" t="s">
        <v>63</v>
      </c>
      <c r="G26" s="10">
        <v>5</v>
      </c>
      <c r="H26" s="10">
        <v>4</v>
      </c>
      <c r="I26" s="10">
        <v>5</v>
      </c>
      <c r="J26" s="10">
        <f t="shared" si="0"/>
        <v>4.666666666666667</v>
      </c>
      <c r="K26" s="118"/>
      <c r="L26" s="29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37" ht="76.5">
      <c r="A27" s="1"/>
      <c r="B27" s="20" t="s">
        <v>86</v>
      </c>
      <c r="C27" s="251" t="s">
        <v>64</v>
      </c>
      <c r="D27" s="267"/>
      <c r="E27" s="268"/>
      <c r="F27" s="94" t="s">
        <v>64</v>
      </c>
      <c r="G27" s="97" t="s">
        <v>318</v>
      </c>
      <c r="H27" s="10" t="s">
        <v>318</v>
      </c>
      <c r="I27" s="10" t="s">
        <v>318</v>
      </c>
      <c r="J27" s="10" t="str">
        <f>IFERROR(AVERAGE(G27:I27),"N/A")</f>
        <v>N/A</v>
      </c>
      <c r="K27" s="118"/>
      <c r="L27" s="29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37" ht="63.75">
      <c r="A28" s="1"/>
      <c r="B28" s="20" t="s">
        <v>87</v>
      </c>
      <c r="C28" s="287" t="s">
        <v>65</v>
      </c>
      <c r="D28" s="267"/>
      <c r="E28" s="268"/>
      <c r="F28" s="94" t="s">
        <v>65</v>
      </c>
      <c r="G28" s="10">
        <v>5</v>
      </c>
      <c r="H28" s="10">
        <v>4</v>
      </c>
      <c r="I28" s="10">
        <v>3</v>
      </c>
      <c r="J28" s="10">
        <f t="shared" ref="J28:J30" si="1">IFERROR(AVERAGE(G28:I28),"")</f>
        <v>4</v>
      </c>
      <c r="K28" s="118"/>
      <c r="L28" s="29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37" ht="76.5">
      <c r="A29" s="1"/>
      <c r="B29" s="20" t="s">
        <v>88</v>
      </c>
      <c r="C29" s="287" t="s">
        <v>66</v>
      </c>
      <c r="D29" s="267"/>
      <c r="E29" s="268"/>
      <c r="F29" s="92" t="s">
        <v>311</v>
      </c>
      <c r="G29" s="10">
        <v>4</v>
      </c>
      <c r="H29" s="10">
        <v>4</v>
      </c>
      <c r="I29" s="10">
        <v>5</v>
      </c>
      <c r="J29" s="10">
        <f t="shared" si="1"/>
        <v>4.333333333333333</v>
      </c>
      <c r="K29" s="291" t="s">
        <v>319</v>
      </c>
      <c r="L29" s="29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37" ht="38.25">
      <c r="A30" s="1"/>
      <c r="B30" s="20" t="s">
        <v>67</v>
      </c>
      <c r="C30" s="287" t="s">
        <v>68</v>
      </c>
      <c r="D30" s="267"/>
      <c r="E30" s="268"/>
      <c r="F30" s="92" t="s">
        <v>324</v>
      </c>
      <c r="G30" s="10">
        <v>2</v>
      </c>
      <c r="H30" s="10">
        <v>1</v>
      </c>
      <c r="I30" s="10">
        <v>5</v>
      </c>
      <c r="J30" s="10">
        <f t="shared" si="1"/>
        <v>2.6666666666666665</v>
      </c>
      <c r="K30" s="118"/>
      <c r="L30" s="29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37" ht="15.75" customHeight="1">
      <c r="A31" s="1"/>
      <c r="B31" s="33" t="s">
        <v>21</v>
      </c>
      <c r="C31" s="269"/>
      <c r="D31" s="270"/>
      <c r="E31" s="271"/>
      <c r="F31" s="28"/>
      <c r="G31" s="29"/>
      <c r="H31" s="29"/>
      <c r="I31" s="29"/>
      <c r="J31" s="29"/>
      <c r="K31" s="288"/>
      <c r="L31" s="29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37" ht="105" customHeight="1">
      <c r="A32" s="1"/>
      <c r="B32" s="20" t="s">
        <v>89</v>
      </c>
      <c r="C32" s="251" t="s">
        <v>69</v>
      </c>
      <c r="D32" s="252"/>
      <c r="E32" s="253"/>
      <c r="F32" s="91" t="s">
        <v>312</v>
      </c>
      <c r="G32" s="10">
        <v>5</v>
      </c>
      <c r="H32" s="10">
        <v>5</v>
      </c>
      <c r="I32" s="10">
        <v>5</v>
      </c>
      <c r="J32" s="10">
        <f>IFERROR(AVERAGE(G32:I32),"")</f>
        <v>5</v>
      </c>
      <c r="K32" s="118"/>
      <c r="L32" s="29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33" ht="77.25" customHeight="1">
      <c r="A33" s="1"/>
      <c r="B33" s="20" t="s">
        <v>90</v>
      </c>
      <c r="C33" s="287" t="s">
        <v>70</v>
      </c>
      <c r="D33" s="252"/>
      <c r="E33" s="253"/>
      <c r="F33" s="93" t="s">
        <v>313</v>
      </c>
      <c r="G33" s="10">
        <v>5</v>
      </c>
      <c r="H33" s="10">
        <v>5</v>
      </c>
      <c r="I33" s="10">
        <v>5</v>
      </c>
      <c r="J33" s="10">
        <f t="shared" ref="J33:J35" si="2">IFERROR(AVERAGE(G33:I33),"")</f>
        <v>5</v>
      </c>
      <c r="K33" s="118"/>
      <c r="L33" s="29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G33" s="95"/>
    </row>
    <row r="34" spans="1:33" s="90" customFormat="1" ht="63.75">
      <c r="A34" s="1"/>
      <c r="B34" s="20" t="s">
        <v>91</v>
      </c>
      <c r="C34" s="251" t="s">
        <v>314</v>
      </c>
      <c r="D34" s="252"/>
      <c r="E34" s="253"/>
      <c r="F34" s="92" t="s">
        <v>315</v>
      </c>
      <c r="G34" s="10">
        <v>5</v>
      </c>
      <c r="H34" s="97" t="s">
        <v>318</v>
      </c>
      <c r="I34" s="10">
        <v>5</v>
      </c>
      <c r="J34" s="10">
        <f t="shared" si="2"/>
        <v>5</v>
      </c>
      <c r="K34" s="118"/>
      <c r="L34" s="29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33" ht="63.75">
      <c r="A35" s="1"/>
      <c r="B35" s="20" t="s">
        <v>91</v>
      </c>
      <c r="C35" s="251" t="s">
        <v>316</v>
      </c>
      <c r="D35" s="252"/>
      <c r="E35" s="253"/>
      <c r="F35" s="92" t="s">
        <v>325</v>
      </c>
      <c r="G35" s="10">
        <v>1</v>
      </c>
      <c r="H35" s="10" t="s">
        <v>318</v>
      </c>
      <c r="I35" s="10">
        <v>5</v>
      </c>
      <c r="J35" s="10">
        <f t="shared" si="2"/>
        <v>3</v>
      </c>
      <c r="K35" s="118"/>
      <c r="L35" s="29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33" ht="15.75" customHeight="1">
      <c r="A36" s="1"/>
      <c r="B36" s="33" t="s">
        <v>22</v>
      </c>
      <c r="C36" s="269"/>
      <c r="D36" s="270"/>
      <c r="E36" s="271"/>
      <c r="F36" s="28"/>
      <c r="G36" s="29"/>
      <c r="H36" s="29"/>
      <c r="I36" s="29"/>
      <c r="J36" s="29"/>
      <c r="K36" s="288"/>
      <c r="L36" s="29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33" ht="38.25">
      <c r="A37" s="1"/>
      <c r="B37" s="21" t="s">
        <v>71</v>
      </c>
      <c r="C37" s="251" t="s">
        <v>72</v>
      </c>
      <c r="D37" s="252"/>
      <c r="E37" s="253"/>
      <c r="F37" s="91" t="s">
        <v>72</v>
      </c>
      <c r="G37" s="10" t="s">
        <v>318</v>
      </c>
      <c r="H37" s="10" t="s">
        <v>318</v>
      </c>
      <c r="I37" s="10" t="s">
        <v>318</v>
      </c>
      <c r="J37" s="10" t="str">
        <f>IFERROR(AVERAGE(G37:I37),"N/A")</f>
        <v>N/A</v>
      </c>
      <c r="K37" s="118"/>
      <c r="L37" s="29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33" ht="76.5">
      <c r="A38" s="1"/>
      <c r="B38" s="21" t="s">
        <v>73</v>
      </c>
      <c r="C38" s="251" t="s">
        <v>74</v>
      </c>
      <c r="D38" s="252"/>
      <c r="E38" s="253"/>
      <c r="F38" s="91" t="s">
        <v>74</v>
      </c>
      <c r="G38" s="10" t="s">
        <v>318</v>
      </c>
      <c r="H38" s="10" t="s">
        <v>318</v>
      </c>
      <c r="I38" s="10" t="s">
        <v>318</v>
      </c>
      <c r="J38" s="10" t="str">
        <f>IFERROR(AVERAGE(G38:I38),"N/A")</f>
        <v>N/A</v>
      </c>
      <c r="K38" s="118"/>
      <c r="L38" s="290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33" ht="76.5">
      <c r="A39" s="1"/>
      <c r="B39" s="20" t="s">
        <v>75</v>
      </c>
      <c r="C39" s="251" t="s">
        <v>76</v>
      </c>
      <c r="D39" s="252"/>
      <c r="E39" s="253"/>
      <c r="F39" s="91" t="s">
        <v>76</v>
      </c>
      <c r="G39" s="10" t="s">
        <v>318</v>
      </c>
      <c r="H39" s="10" t="s">
        <v>318</v>
      </c>
      <c r="I39" s="10" t="s">
        <v>318</v>
      </c>
      <c r="J39" s="10" t="str">
        <f>IFERROR(AVERAGE(G39:I39),"N/A")</f>
        <v>N/A</v>
      </c>
      <c r="K39" s="118"/>
      <c r="L39" s="29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33" ht="38.25">
      <c r="A40" s="1"/>
      <c r="B40" s="21" t="s">
        <v>77</v>
      </c>
      <c r="C40" s="251" t="s">
        <v>78</v>
      </c>
      <c r="D40" s="252"/>
      <c r="E40" s="253"/>
      <c r="F40" s="91" t="s">
        <v>78</v>
      </c>
      <c r="G40" s="10">
        <v>5</v>
      </c>
      <c r="H40" s="10">
        <v>4</v>
      </c>
      <c r="I40" s="10">
        <v>5</v>
      </c>
      <c r="J40" s="10">
        <f t="shared" ref="J40" si="3">IFERROR(AVERAGE(G40:I40),"")</f>
        <v>4.666666666666667</v>
      </c>
      <c r="K40" s="118"/>
      <c r="L40" s="29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33" ht="40.5" customHeight="1">
      <c r="A41" s="1"/>
      <c r="B41" s="20" t="s">
        <v>79</v>
      </c>
      <c r="C41" s="251" t="s">
        <v>80</v>
      </c>
      <c r="D41" s="252"/>
      <c r="E41" s="253"/>
      <c r="F41" s="91" t="s">
        <v>80</v>
      </c>
      <c r="G41" s="10">
        <v>5</v>
      </c>
      <c r="H41" s="10">
        <v>5</v>
      </c>
      <c r="I41" s="10">
        <v>5</v>
      </c>
      <c r="J41" s="10">
        <f>IFERROR(AVERAGE(G41:I41),"N/A")</f>
        <v>5</v>
      </c>
      <c r="K41" s="118" t="s">
        <v>320</v>
      </c>
      <c r="L41" s="12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33" ht="15.75" customHeight="1">
      <c r="A42" s="1"/>
      <c r="B42" s="112" t="s">
        <v>23</v>
      </c>
      <c r="C42" s="113"/>
      <c r="D42" s="113"/>
      <c r="E42" s="113"/>
      <c r="F42" s="113"/>
      <c r="G42" s="113"/>
      <c r="H42" s="113"/>
      <c r="I42" s="114"/>
      <c r="J42" s="124">
        <f>AVERAGE(J19,J20,J21,J22,J23,J24,J25,J26,J28,J29,J30,J32,J33,J34,J35,J40,J41)</f>
        <v>4.3137254901960782</v>
      </c>
      <c r="K42" s="113"/>
      <c r="L42" s="12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33" ht="14.25" customHeight="1" thickBot="1">
      <c r="A43" s="1"/>
      <c r="B43" s="115" t="s">
        <v>24</v>
      </c>
      <c r="C43" s="116"/>
      <c r="D43" s="116"/>
      <c r="E43" s="116"/>
      <c r="F43" s="116"/>
      <c r="G43" s="116"/>
      <c r="H43" s="116"/>
      <c r="I43" s="117"/>
      <c r="J43" s="126" t="str">
        <f>IFERROR(IF(J42&lt;2,"Poor",IF(J42&lt;3,"Unsatisfactory",IF(J42&lt;4,"Satisfactory",IF(J42&lt;5,"Very Satisfactory",IF(J42=5,"Outstanding"))))),"")</f>
        <v>Very Satisfactory</v>
      </c>
      <c r="K43" s="116"/>
      <c r="L43" s="12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33" ht="51" customHeight="1">
      <c r="A44" s="1"/>
      <c r="B44" s="241" t="s">
        <v>163</v>
      </c>
      <c r="C44" s="242"/>
      <c r="D44" s="242"/>
      <c r="E44" s="242"/>
      <c r="F44" s="242"/>
      <c r="G44" s="242"/>
      <c r="H44" s="242"/>
      <c r="I44" s="242"/>
      <c r="J44" s="242"/>
      <c r="K44" s="242"/>
      <c r="L44" s="24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33" ht="57" customHeight="1">
      <c r="A45" s="1"/>
      <c r="B45" s="244" t="s">
        <v>164</v>
      </c>
      <c r="C45" s="245"/>
      <c r="D45" s="245"/>
      <c r="E45" s="246"/>
      <c r="F45" s="247" t="s">
        <v>166</v>
      </c>
      <c r="G45" s="245"/>
      <c r="H45" s="245"/>
      <c r="I45" s="245"/>
      <c r="J45" s="245"/>
      <c r="K45" s="245"/>
      <c r="L45" s="24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33" ht="15.75" customHeight="1" thickBot="1">
      <c r="A46" s="1"/>
      <c r="B46" s="238" t="s">
        <v>27</v>
      </c>
      <c r="C46" s="239"/>
      <c r="D46" s="239"/>
      <c r="E46" s="240"/>
      <c r="F46" s="249" t="s">
        <v>28</v>
      </c>
      <c r="G46" s="239"/>
      <c r="H46" s="239"/>
      <c r="I46" s="239"/>
      <c r="J46" s="239"/>
      <c r="K46" s="239"/>
      <c r="L46" s="25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33" ht="22.5" customHeight="1" thickTop="1" thickBot="1">
      <c r="A47" s="1"/>
      <c r="B47" s="171" t="s">
        <v>29</v>
      </c>
      <c r="C47" s="138"/>
      <c r="D47" s="138"/>
      <c r="E47" s="138"/>
      <c r="F47" s="171" t="s">
        <v>30</v>
      </c>
      <c r="G47" s="138"/>
      <c r="H47" s="138"/>
      <c r="I47" s="138"/>
      <c r="J47" s="138"/>
      <c r="K47" s="138"/>
      <c r="L47" s="13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33" ht="15.75" customHeight="1">
      <c r="A48" s="1"/>
      <c r="B48" s="172" t="s">
        <v>45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8.5" customHeight="1">
      <c r="A49" s="1"/>
      <c r="B49" s="13" t="s">
        <v>32</v>
      </c>
      <c r="C49" s="274" t="s">
        <v>323</v>
      </c>
      <c r="D49" s="275"/>
      <c r="E49" s="275"/>
      <c r="F49" s="275"/>
      <c r="G49" s="275"/>
      <c r="H49" s="275"/>
      <c r="I49" s="275"/>
      <c r="J49" s="275"/>
      <c r="K49" s="275"/>
      <c r="L49" s="27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0.75" customHeight="1">
      <c r="A50" s="1"/>
      <c r="B50" s="14" t="s">
        <v>33</v>
      </c>
      <c r="C50" s="274" t="s">
        <v>322</v>
      </c>
      <c r="D50" s="275"/>
      <c r="E50" s="275"/>
      <c r="F50" s="275"/>
      <c r="G50" s="275"/>
      <c r="H50" s="275"/>
      <c r="I50" s="275"/>
      <c r="J50" s="275"/>
      <c r="K50" s="275"/>
      <c r="L50" s="27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8.25" customHeight="1">
      <c r="A51" s="1"/>
      <c r="B51" s="15" t="s">
        <v>34</v>
      </c>
      <c r="C51" s="277" t="s">
        <v>321</v>
      </c>
      <c r="D51" s="278"/>
      <c r="E51" s="278"/>
      <c r="F51" s="278"/>
      <c r="G51" s="278"/>
      <c r="H51" s="278"/>
      <c r="I51" s="278"/>
      <c r="J51" s="278"/>
      <c r="K51" s="278"/>
      <c r="L51" s="27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0.75" customHeight="1">
      <c r="A52" s="1"/>
      <c r="B52" s="280" t="s">
        <v>307</v>
      </c>
      <c r="C52" s="281"/>
      <c r="D52" s="281"/>
      <c r="E52" s="282"/>
      <c r="F52" s="283" t="s">
        <v>308</v>
      </c>
      <c r="G52" s="281"/>
      <c r="H52" s="281"/>
      <c r="I52" s="281"/>
      <c r="J52" s="281"/>
      <c r="K52" s="281"/>
      <c r="L52" s="28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54" customHeight="1" thickBot="1">
      <c r="A53" s="1"/>
      <c r="B53" s="272" t="s">
        <v>161</v>
      </c>
      <c r="C53" s="156"/>
      <c r="D53" s="156"/>
      <c r="E53" s="157"/>
      <c r="F53" s="273" t="s">
        <v>162</v>
      </c>
      <c r="G53" s="156"/>
      <c r="H53" s="156"/>
      <c r="I53" s="156"/>
      <c r="J53" s="156"/>
      <c r="K53" s="156"/>
      <c r="L53" s="15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.5" customHeight="1">
      <c r="A54" s="1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88">
    <mergeCell ref="K38:L38"/>
    <mergeCell ref="K39:L39"/>
    <mergeCell ref="K40:L40"/>
    <mergeCell ref="K36:L36"/>
    <mergeCell ref="K31:L31"/>
    <mergeCell ref="K30:L30"/>
    <mergeCell ref="K32:L32"/>
    <mergeCell ref="K33:L33"/>
    <mergeCell ref="K35:L35"/>
    <mergeCell ref="K37:L37"/>
    <mergeCell ref="K34:L34"/>
    <mergeCell ref="K25:L25"/>
    <mergeCell ref="K26:L26"/>
    <mergeCell ref="K27:L27"/>
    <mergeCell ref="K28:L28"/>
    <mergeCell ref="K29:L29"/>
    <mergeCell ref="C39:E39"/>
    <mergeCell ref="C25:E25"/>
    <mergeCell ref="C30:E30"/>
    <mergeCell ref="C26:E26"/>
    <mergeCell ref="C27:E27"/>
    <mergeCell ref="C28:E28"/>
    <mergeCell ref="C29:E29"/>
    <mergeCell ref="C32:E32"/>
    <mergeCell ref="C35:E35"/>
    <mergeCell ref="C36:E36"/>
    <mergeCell ref="C37:E37"/>
    <mergeCell ref="C31:E31"/>
    <mergeCell ref="C33:E33"/>
    <mergeCell ref="C34:E34"/>
    <mergeCell ref="C24:E24"/>
    <mergeCell ref="C20:E20"/>
    <mergeCell ref="C21:E21"/>
    <mergeCell ref="C22:E22"/>
    <mergeCell ref="K18:L18"/>
    <mergeCell ref="C23:E23"/>
    <mergeCell ref="K19:L19"/>
    <mergeCell ref="K20:L20"/>
    <mergeCell ref="K21:L21"/>
    <mergeCell ref="K22:L22"/>
    <mergeCell ref="K23:L23"/>
    <mergeCell ref="K24:L24"/>
    <mergeCell ref="B12:C12"/>
    <mergeCell ref="B16:B17"/>
    <mergeCell ref="C16:E17"/>
    <mergeCell ref="F16:F17"/>
    <mergeCell ref="B15:E15"/>
    <mergeCell ref="F15:L15"/>
    <mergeCell ref="G16:J16"/>
    <mergeCell ref="K16:L17"/>
    <mergeCell ref="G12:L12"/>
    <mergeCell ref="B53:E53"/>
    <mergeCell ref="F53:L53"/>
    <mergeCell ref="F47:L47"/>
    <mergeCell ref="B48:L48"/>
    <mergeCell ref="C49:L49"/>
    <mergeCell ref="C50:L50"/>
    <mergeCell ref="C51:L51"/>
    <mergeCell ref="B52:E52"/>
    <mergeCell ref="F52:L52"/>
    <mergeCell ref="B47:E47"/>
    <mergeCell ref="C40:E40"/>
    <mergeCell ref="C38:E38"/>
    <mergeCell ref="B3:L3"/>
    <mergeCell ref="B5:L5"/>
    <mergeCell ref="B6:L6"/>
    <mergeCell ref="B7:K7"/>
    <mergeCell ref="B9:L9"/>
    <mergeCell ref="A4:XFD4"/>
    <mergeCell ref="A8:XFD8"/>
    <mergeCell ref="G10:L10"/>
    <mergeCell ref="G11:L11"/>
    <mergeCell ref="I13:L13"/>
    <mergeCell ref="B14:L14"/>
    <mergeCell ref="C19:E19"/>
    <mergeCell ref="C18:E18"/>
    <mergeCell ref="B11:C11"/>
    <mergeCell ref="K41:L41"/>
    <mergeCell ref="B46:E46"/>
    <mergeCell ref="J42:L42"/>
    <mergeCell ref="J43:L43"/>
    <mergeCell ref="B44:L44"/>
    <mergeCell ref="B45:E45"/>
    <mergeCell ref="F45:L45"/>
    <mergeCell ref="F46:L46"/>
    <mergeCell ref="B42:I42"/>
    <mergeCell ref="B43:I43"/>
    <mergeCell ref="C41:E41"/>
  </mergeCells>
  <printOptions horizontalCentered="1"/>
  <pageMargins left="0.39370078740157483" right="0.39370078740157483" top="0.74803149606299213" bottom="0.55118110236220474" header="0.31496062992125984" footer="0.31496062992125984"/>
  <pageSetup paperSize="9" scale="75" fitToHeight="0" pageOrder="overThenDown" orientation="landscape" cellComments="atEnd" r:id="rId1"/>
  <headerFooter>
    <oddFooter>Page &amp;P of &amp;N</oddFooter>
  </headerFooter>
  <rowBreaks count="1" manualBreakCount="1">
    <brk id="4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DD8F-9DA6-4EC4-87AC-E0DE6F193C5B}">
  <sheetPr>
    <outlinePr summaryBelow="0" summaryRight="0"/>
    <pageSetUpPr fitToPage="1"/>
  </sheetPr>
  <dimension ref="A1:Z1015"/>
  <sheetViews>
    <sheetView showGridLines="0" topLeftCell="B3" zoomScaleNormal="100" workbookViewId="0">
      <selection activeCell="B3" sqref="B3:L3"/>
    </sheetView>
  </sheetViews>
  <sheetFormatPr defaultColWidth="12.5703125" defaultRowHeight="15" customHeight="1"/>
  <cols>
    <col min="1" max="1" width="2.42578125" hidden="1" customWidth="1"/>
    <col min="2" max="2" width="25.5703125" customWidth="1"/>
    <col min="3" max="3" width="21.5703125" customWidth="1"/>
    <col min="4" max="4" width="9.140625" customWidth="1"/>
    <col min="5" max="5" width="24.28515625" customWidth="1"/>
    <col min="6" max="6" width="21.5703125" customWidth="1"/>
    <col min="7" max="10" width="8.42578125" customWidth="1"/>
    <col min="11" max="11" width="6.5703125" customWidth="1"/>
    <col min="12" max="12" width="11.42578125" customWidth="1"/>
    <col min="13" max="13" width="3.42578125" hidden="1" customWidth="1"/>
    <col min="14" max="22" width="12.5703125" hidden="1" customWidth="1"/>
    <col min="23" max="31" width="0" hidden="1" customWidth="1"/>
  </cols>
  <sheetData>
    <row r="1" spans="1:26" ht="15.7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49" t="s">
        <v>1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81" customFormat="1" ht="8.25" customHeight="1"/>
    <row r="5" spans="1:26" ht="15.75" customHeight="1">
      <c r="A5" s="1"/>
      <c r="B5" s="139" t="s">
        <v>39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254" t="s">
        <v>50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" customHeight="1">
      <c r="A7" s="1"/>
      <c r="B7" s="139"/>
      <c r="C7" s="138"/>
      <c r="D7" s="138"/>
      <c r="E7" s="138"/>
      <c r="F7" s="138"/>
      <c r="G7" s="138"/>
      <c r="H7" s="138"/>
      <c r="I7" s="138"/>
      <c r="J7" s="138"/>
      <c r="K7" s="13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81" customFormat="1" ht="15" customHeight="1" thickBot="1"/>
    <row r="9" spans="1:26" ht="46.5" customHeight="1">
      <c r="A9" s="1"/>
      <c r="B9" s="255" t="s">
        <v>51</v>
      </c>
      <c r="C9" s="256"/>
      <c r="D9" s="256"/>
      <c r="E9" s="256"/>
      <c r="F9" s="256"/>
      <c r="G9" s="256"/>
      <c r="H9" s="256"/>
      <c r="I9" s="256"/>
      <c r="J9" s="256"/>
      <c r="K9" s="256"/>
      <c r="L9" s="25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>
      <c r="A10" s="1"/>
      <c r="B10" s="23"/>
      <c r="C10" s="1"/>
      <c r="D10" s="1"/>
      <c r="E10" s="1"/>
      <c r="F10" s="1"/>
      <c r="G10" s="299" t="s">
        <v>52</v>
      </c>
      <c r="H10" s="299"/>
      <c r="I10" s="299"/>
      <c r="J10" s="299"/>
      <c r="K10" s="299"/>
      <c r="L10" s="30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301"/>
      <c r="C11" s="138"/>
      <c r="D11" s="1"/>
      <c r="E11" s="1"/>
      <c r="F11" s="1"/>
      <c r="G11" s="302" t="s">
        <v>40</v>
      </c>
      <c r="H11" s="302"/>
      <c r="I11" s="302"/>
      <c r="J11" s="302"/>
      <c r="K11" s="302"/>
      <c r="L11" s="30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304"/>
      <c r="C12" s="138"/>
      <c r="D12" s="1"/>
      <c r="E12" s="1"/>
      <c r="F12" s="1"/>
      <c r="G12" s="305" t="s">
        <v>53</v>
      </c>
      <c r="H12" s="305"/>
      <c r="I12" s="305"/>
      <c r="J12" s="305"/>
      <c r="K12" s="305"/>
      <c r="L12" s="30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24"/>
      <c r="C13" s="25"/>
      <c r="D13" s="26"/>
      <c r="E13" s="26"/>
      <c r="F13" s="26"/>
      <c r="G13" s="26"/>
      <c r="H13" s="26"/>
      <c r="I13" s="307" t="s">
        <v>159</v>
      </c>
      <c r="J13" s="308"/>
      <c r="K13" s="308"/>
      <c r="L13" s="30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310" t="s">
        <v>41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2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47" t="s">
        <v>42</v>
      </c>
      <c r="C15" s="109"/>
      <c r="D15" s="109"/>
      <c r="E15" s="110"/>
      <c r="F15" s="148" t="s">
        <v>43</v>
      </c>
      <c r="G15" s="109"/>
      <c r="H15" s="109"/>
      <c r="I15" s="109"/>
      <c r="J15" s="109"/>
      <c r="K15" s="109"/>
      <c r="L15" s="12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28" t="s">
        <v>44</v>
      </c>
      <c r="C16" s="130" t="s">
        <v>12</v>
      </c>
      <c r="D16" s="131"/>
      <c r="E16" s="132"/>
      <c r="F16" s="135" t="s">
        <v>13</v>
      </c>
      <c r="G16" s="118" t="s">
        <v>14</v>
      </c>
      <c r="H16" s="109"/>
      <c r="I16" s="109"/>
      <c r="J16" s="109"/>
      <c r="K16" s="119" t="s">
        <v>15</v>
      </c>
      <c r="L16" s="12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29"/>
      <c r="C17" s="121"/>
      <c r="D17" s="133"/>
      <c r="E17" s="134"/>
      <c r="F17" s="136"/>
      <c r="G17" s="7" t="s">
        <v>16</v>
      </c>
      <c r="H17" s="7" t="s">
        <v>17</v>
      </c>
      <c r="I17" s="7" t="s">
        <v>18</v>
      </c>
      <c r="J17" s="7" t="s">
        <v>19</v>
      </c>
      <c r="K17" s="121"/>
      <c r="L17" s="12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19" customFormat="1" ht="15.75" customHeight="1">
      <c r="A18" s="18"/>
      <c r="B18" s="32" t="s">
        <v>20</v>
      </c>
      <c r="C18" s="269"/>
      <c r="D18" s="270"/>
      <c r="E18" s="271"/>
      <c r="F18" s="28"/>
      <c r="G18" s="29"/>
      <c r="H18" s="29"/>
      <c r="I18" s="29"/>
      <c r="J18" s="29"/>
      <c r="K18" s="288"/>
      <c r="L18" s="289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77.25" customHeight="1">
      <c r="A19" s="1"/>
      <c r="B19" s="22" t="s">
        <v>135</v>
      </c>
      <c r="C19" s="287" t="s">
        <v>136</v>
      </c>
      <c r="D19" s="267"/>
      <c r="E19" s="268"/>
      <c r="F19" s="9"/>
      <c r="G19" s="10"/>
      <c r="H19" s="10"/>
      <c r="I19" s="10"/>
      <c r="J19" s="10"/>
      <c r="K19" s="17"/>
      <c r="L19" s="8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6.75" customHeight="1">
      <c r="A20" s="1"/>
      <c r="B20" s="20" t="s">
        <v>92</v>
      </c>
      <c r="C20" s="287" t="s">
        <v>93</v>
      </c>
      <c r="D20" s="252"/>
      <c r="E20" s="253"/>
      <c r="F20" s="9"/>
      <c r="G20" s="10"/>
      <c r="H20" s="10"/>
      <c r="I20" s="10"/>
      <c r="J20" s="10"/>
      <c r="K20" s="27"/>
      <c r="L20" s="8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8.25" customHeight="1">
      <c r="A21" s="1"/>
      <c r="B21" s="20" t="s">
        <v>94</v>
      </c>
      <c r="C21" s="287" t="s">
        <v>95</v>
      </c>
      <c r="D21" s="267"/>
      <c r="E21" s="268"/>
      <c r="F21" s="9"/>
      <c r="G21" s="10"/>
      <c r="H21" s="10"/>
      <c r="I21" s="10"/>
      <c r="J21" s="10"/>
      <c r="K21" s="27"/>
      <c r="L21" s="8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6" customHeight="1">
      <c r="A22" s="1"/>
      <c r="B22" s="20" t="s">
        <v>58</v>
      </c>
      <c r="C22" s="287" t="s">
        <v>59</v>
      </c>
      <c r="D22" s="252"/>
      <c r="E22" s="253"/>
      <c r="F22" s="9"/>
      <c r="G22" s="10"/>
      <c r="H22" s="10"/>
      <c r="I22" s="10"/>
      <c r="J22" s="10"/>
      <c r="K22" s="27"/>
      <c r="L22" s="8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66" customHeight="1">
      <c r="A23" s="1"/>
      <c r="B23" s="20" t="s">
        <v>60</v>
      </c>
      <c r="C23" s="287" t="s">
        <v>59</v>
      </c>
      <c r="D23" s="267"/>
      <c r="E23" s="268"/>
      <c r="F23" s="9"/>
      <c r="G23" s="10"/>
      <c r="H23" s="10"/>
      <c r="I23" s="10"/>
      <c r="J23" s="10"/>
      <c r="K23" s="27"/>
      <c r="L23" s="8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6" customHeight="1">
      <c r="A24" s="1"/>
      <c r="B24" s="20" t="s">
        <v>85</v>
      </c>
      <c r="C24" s="287" t="s">
        <v>61</v>
      </c>
      <c r="D24" s="267"/>
      <c r="E24" s="268"/>
      <c r="F24" s="9"/>
      <c r="G24" s="10"/>
      <c r="H24" s="10"/>
      <c r="I24" s="10"/>
      <c r="J24" s="10"/>
      <c r="K24" s="27"/>
      <c r="L24" s="8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66" customHeight="1">
      <c r="A25" s="1"/>
      <c r="B25" s="20" t="s">
        <v>62</v>
      </c>
      <c r="C25" s="287" t="s">
        <v>63</v>
      </c>
      <c r="D25" s="267"/>
      <c r="E25" s="268"/>
      <c r="F25" s="9"/>
      <c r="G25" s="10"/>
      <c r="H25" s="10"/>
      <c r="I25" s="10"/>
      <c r="J25" s="10"/>
      <c r="K25" s="27"/>
      <c r="L25" s="8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66.75" customHeight="1">
      <c r="A26" s="1"/>
      <c r="B26" s="20" t="s">
        <v>96</v>
      </c>
      <c r="C26" s="287" t="s">
        <v>64</v>
      </c>
      <c r="D26" s="267"/>
      <c r="E26" s="268"/>
      <c r="F26" s="9"/>
      <c r="G26" s="10"/>
      <c r="H26" s="10"/>
      <c r="I26" s="10"/>
      <c r="J26" s="10"/>
      <c r="K26" s="27"/>
      <c r="L26" s="8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6.75" customHeight="1">
      <c r="A27" s="1"/>
      <c r="B27" s="20" t="s">
        <v>87</v>
      </c>
      <c r="C27" s="287" t="s">
        <v>97</v>
      </c>
      <c r="D27" s="267"/>
      <c r="E27" s="268"/>
      <c r="F27" s="9"/>
      <c r="G27" s="10"/>
      <c r="H27" s="10"/>
      <c r="I27" s="10"/>
      <c r="J27" s="10"/>
      <c r="K27" s="27"/>
      <c r="L27" s="8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79.5" customHeight="1">
      <c r="A28" s="1"/>
      <c r="B28" s="20" t="s">
        <v>88</v>
      </c>
      <c r="C28" s="287" t="s">
        <v>98</v>
      </c>
      <c r="D28" s="267"/>
      <c r="E28" s="268"/>
      <c r="F28" s="9"/>
      <c r="G28" s="10"/>
      <c r="H28" s="10"/>
      <c r="I28" s="10"/>
      <c r="J28" s="10"/>
      <c r="K28" s="27"/>
      <c r="L28" s="8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" customHeight="1">
      <c r="A29" s="1"/>
      <c r="B29" s="20" t="s">
        <v>67</v>
      </c>
      <c r="C29" s="287" t="s">
        <v>99</v>
      </c>
      <c r="D29" s="267"/>
      <c r="E29" s="268"/>
      <c r="F29" s="9"/>
      <c r="G29" s="10"/>
      <c r="H29" s="10"/>
      <c r="I29" s="10"/>
      <c r="J29" s="10"/>
      <c r="K29" s="27"/>
      <c r="L29" s="8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2.25" customHeight="1">
      <c r="A30" s="1"/>
      <c r="B30" s="20" t="s">
        <v>100</v>
      </c>
      <c r="C30" s="287" t="s">
        <v>101</v>
      </c>
      <c r="D30" s="267"/>
      <c r="E30" s="268"/>
      <c r="F30" s="9"/>
      <c r="G30" s="10"/>
      <c r="H30" s="10"/>
      <c r="I30" s="10"/>
      <c r="J30" s="10"/>
      <c r="K30" s="27"/>
      <c r="L30" s="8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78" customHeight="1">
      <c r="A31" s="1"/>
      <c r="B31" s="20" t="s">
        <v>102</v>
      </c>
      <c r="C31" s="287" t="s">
        <v>103</v>
      </c>
      <c r="D31" s="267"/>
      <c r="E31" s="268"/>
      <c r="F31" s="9"/>
      <c r="G31" s="10"/>
      <c r="H31" s="10"/>
      <c r="I31" s="10"/>
      <c r="J31" s="10"/>
      <c r="K31" s="27"/>
      <c r="L31" s="8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s="35" customFormat="1" ht="15.75" customHeight="1">
      <c r="A32" s="34"/>
      <c r="B32" s="31" t="s">
        <v>21</v>
      </c>
      <c r="C32" s="269"/>
      <c r="D32" s="270"/>
      <c r="E32" s="271"/>
      <c r="F32" s="28"/>
      <c r="G32" s="29"/>
      <c r="H32" s="29"/>
      <c r="I32" s="29"/>
      <c r="J32" s="29"/>
      <c r="K32" s="30"/>
      <c r="L32" s="8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06.5" customHeight="1">
      <c r="A33" s="1"/>
      <c r="B33" s="20" t="s">
        <v>104</v>
      </c>
      <c r="C33" s="287" t="s">
        <v>69</v>
      </c>
      <c r="D33" s="267"/>
      <c r="E33" s="268"/>
      <c r="F33" s="9"/>
      <c r="G33" s="10"/>
      <c r="H33" s="10"/>
      <c r="I33" s="10"/>
      <c r="J33" s="10"/>
      <c r="K33" s="27"/>
      <c r="L33" s="8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8" customHeight="1">
      <c r="A34" s="1"/>
      <c r="B34" s="20" t="s">
        <v>105</v>
      </c>
      <c r="C34" s="287" t="s">
        <v>107</v>
      </c>
      <c r="D34" s="267"/>
      <c r="E34" s="268"/>
      <c r="F34" s="9"/>
      <c r="G34" s="10"/>
      <c r="H34" s="10"/>
      <c r="I34" s="10"/>
      <c r="J34" s="10"/>
      <c r="K34" s="27"/>
      <c r="L34" s="8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6" customHeight="1">
      <c r="A35" s="1"/>
      <c r="B35" s="20" t="s">
        <v>106</v>
      </c>
      <c r="C35" s="287" t="s">
        <v>108</v>
      </c>
      <c r="D35" s="267"/>
      <c r="E35" s="268"/>
      <c r="F35" s="9"/>
      <c r="G35" s="10"/>
      <c r="H35" s="10"/>
      <c r="I35" s="10"/>
      <c r="J35" s="10"/>
      <c r="K35" s="27"/>
      <c r="L35" s="8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1" t="s">
        <v>22</v>
      </c>
      <c r="C36" s="269"/>
      <c r="D36" s="270"/>
      <c r="E36" s="271"/>
      <c r="F36" s="28"/>
      <c r="G36" s="29"/>
      <c r="H36" s="29"/>
      <c r="I36" s="29"/>
      <c r="J36" s="29"/>
      <c r="K36" s="30"/>
      <c r="L36" s="8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8.25">
      <c r="A37" s="1"/>
      <c r="B37" s="20" t="s">
        <v>71</v>
      </c>
      <c r="C37" s="287" t="s">
        <v>72</v>
      </c>
      <c r="D37" s="252"/>
      <c r="E37" s="253"/>
      <c r="F37" s="9"/>
      <c r="G37" s="10"/>
      <c r="H37" s="10"/>
      <c r="I37" s="10"/>
      <c r="J37" s="10"/>
      <c r="K37" s="27"/>
      <c r="L37" s="8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76.5">
      <c r="A38" s="1"/>
      <c r="B38" s="20" t="s">
        <v>73</v>
      </c>
      <c r="C38" s="287" t="s">
        <v>74</v>
      </c>
      <c r="D38" s="252"/>
      <c r="E38" s="253"/>
      <c r="F38" s="9"/>
      <c r="G38" s="10"/>
      <c r="H38" s="10"/>
      <c r="I38" s="10"/>
      <c r="J38" s="10"/>
      <c r="K38" s="27"/>
      <c r="L38" s="8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76.5">
      <c r="A39" s="1"/>
      <c r="B39" s="20" t="s">
        <v>75</v>
      </c>
      <c r="C39" s="287" t="s">
        <v>76</v>
      </c>
      <c r="D39" s="252"/>
      <c r="E39" s="253"/>
      <c r="F39" s="9"/>
      <c r="G39" s="10"/>
      <c r="H39" s="10"/>
      <c r="I39" s="10"/>
      <c r="J39" s="10"/>
      <c r="K39" s="27"/>
      <c r="L39" s="8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8.25">
      <c r="A40" s="1"/>
      <c r="B40" s="20" t="s">
        <v>77</v>
      </c>
      <c r="C40" s="287" t="s">
        <v>110</v>
      </c>
      <c r="D40" s="252"/>
      <c r="E40" s="253"/>
      <c r="F40" s="9"/>
      <c r="G40" s="10"/>
      <c r="H40" s="10"/>
      <c r="I40" s="10"/>
      <c r="J40" s="10"/>
      <c r="K40" s="27"/>
      <c r="L40" s="8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8.25">
      <c r="A41" s="1"/>
      <c r="B41" s="20" t="s">
        <v>79</v>
      </c>
      <c r="C41" s="287" t="s">
        <v>109</v>
      </c>
      <c r="D41" s="252"/>
      <c r="E41" s="253"/>
      <c r="F41" s="9"/>
      <c r="G41" s="10"/>
      <c r="H41" s="10"/>
      <c r="I41" s="10"/>
      <c r="J41" s="10"/>
      <c r="K41" s="118"/>
      <c r="L41" s="12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12" t="s">
        <v>23</v>
      </c>
      <c r="C42" s="113"/>
      <c r="D42" s="113"/>
      <c r="E42" s="113"/>
      <c r="F42" s="113"/>
      <c r="G42" s="113"/>
      <c r="H42" s="113"/>
      <c r="I42" s="114"/>
      <c r="J42" s="124"/>
      <c r="K42" s="113"/>
      <c r="L42" s="12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 thickBot="1">
      <c r="A43" s="1"/>
      <c r="B43" s="115" t="s">
        <v>24</v>
      </c>
      <c r="C43" s="116"/>
      <c r="D43" s="116"/>
      <c r="E43" s="116"/>
      <c r="F43" s="116"/>
      <c r="G43" s="116"/>
      <c r="H43" s="116"/>
      <c r="I43" s="117"/>
      <c r="J43" s="126"/>
      <c r="K43" s="116"/>
      <c r="L43" s="12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9.25" customHeight="1">
      <c r="A44" s="1"/>
      <c r="B44" s="241" t="s">
        <v>163</v>
      </c>
      <c r="C44" s="242"/>
      <c r="D44" s="242"/>
      <c r="E44" s="242"/>
      <c r="F44" s="242"/>
      <c r="G44" s="242"/>
      <c r="H44" s="242"/>
      <c r="I44" s="242"/>
      <c r="J44" s="242"/>
      <c r="K44" s="242"/>
      <c r="L44" s="24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7" customHeight="1">
      <c r="A45" s="1"/>
      <c r="B45" s="244" t="s">
        <v>164</v>
      </c>
      <c r="C45" s="245"/>
      <c r="D45" s="245"/>
      <c r="E45" s="246"/>
      <c r="F45" s="247" t="s">
        <v>166</v>
      </c>
      <c r="G45" s="245"/>
      <c r="H45" s="245"/>
      <c r="I45" s="245"/>
      <c r="J45" s="245"/>
      <c r="K45" s="245"/>
      <c r="L45" s="24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thickBot="1">
      <c r="A46" s="1"/>
      <c r="B46" s="238" t="s">
        <v>27</v>
      </c>
      <c r="C46" s="239"/>
      <c r="D46" s="239"/>
      <c r="E46" s="240"/>
      <c r="F46" s="249" t="s">
        <v>28</v>
      </c>
      <c r="G46" s="239"/>
      <c r="H46" s="239"/>
      <c r="I46" s="239"/>
      <c r="J46" s="239"/>
      <c r="K46" s="239"/>
      <c r="L46" s="25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 thickTop="1" thickBot="1">
      <c r="A47" s="1"/>
      <c r="B47" s="171" t="s">
        <v>29</v>
      </c>
      <c r="C47" s="138"/>
      <c r="D47" s="138"/>
      <c r="E47" s="138"/>
      <c r="F47" s="171" t="s">
        <v>30</v>
      </c>
      <c r="G47" s="138"/>
      <c r="H47" s="138"/>
      <c r="I47" s="138"/>
      <c r="J47" s="138"/>
      <c r="K47" s="138"/>
      <c r="L47" s="13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72" t="s">
        <v>45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0" customHeight="1">
      <c r="A49" s="1"/>
      <c r="B49" s="13" t="s">
        <v>32</v>
      </c>
      <c r="C49" s="175"/>
      <c r="D49" s="176"/>
      <c r="E49" s="176"/>
      <c r="F49" s="176"/>
      <c r="G49" s="176"/>
      <c r="H49" s="176"/>
      <c r="I49" s="176"/>
      <c r="J49" s="176"/>
      <c r="K49" s="176"/>
      <c r="L49" s="17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7.5" customHeight="1">
      <c r="A50" s="1"/>
      <c r="B50" s="14" t="s">
        <v>33</v>
      </c>
      <c r="C50" s="175"/>
      <c r="D50" s="176"/>
      <c r="E50" s="176"/>
      <c r="F50" s="176"/>
      <c r="G50" s="176"/>
      <c r="H50" s="176"/>
      <c r="I50" s="176"/>
      <c r="J50" s="176"/>
      <c r="K50" s="176"/>
      <c r="L50" s="17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9.75" customHeight="1">
      <c r="A51" s="1"/>
      <c r="B51" s="15" t="s">
        <v>34</v>
      </c>
      <c r="C51" s="178"/>
      <c r="D51" s="179"/>
      <c r="E51" s="179"/>
      <c r="F51" s="179"/>
      <c r="G51" s="179"/>
      <c r="H51" s="179"/>
      <c r="I51" s="179"/>
      <c r="J51" s="179"/>
      <c r="K51" s="179"/>
      <c r="L51" s="18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customHeight="1">
      <c r="A52" s="1"/>
      <c r="B52" s="294" t="s">
        <v>46</v>
      </c>
      <c r="C52" s="295"/>
      <c r="D52" s="295"/>
      <c r="E52" s="296"/>
      <c r="F52" s="297" t="s">
        <v>47</v>
      </c>
      <c r="G52" s="295"/>
      <c r="H52" s="295"/>
      <c r="I52" s="295"/>
      <c r="J52" s="295"/>
      <c r="K52" s="295"/>
      <c r="L52" s="29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54" customHeight="1" thickBot="1">
      <c r="A53" s="1"/>
      <c r="B53" s="272" t="s">
        <v>161</v>
      </c>
      <c r="C53" s="156"/>
      <c r="D53" s="156"/>
      <c r="E53" s="157"/>
      <c r="F53" s="273" t="s">
        <v>162</v>
      </c>
      <c r="G53" s="156"/>
      <c r="H53" s="156"/>
      <c r="I53" s="156"/>
      <c r="J53" s="156"/>
      <c r="K53" s="156"/>
      <c r="L53" s="15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64">
    <mergeCell ref="C30:E30"/>
    <mergeCell ref="C38:E38"/>
    <mergeCell ref="C39:E39"/>
    <mergeCell ref="C27:E27"/>
    <mergeCell ref="C31:E31"/>
    <mergeCell ref="C28:E28"/>
    <mergeCell ref="C29:E29"/>
    <mergeCell ref="I13:L13"/>
    <mergeCell ref="B14:L14"/>
    <mergeCell ref="B15:E15"/>
    <mergeCell ref="C20:E20"/>
    <mergeCell ref="C21:E21"/>
    <mergeCell ref="F15:L15"/>
    <mergeCell ref="B16:B17"/>
    <mergeCell ref="C16:E17"/>
    <mergeCell ref="F16:F17"/>
    <mergeCell ref="G16:J16"/>
    <mergeCell ref="K16:L17"/>
    <mergeCell ref="C18:E18"/>
    <mergeCell ref="K18:L18"/>
    <mergeCell ref="C19:E19"/>
    <mergeCell ref="G10:L10"/>
    <mergeCell ref="B11:C11"/>
    <mergeCell ref="G11:L11"/>
    <mergeCell ref="B12:C12"/>
    <mergeCell ref="G12:L12"/>
    <mergeCell ref="B3:L3"/>
    <mergeCell ref="B5:L5"/>
    <mergeCell ref="B6:L6"/>
    <mergeCell ref="B7:K7"/>
    <mergeCell ref="B9:L9"/>
    <mergeCell ref="C25:E25"/>
    <mergeCell ref="C26:E26"/>
    <mergeCell ref="C22:E22"/>
    <mergeCell ref="C23:E23"/>
    <mergeCell ref="C24:E24"/>
    <mergeCell ref="C40:E40"/>
    <mergeCell ref="C32:E32"/>
    <mergeCell ref="C33:E33"/>
    <mergeCell ref="C34:E34"/>
    <mergeCell ref="C35:E35"/>
    <mergeCell ref="C36:E36"/>
    <mergeCell ref="C37:E37"/>
    <mergeCell ref="B47:E47"/>
    <mergeCell ref="F47:L47"/>
    <mergeCell ref="C41:E41"/>
    <mergeCell ref="K41:L41"/>
    <mergeCell ref="B42:I42"/>
    <mergeCell ref="J42:L42"/>
    <mergeCell ref="B43:I43"/>
    <mergeCell ref="J43:L43"/>
    <mergeCell ref="B44:L44"/>
    <mergeCell ref="B45:E45"/>
    <mergeCell ref="F45:L45"/>
    <mergeCell ref="B46:E46"/>
    <mergeCell ref="F46:L46"/>
    <mergeCell ref="B53:E53"/>
    <mergeCell ref="F53:L53"/>
    <mergeCell ref="B48:L48"/>
    <mergeCell ref="C49:L49"/>
    <mergeCell ref="C50:L50"/>
    <mergeCell ref="C51:L51"/>
    <mergeCell ref="B52:E52"/>
    <mergeCell ref="F52:L52"/>
  </mergeCells>
  <printOptions horizontalCentered="1"/>
  <pageMargins left="0" right="0" top="0.31496062992125984" bottom="0.15748031496062992" header="0" footer="0"/>
  <pageSetup paperSize="9" scale="95" fitToHeight="0" pageOrder="overThenDown" orientation="landscape" cellComments="atEnd" r:id="rId1"/>
  <headerFooter>
    <oddFooter>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3E02-AF24-4505-B7F0-593B785CA3E1}">
  <sheetPr>
    <outlinePr summaryBelow="0" summaryRight="0"/>
    <pageSetUpPr fitToPage="1"/>
  </sheetPr>
  <dimension ref="A1:Z1015"/>
  <sheetViews>
    <sheetView showGridLines="0" view="pageBreakPreview" topLeftCell="B3" zoomScaleNormal="100" zoomScaleSheetLayoutView="100" workbookViewId="0">
      <selection activeCell="B3" sqref="B3:L3"/>
    </sheetView>
  </sheetViews>
  <sheetFormatPr defaultColWidth="12.5703125" defaultRowHeight="15" customHeight="1"/>
  <cols>
    <col min="1" max="1" width="2.42578125" style="99" hidden="1" customWidth="1"/>
    <col min="2" max="2" width="25.5703125" style="99" customWidth="1"/>
    <col min="3" max="3" width="21.5703125" style="99" customWidth="1"/>
    <col min="4" max="4" width="9.140625" style="99" customWidth="1"/>
    <col min="5" max="5" width="24.28515625" style="99" customWidth="1"/>
    <col min="6" max="6" width="65.85546875" style="99" customWidth="1"/>
    <col min="7" max="10" width="8.42578125" style="99" customWidth="1"/>
    <col min="11" max="11" width="6.5703125" style="99" customWidth="1"/>
    <col min="12" max="12" width="11.42578125" style="99" customWidth="1"/>
    <col min="13" max="13" width="3.42578125" style="99" hidden="1" customWidth="1"/>
    <col min="14" max="22" width="12.5703125" style="99" hidden="1" customWidth="1"/>
    <col min="23" max="31" width="0" style="99" hidden="1" customWidth="1"/>
    <col min="32" max="16384" width="12.5703125" style="99"/>
  </cols>
  <sheetData>
    <row r="1" spans="1:26" ht="15.7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49" t="s">
        <v>1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81" customFormat="1" ht="8.25" customHeight="1"/>
    <row r="5" spans="1:26" ht="15.75" customHeight="1">
      <c r="A5" s="1"/>
      <c r="B5" s="139" t="s">
        <v>39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254" t="s">
        <v>50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" customHeight="1">
      <c r="A7" s="1"/>
      <c r="B7" s="139"/>
      <c r="C7" s="138"/>
      <c r="D7" s="138"/>
      <c r="E7" s="138"/>
      <c r="F7" s="138"/>
      <c r="G7" s="138"/>
      <c r="H7" s="138"/>
      <c r="I7" s="138"/>
      <c r="J7" s="138"/>
      <c r="K7" s="13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81" customFormat="1" ht="15" customHeight="1" thickBot="1"/>
    <row r="9" spans="1:26" ht="46.5" customHeight="1">
      <c r="A9" s="1"/>
      <c r="B9" s="255" t="s">
        <v>339</v>
      </c>
      <c r="C9" s="256"/>
      <c r="D9" s="256"/>
      <c r="E9" s="256"/>
      <c r="F9" s="256"/>
      <c r="G9" s="256"/>
      <c r="H9" s="256"/>
      <c r="I9" s="256"/>
      <c r="J9" s="256"/>
      <c r="K9" s="256"/>
      <c r="L9" s="25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>
      <c r="A10" s="1"/>
      <c r="B10" s="23"/>
      <c r="C10" s="1"/>
      <c r="D10" s="1"/>
      <c r="E10" s="1"/>
      <c r="F10" s="1"/>
      <c r="G10" s="299" t="s">
        <v>52</v>
      </c>
      <c r="H10" s="299"/>
      <c r="I10" s="299"/>
      <c r="J10" s="299"/>
      <c r="K10" s="299"/>
      <c r="L10" s="30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301"/>
      <c r="C11" s="138"/>
      <c r="D11" s="1"/>
      <c r="E11" s="1"/>
      <c r="F11" s="1"/>
      <c r="G11" s="302" t="s">
        <v>40</v>
      </c>
      <c r="H11" s="302"/>
      <c r="I11" s="302"/>
      <c r="J11" s="302"/>
      <c r="K11" s="302"/>
      <c r="L11" s="30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304"/>
      <c r="C12" s="138"/>
      <c r="D12" s="1"/>
      <c r="E12" s="1"/>
      <c r="F12" s="1"/>
      <c r="G12" s="305" t="s">
        <v>53</v>
      </c>
      <c r="H12" s="305"/>
      <c r="I12" s="305"/>
      <c r="J12" s="305"/>
      <c r="K12" s="305"/>
      <c r="L12" s="30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24"/>
      <c r="C13" s="25"/>
      <c r="D13" s="26"/>
      <c r="E13" s="26"/>
      <c r="F13" s="26"/>
      <c r="G13" s="26"/>
      <c r="H13" s="26"/>
      <c r="I13" s="307" t="s">
        <v>159</v>
      </c>
      <c r="J13" s="308"/>
      <c r="K13" s="308"/>
      <c r="L13" s="30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310" t="s">
        <v>41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2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47" t="s">
        <v>42</v>
      </c>
      <c r="C15" s="109"/>
      <c r="D15" s="109"/>
      <c r="E15" s="110"/>
      <c r="F15" s="148" t="s">
        <v>43</v>
      </c>
      <c r="G15" s="109"/>
      <c r="H15" s="109"/>
      <c r="I15" s="109"/>
      <c r="J15" s="109"/>
      <c r="K15" s="109"/>
      <c r="L15" s="12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28" t="s">
        <v>44</v>
      </c>
      <c r="C16" s="130" t="s">
        <v>12</v>
      </c>
      <c r="D16" s="131"/>
      <c r="E16" s="132"/>
      <c r="F16" s="135" t="s">
        <v>13</v>
      </c>
      <c r="G16" s="118" t="s">
        <v>14</v>
      </c>
      <c r="H16" s="109"/>
      <c r="I16" s="109"/>
      <c r="J16" s="109"/>
      <c r="K16" s="119" t="s">
        <v>15</v>
      </c>
      <c r="L16" s="12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29"/>
      <c r="C17" s="121"/>
      <c r="D17" s="133"/>
      <c r="E17" s="134"/>
      <c r="F17" s="136"/>
      <c r="G17" s="7" t="s">
        <v>16</v>
      </c>
      <c r="H17" s="7" t="s">
        <v>17</v>
      </c>
      <c r="I17" s="7" t="s">
        <v>18</v>
      </c>
      <c r="J17" s="7" t="s">
        <v>19</v>
      </c>
      <c r="K17" s="121"/>
      <c r="L17" s="12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19" customFormat="1" ht="15.75" customHeight="1">
      <c r="A18" s="18"/>
      <c r="B18" s="32" t="s">
        <v>20</v>
      </c>
      <c r="C18" s="269"/>
      <c r="D18" s="270"/>
      <c r="E18" s="271"/>
      <c r="F18" s="28"/>
      <c r="G18" s="29"/>
      <c r="H18" s="29"/>
      <c r="I18" s="29"/>
      <c r="J18" s="29"/>
      <c r="K18" s="288"/>
      <c r="L18" s="289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77.25" customHeight="1">
      <c r="A19" s="1"/>
      <c r="B19" s="22" t="s">
        <v>135</v>
      </c>
      <c r="C19" s="251" t="s">
        <v>136</v>
      </c>
      <c r="D19" s="267"/>
      <c r="E19" s="268"/>
      <c r="F19" s="92" t="s">
        <v>318</v>
      </c>
      <c r="G19" s="10">
        <v>0</v>
      </c>
      <c r="H19" s="10">
        <v>0</v>
      </c>
      <c r="I19" s="10">
        <v>0</v>
      </c>
      <c r="J19" s="10">
        <f>IFERROR(AVERAGE(G19:I19),"")</f>
        <v>0</v>
      </c>
      <c r="K19" s="100"/>
      <c r="L19" s="8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6.75" customHeight="1">
      <c r="A20" s="1"/>
      <c r="B20" s="20" t="s">
        <v>92</v>
      </c>
      <c r="C20" s="251" t="s">
        <v>93</v>
      </c>
      <c r="D20" s="252"/>
      <c r="E20" s="253"/>
      <c r="F20" s="92" t="s">
        <v>326</v>
      </c>
      <c r="G20" s="10">
        <v>5</v>
      </c>
      <c r="H20" s="10">
        <v>5</v>
      </c>
      <c r="I20" s="10">
        <v>5</v>
      </c>
      <c r="J20" s="10">
        <f t="shared" ref="J20:J31" si="0">IFERROR(AVERAGE(G20:I20),"")</f>
        <v>5</v>
      </c>
      <c r="K20" s="100"/>
      <c r="L20" s="8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8.25" customHeight="1">
      <c r="A21" s="1"/>
      <c r="B21" s="20" t="s">
        <v>94</v>
      </c>
      <c r="C21" s="251" t="s">
        <v>327</v>
      </c>
      <c r="D21" s="267"/>
      <c r="E21" s="268"/>
      <c r="F21" s="92" t="s">
        <v>328</v>
      </c>
      <c r="G21" s="10">
        <v>5</v>
      </c>
      <c r="H21" s="10">
        <v>5</v>
      </c>
      <c r="I21" s="10">
        <v>5</v>
      </c>
      <c r="J21" s="10">
        <f t="shared" si="0"/>
        <v>5</v>
      </c>
      <c r="K21" s="100"/>
      <c r="L21" s="8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6" customHeight="1">
      <c r="A22" s="1"/>
      <c r="B22" s="20" t="s">
        <v>58</v>
      </c>
      <c r="C22" s="251" t="s">
        <v>59</v>
      </c>
      <c r="D22" s="252"/>
      <c r="E22" s="253"/>
      <c r="F22" s="92" t="s">
        <v>59</v>
      </c>
      <c r="G22" s="10">
        <v>5</v>
      </c>
      <c r="H22" s="10">
        <v>4</v>
      </c>
      <c r="I22" s="10">
        <v>4</v>
      </c>
      <c r="J22" s="10">
        <f t="shared" si="0"/>
        <v>4.333333333333333</v>
      </c>
      <c r="K22" s="100"/>
      <c r="L22" s="8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66" customHeight="1">
      <c r="A23" s="1"/>
      <c r="B23" s="20" t="s">
        <v>60</v>
      </c>
      <c r="C23" s="287" t="s">
        <v>59</v>
      </c>
      <c r="D23" s="267"/>
      <c r="E23" s="268"/>
      <c r="F23" s="92" t="s">
        <v>59</v>
      </c>
      <c r="G23" s="10">
        <v>5</v>
      </c>
      <c r="H23" s="10">
        <v>4</v>
      </c>
      <c r="I23" s="10">
        <v>4</v>
      </c>
      <c r="J23" s="10">
        <f t="shared" si="0"/>
        <v>4.333333333333333</v>
      </c>
      <c r="K23" s="100"/>
      <c r="L23" s="8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6" customHeight="1">
      <c r="A24" s="1"/>
      <c r="B24" s="20" t="s">
        <v>85</v>
      </c>
      <c r="C24" s="251" t="s">
        <v>61</v>
      </c>
      <c r="D24" s="267"/>
      <c r="E24" s="268"/>
      <c r="F24" s="92" t="s">
        <v>61</v>
      </c>
      <c r="G24" s="10">
        <v>5</v>
      </c>
      <c r="H24" s="10">
        <v>5</v>
      </c>
      <c r="I24" s="10">
        <v>5</v>
      </c>
      <c r="J24" s="10">
        <f t="shared" si="0"/>
        <v>5</v>
      </c>
      <c r="K24" s="100"/>
      <c r="L24" s="8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66" customHeight="1">
      <c r="A25" s="1"/>
      <c r="B25" s="20" t="s">
        <v>62</v>
      </c>
      <c r="C25" s="251" t="s">
        <v>63</v>
      </c>
      <c r="D25" s="267"/>
      <c r="E25" s="268"/>
      <c r="F25" s="92" t="s">
        <v>63</v>
      </c>
      <c r="G25" s="10">
        <v>5</v>
      </c>
      <c r="H25" s="10">
        <v>5</v>
      </c>
      <c r="I25" s="10">
        <v>5</v>
      </c>
      <c r="J25" s="10">
        <f t="shared" si="0"/>
        <v>5</v>
      </c>
      <c r="K25" s="100"/>
      <c r="L25" s="8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66.75" customHeight="1">
      <c r="A26" s="1"/>
      <c r="B26" s="20" t="s">
        <v>96</v>
      </c>
      <c r="C26" s="251" t="s">
        <v>64</v>
      </c>
      <c r="D26" s="267"/>
      <c r="E26" s="268"/>
      <c r="F26" s="92" t="s">
        <v>318</v>
      </c>
      <c r="G26" s="10">
        <v>0</v>
      </c>
      <c r="H26" s="10">
        <v>0</v>
      </c>
      <c r="I26" s="10">
        <v>0</v>
      </c>
      <c r="J26" s="10">
        <f t="shared" si="0"/>
        <v>0</v>
      </c>
      <c r="K26" s="100"/>
      <c r="L26" s="8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6.75" customHeight="1">
      <c r="A27" s="1"/>
      <c r="B27" s="20" t="s">
        <v>87</v>
      </c>
      <c r="C27" s="251" t="s">
        <v>329</v>
      </c>
      <c r="D27" s="267"/>
      <c r="E27" s="268"/>
      <c r="F27" s="92" t="s">
        <v>329</v>
      </c>
      <c r="G27" s="10">
        <v>5</v>
      </c>
      <c r="H27" s="10">
        <v>5</v>
      </c>
      <c r="I27" s="10">
        <v>5</v>
      </c>
      <c r="J27" s="10">
        <f t="shared" si="0"/>
        <v>5</v>
      </c>
      <c r="K27" s="100"/>
      <c r="L27" s="8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79.5" customHeight="1">
      <c r="A28" s="1"/>
      <c r="B28" s="20" t="s">
        <v>88</v>
      </c>
      <c r="C28" s="251" t="s">
        <v>340</v>
      </c>
      <c r="D28" s="267"/>
      <c r="E28" s="268"/>
      <c r="F28" s="92" t="s">
        <v>340</v>
      </c>
      <c r="G28" s="10">
        <v>5</v>
      </c>
      <c r="H28" s="10">
        <v>5</v>
      </c>
      <c r="I28" s="10">
        <v>5</v>
      </c>
      <c r="J28" s="10">
        <f t="shared" si="0"/>
        <v>5</v>
      </c>
      <c r="K28" s="100"/>
      <c r="L28" s="8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" customHeight="1">
      <c r="A29" s="1"/>
      <c r="B29" s="20" t="s">
        <v>67</v>
      </c>
      <c r="C29" s="251" t="s">
        <v>99</v>
      </c>
      <c r="D29" s="267"/>
      <c r="E29" s="268"/>
      <c r="F29" s="92" t="s">
        <v>99</v>
      </c>
      <c r="G29" s="10">
        <v>5</v>
      </c>
      <c r="H29" s="10">
        <v>5</v>
      </c>
      <c r="I29" s="10">
        <v>5</v>
      </c>
      <c r="J29" s="10">
        <f t="shared" si="0"/>
        <v>5</v>
      </c>
      <c r="K29" s="100"/>
      <c r="L29" s="8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2.25" customHeight="1">
      <c r="A30" s="1"/>
      <c r="B30" s="20" t="s">
        <v>100</v>
      </c>
      <c r="C30" s="287" t="s">
        <v>101</v>
      </c>
      <c r="D30" s="267"/>
      <c r="E30" s="268"/>
      <c r="F30" s="92" t="s">
        <v>318</v>
      </c>
      <c r="G30" s="10">
        <v>0</v>
      </c>
      <c r="H30" s="10">
        <v>0</v>
      </c>
      <c r="I30" s="10">
        <v>0</v>
      </c>
      <c r="J30" s="10">
        <f t="shared" si="0"/>
        <v>0</v>
      </c>
      <c r="K30" s="100"/>
      <c r="L30" s="8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78" customHeight="1">
      <c r="A31" s="1"/>
      <c r="B31" s="20" t="s">
        <v>102</v>
      </c>
      <c r="C31" s="287" t="s">
        <v>341</v>
      </c>
      <c r="D31" s="267"/>
      <c r="E31" s="268"/>
      <c r="F31" s="92" t="s">
        <v>318</v>
      </c>
      <c r="G31" s="10">
        <v>0</v>
      </c>
      <c r="H31" s="10">
        <v>0</v>
      </c>
      <c r="I31" s="10">
        <v>0</v>
      </c>
      <c r="J31" s="10">
        <f t="shared" si="0"/>
        <v>0</v>
      </c>
      <c r="K31" s="100"/>
      <c r="L31" s="8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s="35" customFormat="1" ht="15.75" customHeight="1">
      <c r="A32" s="34"/>
      <c r="B32" s="31" t="s">
        <v>21</v>
      </c>
      <c r="C32" s="269"/>
      <c r="D32" s="270"/>
      <c r="E32" s="271"/>
      <c r="F32" s="102"/>
      <c r="G32" s="29"/>
      <c r="H32" s="29"/>
      <c r="I32" s="29"/>
      <c r="J32" s="29"/>
      <c r="K32" s="101"/>
      <c r="L32" s="8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06.5" customHeight="1">
      <c r="A33" s="1"/>
      <c r="B33" s="20" t="s">
        <v>104</v>
      </c>
      <c r="C33" s="251" t="s">
        <v>69</v>
      </c>
      <c r="D33" s="267"/>
      <c r="E33" s="268"/>
      <c r="F33" s="92" t="s">
        <v>330</v>
      </c>
      <c r="G33" s="10">
        <v>5</v>
      </c>
      <c r="H33" s="10">
        <v>5</v>
      </c>
      <c r="I33" s="10">
        <v>5</v>
      </c>
      <c r="J33" s="10">
        <f t="shared" ref="J33:J35" si="1">IFERROR(AVERAGE(G33:I33),"")</f>
        <v>5</v>
      </c>
      <c r="K33" s="100"/>
      <c r="L33" s="8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8" customHeight="1">
      <c r="A34" s="1"/>
      <c r="B34" s="20" t="s">
        <v>105</v>
      </c>
      <c r="C34" s="251" t="s">
        <v>338</v>
      </c>
      <c r="D34" s="267"/>
      <c r="E34" s="268"/>
      <c r="F34" s="92" t="s">
        <v>342</v>
      </c>
      <c r="G34" s="10">
        <v>5</v>
      </c>
      <c r="H34" s="10">
        <v>5</v>
      </c>
      <c r="I34" s="10">
        <v>5</v>
      </c>
      <c r="J34" s="10">
        <f t="shared" si="1"/>
        <v>5</v>
      </c>
      <c r="K34" s="100"/>
      <c r="L34" s="8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6" customHeight="1">
      <c r="A35" s="1"/>
      <c r="B35" s="20" t="s">
        <v>106</v>
      </c>
      <c r="C35" s="251" t="s">
        <v>337</v>
      </c>
      <c r="D35" s="267"/>
      <c r="E35" s="268"/>
      <c r="F35" s="92" t="s">
        <v>331</v>
      </c>
      <c r="G35" s="10">
        <v>4</v>
      </c>
      <c r="H35" s="10">
        <v>4</v>
      </c>
      <c r="I35" s="10">
        <v>5</v>
      </c>
      <c r="J35" s="10">
        <f t="shared" si="1"/>
        <v>4.333333333333333</v>
      </c>
      <c r="K35" s="100"/>
      <c r="L35" s="8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31" t="s">
        <v>22</v>
      </c>
      <c r="C36" s="269"/>
      <c r="D36" s="270"/>
      <c r="E36" s="271"/>
      <c r="F36" s="102"/>
      <c r="G36" s="29"/>
      <c r="H36" s="29"/>
      <c r="I36" s="29"/>
      <c r="J36" s="29"/>
      <c r="K36" s="101"/>
      <c r="L36" s="8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8.25">
      <c r="A37" s="1"/>
      <c r="B37" s="20" t="s">
        <v>71</v>
      </c>
      <c r="C37" s="287" t="s">
        <v>72</v>
      </c>
      <c r="D37" s="252"/>
      <c r="E37" s="253"/>
      <c r="F37" s="92" t="s">
        <v>318</v>
      </c>
      <c r="G37" s="10">
        <v>0</v>
      </c>
      <c r="H37" s="10">
        <v>0</v>
      </c>
      <c r="I37" s="10">
        <v>0</v>
      </c>
      <c r="J37" s="10">
        <f t="shared" ref="J37:J41" si="2">IFERROR(AVERAGE(G37:I37),"")</f>
        <v>0</v>
      </c>
      <c r="K37" s="100"/>
      <c r="L37" s="8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76.5">
      <c r="A38" s="1"/>
      <c r="B38" s="20" t="s">
        <v>73</v>
      </c>
      <c r="C38" s="251" t="s">
        <v>332</v>
      </c>
      <c r="D38" s="252"/>
      <c r="E38" s="253"/>
      <c r="F38" s="92" t="s">
        <v>332</v>
      </c>
      <c r="G38" s="10">
        <v>5</v>
      </c>
      <c r="H38" s="10">
        <v>5</v>
      </c>
      <c r="I38" s="10">
        <v>5</v>
      </c>
      <c r="J38" s="10">
        <f t="shared" si="2"/>
        <v>5</v>
      </c>
      <c r="K38" s="100"/>
      <c r="L38" s="8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76.5">
      <c r="A39" s="1"/>
      <c r="B39" s="20" t="s">
        <v>75</v>
      </c>
      <c r="C39" s="251" t="s">
        <v>76</v>
      </c>
      <c r="D39" s="252"/>
      <c r="E39" s="253"/>
      <c r="F39" s="92" t="s">
        <v>333</v>
      </c>
      <c r="G39" s="10">
        <v>5</v>
      </c>
      <c r="H39" s="10">
        <v>5</v>
      </c>
      <c r="I39" s="10">
        <v>5</v>
      </c>
      <c r="J39" s="10">
        <f t="shared" si="2"/>
        <v>5</v>
      </c>
      <c r="K39" s="100"/>
      <c r="L39" s="8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8.25">
      <c r="A40" s="1"/>
      <c r="B40" s="20" t="s">
        <v>77</v>
      </c>
      <c r="C40" s="251" t="s">
        <v>334</v>
      </c>
      <c r="D40" s="252"/>
      <c r="E40" s="253"/>
      <c r="F40" s="92" t="s">
        <v>334</v>
      </c>
      <c r="G40" s="10">
        <v>5</v>
      </c>
      <c r="H40" s="10">
        <v>5</v>
      </c>
      <c r="I40" s="10">
        <v>5</v>
      </c>
      <c r="J40" s="10">
        <f t="shared" si="2"/>
        <v>5</v>
      </c>
      <c r="K40" s="100"/>
      <c r="L40" s="8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8.25">
      <c r="A41" s="1"/>
      <c r="B41" s="20" t="s">
        <v>79</v>
      </c>
      <c r="C41" s="251" t="s">
        <v>335</v>
      </c>
      <c r="D41" s="252"/>
      <c r="E41" s="253"/>
      <c r="F41" s="92" t="s">
        <v>336</v>
      </c>
      <c r="G41" s="10">
        <v>5</v>
      </c>
      <c r="H41" s="10">
        <v>5</v>
      </c>
      <c r="I41" s="10">
        <v>5</v>
      </c>
      <c r="J41" s="10">
        <f t="shared" si="2"/>
        <v>5</v>
      </c>
      <c r="K41" s="118"/>
      <c r="L41" s="31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12" t="s">
        <v>23</v>
      </c>
      <c r="C42" s="113"/>
      <c r="D42" s="113"/>
      <c r="E42" s="113"/>
      <c r="F42" s="113"/>
      <c r="G42" s="113"/>
      <c r="H42" s="113"/>
      <c r="I42" s="114"/>
      <c r="J42" s="124">
        <f>IFERROR(AVERAGE(J20,J21,J22,J23,J24,J25,J27,J28,J29,J33,J34,J35,J38,J39,J40,J41),"")</f>
        <v>4.875</v>
      </c>
      <c r="K42" s="113"/>
      <c r="L42" s="12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 thickBot="1">
      <c r="A43" s="1"/>
      <c r="B43" s="115" t="s">
        <v>24</v>
      </c>
      <c r="C43" s="116"/>
      <c r="D43" s="116"/>
      <c r="E43" s="116"/>
      <c r="F43" s="116"/>
      <c r="G43" s="116"/>
      <c r="H43" s="116"/>
      <c r="I43" s="117"/>
      <c r="J43" s="126" t="str">
        <f>IFERROR(IF(J42&lt;2,"Poor",IF(J42&lt;3,"Unsatisfactory",IF(J42&lt;4,"Satisfactory",IF(J42&lt;5,"Very Satisfactory",IF(J42=5,"Outstanding"))))),"")</f>
        <v>Very Satisfactory</v>
      </c>
      <c r="K43" s="116"/>
      <c r="L43" s="12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9.25" customHeight="1">
      <c r="A44" s="1"/>
      <c r="B44" s="241" t="s">
        <v>163</v>
      </c>
      <c r="C44" s="242"/>
      <c r="D44" s="242"/>
      <c r="E44" s="242"/>
      <c r="F44" s="242"/>
      <c r="G44" s="242"/>
      <c r="H44" s="242"/>
      <c r="I44" s="242"/>
      <c r="J44" s="242"/>
      <c r="K44" s="242"/>
      <c r="L44" s="24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7" customHeight="1">
      <c r="A45" s="1"/>
      <c r="B45" s="244" t="s">
        <v>164</v>
      </c>
      <c r="C45" s="245"/>
      <c r="D45" s="245"/>
      <c r="E45" s="246"/>
      <c r="F45" s="247" t="s">
        <v>166</v>
      </c>
      <c r="G45" s="245"/>
      <c r="H45" s="245"/>
      <c r="I45" s="245"/>
      <c r="J45" s="245"/>
      <c r="K45" s="245"/>
      <c r="L45" s="24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thickBot="1">
      <c r="A46" s="1"/>
      <c r="B46" s="238" t="s">
        <v>27</v>
      </c>
      <c r="C46" s="239"/>
      <c r="D46" s="239"/>
      <c r="E46" s="240"/>
      <c r="F46" s="249" t="s">
        <v>28</v>
      </c>
      <c r="G46" s="239"/>
      <c r="H46" s="239"/>
      <c r="I46" s="239"/>
      <c r="J46" s="239"/>
      <c r="K46" s="239"/>
      <c r="L46" s="25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 thickTop="1" thickBot="1">
      <c r="A47" s="1"/>
      <c r="B47" s="171" t="s">
        <v>29</v>
      </c>
      <c r="C47" s="138"/>
      <c r="D47" s="138"/>
      <c r="E47" s="138"/>
      <c r="F47" s="171" t="s">
        <v>30</v>
      </c>
      <c r="G47" s="138"/>
      <c r="H47" s="138"/>
      <c r="I47" s="138"/>
      <c r="J47" s="138"/>
      <c r="K47" s="138"/>
      <c r="L47" s="13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72" t="s">
        <v>45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0" customHeight="1">
      <c r="A49" s="1"/>
      <c r="B49" s="13" t="s">
        <v>32</v>
      </c>
      <c r="C49" s="175"/>
      <c r="D49" s="176"/>
      <c r="E49" s="176"/>
      <c r="F49" s="176"/>
      <c r="G49" s="176"/>
      <c r="H49" s="176"/>
      <c r="I49" s="176"/>
      <c r="J49" s="176"/>
      <c r="K49" s="176"/>
      <c r="L49" s="17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7.5" customHeight="1">
      <c r="A50" s="1"/>
      <c r="B50" s="14" t="s">
        <v>33</v>
      </c>
      <c r="C50" s="175"/>
      <c r="D50" s="176"/>
      <c r="E50" s="176"/>
      <c r="F50" s="176"/>
      <c r="G50" s="176"/>
      <c r="H50" s="176"/>
      <c r="I50" s="176"/>
      <c r="J50" s="176"/>
      <c r="K50" s="176"/>
      <c r="L50" s="17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8.25">
      <c r="A51" s="1"/>
      <c r="B51" s="15" t="s">
        <v>34</v>
      </c>
      <c r="C51" s="178"/>
      <c r="D51" s="179"/>
      <c r="E51" s="179"/>
      <c r="F51" s="179"/>
      <c r="G51" s="179"/>
      <c r="H51" s="179"/>
      <c r="I51" s="179"/>
      <c r="J51" s="179"/>
      <c r="K51" s="179"/>
      <c r="L51" s="18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1" customHeight="1">
      <c r="A52" s="1"/>
      <c r="B52" s="294" t="s">
        <v>307</v>
      </c>
      <c r="C52" s="295"/>
      <c r="D52" s="295"/>
      <c r="E52" s="296"/>
      <c r="F52" s="297" t="s">
        <v>47</v>
      </c>
      <c r="G52" s="295"/>
      <c r="H52" s="295"/>
      <c r="I52" s="295"/>
      <c r="J52" s="295"/>
      <c r="K52" s="295"/>
      <c r="L52" s="29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54" customHeight="1" thickBot="1">
      <c r="A53" s="1"/>
      <c r="B53" s="272" t="s">
        <v>161</v>
      </c>
      <c r="C53" s="156"/>
      <c r="D53" s="156"/>
      <c r="E53" s="157"/>
      <c r="F53" s="273" t="s">
        <v>162</v>
      </c>
      <c r="G53" s="156"/>
      <c r="H53" s="156"/>
      <c r="I53" s="156"/>
      <c r="J53" s="156"/>
      <c r="K53" s="156"/>
      <c r="L53" s="15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64">
    <mergeCell ref="B53:E53"/>
    <mergeCell ref="F53:L53"/>
    <mergeCell ref="B48:L48"/>
    <mergeCell ref="C49:L49"/>
    <mergeCell ref="C50:L50"/>
    <mergeCell ref="C51:L51"/>
    <mergeCell ref="B52:E52"/>
    <mergeCell ref="F52:L52"/>
    <mergeCell ref="B47:E47"/>
    <mergeCell ref="F47:L47"/>
    <mergeCell ref="C41:E41"/>
    <mergeCell ref="K41:L41"/>
    <mergeCell ref="B42:I42"/>
    <mergeCell ref="J42:L42"/>
    <mergeCell ref="B43:I43"/>
    <mergeCell ref="J43:L43"/>
    <mergeCell ref="B44:L44"/>
    <mergeCell ref="B45:E45"/>
    <mergeCell ref="F45:L45"/>
    <mergeCell ref="B46:E46"/>
    <mergeCell ref="F46:L46"/>
    <mergeCell ref="C40:E40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28:E28"/>
    <mergeCell ref="C18:E18"/>
    <mergeCell ref="K18:L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B15:E15"/>
    <mergeCell ref="F15:L15"/>
    <mergeCell ref="B16:B17"/>
    <mergeCell ref="C16:E17"/>
    <mergeCell ref="F16:F17"/>
    <mergeCell ref="G16:J16"/>
    <mergeCell ref="K16:L17"/>
    <mergeCell ref="B14:L14"/>
    <mergeCell ref="B3:L3"/>
    <mergeCell ref="B5:L5"/>
    <mergeCell ref="B6:L6"/>
    <mergeCell ref="B7:K7"/>
    <mergeCell ref="B9:L9"/>
    <mergeCell ref="G10:L10"/>
    <mergeCell ref="B11:C11"/>
    <mergeCell ref="G11:L11"/>
    <mergeCell ref="B12:C12"/>
    <mergeCell ref="G12:L12"/>
    <mergeCell ref="I13:L13"/>
  </mergeCells>
  <printOptions horizontalCentered="1"/>
  <pageMargins left="0" right="0" top="0.49212598425196852" bottom="0.15748031496062992" header="0" footer="0"/>
  <pageSetup paperSize="9" scale="74" fitToHeight="0" pageOrder="overThenDown" orientation="landscape" cellComments="atEnd" r:id="rId1"/>
  <headerFooter>
    <oddFooter>Page &amp;P of &amp;N</oddFooter>
  </headerFooter>
  <rowBreaks count="3" manualBreakCount="3">
    <brk id="22" min="1" max="11" man="1"/>
    <brk id="31" min="1" max="11" man="1"/>
    <brk id="40" min="1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5A4C-1211-48FC-9B70-3350C1D41D60}">
  <sheetPr>
    <outlinePr summaryBelow="0" summaryRight="0"/>
    <pageSetUpPr fitToPage="1"/>
  </sheetPr>
  <dimension ref="A1:Y1015"/>
  <sheetViews>
    <sheetView showGridLines="0" tabSelected="1" view="pageBreakPreview" topLeftCell="B3" zoomScaleNormal="100" zoomScaleSheetLayoutView="100" workbookViewId="0">
      <selection activeCell="B3" sqref="B3:K3"/>
    </sheetView>
  </sheetViews>
  <sheetFormatPr defaultColWidth="12.5703125" defaultRowHeight="15" customHeight="1"/>
  <cols>
    <col min="1" max="1" width="2.42578125" style="103" hidden="1" customWidth="1"/>
    <col min="2" max="2" width="25.5703125" style="103" customWidth="1"/>
    <col min="3" max="3" width="21.5703125" style="103" customWidth="1"/>
    <col min="4" max="4" width="9.140625" style="103" customWidth="1"/>
    <col min="5" max="5" width="24.28515625" style="103" customWidth="1"/>
    <col min="6" max="6" width="65.85546875" style="103" customWidth="1"/>
    <col min="7" max="10" width="8.42578125" style="103" customWidth="1"/>
    <col min="11" max="11" width="18.140625" style="103" customWidth="1"/>
    <col min="12" max="12" width="3.42578125" style="103" hidden="1" customWidth="1"/>
    <col min="13" max="21" width="12.5703125" style="103" hidden="1" customWidth="1"/>
    <col min="22" max="30" width="0" style="103" hidden="1" customWidth="1"/>
    <col min="31" max="16384" width="12.5703125" style="103"/>
  </cols>
  <sheetData>
    <row r="1" spans="1:25" ht="15.7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/>
      <c r="B3" s="149" t="s">
        <v>1</v>
      </c>
      <c r="C3" s="138"/>
      <c r="D3" s="138"/>
      <c r="E3" s="138"/>
      <c r="F3" s="138"/>
      <c r="G3" s="138"/>
      <c r="H3" s="138"/>
      <c r="I3" s="138"/>
      <c r="J3" s="138"/>
      <c r="K3" s="13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s="81" customFormat="1" ht="8.25" customHeight="1"/>
    <row r="5" spans="1:25" ht="15.75" customHeight="1">
      <c r="A5" s="1"/>
      <c r="B5" s="139" t="s">
        <v>39</v>
      </c>
      <c r="C5" s="138"/>
      <c r="D5" s="138"/>
      <c r="E5" s="138"/>
      <c r="F5" s="138"/>
      <c r="G5" s="138"/>
      <c r="H5" s="138"/>
      <c r="I5" s="138"/>
      <c r="J5" s="138"/>
      <c r="K5" s="13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1"/>
      <c r="B6" s="254" t="s">
        <v>50</v>
      </c>
      <c r="C6" s="138"/>
      <c r="D6" s="138"/>
      <c r="E6" s="138"/>
      <c r="F6" s="138"/>
      <c r="G6" s="138"/>
      <c r="H6" s="138"/>
      <c r="I6" s="138"/>
      <c r="J6" s="138"/>
      <c r="K6" s="13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9" customHeight="1">
      <c r="A7" s="1"/>
      <c r="B7" s="139"/>
      <c r="C7" s="138"/>
      <c r="D7" s="138"/>
      <c r="E7" s="138"/>
      <c r="F7" s="138"/>
      <c r="G7" s="138"/>
      <c r="H7" s="138"/>
      <c r="I7" s="138"/>
      <c r="J7" s="138"/>
      <c r="K7" s="13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s="81" customFormat="1" ht="15" customHeight="1" thickBot="1"/>
    <row r="9" spans="1:25" ht="46.5" customHeight="1">
      <c r="A9" s="1"/>
      <c r="B9" s="255" t="s">
        <v>343</v>
      </c>
      <c r="C9" s="256"/>
      <c r="D9" s="256"/>
      <c r="E9" s="256"/>
      <c r="F9" s="256"/>
      <c r="G9" s="256"/>
      <c r="H9" s="256"/>
      <c r="I9" s="256"/>
      <c r="J9" s="256"/>
      <c r="K9" s="25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7.75" customHeight="1">
      <c r="A10" s="1"/>
      <c r="B10" s="23"/>
      <c r="C10" s="1"/>
      <c r="D10" s="1"/>
      <c r="E10" s="1"/>
      <c r="F10" s="1"/>
      <c r="G10" s="299" t="s">
        <v>52</v>
      </c>
      <c r="H10" s="299"/>
      <c r="I10" s="299"/>
      <c r="J10" s="299"/>
      <c r="K10" s="29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"/>
      <c r="B11" s="301"/>
      <c r="C11" s="138"/>
      <c r="D11" s="1"/>
      <c r="E11" s="1"/>
      <c r="F11" s="1"/>
      <c r="G11" s="302" t="s">
        <v>40</v>
      </c>
      <c r="H11" s="302"/>
      <c r="I11" s="302"/>
      <c r="J11" s="302"/>
      <c r="K11" s="30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304"/>
      <c r="C12" s="138"/>
      <c r="D12" s="1"/>
      <c r="E12" s="1"/>
      <c r="F12" s="1"/>
      <c r="G12" s="305" t="s">
        <v>53</v>
      </c>
      <c r="H12" s="305"/>
      <c r="I12" s="305"/>
      <c r="J12" s="305"/>
      <c r="K12" s="30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24"/>
      <c r="C13" s="25"/>
      <c r="D13" s="26"/>
      <c r="E13" s="26"/>
      <c r="F13" s="26"/>
      <c r="G13" s="26"/>
      <c r="H13" s="26"/>
      <c r="I13" s="307" t="s">
        <v>159</v>
      </c>
      <c r="J13" s="308"/>
      <c r="K13" s="30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1"/>
      <c r="B14" s="310" t="s">
        <v>41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1"/>
      <c r="B15" s="147" t="s">
        <v>42</v>
      </c>
      <c r="C15" s="109"/>
      <c r="D15" s="109"/>
      <c r="E15" s="110"/>
      <c r="F15" s="148" t="s">
        <v>43</v>
      </c>
      <c r="G15" s="109"/>
      <c r="H15" s="109"/>
      <c r="I15" s="109"/>
      <c r="J15" s="109"/>
      <c r="K15" s="10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128" t="s">
        <v>44</v>
      </c>
      <c r="C16" s="130" t="s">
        <v>12</v>
      </c>
      <c r="D16" s="131"/>
      <c r="E16" s="132"/>
      <c r="F16" s="135" t="s">
        <v>13</v>
      </c>
      <c r="G16" s="118" t="s">
        <v>14</v>
      </c>
      <c r="H16" s="109"/>
      <c r="I16" s="109"/>
      <c r="J16" s="109"/>
      <c r="K16" s="119" t="s">
        <v>15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129"/>
      <c r="C17" s="121"/>
      <c r="D17" s="133"/>
      <c r="E17" s="134"/>
      <c r="F17" s="136"/>
      <c r="G17" s="7" t="s">
        <v>16</v>
      </c>
      <c r="H17" s="7" t="s">
        <v>17</v>
      </c>
      <c r="I17" s="7" t="s">
        <v>18</v>
      </c>
      <c r="J17" s="7" t="s">
        <v>19</v>
      </c>
      <c r="K17" s="12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s="19" customFormat="1" ht="15.75" customHeight="1">
      <c r="A18" s="18"/>
      <c r="B18" s="32" t="s">
        <v>20</v>
      </c>
      <c r="C18" s="269"/>
      <c r="D18" s="270"/>
      <c r="E18" s="271"/>
      <c r="F18" s="28"/>
      <c r="G18" s="29"/>
      <c r="H18" s="29"/>
      <c r="I18" s="29"/>
      <c r="J18" s="29"/>
      <c r="K18" s="107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77.25" customHeight="1">
      <c r="A19" s="1"/>
      <c r="B19" s="22" t="s">
        <v>135</v>
      </c>
      <c r="C19" s="251" t="s">
        <v>344</v>
      </c>
      <c r="D19" s="267"/>
      <c r="E19" s="268"/>
      <c r="F19" s="92" t="s">
        <v>318</v>
      </c>
      <c r="G19" s="10">
        <v>0</v>
      </c>
      <c r="H19" s="10">
        <v>0</v>
      </c>
      <c r="I19" s="10">
        <v>0</v>
      </c>
      <c r="J19" s="10">
        <f>IFERROR(AVERAGE(G19:I19),"")</f>
        <v>0</v>
      </c>
      <c r="K19" s="104" t="s">
        <v>353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66.75" customHeight="1">
      <c r="A20" s="1"/>
      <c r="B20" s="20" t="s">
        <v>92</v>
      </c>
      <c r="C20" s="251" t="s">
        <v>345</v>
      </c>
      <c r="D20" s="252"/>
      <c r="E20" s="253"/>
      <c r="F20" s="92" t="s">
        <v>346</v>
      </c>
      <c r="G20" s="10">
        <v>5</v>
      </c>
      <c r="H20" s="10">
        <v>5</v>
      </c>
      <c r="I20" s="10">
        <v>5</v>
      </c>
      <c r="J20" s="10">
        <f t="shared" ref="J20:J31" si="0">IFERROR(AVERAGE(G20:I20),"")</f>
        <v>5</v>
      </c>
      <c r="K20" s="10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8.25" customHeight="1">
      <c r="A21" s="1"/>
      <c r="B21" s="20" t="s">
        <v>94</v>
      </c>
      <c r="C21" s="251" t="s">
        <v>95</v>
      </c>
      <c r="D21" s="267"/>
      <c r="E21" s="268"/>
      <c r="F21" s="92" t="s">
        <v>347</v>
      </c>
      <c r="G21" s="10">
        <v>5</v>
      </c>
      <c r="H21" s="10">
        <v>5</v>
      </c>
      <c r="I21" s="10">
        <v>5</v>
      </c>
      <c r="J21" s="10">
        <f t="shared" si="0"/>
        <v>5</v>
      </c>
      <c r="K21" s="10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66" customHeight="1">
      <c r="A22" s="1"/>
      <c r="B22" s="20" t="s">
        <v>58</v>
      </c>
      <c r="C22" s="251" t="s">
        <v>59</v>
      </c>
      <c r="D22" s="252"/>
      <c r="E22" s="253"/>
      <c r="F22" s="92" t="s">
        <v>59</v>
      </c>
      <c r="G22" s="10">
        <v>5</v>
      </c>
      <c r="H22" s="10">
        <v>4</v>
      </c>
      <c r="I22" s="10">
        <v>4</v>
      </c>
      <c r="J22" s="10">
        <f t="shared" si="0"/>
        <v>4.333333333333333</v>
      </c>
      <c r="K22" s="10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66" customHeight="1">
      <c r="A23" s="1"/>
      <c r="B23" s="20" t="s">
        <v>60</v>
      </c>
      <c r="C23" s="287" t="s">
        <v>59</v>
      </c>
      <c r="D23" s="267"/>
      <c r="E23" s="268"/>
      <c r="F23" s="92" t="s">
        <v>59</v>
      </c>
      <c r="G23" s="10">
        <v>5</v>
      </c>
      <c r="H23" s="10">
        <v>4</v>
      </c>
      <c r="I23" s="10">
        <v>4</v>
      </c>
      <c r="J23" s="10">
        <f t="shared" si="0"/>
        <v>4.333333333333333</v>
      </c>
      <c r="K23" s="10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66" customHeight="1">
      <c r="A24" s="1"/>
      <c r="B24" s="20" t="s">
        <v>85</v>
      </c>
      <c r="C24" s="251" t="s">
        <v>61</v>
      </c>
      <c r="D24" s="267"/>
      <c r="E24" s="268"/>
      <c r="F24" s="92" t="s">
        <v>61</v>
      </c>
      <c r="G24" s="10">
        <v>5</v>
      </c>
      <c r="H24" s="10">
        <v>5</v>
      </c>
      <c r="I24" s="10">
        <v>5</v>
      </c>
      <c r="J24" s="10">
        <f t="shared" si="0"/>
        <v>5</v>
      </c>
      <c r="K24" s="10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66" customHeight="1">
      <c r="A25" s="1"/>
      <c r="B25" s="20" t="s">
        <v>62</v>
      </c>
      <c r="C25" s="251" t="s">
        <v>63</v>
      </c>
      <c r="D25" s="267"/>
      <c r="E25" s="268"/>
      <c r="F25" s="92" t="s">
        <v>63</v>
      </c>
      <c r="G25" s="10">
        <v>5</v>
      </c>
      <c r="H25" s="10">
        <v>5</v>
      </c>
      <c r="I25" s="10">
        <v>5</v>
      </c>
      <c r="J25" s="10">
        <f t="shared" si="0"/>
        <v>5</v>
      </c>
      <c r="K25" s="10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66.75" customHeight="1">
      <c r="A26" s="1"/>
      <c r="B26" s="20" t="s">
        <v>96</v>
      </c>
      <c r="C26" s="251" t="s">
        <v>64</v>
      </c>
      <c r="D26" s="267"/>
      <c r="E26" s="268"/>
      <c r="F26" s="92" t="s">
        <v>318</v>
      </c>
      <c r="G26" s="10">
        <v>0</v>
      </c>
      <c r="H26" s="10">
        <v>0</v>
      </c>
      <c r="I26" s="10">
        <v>0</v>
      </c>
      <c r="J26" s="10">
        <f t="shared" si="0"/>
        <v>0</v>
      </c>
      <c r="K26" s="104" t="s">
        <v>357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66.75" customHeight="1">
      <c r="A27" s="1"/>
      <c r="B27" s="20" t="s">
        <v>87</v>
      </c>
      <c r="C27" s="251" t="s">
        <v>348</v>
      </c>
      <c r="D27" s="267"/>
      <c r="E27" s="268"/>
      <c r="F27" s="92" t="s">
        <v>348</v>
      </c>
      <c r="G27" s="10">
        <v>5</v>
      </c>
      <c r="H27" s="10">
        <v>5</v>
      </c>
      <c r="I27" s="10">
        <v>5</v>
      </c>
      <c r="J27" s="10">
        <f t="shared" si="0"/>
        <v>5</v>
      </c>
      <c r="K27" s="10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79.5" customHeight="1">
      <c r="A28" s="1"/>
      <c r="B28" s="20" t="s">
        <v>88</v>
      </c>
      <c r="C28" s="251" t="s">
        <v>98</v>
      </c>
      <c r="D28" s="267"/>
      <c r="E28" s="268"/>
      <c r="F28" s="92" t="s">
        <v>98</v>
      </c>
      <c r="G28" s="10">
        <v>5</v>
      </c>
      <c r="H28" s="10">
        <v>5</v>
      </c>
      <c r="I28" s="10">
        <v>5</v>
      </c>
      <c r="J28" s="10">
        <f t="shared" si="0"/>
        <v>5</v>
      </c>
      <c r="K28" s="10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9" customHeight="1">
      <c r="A29" s="1"/>
      <c r="B29" s="20" t="s">
        <v>67</v>
      </c>
      <c r="C29" s="251" t="s">
        <v>349</v>
      </c>
      <c r="D29" s="267"/>
      <c r="E29" s="268"/>
      <c r="F29" s="92" t="s">
        <v>349</v>
      </c>
      <c r="G29" s="10">
        <v>5</v>
      </c>
      <c r="H29" s="10">
        <v>5</v>
      </c>
      <c r="I29" s="10">
        <v>5</v>
      </c>
      <c r="J29" s="10">
        <f t="shared" si="0"/>
        <v>5</v>
      </c>
      <c r="K29" s="10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62.25" customHeight="1">
      <c r="A30" s="1"/>
      <c r="B30" s="20" t="s">
        <v>100</v>
      </c>
      <c r="C30" s="251" t="s">
        <v>101</v>
      </c>
      <c r="D30" s="267"/>
      <c r="E30" s="268"/>
      <c r="F30" s="92" t="s">
        <v>356</v>
      </c>
      <c r="G30" s="10">
        <v>5</v>
      </c>
      <c r="H30" s="10">
        <v>5</v>
      </c>
      <c r="I30" s="10">
        <v>1</v>
      </c>
      <c r="J30" s="10">
        <f t="shared" si="0"/>
        <v>3.6666666666666665</v>
      </c>
      <c r="K30" s="10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78" customHeight="1">
      <c r="A31" s="1"/>
      <c r="B31" s="20" t="s">
        <v>102</v>
      </c>
      <c r="C31" s="251" t="s">
        <v>103</v>
      </c>
      <c r="D31" s="267"/>
      <c r="E31" s="268"/>
      <c r="F31" s="92" t="s">
        <v>355</v>
      </c>
      <c r="G31" s="10">
        <v>5</v>
      </c>
      <c r="H31" s="10">
        <v>5</v>
      </c>
      <c r="I31" s="10">
        <v>5</v>
      </c>
      <c r="J31" s="10">
        <f t="shared" si="0"/>
        <v>5</v>
      </c>
      <c r="K31" s="10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s="35" customFormat="1" ht="15.75" customHeight="1">
      <c r="A32" s="34"/>
      <c r="B32" s="31" t="s">
        <v>21</v>
      </c>
      <c r="C32" s="269"/>
      <c r="D32" s="270"/>
      <c r="E32" s="271"/>
      <c r="F32" s="102"/>
      <c r="G32" s="29"/>
      <c r="H32" s="29"/>
      <c r="I32" s="29"/>
      <c r="J32" s="29"/>
      <c r="K32" s="105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1:25" ht="106.5" customHeight="1">
      <c r="A33" s="1"/>
      <c r="B33" s="20" t="s">
        <v>104</v>
      </c>
      <c r="C33" s="251" t="s">
        <v>69</v>
      </c>
      <c r="D33" s="267"/>
      <c r="E33" s="268"/>
      <c r="F33" s="92" t="s">
        <v>330</v>
      </c>
      <c r="G33" s="10">
        <v>5</v>
      </c>
      <c r="H33" s="10">
        <v>5</v>
      </c>
      <c r="I33" s="10">
        <v>5</v>
      </c>
      <c r="J33" s="10">
        <f t="shared" ref="J33:J35" si="1">IFERROR(AVERAGE(G33:I33),"")</f>
        <v>5</v>
      </c>
      <c r="K33" s="10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78" customHeight="1">
      <c r="A34" s="1"/>
      <c r="B34" s="20" t="s">
        <v>105</v>
      </c>
      <c r="C34" s="251" t="s">
        <v>107</v>
      </c>
      <c r="D34" s="267"/>
      <c r="E34" s="268"/>
      <c r="F34" s="92" t="s">
        <v>350</v>
      </c>
      <c r="G34" s="10">
        <v>5</v>
      </c>
      <c r="H34" s="10">
        <v>5</v>
      </c>
      <c r="I34" s="10">
        <v>5</v>
      </c>
      <c r="J34" s="10">
        <f t="shared" si="1"/>
        <v>5</v>
      </c>
      <c r="K34" s="10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66" customHeight="1">
      <c r="A35" s="1"/>
      <c r="B35" s="20" t="s">
        <v>106</v>
      </c>
      <c r="C35" s="251" t="s">
        <v>108</v>
      </c>
      <c r="D35" s="267"/>
      <c r="E35" s="268"/>
      <c r="F35" s="92" t="s">
        <v>351</v>
      </c>
      <c r="G35" s="10">
        <v>4</v>
      </c>
      <c r="H35" s="10">
        <v>4</v>
      </c>
      <c r="I35" s="10">
        <v>5</v>
      </c>
      <c r="J35" s="10">
        <f t="shared" si="1"/>
        <v>4.333333333333333</v>
      </c>
      <c r="K35" s="10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31" t="s">
        <v>22</v>
      </c>
      <c r="C36" s="269"/>
      <c r="D36" s="270"/>
      <c r="E36" s="271"/>
      <c r="F36" s="102"/>
      <c r="G36" s="29"/>
      <c r="H36" s="29"/>
      <c r="I36" s="29"/>
      <c r="J36" s="29"/>
      <c r="K36" s="10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8.25">
      <c r="A37" s="1"/>
      <c r="B37" s="20" t="s">
        <v>71</v>
      </c>
      <c r="C37" s="287" t="s">
        <v>72</v>
      </c>
      <c r="D37" s="252"/>
      <c r="E37" s="253"/>
      <c r="F37" s="92" t="s">
        <v>318</v>
      </c>
      <c r="G37" s="10">
        <v>0</v>
      </c>
      <c r="H37" s="10">
        <v>0</v>
      </c>
      <c r="I37" s="10">
        <v>0</v>
      </c>
      <c r="J37" s="10">
        <f t="shared" ref="J37:J41" si="2">IFERROR(AVERAGE(G37:I37),"")</f>
        <v>0</v>
      </c>
      <c r="K37" s="104" t="s">
        <v>354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76.5">
      <c r="A38" s="1"/>
      <c r="B38" s="20" t="s">
        <v>73</v>
      </c>
      <c r="C38" s="251" t="s">
        <v>332</v>
      </c>
      <c r="D38" s="252"/>
      <c r="E38" s="253"/>
      <c r="F38" s="92" t="s">
        <v>332</v>
      </c>
      <c r="G38" s="10">
        <v>5</v>
      </c>
      <c r="H38" s="10">
        <v>5</v>
      </c>
      <c r="I38" s="10">
        <v>5</v>
      </c>
      <c r="J38" s="10">
        <f t="shared" si="2"/>
        <v>5</v>
      </c>
      <c r="K38" s="10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76.5">
      <c r="A39" s="1"/>
      <c r="B39" s="20" t="s">
        <v>75</v>
      </c>
      <c r="C39" s="251" t="s">
        <v>76</v>
      </c>
      <c r="D39" s="252"/>
      <c r="E39" s="253"/>
      <c r="F39" s="92" t="s">
        <v>333</v>
      </c>
      <c r="G39" s="10">
        <v>5</v>
      </c>
      <c r="H39" s="10">
        <v>5</v>
      </c>
      <c r="I39" s="10">
        <v>5</v>
      </c>
      <c r="J39" s="10">
        <f t="shared" si="2"/>
        <v>5</v>
      </c>
      <c r="K39" s="10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8.25">
      <c r="A40" s="1"/>
      <c r="B40" s="20" t="s">
        <v>77</v>
      </c>
      <c r="C40" s="251" t="s">
        <v>110</v>
      </c>
      <c r="D40" s="252"/>
      <c r="E40" s="253"/>
      <c r="F40" s="92" t="s">
        <v>110</v>
      </c>
      <c r="G40" s="10">
        <v>5</v>
      </c>
      <c r="H40" s="10">
        <v>5</v>
      </c>
      <c r="I40" s="10">
        <v>5</v>
      </c>
      <c r="J40" s="10">
        <f t="shared" si="2"/>
        <v>5</v>
      </c>
      <c r="K40" s="10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38.25">
      <c r="A41" s="1"/>
      <c r="B41" s="20" t="s">
        <v>79</v>
      </c>
      <c r="C41" s="251" t="s">
        <v>109</v>
      </c>
      <c r="D41" s="252"/>
      <c r="E41" s="253"/>
      <c r="F41" s="92" t="s">
        <v>352</v>
      </c>
      <c r="G41" s="10">
        <v>5</v>
      </c>
      <c r="H41" s="10">
        <v>5</v>
      </c>
      <c r="I41" s="10">
        <v>5</v>
      </c>
      <c r="J41" s="10">
        <f t="shared" si="2"/>
        <v>5</v>
      </c>
      <c r="K41" s="10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12" t="s">
        <v>23</v>
      </c>
      <c r="C42" s="113"/>
      <c r="D42" s="113"/>
      <c r="E42" s="113"/>
      <c r="F42" s="113"/>
      <c r="G42" s="113"/>
      <c r="H42" s="113"/>
      <c r="I42" s="114"/>
      <c r="J42" s="124">
        <f>SUM(J19:J41)/COUNTIF(J19:J41,"&gt;0")</f>
        <v>4.814814814814814</v>
      </c>
      <c r="K42" s="11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2.5" customHeight="1" thickBot="1">
      <c r="A43" s="1"/>
      <c r="B43" s="115" t="s">
        <v>24</v>
      </c>
      <c r="C43" s="116"/>
      <c r="D43" s="116"/>
      <c r="E43" s="116"/>
      <c r="F43" s="116"/>
      <c r="G43" s="116"/>
      <c r="H43" s="116"/>
      <c r="I43" s="117"/>
      <c r="J43" s="126" t="str">
        <f>IFERROR(IF(J42&lt;2,"Poor",IF(J42&lt;3,"Unsatisfactory",IF(J42&lt;4,"Satisfactory",IF(J42&lt;5,"Very Satisfactory",IF(J42=5,"Outstanding"))))),"")</f>
        <v>Very Satisfactory</v>
      </c>
      <c r="K43" s="11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59.25" customHeight="1">
      <c r="A44" s="1"/>
      <c r="B44" s="241" t="s">
        <v>163</v>
      </c>
      <c r="C44" s="242"/>
      <c r="D44" s="242"/>
      <c r="E44" s="242"/>
      <c r="F44" s="242"/>
      <c r="G44" s="242"/>
      <c r="H44" s="242"/>
      <c r="I44" s="242"/>
      <c r="J44" s="242"/>
      <c r="K44" s="24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57" customHeight="1">
      <c r="A45" s="1"/>
      <c r="B45" s="244" t="s">
        <v>164</v>
      </c>
      <c r="C45" s="245"/>
      <c r="D45" s="245"/>
      <c r="E45" s="246"/>
      <c r="F45" s="247" t="s">
        <v>166</v>
      </c>
      <c r="G45" s="245"/>
      <c r="H45" s="245"/>
      <c r="I45" s="245"/>
      <c r="J45" s="245"/>
      <c r="K45" s="24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thickBot="1">
      <c r="A46" s="1"/>
      <c r="B46" s="238" t="s">
        <v>27</v>
      </c>
      <c r="C46" s="239"/>
      <c r="D46" s="239"/>
      <c r="E46" s="240"/>
      <c r="F46" s="249" t="s">
        <v>28</v>
      </c>
      <c r="G46" s="239"/>
      <c r="H46" s="239"/>
      <c r="I46" s="239"/>
      <c r="J46" s="239"/>
      <c r="K46" s="2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2.5" customHeight="1" thickTop="1" thickBot="1">
      <c r="A47" s="1"/>
      <c r="B47" s="171" t="s">
        <v>29</v>
      </c>
      <c r="C47" s="138"/>
      <c r="D47" s="138"/>
      <c r="E47" s="138"/>
      <c r="F47" s="171" t="s">
        <v>30</v>
      </c>
      <c r="G47" s="138"/>
      <c r="H47" s="138"/>
      <c r="I47" s="138"/>
      <c r="J47" s="138"/>
      <c r="K47" s="1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72" t="s">
        <v>45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0" customHeight="1">
      <c r="A49" s="1"/>
      <c r="B49" s="13" t="s">
        <v>32</v>
      </c>
      <c r="C49" s="175"/>
      <c r="D49" s="176"/>
      <c r="E49" s="176"/>
      <c r="F49" s="176"/>
      <c r="G49" s="176"/>
      <c r="H49" s="176"/>
      <c r="I49" s="176"/>
      <c r="J49" s="176"/>
      <c r="K49" s="17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7.5" customHeight="1">
      <c r="A50" s="1"/>
      <c r="B50" s="14" t="s">
        <v>33</v>
      </c>
      <c r="C50" s="175"/>
      <c r="D50" s="176"/>
      <c r="E50" s="176"/>
      <c r="F50" s="176"/>
      <c r="G50" s="176"/>
      <c r="H50" s="176"/>
      <c r="I50" s="176"/>
      <c r="J50" s="176"/>
      <c r="K50" s="17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8.25">
      <c r="A51" s="1"/>
      <c r="B51" s="15" t="s">
        <v>34</v>
      </c>
      <c r="C51" s="178"/>
      <c r="D51" s="179"/>
      <c r="E51" s="179"/>
      <c r="F51" s="179"/>
      <c r="G51" s="179"/>
      <c r="H51" s="179"/>
      <c r="I51" s="179"/>
      <c r="J51" s="179"/>
      <c r="K51" s="17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6.1" customHeight="1">
      <c r="A52" s="1"/>
      <c r="B52" s="294" t="s">
        <v>307</v>
      </c>
      <c r="C52" s="295"/>
      <c r="D52" s="295"/>
      <c r="E52" s="296"/>
      <c r="F52" s="297" t="s">
        <v>47</v>
      </c>
      <c r="G52" s="295"/>
      <c r="H52" s="295"/>
      <c r="I52" s="295"/>
      <c r="J52" s="295"/>
      <c r="K52" s="29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54" customHeight="1" thickBot="1">
      <c r="A53" s="1"/>
      <c r="B53" s="272" t="s">
        <v>161</v>
      </c>
      <c r="C53" s="156"/>
      <c r="D53" s="156"/>
      <c r="E53" s="157"/>
      <c r="F53" s="273" t="s">
        <v>162</v>
      </c>
      <c r="G53" s="156"/>
      <c r="H53" s="156"/>
      <c r="I53" s="156"/>
      <c r="J53" s="156"/>
      <c r="K53" s="15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hidden="1" customHeight="1">
      <c r="A56" s="1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hidden="1" customHeight="1">
      <c r="A57" s="1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hidden="1" customHeight="1">
      <c r="A58" s="1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hidden="1" customHeight="1">
      <c r="A59" s="1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hidden="1" customHeight="1">
      <c r="A60" s="1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/>
    <row r="255" spans="1:25" ht="15.75" customHeight="1"/>
    <row r="256" spans="1:2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62">
    <mergeCell ref="B53:E53"/>
    <mergeCell ref="F53:K53"/>
    <mergeCell ref="B48:K48"/>
    <mergeCell ref="C49:K49"/>
    <mergeCell ref="C50:K50"/>
    <mergeCell ref="C51:K51"/>
    <mergeCell ref="B52:E52"/>
    <mergeCell ref="F52:K52"/>
    <mergeCell ref="B47:E47"/>
    <mergeCell ref="F47:K47"/>
    <mergeCell ref="C41:E41"/>
    <mergeCell ref="B42:I42"/>
    <mergeCell ref="J42:K42"/>
    <mergeCell ref="B43:I43"/>
    <mergeCell ref="J43:K43"/>
    <mergeCell ref="B44:K44"/>
    <mergeCell ref="B45:E45"/>
    <mergeCell ref="F45:K45"/>
    <mergeCell ref="B46:E46"/>
    <mergeCell ref="F46:K46"/>
    <mergeCell ref="C40:E40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28:E28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B15:E15"/>
    <mergeCell ref="F15:K15"/>
    <mergeCell ref="B16:B17"/>
    <mergeCell ref="C16:E17"/>
    <mergeCell ref="F16:F17"/>
    <mergeCell ref="G16:J16"/>
    <mergeCell ref="K16:K17"/>
    <mergeCell ref="B14:K14"/>
    <mergeCell ref="B3:K3"/>
    <mergeCell ref="B5:K5"/>
    <mergeCell ref="B6:K6"/>
    <mergeCell ref="B7:K7"/>
    <mergeCell ref="B9:K9"/>
    <mergeCell ref="G10:K10"/>
    <mergeCell ref="B11:C11"/>
    <mergeCell ref="G11:K11"/>
    <mergeCell ref="B12:C12"/>
    <mergeCell ref="G12:K12"/>
    <mergeCell ref="I13:K13"/>
  </mergeCells>
  <printOptions horizontalCentered="1"/>
  <pageMargins left="0" right="0" top="0.59055118110236227" bottom="0.15748031496062992" header="0" footer="0"/>
  <pageSetup paperSize="9" scale="74" fitToHeight="0" pageOrder="overThenDown" orientation="landscape" cellComments="atEnd" r:id="rId1"/>
  <headerFooter>
    <oddFooter>Page &amp;P of &amp;N</oddFooter>
  </headerFooter>
  <rowBreaks count="3" manualBreakCount="3">
    <brk id="22" min="1" max="11" man="1"/>
    <brk id="31" min="1" max="11" man="1"/>
    <brk id="40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Copy of Annex F_IPCRF</vt:lpstr>
      <vt:lpstr>Rating Guide</vt:lpstr>
      <vt:lpstr> CCEF_COS 1ST SEM</vt:lpstr>
      <vt:lpstr>CCEF_COS 2ND SEM</vt:lpstr>
      <vt:lpstr>CCEF_COS 2ND SEM (July-October)</vt:lpstr>
      <vt:lpstr>CCEF_COS 2ND SEM (Jul-Dec)</vt:lpstr>
      <vt:lpstr>' CCEF_COS 1ST SEM'!Print_Area</vt:lpstr>
      <vt:lpstr>'CCEF_COS 2ND SEM'!Print_Area</vt:lpstr>
      <vt:lpstr>'CCEF_COS 2ND SEM (Jul-Dec)'!Print_Area</vt:lpstr>
      <vt:lpstr>'CCEF_COS 2ND SEM (July-October)'!Print_Area</vt:lpstr>
      <vt:lpstr>'Rating Guide'!Print_Area</vt:lpstr>
      <vt:lpstr>' CCEF_COS 1ST SEM'!Print_Titles</vt:lpstr>
      <vt:lpstr>'CCEF_COS 2ND SEM'!Print_Titles</vt:lpstr>
      <vt:lpstr>'CCEF_COS 2ND SEM (Jul-Dec)'!Print_Titles</vt:lpstr>
      <vt:lpstr>'CCEF_COS 2ND SEM (July-October)'!Print_Titles</vt:lpstr>
      <vt:lpstr>'Rating Guide'!Print_Titles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Matlin C. Esma</dc:creator>
  <cp:lastModifiedBy>John Mark Agustin Acido</cp:lastModifiedBy>
  <cp:lastPrinted>2025-01-27T01:40:59Z</cp:lastPrinted>
  <dcterms:created xsi:type="dcterms:W3CDTF">2024-05-31T08:34:55Z</dcterms:created>
  <dcterms:modified xsi:type="dcterms:W3CDTF">2025-02-13T02:10:32Z</dcterms:modified>
</cp:coreProperties>
</file>