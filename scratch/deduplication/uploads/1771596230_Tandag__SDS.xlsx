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This PC\Windows (C)\Users\jmaeacido\Documents\SurSur ECT\"/>
    </mc:Choice>
  </mc:AlternateContent>
  <xr:revisionPtr revIDLastSave="0" documentId="13_ncr:1_{3EF17E1B-3270-4709-B9C3-6C3CAC4C8726}" xr6:coauthVersionLast="47" xr6:coauthVersionMax="47" xr10:uidLastSave="{00000000-0000-0000-0000-000000000000}"/>
  <bookViews>
    <workbookView xWindow="-120" yWindow="-120" windowWidth="29040" windowHeight="15720" xr2:uid="{00000000-000D-0000-FFFF-FFFF00000000}"/>
  </bookViews>
  <sheets>
    <sheet name="Beneficiaries" sheetId="1" r:id="rId1"/>
    <sheet name="Beneficiaries (2)" sheetId="2" r:id="rId2"/>
    <sheet name="MEB" sheetId="3" r:id="rId3"/>
  </sheets>
  <definedNames>
    <definedName name="_xlnm._FilterDatabase" localSheetId="0" hidden="1">Beneficiaries!$A$1:$I$557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08" i="3" l="1"/>
  <c r="F208" i="3"/>
  <c r="E208" i="3" s="1"/>
  <c r="G206" i="3"/>
  <c r="F206" i="3"/>
  <c r="L203" i="3"/>
  <c r="K203" i="3"/>
  <c r="J203" i="3" s="1"/>
  <c r="G203" i="3"/>
  <c r="F203" i="3"/>
  <c r="E203" i="3" s="1"/>
  <c r="L202" i="3"/>
  <c r="K202" i="3"/>
  <c r="J202" i="3" s="1"/>
  <c r="G202" i="3"/>
  <c r="F202" i="3"/>
  <c r="E202" i="3"/>
  <c r="L201" i="3"/>
  <c r="K201" i="3"/>
  <c r="L200" i="3"/>
  <c r="K200" i="3"/>
  <c r="J200" i="3" s="1"/>
  <c r="G200" i="3"/>
  <c r="F200" i="3"/>
  <c r="E200" i="3" s="1"/>
  <c r="L199" i="3"/>
  <c r="K199" i="3"/>
  <c r="G199" i="3"/>
  <c r="F199" i="3"/>
  <c r="L198" i="3"/>
  <c r="K198" i="3"/>
  <c r="G198" i="3"/>
  <c r="F198" i="3"/>
  <c r="E198" i="3" s="1"/>
  <c r="L197" i="3"/>
  <c r="K197" i="3"/>
  <c r="G197" i="3"/>
  <c r="F197" i="3"/>
  <c r="E197" i="3" s="1"/>
  <c r="L196" i="3"/>
  <c r="K196" i="3"/>
  <c r="J196" i="3" s="1"/>
  <c r="G196" i="3"/>
  <c r="F196" i="3"/>
  <c r="E196" i="3"/>
  <c r="L195" i="3"/>
  <c r="K195" i="3"/>
  <c r="L194" i="3"/>
  <c r="K194" i="3"/>
  <c r="G194" i="3"/>
  <c r="F194" i="3"/>
  <c r="E194" i="3" s="1"/>
  <c r="L193" i="3"/>
  <c r="K193" i="3"/>
  <c r="J193" i="3" s="1"/>
  <c r="G193" i="3"/>
  <c r="G195" i="3" s="1"/>
  <c r="F193" i="3"/>
  <c r="T189" i="3"/>
  <c r="AB188" i="3"/>
  <c r="AA188" i="3"/>
  <c r="Z188" i="3"/>
  <c r="Y188" i="3"/>
  <c r="X188" i="3"/>
  <c r="W188" i="3"/>
  <c r="V188" i="3"/>
  <c r="U188" i="3"/>
  <c r="T188" i="3"/>
  <c r="S188" i="3"/>
  <c r="Q188" i="3"/>
  <c r="P188" i="3"/>
  <c r="O188" i="3"/>
  <c r="T187" i="3"/>
  <c r="T186" i="3"/>
  <c r="T185" i="3"/>
  <c r="T184" i="3"/>
  <c r="T183" i="3"/>
  <c r="T182" i="3"/>
  <c r="T181" i="3"/>
  <c r="T180" i="3"/>
  <c r="T179" i="3"/>
  <c r="T178" i="3"/>
  <c r="T177" i="3"/>
  <c r="T176" i="3"/>
  <c r="T175" i="3"/>
  <c r="T174" i="3"/>
  <c r="T173" i="3"/>
  <c r="T172" i="3"/>
  <c r="T171" i="3"/>
  <c r="T170" i="3"/>
  <c r="T169" i="3"/>
  <c r="T168" i="3"/>
  <c r="T167" i="3"/>
  <c r="T166" i="3"/>
  <c r="T165" i="3"/>
  <c r="T164" i="3"/>
  <c r="T163" i="3"/>
  <c r="T162" i="3"/>
  <c r="T161" i="3"/>
  <c r="T160" i="3"/>
  <c r="T159" i="3"/>
  <c r="T158" i="3"/>
  <c r="T157" i="3"/>
  <c r="T156" i="3"/>
  <c r="T155" i="3"/>
  <c r="T154" i="3"/>
  <c r="T153" i="3"/>
  <c r="T152" i="3"/>
  <c r="T151" i="3"/>
  <c r="T150" i="3"/>
  <c r="T149" i="3"/>
  <c r="T148" i="3"/>
  <c r="T147" i="3"/>
  <c r="T146" i="3"/>
  <c r="T145" i="3"/>
  <c r="T144" i="3"/>
  <c r="T143" i="3"/>
  <c r="T142" i="3"/>
  <c r="T141" i="3"/>
  <c r="T140" i="3"/>
  <c r="T139" i="3"/>
  <c r="T138" i="3"/>
  <c r="T137" i="3"/>
  <c r="T136" i="3"/>
  <c r="T135" i="3"/>
  <c r="T134" i="3"/>
  <c r="T133" i="3"/>
  <c r="T132" i="3"/>
  <c r="T131" i="3"/>
  <c r="T130" i="3"/>
  <c r="T129" i="3"/>
  <c r="T128" i="3"/>
  <c r="T127" i="3"/>
  <c r="T126" i="3"/>
  <c r="T125" i="3"/>
  <c r="T124" i="3"/>
  <c r="T123" i="3"/>
  <c r="T122" i="3"/>
  <c r="T121" i="3"/>
  <c r="T120" i="3"/>
  <c r="T119" i="3"/>
  <c r="T118" i="3"/>
  <c r="T117" i="3"/>
  <c r="T116" i="3"/>
  <c r="T115" i="3"/>
  <c r="T114" i="3"/>
  <c r="T113" i="3"/>
  <c r="T112" i="3"/>
  <c r="T111" i="3"/>
  <c r="T110" i="3"/>
  <c r="T109" i="3"/>
  <c r="T108" i="3"/>
  <c r="T107" i="3"/>
  <c r="T106" i="3"/>
  <c r="T105" i="3"/>
  <c r="T104" i="3"/>
  <c r="T103" i="3"/>
  <c r="T102" i="3"/>
  <c r="T101" i="3"/>
  <c r="T100" i="3"/>
  <c r="T99" i="3"/>
  <c r="T98" i="3"/>
  <c r="T97" i="3"/>
  <c r="T96" i="3"/>
  <c r="T95" i="3"/>
  <c r="T94" i="3"/>
  <c r="T93" i="3"/>
  <c r="T92" i="3"/>
  <c r="T91" i="3"/>
  <c r="T90" i="3"/>
  <c r="T89" i="3"/>
  <c r="T88" i="3"/>
  <c r="T87" i="3"/>
  <c r="T86" i="3"/>
  <c r="T85" i="3"/>
  <c r="T84" i="3"/>
  <c r="T83" i="3"/>
  <c r="T82" i="3"/>
  <c r="T81" i="3"/>
  <c r="T80" i="3"/>
  <c r="T79" i="3"/>
  <c r="T78" i="3"/>
  <c r="T77" i="3"/>
  <c r="T76" i="3"/>
  <c r="T75" i="3"/>
  <c r="T74" i="3"/>
  <c r="T73" i="3"/>
  <c r="T72" i="3"/>
  <c r="T71" i="3"/>
  <c r="T70" i="3"/>
  <c r="T69" i="3"/>
  <c r="T68" i="3"/>
  <c r="T67" i="3"/>
  <c r="T66" i="3"/>
  <c r="T65" i="3"/>
  <c r="T64" i="3"/>
  <c r="T63" i="3"/>
  <c r="T62" i="3"/>
  <c r="T61" i="3"/>
  <c r="T60" i="3"/>
  <c r="T59" i="3"/>
  <c r="T58" i="3"/>
  <c r="T57" i="3"/>
  <c r="T56" i="3"/>
  <c r="T55" i="3"/>
  <c r="T54" i="3"/>
  <c r="T53" i="3"/>
  <c r="T52" i="3"/>
  <c r="T51" i="3"/>
  <c r="T50" i="3"/>
  <c r="T49" i="3"/>
  <c r="T48" i="3"/>
  <c r="T47" i="3"/>
  <c r="T46" i="3"/>
  <c r="T45" i="3"/>
  <c r="T44" i="3"/>
  <c r="T43" i="3"/>
  <c r="T42" i="3"/>
  <c r="T41" i="3"/>
  <c r="T40" i="3"/>
  <c r="T39" i="3"/>
  <c r="T38" i="3"/>
  <c r="T37" i="3"/>
  <c r="T36" i="3"/>
  <c r="T35" i="3"/>
  <c r="T34" i="3"/>
  <c r="T33" i="3"/>
  <c r="T32" i="3"/>
  <c r="T31" i="3"/>
  <c r="T30" i="3"/>
  <c r="T29" i="3"/>
  <c r="T28" i="3"/>
  <c r="T27" i="3"/>
  <c r="T26" i="3"/>
  <c r="T25" i="3"/>
  <c r="T24" i="3"/>
  <c r="T23" i="3"/>
  <c r="T22" i="3"/>
  <c r="T21" i="3"/>
  <c r="T20" i="3"/>
  <c r="T19" i="3"/>
  <c r="T18" i="3"/>
  <c r="T17" i="3"/>
  <c r="T16" i="3"/>
  <c r="G201" i="3" s="1"/>
  <c r="T15" i="3"/>
  <c r="T14" i="3"/>
  <c r="T13" i="3"/>
  <c r="T12" i="3"/>
  <c r="F201" i="3" s="1"/>
  <c r="E201" i="3" s="1"/>
  <c r="J197" i="3" l="1"/>
  <c r="J198" i="3"/>
  <c r="E193" i="3"/>
  <c r="E206" i="3"/>
  <c r="J201" i="3"/>
  <c r="G207" i="3"/>
  <c r="J195" i="3"/>
  <c r="E199" i="3"/>
  <c r="J194" i="3"/>
  <c r="J199" i="3"/>
  <c r="G204" i="3"/>
  <c r="F205" i="3"/>
  <c r="G205" i="3"/>
  <c r="F204" i="3"/>
  <c r="E204" i="3" s="1"/>
  <c r="F207" i="3"/>
  <c r="E207" i="3" s="1"/>
  <c r="F195" i="3"/>
  <c r="E195" i="3" s="1"/>
  <c r="E205" i="3" l="1"/>
</calcChain>
</file>

<file path=xl/sharedStrings.xml><?xml version="1.0" encoding="utf-8"?>
<sst xmlns="http://schemas.openxmlformats.org/spreadsheetml/2006/main" count="6756" uniqueCount="1243">
  <si>
    <t>lastName</t>
  </si>
  <si>
    <t>firstName</t>
  </si>
  <si>
    <t>middleName</t>
  </si>
  <si>
    <t>ext</t>
  </si>
  <si>
    <t>birthDate</t>
  </si>
  <si>
    <t>barangay</t>
  </si>
  <si>
    <t>province</t>
  </si>
  <si>
    <t>lgu</t>
  </si>
  <si>
    <t>rowNumber</t>
  </si>
  <si>
    <t>BAJAO</t>
  </si>
  <si>
    <t>SAN JOSE</t>
  </si>
  <si>
    <t>SURIGAO DEL SUR</t>
  </si>
  <si>
    <t>ENGROVA</t>
  </si>
  <si>
    <t>MORENO</t>
  </si>
  <si>
    <t>LEONY</t>
  </si>
  <si>
    <t>DAVE</t>
  </si>
  <si>
    <t>LOZADA</t>
  </si>
  <si>
    <t>OLIVERIO</t>
  </si>
  <si>
    <t>MURILLO</t>
  </si>
  <si>
    <t>ROBERTO</t>
  </si>
  <si>
    <t>GERALD</t>
  </si>
  <si>
    <t>NESTOR</t>
  </si>
  <si>
    <t>JR</t>
  </si>
  <si>
    <t>ALIMBOYONG</t>
  </si>
  <si>
    <t>JERRY</t>
  </si>
  <si>
    <t>ARMANDO</t>
  </si>
  <si>
    <t>JOSE</t>
  </si>
  <si>
    <t>N/A</t>
  </si>
  <si>
    <t>MACURAY</t>
  </si>
  <si>
    <t>MENDOZA</t>
  </si>
  <si>
    <t>ABAO</t>
  </si>
  <si>
    <t>ROLANDO</t>
  </si>
  <si>
    <t>GONZAGA</t>
  </si>
  <si>
    <t>PALMA</t>
  </si>
  <si>
    <t>MARY ANN</t>
  </si>
  <si>
    <t>MACA</t>
  </si>
  <si>
    <t>MARLON</t>
  </si>
  <si>
    <t>CURAYAG</t>
  </si>
  <si>
    <t>PLAZA</t>
  </si>
  <si>
    <t>HENRY</t>
  </si>
  <si>
    <t>JEROME</t>
  </si>
  <si>
    <t>SUAREZ</t>
  </si>
  <si>
    <t>RODULFO</t>
  </si>
  <si>
    <t>NOEL</t>
  </si>
  <si>
    <t>LYNDON</t>
  </si>
  <si>
    <t>ROSE ANN</t>
  </si>
  <si>
    <t>BUENAFLOR</t>
  </si>
  <si>
    <t>MARILYN</t>
  </si>
  <si>
    <t>JUDITH</t>
  </si>
  <si>
    <t>GOMEZ</t>
  </si>
  <si>
    <t>RIZA</t>
  </si>
  <si>
    <t>RIVAS</t>
  </si>
  <si>
    <t>LOPEZ</t>
  </si>
  <si>
    <t>LAURENTE</t>
  </si>
  <si>
    <t>MIANO</t>
  </si>
  <si>
    <t>RONEL</t>
  </si>
  <si>
    <t>FLORETA</t>
  </si>
  <si>
    <t>MARIO</t>
  </si>
  <si>
    <t>TEJANO</t>
  </si>
  <si>
    <t>BAUTISTA</t>
  </si>
  <si>
    <t>RICKY</t>
  </si>
  <si>
    <t>ROSEMARIE</t>
  </si>
  <si>
    <t>TELLO</t>
  </si>
  <si>
    <t>GLORIA</t>
  </si>
  <si>
    <t>LAGURA</t>
  </si>
  <si>
    <t>ACEVEDO</t>
  </si>
  <si>
    <t>BLASCO</t>
  </si>
  <si>
    <t>JR.</t>
  </si>
  <si>
    <t>EDUARDO</t>
  </si>
  <si>
    <t>MARLYN</t>
  </si>
  <si>
    <t>COMPARATIVO</t>
  </si>
  <si>
    <t>CORAZON</t>
  </si>
  <si>
    <t>ROLLY</t>
  </si>
  <si>
    <t>JUMAWAN</t>
  </si>
  <si>
    <t>ORDINARIO</t>
  </si>
  <si>
    <t>RONALD</t>
  </si>
  <si>
    <t>SR.</t>
  </si>
  <si>
    <t>MONTENEGRO</t>
  </si>
  <si>
    <t>MARTINEZ</t>
  </si>
  <si>
    <t>CORTEZ</t>
  </si>
  <si>
    <t>JOVELYN</t>
  </si>
  <si>
    <t>MONTERO</t>
  </si>
  <si>
    <t>RUTCHIE</t>
  </si>
  <si>
    <t>ERNESTO</t>
  </si>
  <si>
    <t>ROSALINDA</t>
  </si>
  <si>
    <t>CUARTERON</t>
  </si>
  <si>
    <t>CAMPOS</t>
  </si>
  <si>
    <t>JOSOL</t>
  </si>
  <si>
    <t>DEDICATORIA</t>
  </si>
  <si>
    <t>LORETO</t>
  </si>
  <si>
    <t>VALLESCAS</t>
  </si>
  <si>
    <t>ROGELIO</t>
  </si>
  <si>
    <t>CUARTERO</t>
  </si>
  <si>
    <t>MENDIOLA</t>
  </si>
  <si>
    <t>ESTAL</t>
  </si>
  <si>
    <t>PERALTA</t>
  </si>
  <si>
    <t>RICHARD</t>
  </si>
  <si>
    <t>PEREZ</t>
  </si>
  <si>
    <t>QUICO</t>
  </si>
  <si>
    <t>VERANO</t>
  </si>
  <si>
    <t>NAVALES</t>
  </si>
  <si>
    <t>NANCY</t>
  </si>
  <si>
    <t>TECSON</t>
  </si>
  <si>
    <t>BORJA</t>
  </si>
  <si>
    <t>BANGOY</t>
  </si>
  <si>
    <t>QUIJANO</t>
  </si>
  <si>
    <t>SR</t>
  </si>
  <si>
    <t>MARIVIC</t>
  </si>
  <si>
    <t>AWA</t>
  </si>
  <si>
    <t>QUIJADA</t>
  </si>
  <si>
    <t>JOSHUA</t>
  </si>
  <si>
    <t>BOHOL</t>
  </si>
  <si>
    <t>SALAZAR</t>
  </si>
  <si>
    <t>IGNACIO</t>
  </si>
  <si>
    <t>QUINONEZ</t>
  </si>
  <si>
    <t>MALINAO</t>
  </si>
  <si>
    <t>VICENTE</t>
  </si>
  <si>
    <t>LUMANAO</t>
  </si>
  <si>
    <t>ODVINA</t>
  </si>
  <si>
    <t>TIEMPO</t>
  </si>
  <si>
    <t>CANDA</t>
  </si>
  <si>
    <t>CORTES</t>
  </si>
  <si>
    <t>ESTRADA</t>
  </si>
  <si>
    <t>LIEZEL</t>
  </si>
  <si>
    <t>PONTEVEDRA</t>
  </si>
  <si>
    <t>JUDY-ANN</t>
  </si>
  <si>
    <t>ESPINOZA</t>
  </si>
  <si>
    <t>BENJIE</t>
  </si>
  <si>
    <t>SALVACION</t>
  </si>
  <si>
    <t>BETOY</t>
  </si>
  <si>
    <t>RAMOS</t>
  </si>
  <si>
    <t>EMELYN</t>
  </si>
  <si>
    <t>GALLARDO</t>
  </si>
  <si>
    <t>DELOLA</t>
  </si>
  <si>
    <t>EDGAR</t>
  </si>
  <si>
    <t>CAPUNAN</t>
  </si>
  <si>
    <t>BONIAO</t>
  </si>
  <si>
    <t>RUEL</t>
  </si>
  <si>
    <t>ALBERT</t>
  </si>
  <si>
    <t>JESSIE</t>
  </si>
  <si>
    <t>DIZON</t>
  </si>
  <si>
    <t>PATRICK</t>
  </si>
  <si>
    <t>WILMA</t>
  </si>
  <si>
    <t>FLORA</t>
  </si>
  <si>
    <t>PELISAN</t>
  </si>
  <si>
    <t>ALMA</t>
  </si>
  <si>
    <t>SHERLY</t>
  </si>
  <si>
    <t>ANTONIO</t>
  </si>
  <si>
    <t>JHONEL</t>
  </si>
  <si>
    <t>MAXIMO</t>
  </si>
  <si>
    <t>ROLAND</t>
  </si>
  <si>
    <t>JIMMY</t>
  </si>
  <si>
    <t>VILLAPAÑE</t>
  </si>
  <si>
    <t>JOEL</t>
  </si>
  <si>
    <t>ANTHONY</t>
  </si>
  <si>
    <t>JESSA</t>
  </si>
  <si>
    <t>VASQUEZ</t>
  </si>
  <si>
    <t>CHARLIE</t>
  </si>
  <si>
    <t>VISTAL</t>
  </si>
  <si>
    <t>ROBERT</t>
  </si>
  <si>
    <t>SANCHEZ</t>
  </si>
  <si>
    <t>LORNA</t>
  </si>
  <si>
    <t>MEDRANO</t>
  </si>
  <si>
    <t>JOHN PAUL</t>
  </si>
  <si>
    <t>SUAZO</t>
  </si>
  <si>
    <t>MARY JANE</t>
  </si>
  <si>
    <t>ROWENA</t>
  </si>
  <si>
    <t>JUSTINE</t>
  </si>
  <si>
    <t>TAMAYO</t>
  </si>
  <si>
    <t>ANGELICA</t>
  </si>
  <si>
    <t>REGINE</t>
  </si>
  <si>
    <t>JULIETO</t>
  </si>
  <si>
    <t>VILLANUEVA</t>
  </si>
  <si>
    <t>RACHEL</t>
  </si>
  <si>
    <t>JAMES</t>
  </si>
  <si>
    <t>ABEJERO</t>
  </si>
  <si>
    <t>JOEME</t>
  </si>
  <si>
    <t>CUAREZ</t>
  </si>
  <si>
    <t>AZARCON</t>
  </si>
  <si>
    <t>BALNIG</t>
  </si>
  <si>
    <t>FERNANDEZ</t>
  </si>
  <si>
    <t>BONGADO</t>
  </si>
  <si>
    <t>ESTAPIA</t>
  </si>
  <si>
    <t>BUENAFE</t>
  </si>
  <si>
    <t>EMMELINE</t>
  </si>
  <si>
    <t>TENOSO</t>
  </si>
  <si>
    <t>BUSTILLO</t>
  </si>
  <si>
    <t>TERESA</t>
  </si>
  <si>
    <t>CERRO</t>
  </si>
  <si>
    <t>EDRIAN</t>
  </si>
  <si>
    <t>CAHILOG</t>
  </si>
  <si>
    <t>SALAR</t>
  </si>
  <si>
    <t>DUA</t>
  </si>
  <si>
    <t>EVEALIZA</t>
  </si>
  <si>
    <t>MENDEZ</t>
  </si>
  <si>
    <t>PETILO</t>
  </si>
  <si>
    <t>ANDRES</t>
  </si>
  <si>
    <t>TIKISTIKIS</t>
  </si>
  <si>
    <t>CAGAMPANG</t>
  </si>
  <si>
    <t>CAROLINA</t>
  </si>
  <si>
    <t>FUENTES</t>
  </si>
  <si>
    <t>ENDELYN</t>
  </si>
  <si>
    <t>ANDAMON</t>
  </si>
  <si>
    <t>FUETES</t>
  </si>
  <si>
    <t>ANGELYN</t>
  </si>
  <si>
    <t>LARO</t>
  </si>
  <si>
    <t>JULE</t>
  </si>
  <si>
    <t>LLUVIDO</t>
  </si>
  <si>
    <t>ALDY</t>
  </si>
  <si>
    <t>DOLORIEL</t>
  </si>
  <si>
    <t>PINEDA</t>
  </si>
  <si>
    <t>RODELYN</t>
  </si>
  <si>
    <t>BADANG</t>
  </si>
  <si>
    <t>RAMBOYON</t>
  </si>
  <si>
    <t>MARY GRACE</t>
  </si>
  <si>
    <t>PETEROS</t>
  </si>
  <si>
    <t>ROBILLOS</t>
  </si>
  <si>
    <t>JESUS</t>
  </si>
  <si>
    <t>MONTILLA</t>
  </si>
  <si>
    <t>AGOSTO</t>
  </si>
  <si>
    <t>LUISA</t>
  </si>
  <si>
    <t>PALER</t>
  </si>
  <si>
    <t>AGUILAR</t>
  </si>
  <si>
    <t>CARLITO</t>
  </si>
  <si>
    <t>YU</t>
  </si>
  <si>
    <t>AJOS</t>
  </si>
  <si>
    <t>VIRGENIA</t>
  </si>
  <si>
    <t>ALINSOLOREN</t>
  </si>
  <si>
    <t>GANDAMON</t>
  </si>
  <si>
    <t>ARRO</t>
  </si>
  <si>
    <t>MARK</t>
  </si>
  <si>
    <t>ALLIE</t>
  </si>
  <si>
    <t>AYAD</t>
  </si>
  <si>
    <t>BACONG</t>
  </si>
  <si>
    <t>BANDOY</t>
  </si>
  <si>
    <t>RANDY</t>
  </si>
  <si>
    <t>BIOL</t>
  </si>
  <si>
    <t>DAISY PEARL</t>
  </si>
  <si>
    <t>MANGMANG</t>
  </si>
  <si>
    <t>BRONIOLA</t>
  </si>
  <si>
    <t>LYDIA</t>
  </si>
  <si>
    <t>EBOL</t>
  </si>
  <si>
    <t>CALIT</t>
  </si>
  <si>
    <t>ROGEN</t>
  </si>
  <si>
    <t>CASTRUDES</t>
  </si>
  <si>
    <t>ANITA</t>
  </si>
  <si>
    <t>EMBAY</t>
  </si>
  <si>
    <t>CHERRY</t>
  </si>
  <si>
    <t>DAGAAS</t>
  </si>
  <si>
    <t>ESPENEDO</t>
  </si>
  <si>
    <t>DALANGIN</t>
  </si>
  <si>
    <t>JOSEPHINE</t>
  </si>
  <si>
    <t>ALE</t>
  </si>
  <si>
    <t>DALOGDOG</t>
  </si>
  <si>
    <t>SHEENA</t>
  </si>
  <si>
    <t>GARBOSA</t>
  </si>
  <si>
    <t>ELIPE</t>
  </si>
  <si>
    <t>DUERO</t>
  </si>
  <si>
    <t>EMMA</t>
  </si>
  <si>
    <t>SALAMARES</t>
  </si>
  <si>
    <t>BADANA</t>
  </si>
  <si>
    <t>IGHOT</t>
  </si>
  <si>
    <t>GENALYN</t>
  </si>
  <si>
    <t>EMAN</t>
  </si>
  <si>
    <t>GENOVES</t>
  </si>
  <si>
    <t>JAVERIALYN</t>
  </si>
  <si>
    <t>MILO</t>
  </si>
  <si>
    <t>JORDAN</t>
  </si>
  <si>
    <t>PILAR</t>
  </si>
  <si>
    <t>TAGRA</t>
  </si>
  <si>
    <t>GEMMALYN</t>
  </si>
  <si>
    <t>BANLUTA</t>
  </si>
  <si>
    <t>LASTIMADO</t>
  </si>
  <si>
    <t>WILLY</t>
  </si>
  <si>
    <t>JUNIFER</t>
  </si>
  <si>
    <t>GULTIAN</t>
  </si>
  <si>
    <t>CLEOFE</t>
  </si>
  <si>
    <t>BISCOCHO</t>
  </si>
  <si>
    <t>MAGALLANES</t>
  </si>
  <si>
    <t>RICALDA</t>
  </si>
  <si>
    <t>RUINA</t>
  </si>
  <si>
    <t>WARREN</t>
  </si>
  <si>
    <t>CIRILA</t>
  </si>
  <si>
    <t>GLODOVE</t>
  </si>
  <si>
    <t>MENGUIN</t>
  </si>
  <si>
    <t>ENOVISO</t>
  </si>
  <si>
    <t>MIRANDA</t>
  </si>
  <si>
    <t>JOSELITO</t>
  </si>
  <si>
    <t>MORANG</t>
  </si>
  <si>
    <t>JOHN MICHAEL</t>
  </si>
  <si>
    <t>ORILLANEDA</t>
  </si>
  <si>
    <t>MAYBEE</t>
  </si>
  <si>
    <t>BAUSIN</t>
  </si>
  <si>
    <t>PANO</t>
  </si>
  <si>
    <t>CORIAS</t>
  </si>
  <si>
    <t>PANDELING</t>
  </si>
  <si>
    <t>FERMARAN</t>
  </si>
  <si>
    <t>PATALINGHOG</t>
  </si>
  <si>
    <t>ELIZADE</t>
  </si>
  <si>
    <t>PAQUIDING</t>
  </si>
  <si>
    <t>DOMINADOR</t>
  </si>
  <si>
    <t>JENNIFER</t>
  </si>
  <si>
    <t>SOLIS</t>
  </si>
  <si>
    <t>DEGUZMAN</t>
  </si>
  <si>
    <t>PONO</t>
  </si>
  <si>
    <t>LIZA</t>
  </si>
  <si>
    <t>MANCAO</t>
  </si>
  <si>
    <t>ROA</t>
  </si>
  <si>
    <t>FRETZELEN</t>
  </si>
  <si>
    <t>SARANZA</t>
  </si>
  <si>
    <t>ARLENE</t>
  </si>
  <si>
    <t>SABESAJE</t>
  </si>
  <si>
    <t>SERVILLON</t>
  </si>
  <si>
    <t>MARLOU</t>
  </si>
  <si>
    <t>ANALY</t>
  </si>
  <si>
    <t>SOMOSA</t>
  </si>
  <si>
    <t>VICTOR</t>
  </si>
  <si>
    <t>SUMAGA</t>
  </si>
  <si>
    <t>ROSARIO ROXANNE</t>
  </si>
  <si>
    <t>BOCARIO</t>
  </si>
  <si>
    <t>TENOZO</t>
  </si>
  <si>
    <t>ERIC</t>
  </si>
  <si>
    <t>LAVAREZ</t>
  </si>
  <si>
    <t>VETE</t>
  </si>
  <si>
    <t>IRHA JEAN</t>
  </si>
  <si>
    <t>VILLACORTA</t>
  </si>
  <si>
    <t>IRENE</t>
  </si>
  <si>
    <t>ACLO</t>
  </si>
  <si>
    <t>NORA</t>
  </si>
  <si>
    <t>DIAZ</t>
  </si>
  <si>
    <t>ALBARICO</t>
  </si>
  <si>
    <t>MANZANO</t>
  </si>
  <si>
    <t>ARNIGO</t>
  </si>
  <si>
    <t>JUNREL</t>
  </si>
  <si>
    <t>BORINAGA</t>
  </si>
  <si>
    <t>AYING</t>
  </si>
  <si>
    <t>SHIRLITA</t>
  </si>
  <si>
    <t>ARNEL</t>
  </si>
  <si>
    <t>DE JESUS</t>
  </si>
  <si>
    <t>CASER</t>
  </si>
  <si>
    <t>VICINTA</t>
  </si>
  <si>
    <t>CUADRADO</t>
  </si>
  <si>
    <t>LOLITA</t>
  </si>
  <si>
    <t>DAGOOC</t>
  </si>
  <si>
    <t>REYNALDO</t>
  </si>
  <si>
    <t>ALLEGO</t>
  </si>
  <si>
    <t>RINALYN</t>
  </si>
  <si>
    <t>DANDO</t>
  </si>
  <si>
    <t>LUENGAS</t>
  </si>
  <si>
    <t>BASILIO</t>
  </si>
  <si>
    <t>ORIOSTE</t>
  </si>
  <si>
    <t>LAMELA</t>
  </si>
  <si>
    <t>LISIGUEZ</t>
  </si>
  <si>
    <t>ALICIA</t>
  </si>
  <si>
    <t>OLAYVAR</t>
  </si>
  <si>
    <t>ANECITO</t>
  </si>
  <si>
    <t>NOBLEZA</t>
  </si>
  <si>
    <t>AIMEE</t>
  </si>
  <si>
    <t>OLAY</t>
  </si>
  <si>
    <t>CABODBOD</t>
  </si>
  <si>
    <t>QUEZADA</t>
  </si>
  <si>
    <t>JONATHAN</t>
  </si>
  <si>
    <t>MAQUILING</t>
  </si>
  <si>
    <t>SALCEDO</t>
  </si>
  <si>
    <t>ANGIE</t>
  </si>
  <si>
    <t>CABUGA</t>
  </si>
  <si>
    <t>ALMER</t>
  </si>
  <si>
    <t>FRANCONA</t>
  </si>
  <si>
    <t>ANGELITO</t>
  </si>
  <si>
    <t>MINION</t>
  </si>
  <si>
    <t>KIT JUDE</t>
  </si>
  <si>
    <t>QUIBOD</t>
  </si>
  <si>
    <t>AGAN</t>
  </si>
  <si>
    <t>ANNALYN</t>
  </si>
  <si>
    <t>GEUMBO</t>
  </si>
  <si>
    <t>JERYN</t>
  </si>
  <si>
    <t>DEREGAY</t>
  </si>
  <si>
    <t>RAMIREZ</t>
  </si>
  <si>
    <t>CESAR</t>
  </si>
  <si>
    <t>GAMULO</t>
  </si>
  <si>
    <t>SHIELA MAY</t>
  </si>
  <si>
    <t>TORRICO</t>
  </si>
  <si>
    <t>NORBERTO</t>
  </si>
  <si>
    <t>MORITE</t>
  </si>
  <si>
    <t>RAEL</t>
  </si>
  <si>
    <t>SABENIANO</t>
  </si>
  <si>
    <t>MAHUMOC</t>
  </si>
  <si>
    <t>ROMEL</t>
  </si>
  <si>
    <t>AYOP</t>
  </si>
  <si>
    <t>JOE ANN</t>
  </si>
  <si>
    <t>PASADAS</t>
  </si>
  <si>
    <t>LOAYON</t>
  </si>
  <si>
    <t>CHRISTOPHER</t>
  </si>
  <si>
    <t>JOANN</t>
  </si>
  <si>
    <t>REBUSA</t>
  </si>
  <si>
    <t>SAULITO</t>
  </si>
  <si>
    <t>RONIE</t>
  </si>
  <si>
    <t>RAGAS</t>
  </si>
  <si>
    <t>ASPIRIN</t>
  </si>
  <si>
    <t>LEONCIO</t>
  </si>
  <si>
    <t>PICO</t>
  </si>
  <si>
    <t>DARIN</t>
  </si>
  <si>
    <t>ANTONIETO</t>
  </si>
  <si>
    <t>JUATON</t>
  </si>
  <si>
    <t>MARIUS JOSEPH</t>
  </si>
  <si>
    <t>DALID</t>
  </si>
  <si>
    <t>GIL</t>
  </si>
  <si>
    <t>RENERIO</t>
  </si>
  <si>
    <t>BARROT</t>
  </si>
  <si>
    <t>JOMAR</t>
  </si>
  <si>
    <t>CATAY</t>
  </si>
  <si>
    <t>LANDERO</t>
  </si>
  <si>
    <t>MARIDEL</t>
  </si>
  <si>
    <t>BAJAN</t>
  </si>
  <si>
    <t>MISSIONA</t>
  </si>
  <si>
    <t>GENIVEVE</t>
  </si>
  <si>
    <t>BRONIDOR</t>
  </si>
  <si>
    <t>WILFREDO</t>
  </si>
  <si>
    <t>ALFANTE</t>
  </si>
  <si>
    <t>MAYLINDA</t>
  </si>
  <si>
    <t>ALFORQUE</t>
  </si>
  <si>
    <t>STEPHANIE</t>
  </si>
  <si>
    <t>PARRENAS</t>
  </si>
  <si>
    <t>ARIATE</t>
  </si>
  <si>
    <t>BERNANDITO</t>
  </si>
  <si>
    <t>SERRANO</t>
  </si>
  <si>
    <t>BALOYO</t>
  </si>
  <si>
    <t>ABENTER</t>
  </si>
  <si>
    <t>ALEXANDER</t>
  </si>
  <si>
    <t>GRESONES</t>
  </si>
  <si>
    <t>CABAHUG</t>
  </si>
  <si>
    <t>FAMELA</t>
  </si>
  <si>
    <t>MONTANO</t>
  </si>
  <si>
    <t>CALIHAT</t>
  </si>
  <si>
    <t>SUYMAN</t>
  </si>
  <si>
    <t>DUMANIG</t>
  </si>
  <si>
    <t>JUNEMAR</t>
  </si>
  <si>
    <t>ENGASTON</t>
  </si>
  <si>
    <t>JAPZON</t>
  </si>
  <si>
    <t>MA. SUSANA</t>
  </si>
  <si>
    <t>ARANAZ</t>
  </si>
  <si>
    <t>JUNIO</t>
  </si>
  <si>
    <t>ALPINIANO</t>
  </si>
  <si>
    <t>GAMALE</t>
  </si>
  <si>
    <t>LASQUE</t>
  </si>
  <si>
    <t>LORJEAN</t>
  </si>
  <si>
    <t>TASA</t>
  </si>
  <si>
    <t>MATURAN</t>
  </si>
  <si>
    <t>CYNDE</t>
  </si>
  <si>
    <t>CHUA</t>
  </si>
  <si>
    <t>ORCULLO</t>
  </si>
  <si>
    <t>JOHALIT</t>
  </si>
  <si>
    <t>ARBIOL</t>
  </si>
  <si>
    <t>RENIE</t>
  </si>
  <si>
    <t>PELANDAS</t>
  </si>
  <si>
    <t>CENDERILLA LOVELY</t>
  </si>
  <si>
    <t>LUMBAB</t>
  </si>
  <si>
    <t>RONDINA</t>
  </si>
  <si>
    <t>ADOBO</t>
  </si>
  <si>
    <t>SANTOS</t>
  </si>
  <si>
    <t>ANDOY</t>
  </si>
  <si>
    <t>JORY</t>
  </si>
  <si>
    <t>ASTUDILLO</t>
  </si>
  <si>
    <t>ROGER</t>
  </si>
  <si>
    <t>GARDIGO</t>
  </si>
  <si>
    <t>MATEO</t>
  </si>
  <si>
    <t>DUGUELA</t>
  </si>
  <si>
    <t>BUCA</t>
  </si>
  <si>
    <t>CABATINGAN</t>
  </si>
  <si>
    <t>DANILO</t>
  </si>
  <si>
    <t>GILDORE</t>
  </si>
  <si>
    <t>SHEILA MARIE</t>
  </si>
  <si>
    <t>VILLARENO</t>
  </si>
  <si>
    <t>LIGUTAN</t>
  </si>
  <si>
    <t>JOVANIE</t>
  </si>
  <si>
    <t>ROMALDO</t>
  </si>
  <si>
    <t>MELFE</t>
  </si>
  <si>
    <t>BEKTICAL</t>
  </si>
  <si>
    <t>NASUDYOT</t>
  </si>
  <si>
    <t>ROY</t>
  </si>
  <si>
    <t>LINDAAN</t>
  </si>
  <si>
    <t>ILGENITO</t>
  </si>
  <si>
    <t>SARZONA</t>
  </si>
  <si>
    <t>ALJER</t>
  </si>
  <si>
    <t>LAYNO</t>
  </si>
  <si>
    <t>SIAHAY</t>
  </si>
  <si>
    <t>SABAS</t>
  </si>
  <si>
    <t>RAMEREZ</t>
  </si>
  <si>
    <t>SIEGA</t>
  </si>
  <si>
    <t>MRYNA</t>
  </si>
  <si>
    <t>ANDAYRAN</t>
  </si>
  <si>
    <t>FLORENCIO</t>
  </si>
  <si>
    <t>BRYAN</t>
  </si>
  <si>
    <t>SARCO</t>
  </si>
  <si>
    <t>BARRIOS</t>
  </si>
  <si>
    <t>RAMMEL</t>
  </si>
  <si>
    <t>LUPIO</t>
  </si>
  <si>
    <t>VAPOR</t>
  </si>
  <si>
    <t>LEONARDO</t>
  </si>
  <si>
    <t>BAGOT</t>
  </si>
  <si>
    <t>ANDAYA</t>
  </si>
  <si>
    <t>JONES</t>
  </si>
  <si>
    <t>CECOTE</t>
  </si>
  <si>
    <t>JEMIL</t>
  </si>
  <si>
    <t>OHAD</t>
  </si>
  <si>
    <t>MELANIE</t>
  </si>
  <si>
    <t>DURIANO</t>
  </si>
  <si>
    <t>TIBUASAN</t>
  </si>
  <si>
    <t>BRILLO</t>
  </si>
  <si>
    <t>LUIE JHAN</t>
  </si>
  <si>
    <t>USTAS</t>
  </si>
  <si>
    <t>BUKINLASAN</t>
  </si>
  <si>
    <t>CABRERA</t>
  </si>
  <si>
    <t>ARNULFO</t>
  </si>
  <si>
    <t>LUCIA</t>
  </si>
  <si>
    <t>JUNEL</t>
  </si>
  <si>
    <t>CARPENTERO</t>
  </si>
  <si>
    <t>CATRINA</t>
  </si>
  <si>
    <t>MANATAD</t>
  </si>
  <si>
    <t>CATAPTE</t>
  </si>
  <si>
    <t>PERCILA</t>
  </si>
  <si>
    <t>DONASCO</t>
  </si>
  <si>
    <t>JONEL</t>
  </si>
  <si>
    <t>DOLPHY</t>
  </si>
  <si>
    <t>CATAYAS</t>
  </si>
  <si>
    <t>JUNILYN</t>
  </si>
  <si>
    <t>ANDAYAN</t>
  </si>
  <si>
    <t>KIDDIE</t>
  </si>
  <si>
    <t>MARQUIZA</t>
  </si>
  <si>
    <t>DELICONA</t>
  </si>
  <si>
    <t>JUANITO</t>
  </si>
  <si>
    <t>JAYMART</t>
  </si>
  <si>
    <t>DAWOG</t>
  </si>
  <si>
    <t>JULITO</t>
  </si>
  <si>
    <t>PAULINE</t>
  </si>
  <si>
    <t>ASCARES</t>
  </si>
  <si>
    <t>MARICRIS</t>
  </si>
  <si>
    <t>FLORES</t>
  </si>
  <si>
    <t>VELASCO</t>
  </si>
  <si>
    <t>LUCILLE</t>
  </si>
  <si>
    <t>MAHINAY</t>
  </si>
  <si>
    <t>ELVIN FRANCIS</t>
  </si>
  <si>
    <t>BAGNOL</t>
  </si>
  <si>
    <t>MALAQUE</t>
  </si>
  <si>
    <t>JENNY</t>
  </si>
  <si>
    <t>CHERRY ANN</t>
  </si>
  <si>
    <t>MATILOS</t>
  </si>
  <si>
    <t>RODEL</t>
  </si>
  <si>
    <t>BAYBAYON</t>
  </si>
  <si>
    <t>NUNCIO</t>
  </si>
  <si>
    <t>JOSELYN</t>
  </si>
  <si>
    <t>PAQUEO</t>
  </si>
  <si>
    <t>GILBERT</t>
  </si>
  <si>
    <t>COLASTE</t>
  </si>
  <si>
    <t>ALLAN</t>
  </si>
  <si>
    <t>CRISMAS</t>
  </si>
  <si>
    <t>QUIZADA</t>
  </si>
  <si>
    <t>GENITA</t>
  </si>
  <si>
    <t>ROJAS</t>
  </si>
  <si>
    <t>MARGELINE</t>
  </si>
  <si>
    <t>CORVERA</t>
  </si>
  <si>
    <t>SALISE</t>
  </si>
  <si>
    <t>MICHELLE</t>
  </si>
  <si>
    <t>TABLA</t>
  </si>
  <si>
    <t>WAOT</t>
  </si>
  <si>
    <t>MARY JOY</t>
  </si>
  <si>
    <t>DANLAG</t>
  </si>
  <si>
    <t>ABENDANO</t>
  </si>
  <si>
    <t>ASADON</t>
  </si>
  <si>
    <t>ESCLAMADO</t>
  </si>
  <si>
    <t>EVELYN</t>
  </si>
  <si>
    <t>LUIB</t>
  </si>
  <si>
    <t>JASON</t>
  </si>
  <si>
    <t>SANICO</t>
  </si>
  <si>
    <t>EDITHA</t>
  </si>
  <si>
    <t>NUEVA</t>
  </si>
  <si>
    <t>SUSANA</t>
  </si>
  <si>
    <t>PATUAL</t>
  </si>
  <si>
    <t>RHUEL</t>
  </si>
  <si>
    <t>CAMPADO</t>
  </si>
  <si>
    <t>VESTRA</t>
  </si>
  <si>
    <t>GONZALES</t>
  </si>
  <si>
    <t>BAJA</t>
  </si>
  <si>
    <t>ENRIQUE</t>
  </si>
  <si>
    <t>YSULAN</t>
  </si>
  <si>
    <t>ABOLOC</t>
  </si>
  <si>
    <t>BONIFACIA</t>
  </si>
  <si>
    <t>AGRABIO</t>
  </si>
  <si>
    <t>BEUNAFLOR</t>
  </si>
  <si>
    <t>ALIBO</t>
  </si>
  <si>
    <t>ARSENIO</t>
  </si>
  <si>
    <t>DELOS SANTOS</t>
  </si>
  <si>
    <t>ANTIDO</t>
  </si>
  <si>
    <t>ASUQUE</t>
  </si>
  <si>
    <t>DOLLIENTE</t>
  </si>
  <si>
    <t>BATIAO</t>
  </si>
  <si>
    <t>JEFFREY</t>
  </si>
  <si>
    <t>BUA</t>
  </si>
  <si>
    <t>JEMELITO</t>
  </si>
  <si>
    <t>BANGUIS</t>
  </si>
  <si>
    <t>BUGARIN</t>
  </si>
  <si>
    <t>FALCON</t>
  </si>
  <si>
    <t>CAPOCANAN</t>
  </si>
  <si>
    <t>HELY</t>
  </si>
  <si>
    <t>CABALTERA</t>
  </si>
  <si>
    <t>CARESUSA</t>
  </si>
  <si>
    <t>GALOPE</t>
  </si>
  <si>
    <t>CORPUS</t>
  </si>
  <si>
    <t>AGNELA</t>
  </si>
  <si>
    <t>CORPUZ</t>
  </si>
  <si>
    <t>ARMAN</t>
  </si>
  <si>
    <t>DE LA CRUZ</t>
  </si>
  <si>
    <t>I</t>
  </si>
  <si>
    <t>ORACION</t>
  </si>
  <si>
    <t>RENATO</t>
  </si>
  <si>
    <t>OHAO</t>
  </si>
  <si>
    <t>GUZMAN</t>
  </si>
  <si>
    <t>PELEGRO</t>
  </si>
  <si>
    <t>FRANKLIN</t>
  </si>
  <si>
    <t>DIOLA</t>
  </si>
  <si>
    <t>BEQUILLA</t>
  </si>
  <si>
    <t>SALIGUMBA</t>
  </si>
  <si>
    <t>REX</t>
  </si>
  <si>
    <t>YANDUG</t>
  </si>
  <si>
    <t>BALDOMERO</t>
  </si>
  <si>
    <t>CASANO</t>
  </si>
  <si>
    <t>EMPLEO</t>
  </si>
  <si>
    <t>ELESHER</t>
  </si>
  <si>
    <t>SERRA</t>
  </si>
  <si>
    <t>CHARLI</t>
  </si>
  <si>
    <t>REQUINA</t>
  </si>
  <si>
    <t>GA</t>
  </si>
  <si>
    <t>HELEN GRACE</t>
  </si>
  <si>
    <t>GUMA</t>
  </si>
  <si>
    <t>GOYONAN</t>
  </si>
  <si>
    <t>LAURON</t>
  </si>
  <si>
    <t>DANICA</t>
  </si>
  <si>
    <t>ORLINE</t>
  </si>
  <si>
    <t>LIBREA</t>
  </si>
  <si>
    <t>EDNA</t>
  </si>
  <si>
    <t>SIGALES</t>
  </si>
  <si>
    <t>REBECCA</t>
  </si>
  <si>
    <t>MANULAT</t>
  </si>
  <si>
    <t>DEONISIO</t>
  </si>
  <si>
    <t>JUNREY</t>
  </si>
  <si>
    <t>VANIZA</t>
  </si>
  <si>
    <t>MARQUEZA</t>
  </si>
  <si>
    <t>MERRA</t>
  </si>
  <si>
    <t>MARJORY-ANN</t>
  </si>
  <si>
    <t>BORCELAS</t>
  </si>
  <si>
    <t>MORETE</t>
  </si>
  <si>
    <t>CLERO</t>
  </si>
  <si>
    <t>JOSE ELMER</t>
  </si>
  <si>
    <t>PAGARAN</t>
  </si>
  <si>
    <t>MASCULINO</t>
  </si>
  <si>
    <t>PALANGPANG</t>
  </si>
  <si>
    <t>LOIDA</t>
  </si>
  <si>
    <t>CHAROX</t>
  </si>
  <si>
    <t>DEBAGUIO</t>
  </si>
  <si>
    <t>ABRIOL</t>
  </si>
  <si>
    <t>REGGIE</t>
  </si>
  <si>
    <t>COSUNG</t>
  </si>
  <si>
    <t>NOELYN</t>
  </si>
  <si>
    <t>LINDA</t>
  </si>
  <si>
    <t>LEON</t>
  </si>
  <si>
    <t>TUMALON</t>
  </si>
  <si>
    <t>TIMKANG</t>
  </si>
  <si>
    <t>GRACE</t>
  </si>
  <si>
    <t>AGANA</t>
  </si>
  <si>
    <t>ELLEN</t>
  </si>
  <si>
    <t>MANDAHON</t>
  </si>
  <si>
    <t>DELIO</t>
  </si>
  <si>
    <t>LOSELITO</t>
  </si>
  <si>
    <t>ABRAD</t>
  </si>
  <si>
    <t>MA. CATHERINE</t>
  </si>
  <si>
    <t>ARMENDAREZ</t>
  </si>
  <si>
    <t>ACEVIDO</t>
  </si>
  <si>
    <t>EDWINITO</t>
  </si>
  <si>
    <t>ELVIGON</t>
  </si>
  <si>
    <t>AMPONG</t>
  </si>
  <si>
    <t>ROSEVIC</t>
  </si>
  <si>
    <t>ABEL</t>
  </si>
  <si>
    <t>PORMENTRA</t>
  </si>
  <si>
    <t>TENIO</t>
  </si>
  <si>
    <t>PONCE</t>
  </si>
  <si>
    <t>ABALO</t>
  </si>
  <si>
    <t>MARC</t>
  </si>
  <si>
    <t>ABIS</t>
  </si>
  <si>
    <t>IBARRA</t>
  </si>
  <si>
    <t>ACA-AC</t>
  </si>
  <si>
    <t>MA.ANTONITA</t>
  </si>
  <si>
    <t>ORCEJOLA</t>
  </si>
  <si>
    <t>ACGUIATAN</t>
  </si>
  <si>
    <t>LEMUEL</t>
  </si>
  <si>
    <t>VERTUDAZO</t>
  </si>
  <si>
    <t>ACQUIATAN</t>
  </si>
  <si>
    <t>NERIO</t>
  </si>
  <si>
    <t>ALFREDO</t>
  </si>
  <si>
    <t>GASIS</t>
  </si>
  <si>
    <t>ALFRENIE</t>
  </si>
  <si>
    <t>ADARLO</t>
  </si>
  <si>
    <t>RHONA</t>
  </si>
  <si>
    <t>AGUHOB</t>
  </si>
  <si>
    <t>CRIS</t>
  </si>
  <si>
    <t>TETCHIE</t>
  </si>
  <si>
    <t>TIU</t>
  </si>
  <si>
    <t>JEANE</t>
  </si>
  <si>
    <t>DELIGERO</t>
  </si>
  <si>
    <t>LUCINA</t>
  </si>
  <si>
    <t>SELADES</t>
  </si>
  <si>
    <t>GOLANDRINA</t>
  </si>
  <si>
    <t>GEMA</t>
  </si>
  <si>
    <t>MAASIN</t>
  </si>
  <si>
    <t>AILYN</t>
  </si>
  <si>
    <t>ALVIZO</t>
  </si>
  <si>
    <t>MEREGILDO</t>
  </si>
  <si>
    <t>GALDIANO</t>
  </si>
  <si>
    <t>AMOGUIS</t>
  </si>
  <si>
    <t>JOSEFENA</t>
  </si>
  <si>
    <t>ANGCA</t>
  </si>
  <si>
    <t>RORELYN</t>
  </si>
  <si>
    <t>PALABON</t>
  </si>
  <si>
    <t>ARCAGUA</t>
  </si>
  <si>
    <t>REVICA</t>
  </si>
  <si>
    <t>RODALYN</t>
  </si>
  <si>
    <t>AZON</t>
  </si>
  <si>
    <t>VIRGINIA</t>
  </si>
  <si>
    <t>ENSO</t>
  </si>
  <si>
    <t>MARIAL</t>
  </si>
  <si>
    <t>SUNSHINE</t>
  </si>
  <si>
    <t>LUCENA</t>
  </si>
  <si>
    <t>WENDY</t>
  </si>
  <si>
    <t>BANGKIL</t>
  </si>
  <si>
    <t>OLVENARIO</t>
  </si>
  <si>
    <t>BIOY</t>
  </si>
  <si>
    <t>BITOR</t>
  </si>
  <si>
    <t>CATHERINE</t>
  </si>
  <si>
    <t>JUNAVEL</t>
  </si>
  <si>
    <t>AQUIATAN</t>
  </si>
  <si>
    <t>BUGSAD</t>
  </si>
  <si>
    <t>BELMA</t>
  </si>
  <si>
    <t>APORBO</t>
  </si>
  <si>
    <t>CALAMBA</t>
  </si>
  <si>
    <t>CIELO</t>
  </si>
  <si>
    <t>TUMAQUIN</t>
  </si>
  <si>
    <t>MERILYN</t>
  </si>
  <si>
    <t>TURAJA</t>
  </si>
  <si>
    <t>CRUZ</t>
  </si>
  <si>
    <t>EVA REGINA</t>
  </si>
  <si>
    <t>BULLO</t>
  </si>
  <si>
    <t>DAPAR</t>
  </si>
  <si>
    <t>EUGENE</t>
  </si>
  <si>
    <t>DELFIN</t>
  </si>
  <si>
    <t>JENIE</t>
  </si>
  <si>
    <t>DOLOREDO</t>
  </si>
  <si>
    <t>NOEMI</t>
  </si>
  <si>
    <t>DOMINGUES</t>
  </si>
  <si>
    <t>EBARLI</t>
  </si>
  <si>
    <t>MARIGOLD</t>
  </si>
  <si>
    <t>ELISAN</t>
  </si>
  <si>
    <t>WILLIAM</t>
  </si>
  <si>
    <t>BACONS</t>
  </si>
  <si>
    <t>ESTOQUE</t>
  </si>
  <si>
    <t>OBEDENCIO</t>
  </si>
  <si>
    <t>MA. DELFINA</t>
  </si>
  <si>
    <t>ARGUELLES</t>
  </si>
  <si>
    <t>FERROLINO</t>
  </si>
  <si>
    <t>ELENITA</t>
  </si>
  <si>
    <t>FIGURACION</t>
  </si>
  <si>
    <t>ADELYN</t>
  </si>
  <si>
    <t>FUROG</t>
  </si>
  <si>
    <t>LOFRANCO</t>
  </si>
  <si>
    <t>BEROY</t>
  </si>
  <si>
    <t>GEMINA</t>
  </si>
  <si>
    <t>RHICHEL MARY ANN</t>
  </si>
  <si>
    <t>RUBE</t>
  </si>
  <si>
    <t>GRANDEROS</t>
  </si>
  <si>
    <t>RITA</t>
  </si>
  <si>
    <t>SOLEJON</t>
  </si>
  <si>
    <t>GUBATERO</t>
  </si>
  <si>
    <t>AMADO</t>
  </si>
  <si>
    <t>PAPAYA</t>
  </si>
  <si>
    <t>HAGOPIT</t>
  </si>
  <si>
    <t>PINKY</t>
  </si>
  <si>
    <t>LOSPIROS</t>
  </si>
  <si>
    <t>HERMAC</t>
  </si>
  <si>
    <t>DEDIOS</t>
  </si>
  <si>
    <t>JUDY ANN</t>
  </si>
  <si>
    <t>ARNOCO</t>
  </si>
  <si>
    <t>LEONARDA</t>
  </si>
  <si>
    <t>MADELO</t>
  </si>
  <si>
    <t>INTAS</t>
  </si>
  <si>
    <t>MARIMEL</t>
  </si>
  <si>
    <t>LEGASPI</t>
  </si>
  <si>
    <t>LISONDRA</t>
  </si>
  <si>
    <t>ELIZABETH</t>
  </si>
  <si>
    <t>ORDENARIO</t>
  </si>
  <si>
    <t>LOBO</t>
  </si>
  <si>
    <t>AURELIO</t>
  </si>
  <si>
    <t>VERGARA</t>
  </si>
  <si>
    <t>LORENZANA</t>
  </si>
  <si>
    <t>MACASO</t>
  </si>
  <si>
    <t>FE</t>
  </si>
  <si>
    <t>BAGUNDOL</t>
  </si>
  <si>
    <t>RUBY</t>
  </si>
  <si>
    <t>RIAN</t>
  </si>
  <si>
    <t>LOMANDAS</t>
  </si>
  <si>
    <t>MAMALIS</t>
  </si>
  <si>
    <t>ERMILINDA</t>
  </si>
  <si>
    <t>JAGMOC</t>
  </si>
  <si>
    <t>MARITES</t>
  </si>
  <si>
    <t>SIBAY</t>
  </si>
  <si>
    <t>MANALO</t>
  </si>
  <si>
    <t>ROSE ANNE</t>
  </si>
  <si>
    <t>RODRIGUEZ</t>
  </si>
  <si>
    <t>MELINDO</t>
  </si>
  <si>
    <t>JULIE ANN</t>
  </si>
  <si>
    <t>GODIN</t>
  </si>
  <si>
    <t>MORANTE</t>
  </si>
  <si>
    <t>JESTY</t>
  </si>
  <si>
    <t>NAVARRO</t>
  </si>
  <si>
    <t>TIPALAN</t>
  </si>
  <si>
    <t>RONELYN</t>
  </si>
  <si>
    <t>ARIENZA</t>
  </si>
  <si>
    <t>ORITO</t>
  </si>
  <si>
    <t>ANALIZA</t>
  </si>
  <si>
    <t>OTACAN</t>
  </si>
  <si>
    <t>DIOSWEL</t>
  </si>
  <si>
    <t>PACALDO</t>
  </si>
  <si>
    <t>RENALYN</t>
  </si>
  <si>
    <t>BULARON</t>
  </si>
  <si>
    <t>PACE</t>
  </si>
  <si>
    <t>VALENTINO</t>
  </si>
  <si>
    <t>BALOCOS</t>
  </si>
  <si>
    <t>PACHA</t>
  </si>
  <si>
    <t>CALE</t>
  </si>
  <si>
    <t>PADIS</t>
  </si>
  <si>
    <t>AVEL</t>
  </si>
  <si>
    <t>DACPANO</t>
  </si>
  <si>
    <t>PANQUICO</t>
  </si>
  <si>
    <t>JANISSA</t>
  </si>
  <si>
    <t>PAZO</t>
  </si>
  <si>
    <t>LEA MAE</t>
  </si>
  <si>
    <t>MIRA</t>
  </si>
  <si>
    <t>PEDOLIN</t>
  </si>
  <si>
    <t>ROCHELYN</t>
  </si>
  <si>
    <t>GEMAO</t>
  </si>
  <si>
    <t>LOUVEN</t>
  </si>
  <si>
    <t>PARAO</t>
  </si>
  <si>
    <t>RENDEZA</t>
  </si>
  <si>
    <t>BABELYN</t>
  </si>
  <si>
    <t>REYNOLD</t>
  </si>
  <si>
    <t>ARNIL</t>
  </si>
  <si>
    <t>PIA</t>
  </si>
  <si>
    <t>CELSO</t>
  </si>
  <si>
    <t>BANGI</t>
  </si>
  <si>
    <t>PINTUYAN</t>
  </si>
  <si>
    <t>PIZARRAS</t>
  </si>
  <si>
    <t>POLINAR</t>
  </si>
  <si>
    <t>ARTEMIO</t>
  </si>
  <si>
    <t>ELISA</t>
  </si>
  <si>
    <t>BAGCAL</t>
  </si>
  <si>
    <t>POLVOROSA</t>
  </si>
  <si>
    <t>CHA CHA</t>
  </si>
  <si>
    <t>SALILIN</t>
  </si>
  <si>
    <t>SUMAYLO</t>
  </si>
  <si>
    <t>GILITA</t>
  </si>
  <si>
    <t>RADA</t>
  </si>
  <si>
    <t>RELAMPAGO</t>
  </si>
  <si>
    <t>FLORIFE</t>
  </si>
  <si>
    <t>REVECHE</t>
  </si>
  <si>
    <t>ERICH JEAN</t>
  </si>
  <si>
    <t>TORMENTO</t>
  </si>
  <si>
    <t>RAQUEL</t>
  </si>
  <si>
    <t>TUMASAN</t>
  </si>
  <si>
    <t>VIOLETA</t>
  </si>
  <si>
    <t>BALLON</t>
  </si>
  <si>
    <t>RUDAS</t>
  </si>
  <si>
    <t>RESVIN</t>
  </si>
  <si>
    <t>CLARETE</t>
  </si>
  <si>
    <t>MARVINO</t>
  </si>
  <si>
    <t>RUALES</t>
  </si>
  <si>
    <t>SANTA</t>
  </si>
  <si>
    <t>MA. CHRISTIAN</t>
  </si>
  <si>
    <t>SAPANZA</t>
  </si>
  <si>
    <t>JANETTE</t>
  </si>
  <si>
    <t>INTELLIGANDO</t>
  </si>
  <si>
    <t>NEREILYN</t>
  </si>
  <si>
    <t>COMETA</t>
  </si>
  <si>
    <t>SOTTO</t>
  </si>
  <si>
    <t>JUDALYN</t>
  </si>
  <si>
    <t>SU</t>
  </si>
  <si>
    <t>MARY JAY</t>
  </si>
  <si>
    <t>GERLYN</t>
  </si>
  <si>
    <t>GAREN</t>
  </si>
  <si>
    <t>JOVAN</t>
  </si>
  <si>
    <t>MEGAN</t>
  </si>
  <si>
    <t>ABELLA</t>
  </si>
  <si>
    <t>BONIA</t>
  </si>
  <si>
    <t>GENA</t>
  </si>
  <si>
    <t>TIGUELO</t>
  </si>
  <si>
    <t>JULY FRED</t>
  </si>
  <si>
    <t>TRUGILLO</t>
  </si>
  <si>
    <t>CHARLOTTE</t>
  </si>
  <si>
    <t>UBAUB</t>
  </si>
  <si>
    <t>ARNOLFO</t>
  </si>
  <si>
    <t>JAMERO</t>
  </si>
  <si>
    <t>VERMIE</t>
  </si>
  <si>
    <t>TORADIO</t>
  </si>
  <si>
    <t>SHAINA MAE</t>
  </si>
  <si>
    <t>BODONG</t>
  </si>
  <si>
    <t>EBORDE</t>
  </si>
  <si>
    <t>VALENTINA</t>
  </si>
  <si>
    <t>MALUMBAY</t>
  </si>
  <si>
    <t>JERWIN</t>
  </si>
  <si>
    <t>NADA</t>
  </si>
  <si>
    <t>ESTRELLETA</t>
  </si>
  <si>
    <t>YPARAGIURRE</t>
  </si>
  <si>
    <t>BALUCANAG</t>
  </si>
  <si>
    <t>STEPHEN</t>
  </si>
  <si>
    <t>RULLORATA</t>
  </si>
  <si>
    <t>AMOR</t>
  </si>
  <si>
    <t>LICO</t>
  </si>
  <si>
    <t>PATINDOL</t>
  </si>
  <si>
    <t>CATALINO</t>
  </si>
  <si>
    <t>GOPEN</t>
  </si>
  <si>
    <t>EUSEBIO</t>
  </si>
  <si>
    <t>EVLOTA</t>
  </si>
  <si>
    <t>SALBIGSAL</t>
  </si>
  <si>
    <t>NYMPHA</t>
  </si>
  <si>
    <t>CABULAD</t>
  </si>
  <si>
    <t>MARLODINDO</t>
  </si>
  <si>
    <t>CLARIT</t>
  </si>
  <si>
    <t>JENNIBEB</t>
  </si>
  <si>
    <t>AGRAVANTE</t>
  </si>
  <si>
    <t>ACODILE</t>
  </si>
  <si>
    <t>HERMENIO</t>
  </si>
  <si>
    <t>JANIL</t>
  </si>
  <si>
    <t>GANATE</t>
  </si>
  <si>
    <t>BURLAS</t>
  </si>
  <si>
    <t>MAGNO</t>
  </si>
  <si>
    <t>GAUDELLA</t>
  </si>
  <si>
    <t>CLEMENTE</t>
  </si>
  <si>
    <t>RESMA</t>
  </si>
  <si>
    <t>LILET</t>
  </si>
  <si>
    <t>ONGAYO</t>
  </si>
  <si>
    <t>PILOTO</t>
  </si>
  <si>
    <t>DURANGO</t>
  </si>
  <si>
    <t>ROZ</t>
  </si>
  <si>
    <t>PECASALES</t>
  </si>
  <si>
    <t>CERENITA</t>
  </si>
  <si>
    <t>URGINO</t>
  </si>
  <si>
    <t>PABELONIA</t>
  </si>
  <si>
    <t>TALIDONG</t>
  </si>
  <si>
    <t>JAYSON</t>
  </si>
  <si>
    <t>ACAB</t>
  </si>
  <si>
    <t>GUINANCIAS</t>
  </si>
  <si>
    <t>JUAGPAO</t>
  </si>
  <si>
    <t>MELISA</t>
  </si>
  <si>
    <t>BEHON</t>
  </si>
  <si>
    <t>CEDRON</t>
  </si>
  <si>
    <t>GARAS</t>
  </si>
  <si>
    <t>JOHNCEIL REY</t>
  </si>
  <si>
    <t>MANTALABA</t>
  </si>
  <si>
    <t>JAPITAN</t>
  </si>
  <si>
    <t>PAN</t>
  </si>
  <si>
    <t>HARREY</t>
  </si>
  <si>
    <t>ARADILLOS</t>
  </si>
  <si>
    <t>CECELIA</t>
  </si>
  <si>
    <t>ADORABLE</t>
  </si>
  <si>
    <t>DULAQUE</t>
  </si>
  <si>
    <t>JOHN RUSSEL</t>
  </si>
  <si>
    <t>REVILLLEZA</t>
  </si>
  <si>
    <t>GODY</t>
  </si>
  <si>
    <t>SIGUISABAL</t>
  </si>
  <si>
    <t>DANIEL</t>
  </si>
  <si>
    <t>TAYPA</t>
  </si>
  <si>
    <t>SOSOSCO</t>
  </si>
  <si>
    <t>ELMER</t>
  </si>
  <si>
    <t>IHAPON</t>
  </si>
  <si>
    <t>ENOCIDA</t>
  </si>
  <si>
    <t>EMELDA</t>
  </si>
  <si>
    <t>DEL VALLE</t>
  </si>
  <si>
    <t>JANETH</t>
  </si>
  <si>
    <t>JAPITANA</t>
  </si>
  <si>
    <t>MELLIAN</t>
  </si>
  <si>
    <t>JERAMEL</t>
  </si>
  <si>
    <t>RASONABLE</t>
  </si>
  <si>
    <t>ABARCA</t>
  </si>
  <si>
    <t>ROSIE</t>
  </si>
  <si>
    <t>CABOG-OS</t>
  </si>
  <si>
    <t>JESSRIEL</t>
  </si>
  <si>
    <t>ELLECO</t>
  </si>
  <si>
    <t>DENSING</t>
  </si>
  <si>
    <t>ANAS</t>
  </si>
  <si>
    <t>DAIGAN</t>
  </si>
  <si>
    <t>ERLINDA</t>
  </si>
  <si>
    <t>MACADINE</t>
  </si>
  <si>
    <t>MICHAEL</t>
  </si>
  <si>
    <t>MACARAYO</t>
  </si>
  <si>
    <t>FELIX</t>
  </si>
  <si>
    <t>RANEZA</t>
  </si>
  <si>
    <t>LEBRIAS</t>
  </si>
  <si>
    <t>LLENOS</t>
  </si>
  <si>
    <t>RONITO</t>
  </si>
  <si>
    <t>COMPEDIO</t>
  </si>
  <si>
    <t>CURADA</t>
  </si>
  <si>
    <t>BAGOOD</t>
  </si>
  <si>
    <t>SIMANGCA</t>
  </si>
  <si>
    <t>HANS EDWARD</t>
  </si>
  <si>
    <t>VELLASCO</t>
  </si>
  <si>
    <t>ALFONSA</t>
  </si>
  <si>
    <t>MAHUSAY</t>
  </si>
  <si>
    <t>DANNYBOY</t>
  </si>
  <si>
    <t>VISITACION</t>
  </si>
  <si>
    <t>MIGRONO</t>
  </si>
  <si>
    <t>DORI</t>
  </si>
  <si>
    <t>VEGA</t>
  </si>
  <si>
    <t>ALJUNE</t>
  </si>
  <si>
    <t>HULBE</t>
  </si>
  <si>
    <t>PAULEN</t>
  </si>
  <si>
    <t>LIMBAGA</t>
  </si>
  <si>
    <t>JHONBERT</t>
  </si>
  <si>
    <t>LEONES</t>
  </si>
  <si>
    <t>TALISIC</t>
  </si>
  <si>
    <t>ANASTACIA</t>
  </si>
  <si>
    <t>CULLANTES</t>
  </si>
  <si>
    <t>MARIA ELMA</t>
  </si>
  <si>
    <t>VALENTIN</t>
  </si>
  <si>
    <t>GALLEON</t>
  </si>
  <si>
    <t>DIOCAMPO</t>
  </si>
  <si>
    <t>VILLALBA</t>
  </si>
  <si>
    <t>ROWEL</t>
  </si>
  <si>
    <t>CALIPI</t>
  </si>
  <si>
    <t>OSITE</t>
  </si>
  <si>
    <t>AWASIAN</t>
  </si>
  <si>
    <t>TANDAG</t>
  </si>
  <si>
    <t>BAGONG LUNGSOD</t>
  </si>
  <si>
    <t>BIOTO</t>
  </si>
  <si>
    <t>BONGTUD</t>
  </si>
  <si>
    <t>MABUA</t>
  </si>
  <si>
    <t>MABUHAY</t>
  </si>
  <si>
    <t>MAITUM</t>
  </si>
  <si>
    <t>MATICDUM</t>
  </si>
  <si>
    <t>PANGI</t>
  </si>
  <si>
    <t>QUEZON</t>
  </si>
  <si>
    <t>ROSARIO</t>
  </si>
  <si>
    <t>SAN AGUSTIN SUR</t>
  </si>
  <si>
    <t>TELAJE</t>
  </si>
  <si>
    <t>PANDANON</t>
  </si>
  <si>
    <t>BUENAVISTA</t>
  </si>
  <si>
    <t>SAN AGUSTIN NORTE</t>
  </si>
  <si>
    <t>SAN ISIDRO</t>
  </si>
  <si>
    <t>OLOFERNES</t>
  </si>
  <si>
    <t>BENES</t>
  </si>
  <si>
    <t>RUBEN</t>
  </si>
  <si>
    <t>LLAGUSO</t>
  </si>
  <si>
    <t>BLESS GEN</t>
  </si>
  <si>
    <t>PAJULAS</t>
  </si>
  <si>
    <t>AVELITA</t>
  </si>
  <si>
    <t>ACOSTA</t>
  </si>
  <si>
    <t>SONNY</t>
  </si>
  <si>
    <t>MACARTE</t>
  </si>
  <si>
    <t>MALUBAY</t>
  </si>
  <si>
    <t>CALLANO</t>
  </si>
  <si>
    <t>CELIA</t>
  </si>
  <si>
    <t>MAANO</t>
  </si>
  <si>
    <t>ARNILA</t>
  </si>
  <si>
    <t>ANCERO</t>
  </si>
  <si>
    <t>MARECEL</t>
  </si>
  <si>
    <t>LABRADOR</t>
  </si>
  <si>
    <t>RENE</t>
  </si>
  <si>
    <t>LADAO</t>
  </si>
  <si>
    <t>LORENCE</t>
  </si>
  <si>
    <t>BAGABALDO</t>
  </si>
  <si>
    <t>MICHELL</t>
  </si>
  <si>
    <t>MEDIMAR</t>
  </si>
  <si>
    <t>BABYGIRL</t>
  </si>
  <si>
    <t>DATIG</t>
  </si>
  <si>
    <t>GLAIZA</t>
  </si>
  <si>
    <t>DAUZO</t>
  </si>
  <si>
    <t>MAYTA</t>
  </si>
  <si>
    <t>DEDICOTORIA</t>
  </si>
  <si>
    <t>NELITA</t>
  </si>
  <si>
    <t>MELINDA</t>
  </si>
  <si>
    <t>JEFREY</t>
  </si>
  <si>
    <t>AILEN</t>
  </si>
  <si>
    <t>PAME</t>
  </si>
  <si>
    <t>RICHARD KEVIN</t>
  </si>
  <si>
    <t>IVY</t>
  </si>
  <si>
    <t>ROSIE MARIE JOY</t>
  </si>
  <si>
    <t>ANNA MARIE</t>
  </si>
  <si>
    <t>CRESILIA</t>
  </si>
  <si>
    <t>ROSAL</t>
  </si>
  <si>
    <t>CARLYN ROSE</t>
  </si>
  <si>
    <t>GOLORAN</t>
  </si>
  <si>
    <t>DELIA</t>
  </si>
  <si>
    <t>MUTYA</t>
  </si>
  <si>
    <t>JIESEL</t>
  </si>
  <si>
    <t>JULIAN</t>
  </si>
  <si>
    <t>MARGIE</t>
  </si>
  <si>
    <t>VINCE NATHAN</t>
  </si>
  <si>
    <t>CHRISTYLE ANNE</t>
  </si>
  <si>
    <t>MAQUEZA</t>
  </si>
  <si>
    <t>ROMNICK</t>
  </si>
  <si>
    <t>JHON ANTHONY</t>
  </si>
  <si>
    <t>REYMARK</t>
  </si>
  <si>
    <t>LORENZ</t>
  </si>
  <si>
    <t>JUSTINE JAY</t>
  </si>
  <si>
    <t>JUSTINE JOY</t>
  </si>
  <si>
    <t>ERMA</t>
  </si>
  <si>
    <t>ESABIL</t>
  </si>
  <si>
    <t>CJ</t>
  </si>
  <si>
    <t>JOHN CLYDE</t>
  </si>
  <si>
    <t>JEMAIMA</t>
  </si>
  <si>
    <t>JASON VAN</t>
  </si>
  <si>
    <t>LORIFER</t>
  </si>
  <si>
    <t>RENJAHN</t>
  </si>
  <si>
    <t>SIXTO</t>
  </si>
  <si>
    <t>WENFREDO</t>
  </si>
  <si>
    <t>LOUIE MARK</t>
  </si>
  <si>
    <t>ALJUN</t>
  </si>
  <si>
    <t>ANGELO</t>
  </si>
  <si>
    <t>RONELLE</t>
  </si>
  <si>
    <t>CHANDEL</t>
  </si>
  <si>
    <t>ANGELOU</t>
  </si>
  <si>
    <t>ALEXANDRA</t>
  </si>
  <si>
    <t>BEGGY</t>
  </si>
  <si>
    <t>SARAH JANE</t>
  </si>
  <si>
    <t>IRISH</t>
  </si>
  <si>
    <t>RIZZA MAE</t>
  </si>
  <si>
    <t>LARCIÑA</t>
  </si>
  <si>
    <t>YBAÑEZ</t>
  </si>
  <si>
    <t>CAÑO</t>
  </si>
  <si>
    <t>QUINOÑEZ</t>
  </si>
  <si>
    <t>PEDALEÑA</t>
  </si>
  <si>
    <t>QUIÑONEZ</t>
  </si>
  <si>
    <t>ESTAÑO</t>
  </si>
  <si>
    <t>QUIÑO</t>
  </si>
  <si>
    <t>CAÑETE</t>
  </si>
  <si>
    <t>0196-01-31</t>
  </si>
  <si>
    <t>1990-04-31</t>
  </si>
  <si>
    <t>1963-04-31</t>
  </si>
  <si>
    <t>Republic of the Philippines</t>
  </si>
  <si>
    <t>CARAGA - Region XIII</t>
  </si>
  <si>
    <t>Province of Surigao del Sur</t>
  </si>
  <si>
    <t>[BARANGAY NAME IF PER BARANGAY]</t>
  </si>
  <si>
    <t>Masterlist of Eligible Beneficiaries</t>
  </si>
  <si>
    <t>Emergency Cash Transfer (ECT)</t>
  </si>
  <si>
    <t>No.</t>
  </si>
  <si>
    <t>NAME</t>
  </si>
  <si>
    <t>PUROK</t>
  </si>
  <si>
    <t>BARANGAY</t>
  </si>
  <si>
    <r>
      <rPr>
        <b/>
        <sz val="12"/>
        <color rgb="FF000000"/>
        <rFont val="Arial"/>
        <family val="2"/>
      </rPr>
      <t xml:space="preserve">BIRTHDATE </t>
    </r>
    <r>
      <rPr>
        <b/>
        <sz val="8"/>
        <color rgb="FF000000"/>
        <rFont val="Arial"/>
        <family val="2"/>
      </rPr>
      <t>(MM/DD/YYYY)</t>
    </r>
  </si>
  <si>
    <t>AGE</t>
  </si>
  <si>
    <t>SEX</t>
  </si>
  <si>
    <t>CIVIL STATUS</t>
  </si>
  <si>
    <t>C L A S S I F I C A T I O N S</t>
  </si>
  <si>
    <t>POOR BASED ON NATIONAL HOUSEHOLD TARGETING SYSTEM FOR POVERTY REDUCTION (NHTS-PR) Listahanan 3</t>
  </si>
  <si>
    <t>IDENTIFIED POOR, MARGINALIZED &amp; DISADVANTAGED BASED ON THE ASSESSMENT OF LSWDO</t>
  </si>
  <si>
    <t>S E C T O R S</t>
  </si>
  <si>
    <t>LAST NAME</t>
  </si>
  <si>
    <t>FIRST NAME</t>
  </si>
  <si>
    <t>MIDDLE NAME</t>
  </si>
  <si>
    <t>Ext.</t>
  </si>
  <si>
    <t>Pantawid Pamilyang Pilipino Program (4Ps)</t>
  </si>
  <si>
    <t>Farmers   (F)</t>
  </si>
  <si>
    <t>Fisher-folks (FF)</t>
  </si>
  <si>
    <t>Informal Sector</t>
  </si>
  <si>
    <t>Indigenous People  (IP)</t>
  </si>
  <si>
    <t>Senior Citizen (SC)</t>
  </si>
  <si>
    <t>Solo Parent (SP)</t>
  </si>
  <si>
    <t>Pregnant Women (PW)</t>
  </si>
  <si>
    <t>Persons with Disability (PWD)</t>
  </si>
  <si>
    <t>Lactating Mother
(LM)</t>
  </si>
  <si>
    <t>Out of School Youth (OSY)</t>
  </si>
  <si>
    <t>Former Rebel (FR)</t>
  </si>
  <si>
    <t>YAKAP Bayan/ Persons Who Used Drugs (YB/PWUDs)</t>
  </si>
  <si>
    <t>LGBTQIA+</t>
  </si>
  <si>
    <t>Slightly or Severely Affected Houses/Families</t>
  </si>
  <si>
    <t>S U M M A R Y</t>
  </si>
  <si>
    <t>PERSONS WITH DISABILITY(PWD) CLASSIFICATION</t>
  </si>
  <si>
    <t xml:space="preserve">    The above-mentioned names listed are of legal age, and residents of Awasian, Tandag City, Province of Surigao del Sur who are affected by Typhoon Basyang which occurred on February 5, 2026. The names listed herein were identified and validated by the LGU who are SLIGHTLY and SEVERELY AFFECTED by Typhoon Basyang. Therefore, they are ELIGIBLE to be the beneficiaries of Emergency Cash Transfer (ECT) and is recommended receive the amount of  ______________________________________   (₱.                    ) from DSWD.                       
This certificate is issued in Tandag City, SDS on _________________
as to certify that the above-mentioned information is true and correct. </t>
  </si>
  <si>
    <t>Disaggregation</t>
  </si>
  <si>
    <t>Total</t>
  </si>
  <si>
    <t>BREAKDOWN</t>
  </si>
  <si>
    <t>Male</t>
  </si>
  <si>
    <t>Female</t>
  </si>
  <si>
    <t>Classification</t>
  </si>
  <si>
    <t>A. Multiple Disabilities</t>
  </si>
  <si>
    <t>B. Intellectual Disability</t>
  </si>
  <si>
    <t>C. Learning Disability</t>
  </si>
  <si>
    <t>Sectors</t>
  </si>
  <si>
    <t>D. Mental Disability</t>
  </si>
  <si>
    <t>Farmers</t>
  </si>
  <si>
    <t>E. Physical Disability (Orthopedic)</t>
  </si>
  <si>
    <t>Fisher folks</t>
  </si>
  <si>
    <t>F. Psychosocial Disability</t>
  </si>
  <si>
    <t>G. Non-apparent Visual Disability</t>
  </si>
  <si>
    <t>Indigenous People</t>
  </si>
  <si>
    <t>H. Non-apparent Speech and Language Impairment</t>
  </si>
  <si>
    <t>Senior Citizen</t>
  </si>
  <si>
    <t>I. Non-apparent Cancer</t>
  </si>
  <si>
    <t>Prepared by:</t>
  </si>
  <si>
    <t xml:space="preserve">Certified by: </t>
  </si>
  <si>
    <t xml:space="preserve">Endorsed by: </t>
  </si>
  <si>
    <t>Solo Parent</t>
  </si>
  <si>
    <t>J. Non-apparent Rare Disease</t>
  </si>
  <si>
    <t xml:space="preserve">                                           </t>
  </si>
  <si>
    <t xml:space="preserve">                                                          </t>
  </si>
  <si>
    <t xml:space="preserve">                                               </t>
  </si>
  <si>
    <t>Pregnant Women</t>
  </si>
  <si>
    <t>K. Deaf/Hard of Hearing Disability</t>
  </si>
  <si>
    <t xml:space="preserve">    Punong Barangay</t>
  </si>
  <si>
    <t>CSWD Officer</t>
  </si>
  <si>
    <t>City/Municipality Mayor</t>
  </si>
  <si>
    <t>Persons With Disability</t>
  </si>
  <si>
    <t>Lactating Mother</t>
  </si>
  <si>
    <t>Recommending Approval:</t>
  </si>
  <si>
    <t>Approved by:</t>
  </si>
  <si>
    <t>Out of School Youth</t>
  </si>
  <si>
    <t>ALDIE MAE A. ANDOY</t>
  </si>
  <si>
    <t>MARI-FLOR A. DOLLAGA-LIBANG</t>
  </si>
  <si>
    <t>Former Rebel</t>
  </si>
  <si>
    <t>OIC-Chief, DRMD</t>
  </si>
  <si>
    <t xml:space="preserve"> DSWD FO Caraga Regional Director</t>
  </si>
  <si>
    <t>Yakap Bayan/Persons Who Used Drugs</t>
  </si>
  <si>
    <t>City of TANDAG</t>
  </si>
  <si>
    <t>LARCIÃ‘A</t>
  </si>
  <si>
    <t>YBAÃ‘EZ</t>
  </si>
  <si>
    <t>CAÃ‘O</t>
  </si>
  <si>
    <t>QUINOÃ‘EZ</t>
  </si>
  <si>
    <t>PEDALEÃ‘A</t>
  </si>
  <si>
    <t>QUIÃ‘ONEZ</t>
  </si>
  <si>
    <t>ESTAÃ‘O</t>
  </si>
  <si>
    <t>QUIÃ‘O</t>
  </si>
  <si>
    <t>CAÃ‘ETE</t>
  </si>
  <si>
    <t>VILLAPAÃ‘E</t>
  </si>
  <si>
    <t>NAHIAL</t>
  </si>
  <si>
    <t>RE JHUN</t>
  </si>
  <si>
    <t>MALULAN</t>
  </si>
  <si>
    <t>LAILA</t>
  </si>
  <si>
    <t>196-01-31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</si>
</sst>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8" x14ac:knownFonts="1">
    <font>
      <sz val="11"/>
      <color theme="1"/>
      <name val="Calibri"/>
      <family val="2"/>
      <scheme val="minor"/>
    </font>
    <font>
      <sz val="12"/>
      <color theme="1"/>
      <name val="Arial"/>
      <family val="2"/>
    </font>
    <font>
      <sz val="11"/>
      <name val="Calibri"/>
      <family val="2"/>
    </font>
    <font>
      <b/>
      <sz val="12"/>
      <color theme="1"/>
      <name val="Arial"/>
      <family val="2"/>
    </font>
    <font>
      <b/>
      <sz val="14"/>
      <color theme="1"/>
      <name val="Arial"/>
      <family val="2"/>
    </font>
    <font>
      <b/>
      <sz val="12"/>
      <color rgb="FF000000"/>
      <name val="Arial"/>
      <family val="2"/>
    </font>
    <font>
      <b/>
      <sz val="8"/>
      <color rgb="FF000000"/>
      <name val="Arial"/>
      <family val="2"/>
    </font>
    <font>
      <b/>
      <sz val="10"/>
      <color theme="1"/>
      <name val="Arial"/>
      <family val="2"/>
    </font>
    <font>
      <sz val="8"/>
      <color theme="1"/>
      <name val="Arial"/>
      <family val="2"/>
    </font>
    <font>
      <sz val="6"/>
      <color theme="1"/>
      <name val="Arial"/>
      <family val="2"/>
    </font>
    <font>
      <sz val="10"/>
      <color theme="1"/>
      <name val="Arial"/>
      <family val="2"/>
    </font>
    <font>
      <sz val="12"/>
      <color theme="1"/>
      <name val="Calibri"/>
      <family val="2"/>
    </font>
    <font>
      <sz val="12"/>
      <color rgb="FF000000"/>
      <name val="Arial"/>
      <family val="2"/>
    </font>
    <font>
      <sz val="9"/>
      <color theme="1"/>
      <name val="Arial"/>
      <family val="2"/>
    </font>
    <font>
      <sz val="11"/>
      <color theme="1"/>
      <name val="Arial"/>
      <family val="2"/>
    </font>
    <font>
      <b/>
      <sz val="12"/>
      <color theme="1"/>
      <name val="Calibri"/>
      <family val="2"/>
    </font>
    <font>
      <sz val="14"/>
      <color rgb="FF000000"/>
      <name val="Arial"/>
      <family val="2"/>
    </font>
    <font>
      <sz val="11"/>
      <color theme="1"/>
      <name val="Calibri"/>
      <family val="2"/>
    </font>
    <font>
      <b/>
      <sz val="8"/>
      <color theme="1"/>
      <name val="Calibri"/>
      <family val="2"/>
    </font>
    <font>
      <sz val="12"/>
      <color rgb="FF000000"/>
      <name val="Calibri"/>
      <family val="2"/>
    </font>
    <font>
      <b/>
      <u/>
      <sz val="12"/>
      <color theme="1"/>
      <name val="Calibri"/>
      <family val="2"/>
    </font>
    <font>
      <sz val="10"/>
      <color theme="1"/>
      <name val="Calibri"/>
      <family val="2"/>
    </font>
    <font>
      <sz val="13"/>
      <color theme="1"/>
      <name val="Arial"/>
      <family val="2"/>
    </font>
    <font>
      <b/>
      <sz val="13"/>
      <color theme="1"/>
      <name val="Arial"/>
      <family val="2"/>
    </font>
    <font>
      <b/>
      <u/>
      <sz val="13"/>
      <color theme="1"/>
      <name val="Arial"/>
      <family val="2"/>
    </font>
    <font>
      <u/>
      <sz val="11"/>
      <name val="Calibri"/>
      <family val="2"/>
    </font>
    <font>
      <b/>
      <sz val="16"/>
      <color rgb="FF000000"/>
      <name val="Arial"/>
      <family val="2"/>
    </font>
    <font>
      <sz val="16"/>
      <color rgb="FF00000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bgColor theme="0"/>
      </patternFill>
    </fill>
    <fill>
      <patternFill patternType="solid">
        <fgColor rgb="FFBFBFBF"/>
        <bgColor rgb="FFBFBFBF"/>
      </patternFill>
    </fill>
    <fill>
      <patternFill patternType="solid">
        <fgColor rgb="FFA8D08D"/>
        <bgColor rgb="FFA8D08D"/>
      </patternFill>
    </fill>
    <fill>
      <patternFill patternType="solid">
        <fgColor rgb="FFC5E0B3"/>
        <bgColor rgb="FFC5E0B3"/>
      </patternFill>
    </fill>
    <fill>
      <patternFill patternType="solid">
        <fgColor rgb="FFBF9000"/>
        <bgColor rgb="FFBF9000"/>
      </patternFill>
    </fill>
    <fill>
      <patternFill patternType="solid">
        <fgColor rgb="FFFFD965"/>
        <bgColor rgb="FFFFD965"/>
      </patternFill>
    </fill>
    <fill>
      <patternFill patternType="solid">
        <fgColor theme="6"/>
        <bgColor theme="6"/>
      </patternFill>
    </fill>
    <fill>
      <patternFill patternType="solid">
        <fgColor rgb="FF9CC2E5"/>
        <bgColor rgb="FF9CC2E5"/>
      </patternFill>
    </fill>
    <fill>
      <patternFill patternType="solid">
        <fgColor rgb="FFBDD6EE"/>
        <bgColor rgb="FFBDD6EE"/>
      </patternFill>
    </fill>
    <fill>
      <patternFill patternType="solid">
        <fgColor rgb="FFFFFFFF"/>
        <bgColor rgb="FFFFFFFF"/>
      </patternFill>
    </fill>
    <fill>
      <patternFill patternType="solid">
        <fgColor rgb="FFD8D8D8"/>
        <bgColor rgb="FFD8D8D8"/>
      </patternFill>
    </fill>
    <fill>
      <patternFill patternType="solid">
        <fgColor rgb="FFDEEAF6"/>
        <bgColor rgb="FFDEEAF6"/>
      </patternFill>
    </fill>
  </fills>
  <borders count="60">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CCCCCC"/>
      </top>
      <bottom/>
      <diagonal/>
    </border>
    <border>
      <left/>
      <right style="thick">
        <color rgb="FF000000"/>
      </right>
      <top style="medium">
        <color rgb="FFCCCCCC"/>
      </top>
      <bottom/>
      <diagonal/>
    </border>
    <border>
      <left style="medium">
        <color rgb="FFCCCCCC"/>
      </left>
      <right style="thick">
        <color rgb="FF000000"/>
      </right>
      <top style="medium">
        <color rgb="FFCCCCCC"/>
      </top>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right style="thick">
        <color rgb="FF000000"/>
      </right>
      <top/>
      <bottom/>
      <diagonal/>
    </border>
    <border>
      <left style="medium">
        <color rgb="FFCCCCCC"/>
      </left>
      <right style="thick">
        <color rgb="FF000000"/>
      </right>
      <top/>
      <bottom/>
      <diagonal/>
    </border>
    <border>
      <left style="medium">
        <color rgb="FFCCCCCC"/>
      </left>
      <right style="medium">
        <color rgb="FF000000"/>
      </right>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bottom style="medium">
        <color rgb="FF000000"/>
      </bottom>
      <diagonal/>
    </border>
  </borders>
  <cellStyleXfs count="1">
    <xf numFmtId="0" fontId="0" fillId="0" borderId="0"/>
  </cellStyleXfs>
  <cellXfs count="167">
    <xf numFmtId="0" fontId="0" fillId="0" borderId="0" xfId="0"/>
    <xf numFmtId="14" fontId="0" fillId="0" borderId="0" xfId="0" applyNumberFormat="1"/>
    <xf numFmtId="0" fontId="0" fillId="2" borderId="0" xfId="0" applyFill="1"/>
    <xf numFmtId="0" fontId="1" fillId="3" borderId="0" xfId="0" applyFont="1" applyFill="1" applyAlignment="1">
      <alignment horizontal="center" vertical="center"/>
    </xf>
    <xf numFmtId="0" fontId="2" fillId="0" borderId="0" xfId="0" applyFont="1"/>
    <xf numFmtId="0" fontId="3" fillId="3" borderId="0" xfId="0" applyFont="1" applyFill="1" applyAlignment="1">
      <alignment horizontal="center" vertical="center"/>
    </xf>
    <xf numFmtId="0" fontId="4" fillId="3" borderId="0" xfId="0" applyFont="1" applyFill="1" applyAlignment="1">
      <alignment horizontal="center"/>
    </xf>
    <xf numFmtId="0" fontId="1" fillId="3" borderId="0" xfId="0" applyFont="1" applyFill="1" applyAlignment="1">
      <alignment horizontal="center"/>
    </xf>
    <xf numFmtId="0" fontId="4" fillId="3" borderId="0" xfId="0" applyFont="1" applyFill="1" applyAlignment="1">
      <alignment horizontal="center" vertical="center"/>
    </xf>
    <xf numFmtId="0" fontId="3" fillId="3" borderId="0" xfId="0" applyFont="1" applyFill="1" applyAlignment="1">
      <alignment horizontal="center" vertical="top"/>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2" fillId="0" borderId="3" xfId="0" applyFont="1" applyBorder="1"/>
    <xf numFmtId="0" fontId="2" fillId="0" borderId="4" xfId="0" applyFont="1" applyBorder="1"/>
    <xf numFmtId="0" fontId="3" fillId="4" borderId="5" xfId="0" applyFont="1" applyFill="1" applyBorder="1" applyAlignment="1">
      <alignment horizontal="center" vertical="center"/>
    </xf>
    <xf numFmtId="14" fontId="5" fillId="4" borderId="5" xfId="0" applyNumberFormat="1" applyFont="1" applyFill="1" applyBorder="1" applyAlignment="1">
      <alignment horizontal="center" vertical="center" wrapText="1"/>
    </xf>
    <xf numFmtId="0" fontId="7" fillId="4" borderId="6" xfId="0" applyFont="1" applyFill="1" applyBorder="1" applyAlignment="1">
      <alignment horizontal="center" vertical="center" wrapText="1"/>
    </xf>
    <xf numFmtId="0" fontId="3" fillId="5" borderId="7" xfId="0" applyFont="1" applyFill="1" applyBorder="1" applyAlignment="1">
      <alignment horizontal="center" vertical="center"/>
    </xf>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8" fillId="6" borderId="15" xfId="0" applyFont="1" applyFill="1" applyBorder="1" applyAlignment="1">
      <alignment horizontal="center" vertical="center" wrapText="1"/>
    </xf>
    <xf numFmtId="0" fontId="9" fillId="6" borderId="15" xfId="0" applyFont="1" applyFill="1" applyBorder="1" applyAlignment="1">
      <alignment horizontal="center" vertical="center" wrapText="1"/>
    </xf>
    <xf numFmtId="0" fontId="7" fillId="7" borderId="7" xfId="0" applyFont="1" applyFill="1" applyBorder="1" applyAlignment="1">
      <alignment horizontal="center" vertical="center"/>
    </xf>
    <xf numFmtId="0" fontId="2" fillId="0" borderId="16" xfId="0" applyFont="1" applyBorder="1"/>
    <xf numFmtId="0" fontId="3" fillId="4" borderId="17" xfId="0" applyFont="1" applyFill="1" applyBorder="1" applyAlignment="1">
      <alignment horizontal="center" vertical="center" wrapText="1"/>
    </xf>
    <xf numFmtId="0" fontId="3" fillId="4" borderId="17" xfId="0" applyFont="1" applyFill="1" applyBorder="1" applyAlignment="1">
      <alignment horizontal="center" vertical="center"/>
    </xf>
    <xf numFmtId="0" fontId="2" fillId="0" borderId="18" xfId="0" applyFont="1" applyBorder="1"/>
    <xf numFmtId="0" fontId="2" fillId="0" borderId="19" xfId="0" applyFont="1" applyBorder="1"/>
    <xf numFmtId="0" fontId="8" fillId="8" borderId="20" xfId="0" applyFont="1" applyFill="1" applyBorder="1" applyAlignment="1">
      <alignment horizontal="center" vertical="center" wrapText="1"/>
    </xf>
    <xf numFmtId="0" fontId="8" fillId="8" borderId="21" xfId="0" applyFont="1" applyFill="1" applyBorder="1" applyAlignment="1">
      <alignment horizontal="center" vertical="center" wrapText="1"/>
    </xf>
    <xf numFmtId="0" fontId="8" fillId="8" borderId="22" xfId="0" applyFont="1" applyFill="1" applyBorder="1" applyAlignment="1">
      <alignment horizontal="center" vertical="center" wrapText="1"/>
    </xf>
    <xf numFmtId="0" fontId="8"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1" fillId="0" borderId="0" xfId="0" applyFont="1"/>
    <xf numFmtId="0" fontId="1" fillId="0" borderId="25" xfId="0" applyFont="1" applyBorder="1"/>
    <xf numFmtId="0" fontId="12" fillId="0" borderId="25" xfId="0" applyFont="1" applyBorder="1" applyAlignment="1">
      <alignment vertical="center"/>
    </xf>
    <xf numFmtId="0" fontId="1" fillId="0" borderId="25" xfId="0" applyFont="1" applyBorder="1" applyAlignment="1">
      <alignment horizontal="center"/>
    </xf>
    <xf numFmtId="14" fontId="1" fillId="0" borderId="25" xfId="0" applyNumberFormat="1" applyFont="1" applyBorder="1" applyAlignment="1">
      <alignment horizontal="center"/>
    </xf>
    <xf numFmtId="0" fontId="1" fillId="0" borderId="26" xfId="0" applyFont="1" applyBorder="1" applyAlignment="1">
      <alignment horizontal="center"/>
    </xf>
    <xf numFmtId="0" fontId="12" fillId="0" borderId="27" xfId="0" applyFont="1" applyBorder="1" applyAlignment="1">
      <alignment horizontal="center" vertical="center"/>
    </xf>
    <xf numFmtId="0" fontId="12" fillId="0" borderId="28" xfId="0" applyFont="1" applyBorder="1" applyAlignment="1">
      <alignment horizontal="center"/>
    </xf>
    <xf numFmtId="0" fontId="12" fillId="0" borderId="25" xfId="0" quotePrefix="1" applyFont="1" applyBorder="1" applyAlignment="1">
      <alignment horizontal="center"/>
    </xf>
    <xf numFmtId="0" fontId="12" fillId="0" borderId="25" xfId="0" applyFont="1" applyBorder="1" applyAlignment="1">
      <alignment horizontal="center"/>
    </xf>
    <xf numFmtId="0" fontId="1" fillId="0" borderId="25" xfId="0" applyFont="1" applyBorder="1" applyAlignment="1">
      <alignment shrinkToFit="1"/>
    </xf>
    <xf numFmtId="14" fontId="1" fillId="0" borderId="26" xfId="0" applyNumberFormat="1" applyFont="1" applyBorder="1" applyAlignment="1">
      <alignment horizontal="center"/>
    </xf>
    <xf numFmtId="0" fontId="12" fillId="0" borderId="27" xfId="0" applyFont="1" applyBorder="1" applyAlignment="1">
      <alignment horizontal="center"/>
    </xf>
    <xf numFmtId="0" fontId="12" fillId="0" borderId="28" xfId="0" quotePrefix="1" applyFont="1" applyBorder="1" applyAlignment="1">
      <alignment horizontal="center"/>
    </xf>
    <xf numFmtId="0" fontId="1" fillId="0" borderId="27" xfId="0" applyFont="1" applyBorder="1" applyAlignment="1">
      <alignment horizontal="center"/>
    </xf>
    <xf numFmtId="0" fontId="12" fillId="0" borderId="25" xfId="0" applyFont="1" applyBorder="1"/>
    <xf numFmtId="0" fontId="13" fillId="0" borderId="25" xfId="0" applyFont="1" applyBorder="1" applyAlignment="1">
      <alignment horizontal="center"/>
    </xf>
    <xf numFmtId="164" fontId="1" fillId="0" borderId="25" xfId="0" applyNumberFormat="1" applyFont="1" applyBorder="1" applyAlignment="1">
      <alignment horizontal="center"/>
    </xf>
    <xf numFmtId="0" fontId="1" fillId="0" borderId="29" xfId="0" applyFont="1" applyBorder="1" applyAlignment="1">
      <alignment horizontal="center"/>
    </xf>
    <xf numFmtId="0" fontId="14" fillId="0" borderId="29" xfId="0" applyFont="1" applyBorder="1" applyAlignment="1">
      <alignment horizontal="center"/>
    </xf>
    <xf numFmtId="0" fontId="1" fillId="0" borderId="29" xfId="0" applyFont="1" applyBorder="1"/>
    <xf numFmtId="0" fontId="3" fillId="0" borderId="25" xfId="0" applyFont="1" applyBorder="1" applyAlignment="1">
      <alignment horizontal="center"/>
    </xf>
    <xf numFmtId="0" fontId="1" fillId="0" borderId="25" xfId="0" applyFont="1" applyBorder="1" applyAlignment="1">
      <alignment horizontal="center" shrinkToFit="1"/>
    </xf>
    <xf numFmtId="0" fontId="11" fillId="0" borderId="0" xfId="0" applyFont="1" applyAlignment="1">
      <alignment horizontal="right"/>
    </xf>
    <xf numFmtId="0" fontId="11" fillId="0" borderId="30" xfId="0" applyFont="1" applyBorder="1"/>
    <xf numFmtId="0" fontId="11" fillId="0" borderId="30" xfId="0" applyFont="1" applyBorder="1" applyAlignment="1">
      <alignment horizontal="center"/>
    </xf>
    <xf numFmtId="14" fontId="11" fillId="0" borderId="30" xfId="0" applyNumberFormat="1" applyFont="1" applyBorder="1" applyAlignment="1">
      <alignment horizontal="center"/>
    </xf>
    <xf numFmtId="0" fontId="1" fillId="0" borderId="30" xfId="0" applyFont="1" applyBorder="1" applyAlignment="1">
      <alignment horizontal="center"/>
    </xf>
    <xf numFmtId="0" fontId="11" fillId="0" borderId="30" xfId="0" applyFont="1" applyBorder="1" applyAlignment="1">
      <alignment horizontal="center" vertical="center"/>
    </xf>
    <xf numFmtId="0" fontId="15" fillId="9" borderId="7" xfId="0" applyFont="1" applyFill="1" applyBorder="1" applyAlignment="1">
      <alignment horizontal="center" vertical="center"/>
    </xf>
    <xf numFmtId="0" fontId="2" fillId="0" borderId="31" xfId="0" applyFont="1" applyBorder="1"/>
    <xf numFmtId="0" fontId="15" fillId="10" borderId="32" xfId="0" applyFont="1" applyFill="1" applyBorder="1" applyAlignment="1">
      <alignment horizontal="center" vertical="top" wrapText="1" readingOrder="1"/>
    </xf>
    <xf numFmtId="0" fontId="2" fillId="0" borderId="33" xfId="0" applyFont="1" applyBorder="1"/>
    <xf numFmtId="0" fontId="16" fillId="3" borderId="32" xfId="0" applyFont="1" applyFill="1" applyBorder="1" applyAlignment="1">
      <alignment horizontal="center" vertical="top" wrapText="1" readingOrder="1"/>
    </xf>
    <xf numFmtId="0" fontId="17" fillId="0" borderId="34" xfId="0" applyFont="1" applyBorder="1"/>
    <xf numFmtId="0" fontId="15" fillId="4" borderId="35" xfId="0" applyFont="1" applyFill="1" applyBorder="1" applyAlignment="1">
      <alignment horizontal="center" vertical="center"/>
    </xf>
    <xf numFmtId="0" fontId="2" fillId="0" borderId="36" xfId="0" applyFont="1" applyBorder="1"/>
    <xf numFmtId="0" fontId="15" fillId="4" borderId="35" xfId="0" applyFont="1" applyFill="1" applyBorder="1" applyAlignment="1">
      <alignment horizontal="center" vertical="center" wrapText="1"/>
    </xf>
    <xf numFmtId="0" fontId="15" fillId="4" borderId="7" xfId="0" applyFont="1" applyFill="1" applyBorder="1" applyAlignment="1">
      <alignment horizontal="center" vertical="center"/>
    </xf>
    <xf numFmtId="0" fontId="15" fillId="11" borderId="37" xfId="0" applyFont="1" applyFill="1" applyBorder="1" applyAlignment="1">
      <alignment horizontal="center" vertical="center" wrapText="1"/>
    </xf>
    <xf numFmtId="0" fontId="2" fillId="0" borderId="38" xfId="0" applyFont="1" applyBorder="1"/>
    <xf numFmtId="0" fontId="15" fillId="11" borderId="39" xfId="0" applyFont="1" applyFill="1" applyBorder="1" applyAlignment="1">
      <alignment horizontal="center" vertical="center" wrapText="1"/>
    </xf>
    <xf numFmtId="0" fontId="15" fillId="11" borderId="7" xfId="0" applyFont="1" applyFill="1" applyBorder="1" applyAlignment="1">
      <alignment horizontal="center" vertical="center" wrapText="1" readingOrder="1"/>
    </xf>
    <xf numFmtId="0" fontId="2" fillId="0" borderId="32" xfId="0" applyFont="1" applyBorder="1"/>
    <xf numFmtId="0" fontId="0" fillId="0" borderId="0" xfId="0"/>
    <xf numFmtId="0" fontId="15" fillId="3" borderId="40" xfId="0" applyFont="1" applyFill="1" applyBorder="1" applyAlignment="1">
      <alignment horizontal="center" vertical="center"/>
    </xf>
    <xf numFmtId="0" fontId="15" fillId="3" borderId="41" xfId="0" applyFont="1" applyFill="1" applyBorder="1" applyAlignment="1">
      <alignment horizontal="center" vertical="center"/>
    </xf>
    <xf numFmtId="0" fontId="2" fillId="0" borderId="42" xfId="0" applyFont="1" applyBorder="1"/>
    <xf numFmtId="0" fontId="2" fillId="0" borderId="43" xfId="0" applyFont="1" applyBorder="1"/>
    <xf numFmtId="0" fontId="15" fillId="12" borderId="43" xfId="0" applyFont="1" applyFill="1" applyBorder="1" applyAlignment="1">
      <alignment horizontal="center" vertical="center" wrapText="1" readingOrder="1"/>
    </xf>
    <xf numFmtId="0" fontId="15" fillId="12" borderId="44" xfId="0" applyFont="1" applyFill="1" applyBorder="1" applyAlignment="1">
      <alignment horizontal="center" vertical="center" wrapText="1" readingOrder="1"/>
    </xf>
    <xf numFmtId="0" fontId="11" fillId="3" borderId="1" xfId="0" applyFont="1" applyFill="1" applyBorder="1" applyAlignment="1">
      <alignment horizontal="center" vertical="center" textRotation="90" wrapText="1"/>
    </xf>
    <xf numFmtId="0" fontId="18" fillId="3" borderId="45" xfId="0" applyFont="1" applyFill="1" applyBorder="1" applyAlignment="1">
      <alignment horizontal="left" vertical="center" wrapText="1"/>
    </xf>
    <xf numFmtId="0" fontId="2" fillId="0" borderId="46" xfId="0" applyFont="1" applyBorder="1"/>
    <xf numFmtId="0" fontId="11" fillId="13" borderId="47" xfId="0" applyFont="1" applyFill="1" applyBorder="1" applyAlignment="1">
      <alignment horizontal="center" vertical="center"/>
    </xf>
    <xf numFmtId="0" fontId="11" fillId="3" borderId="29" xfId="0" applyFont="1" applyFill="1" applyBorder="1" applyAlignment="1">
      <alignment horizontal="center" vertical="center"/>
    </xf>
    <xf numFmtId="0" fontId="11" fillId="3" borderId="10" xfId="0" applyFont="1" applyFill="1" applyBorder="1" applyAlignment="1">
      <alignment horizontal="center" vertical="center"/>
    </xf>
    <xf numFmtId="0" fontId="19" fillId="12" borderId="48" xfId="0" applyFont="1" applyFill="1" applyBorder="1" applyAlignment="1">
      <alignment horizontal="left" vertical="center" wrapText="1" readingOrder="1"/>
    </xf>
    <xf numFmtId="0" fontId="15" fillId="14" borderId="47" xfId="0" applyFont="1" applyFill="1" applyBorder="1" applyAlignment="1">
      <alignment horizontal="center" vertical="center" wrapText="1" readingOrder="1"/>
    </xf>
    <xf numFmtId="0" fontId="17" fillId="0" borderId="47" xfId="0" applyFont="1" applyBorder="1" applyAlignment="1">
      <alignment horizontal="center" vertical="center" wrapText="1" readingOrder="1"/>
    </xf>
    <xf numFmtId="0" fontId="17" fillId="0" borderId="49" xfId="0" applyFont="1" applyBorder="1" applyAlignment="1">
      <alignment horizontal="center" vertical="center" wrapText="1" readingOrder="1"/>
    </xf>
    <xf numFmtId="0" fontId="18" fillId="3" borderId="26" xfId="0" applyFont="1" applyFill="1" applyBorder="1" applyAlignment="1">
      <alignment horizontal="left" vertical="center" wrapText="1"/>
    </xf>
    <xf numFmtId="0" fontId="2" fillId="0" borderId="28" xfId="0" applyFont="1" applyBorder="1"/>
    <xf numFmtId="0" fontId="11" fillId="13" borderId="25" xfId="0" applyFont="1" applyFill="1" applyBorder="1" applyAlignment="1">
      <alignment horizontal="center" vertical="center"/>
    </xf>
    <xf numFmtId="0" fontId="11" fillId="3" borderId="25" xfId="0" applyFont="1" applyFill="1" applyBorder="1" applyAlignment="1">
      <alignment horizontal="center" vertical="center"/>
    </xf>
    <xf numFmtId="0" fontId="11" fillId="3" borderId="26" xfId="0" applyFont="1" applyFill="1" applyBorder="1" applyAlignment="1">
      <alignment horizontal="center" vertical="center"/>
    </xf>
    <xf numFmtId="0" fontId="19" fillId="12" borderId="50" xfId="0" applyFont="1" applyFill="1" applyBorder="1" applyAlignment="1">
      <alignment horizontal="left" vertical="center" wrapText="1" readingOrder="1"/>
    </xf>
    <xf numFmtId="0" fontId="15" fillId="14" borderId="25" xfId="0" applyFont="1" applyFill="1" applyBorder="1" applyAlignment="1">
      <alignment horizontal="center" vertical="center" wrapText="1" readingOrder="1"/>
    </xf>
    <xf numFmtId="0" fontId="17" fillId="0" borderId="25" xfId="0" applyFont="1" applyBorder="1" applyAlignment="1">
      <alignment horizontal="center" vertical="center" wrapText="1" readingOrder="1"/>
    </xf>
    <xf numFmtId="0" fontId="17" fillId="0" borderId="51" xfId="0" applyFont="1" applyBorder="1" applyAlignment="1">
      <alignment horizontal="center" vertical="center" wrapText="1" readingOrder="1"/>
    </xf>
    <xf numFmtId="0" fontId="15" fillId="3" borderId="52" xfId="0" applyFont="1" applyFill="1" applyBorder="1" applyAlignment="1">
      <alignment horizontal="left" vertical="center"/>
    </xf>
    <xf numFmtId="0" fontId="2" fillId="0" borderId="53" xfId="0" applyFont="1" applyBorder="1"/>
    <xf numFmtId="0" fontId="20" fillId="4" borderId="54" xfId="0" applyFont="1" applyFill="1" applyBorder="1" applyAlignment="1">
      <alignment horizontal="center" vertical="center"/>
    </xf>
    <xf numFmtId="0" fontId="15" fillId="4" borderId="54" xfId="0" applyFont="1" applyFill="1" applyBorder="1" applyAlignment="1">
      <alignment horizontal="center" vertical="center"/>
    </xf>
    <xf numFmtId="3" fontId="15" fillId="4" borderId="52" xfId="0" applyNumberFormat="1" applyFont="1" applyFill="1" applyBorder="1" applyAlignment="1">
      <alignment horizontal="center" vertical="center"/>
    </xf>
    <xf numFmtId="0" fontId="21" fillId="3" borderId="45" xfId="0" applyFont="1" applyFill="1" applyBorder="1" applyAlignment="1">
      <alignment horizontal="left" vertical="center"/>
    </xf>
    <xf numFmtId="0" fontId="11" fillId="3" borderId="47" xfId="0" applyFont="1" applyFill="1" applyBorder="1" applyAlignment="1">
      <alignment horizontal="center" vertical="center"/>
    </xf>
    <xf numFmtId="0" fontId="11" fillId="3" borderId="45" xfId="0" applyFont="1" applyFill="1" applyBorder="1" applyAlignment="1">
      <alignment horizontal="center" vertical="center"/>
    </xf>
    <xf numFmtId="0" fontId="21" fillId="3" borderId="26" xfId="0" applyFont="1" applyFill="1" applyBorder="1" applyAlignment="1">
      <alignment horizontal="left" vertical="center"/>
    </xf>
    <xf numFmtId="0" fontId="22" fillId="3" borderId="32" xfId="0" applyFont="1" applyFill="1" applyBorder="1" applyAlignment="1">
      <alignment horizontal="left" vertical="top"/>
    </xf>
    <xf numFmtId="0" fontId="22" fillId="3" borderId="0" xfId="0" applyFont="1" applyFill="1" applyAlignment="1">
      <alignment horizontal="center" vertical="top"/>
    </xf>
    <xf numFmtId="0" fontId="22" fillId="3" borderId="0" xfId="0" applyFont="1" applyFill="1" applyAlignment="1">
      <alignment horizontal="right" vertical="top"/>
    </xf>
    <xf numFmtId="0" fontId="22" fillId="3" borderId="0" xfId="0" applyFont="1" applyFill="1" applyAlignment="1">
      <alignment vertical="top"/>
    </xf>
    <xf numFmtId="0" fontId="22" fillId="3" borderId="0" xfId="0" applyFont="1" applyFill="1" applyAlignment="1">
      <alignment horizontal="center" vertical="top"/>
    </xf>
    <xf numFmtId="0" fontId="23" fillId="3" borderId="0" xfId="0" applyFont="1" applyFill="1"/>
    <xf numFmtId="0" fontId="14" fillId="0" borderId="0" xfId="0" applyFont="1" applyAlignment="1">
      <alignment horizontal="center"/>
    </xf>
    <xf numFmtId="0" fontId="24" fillId="3" borderId="32" xfId="0" applyFont="1" applyFill="1" applyBorder="1" applyAlignment="1">
      <alignment horizontal="center" vertical="center"/>
    </xf>
    <xf numFmtId="0" fontId="25" fillId="0" borderId="0" xfId="0" applyFont="1"/>
    <xf numFmtId="0" fontId="24" fillId="3" borderId="0" xfId="0" applyFont="1" applyFill="1" applyAlignment="1">
      <alignment horizontal="center" vertical="top"/>
    </xf>
    <xf numFmtId="0" fontId="24" fillId="3" borderId="0" xfId="0" applyFont="1" applyFill="1" applyAlignment="1">
      <alignment vertical="top"/>
    </xf>
    <xf numFmtId="0" fontId="26" fillId="3" borderId="0" xfId="0" applyFont="1" applyFill="1" applyAlignment="1">
      <alignment horizontal="center" wrapText="1" readingOrder="1"/>
    </xf>
    <xf numFmtId="0" fontId="22" fillId="3" borderId="32" xfId="0" applyFont="1" applyFill="1" applyBorder="1" applyAlignment="1">
      <alignment horizontal="center" vertical="center"/>
    </xf>
    <xf numFmtId="0" fontId="22" fillId="3" borderId="0" xfId="0" applyFont="1" applyFill="1" applyAlignment="1">
      <alignment horizontal="center" vertical="center"/>
    </xf>
    <xf numFmtId="0" fontId="22" fillId="3" borderId="0" xfId="0" applyFont="1" applyFill="1" applyAlignment="1">
      <alignment vertical="center"/>
    </xf>
    <xf numFmtId="0" fontId="27" fillId="3" borderId="0" xfId="0" applyFont="1" applyFill="1" applyAlignment="1">
      <alignment horizontal="center" vertical="top" wrapText="1" readingOrder="1"/>
    </xf>
    <xf numFmtId="0" fontId="17" fillId="12" borderId="50" xfId="0" applyFont="1" applyFill="1" applyBorder="1" applyAlignment="1">
      <alignment horizontal="left" vertical="top" wrapText="1" readingOrder="1"/>
    </xf>
    <xf numFmtId="0" fontId="17" fillId="14" borderId="25" xfId="0" applyFont="1" applyFill="1" applyBorder="1" applyAlignment="1">
      <alignment horizontal="center" vertical="center" wrapText="1" readingOrder="1"/>
    </xf>
    <xf numFmtId="0" fontId="17" fillId="0" borderId="25" xfId="0" applyFont="1" applyBorder="1" applyAlignment="1">
      <alignment horizontal="left" vertical="center" wrapText="1" readingOrder="1"/>
    </xf>
    <xf numFmtId="0" fontId="22" fillId="3" borderId="32" xfId="0" applyFont="1" applyFill="1" applyBorder="1" applyAlignment="1">
      <alignment horizontal="center" vertical="top"/>
    </xf>
    <xf numFmtId="0" fontId="1" fillId="3" borderId="32" xfId="0" applyFont="1" applyFill="1" applyBorder="1"/>
    <xf numFmtId="0" fontId="1" fillId="3" borderId="0" xfId="0" applyFont="1" applyFill="1"/>
    <xf numFmtId="0" fontId="22" fillId="3" borderId="0" xfId="0" applyFont="1" applyFill="1" applyAlignment="1">
      <alignment horizontal="center"/>
    </xf>
    <xf numFmtId="0" fontId="22" fillId="3" borderId="0" xfId="0" applyFont="1" applyFill="1"/>
    <xf numFmtId="0" fontId="26" fillId="3" borderId="0" xfId="0" applyFont="1" applyFill="1" applyAlignment="1">
      <alignment horizontal="center" vertical="top" wrapText="1" readingOrder="1"/>
    </xf>
    <xf numFmtId="0" fontId="24" fillId="0" borderId="32" xfId="0" applyFont="1" applyBorder="1" applyAlignment="1">
      <alignment horizontal="center"/>
    </xf>
    <xf numFmtId="0" fontId="24" fillId="0" borderId="0" xfId="0" applyFont="1" applyAlignment="1">
      <alignment horizontal="center"/>
    </xf>
    <xf numFmtId="0" fontId="24" fillId="0" borderId="0" xfId="0" applyFont="1" applyAlignment="1">
      <alignment horizontal="center"/>
    </xf>
    <xf numFmtId="0" fontId="27" fillId="3" borderId="0" xfId="0" applyFont="1" applyFill="1" applyAlignment="1">
      <alignment horizontal="center" wrapText="1" readingOrder="1"/>
    </xf>
    <xf numFmtId="0" fontId="17" fillId="0" borderId="26" xfId="0" applyFont="1" applyBorder="1" applyAlignment="1">
      <alignment horizontal="center" vertical="center" wrapText="1" readingOrder="1"/>
    </xf>
    <xf numFmtId="0" fontId="22" fillId="0" borderId="34" xfId="0" applyFont="1" applyBorder="1" applyAlignment="1">
      <alignment horizontal="center"/>
    </xf>
    <xf numFmtId="0" fontId="22" fillId="0" borderId="0" xfId="0" applyFont="1"/>
    <xf numFmtId="0" fontId="22" fillId="0" borderId="0" xfId="0" applyFont="1" applyAlignment="1">
      <alignment horizontal="center"/>
    </xf>
    <xf numFmtId="0" fontId="22" fillId="0" borderId="0" xfId="0" applyFont="1" applyAlignment="1">
      <alignment horizontal="center"/>
    </xf>
    <xf numFmtId="0" fontId="21" fillId="3" borderId="55" xfId="0" applyFont="1" applyFill="1" applyBorder="1" applyAlignment="1">
      <alignment horizontal="left" vertical="center"/>
    </xf>
    <xf numFmtId="0" fontId="2" fillId="0" borderId="56" xfId="0" applyFont="1" applyBorder="1"/>
    <xf numFmtId="0" fontId="11" fillId="13" borderId="17" xfId="0" applyFont="1" applyFill="1" applyBorder="1" applyAlignment="1">
      <alignment horizontal="center" vertical="center"/>
    </xf>
    <xf numFmtId="0" fontId="11" fillId="3" borderId="17" xfId="0" applyFont="1" applyFill="1" applyBorder="1" applyAlignment="1">
      <alignment horizontal="center" vertical="center"/>
    </xf>
    <xf numFmtId="0" fontId="11" fillId="3" borderId="57" xfId="0" applyFont="1" applyFill="1" applyBorder="1" applyAlignment="1">
      <alignment horizontal="center" vertical="center"/>
    </xf>
    <xf numFmtId="0" fontId="17" fillId="12" borderId="58" xfId="0" applyFont="1" applyFill="1" applyBorder="1" applyAlignment="1">
      <alignment horizontal="left" vertical="top" wrapText="1" readingOrder="1"/>
    </xf>
    <xf numFmtId="0" fontId="17" fillId="14" borderId="17" xfId="0" applyFont="1" applyFill="1" applyBorder="1" applyAlignment="1">
      <alignment horizontal="center" vertical="center" wrapText="1" readingOrder="1"/>
    </xf>
    <xf numFmtId="0" fontId="17" fillId="0" borderId="17" xfId="0" applyFont="1" applyBorder="1" applyAlignment="1">
      <alignment horizontal="left" vertical="center" wrapText="1" readingOrder="1"/>
    </xf>
    <xf numFmtId="0" fontId="17" fillId="0" borderId="57" xfId="0" applyFont="1" applyBorder="1" applyAlignment="1">
      <alignment horizontal="center" vertical="center" wrapText="1" readingOrder="1"/>
    </xf>
    <xf numFmtId="0" fontId="11" fillId="0" borderId="59" xfId="0" applyFont="1" applyBorder="1"/>
    <xf numFmtId="0" fontId="11" fillId="0" borderId="11" xfId="0" applyFont="1" applyBorder="1"/>
    <xf numFmtId="0" fontId="11" fillId="3" borderId="11" xfId="0" applyFont="1" applyFill="1" applyBorder="1"/>
    <xf numFmtId="0" fontId="26" fillId="3" borderId="11" xfId="0" applyFont="1" applyFill="1" applyBorder="1" applyAlignment="1">
      <alignment horizontal="center" vertical="top" wrapText="1" readingOrder="1"/>
    </xf>
    <xf numFmtId="0" fontId="17" fillId="0" borderId="0" xfId="0" applyFont="1" applyAlignment="1">
      <alignment horizontal="center"/>
    </xf>
    <xf numFmtId="0" fontId="27" fillId="3" borderId="34" xfId="0" applyFont="1" applyFill="1" applyBorder="1" applyAlignment="1">
      <alignment horizontal="left" vertical="top" wrapText="1" readingOrder="1"/>
    </xf>
    <xf numFmtId="0" fontId="27" fillId="3" borderId="0" xfId="0" applyFont="1" applyFill="1" applyAlignment="1">
      <alignment horizontal="left" vertical="top" wrapText="1"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4324350" cy="1419225"/>
    <xdr:pic>
      <xdr:nvPicPr>
        <xdr:cNvPr id="2" name="image1.png" descr="DSWD LOGO new">
          <a:extLst>
            <a:ext uri="{FF2B5EF4-FFF2-40B4-BE49-F238E27FC236}">
              <a16:creationId xmlns:a16="http://schemas.microsoft.com/office/drawing/2014/main" id="{94ECFB62-3655-472E-BEB9-7944C603A5EA}"/>
            </a:ext>
          </a:extLst>
        </xdr:cNvPr>
        <xdr:cNvPicPr preferRelativeResize="0"/>
      </xdr:nvPicPr>
      <xdr:blipFill>
        <a:blip xmlns:r="http://schemas.openxmlformats.org/officeDocument/2006/relationships" r:embed="rId1" cstate="print"/>
        <a:stretch>
          <a:fillRect/>
        </a:stretch>
      </xdr:blipFill>
      <xdr:spPr>
        <a:xfrm>
          <a:off x="971550" y="0"/>
          <a:ext cx="4324350" cy="141922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57"/>
  <sheetViews>
    <sheetView tabSelected="1" workbookViewId="0">
      <pane ySplit="1" topLeftCell="A2" activePane="bottomLeft" state="frozen"/>
      <selection pane="bottomLeft" activeCell="A2" sqref="A2"/>
    </sheetView>
  </sheetViews>
  <sheetFormatPr defaultRowHeight="15" x14ac:dyDescent="0.25"/>
  <cols>
    <col min="1" max="1" width="14" bestFit="1" customWidth="1"/>
    <col min="2" max="2" width="14.5703125" bestFit="1" customWidth="1"/>
    <col min="3" max="3" width="18.7109375" bestFit="1" customWidth="1"/>
    <col min="4" max="4" width="14.85546875" bestFit="1" customWidth="1"/>
    <col min="5" max="5" width="6.140625" bestFit="1" customWidth="1"/>
    <col min="6" max="6" width="11.7109375" style="1" bestFit="1" customWidth="1"/>
    <col min="7" max="7" width="19.7109375" bestFit="1" customWidth="1"/>
    <col min="8" max="8" width="8.5703125" bestFit="1" customWidth="1"/>
    <col min="9" max="9" width="16.5703125" bestFit="1" customWidth="1"/>
  </cols>
  <sheetData>
    <row r="1" spans="1:9" x14ac:dyDescent="0.25">
      <c r="A1" t="s">
        <v>8</v>
      </c>
      <c r="B1" t="s">
        <v>0</v>
      </c>
      <c r="C1" t="s">
        <v>1</v>
      </c>
      <c r="D1" t="s">
        <v>2</v>
      </c>
      <c r="E1" t="s">
        <v>3</v>
      </c>
      <c r="F1" s="1" t="s">
        <v>4</v>
      </c>
      <c r="G1" t="s">
        <v>5</v>
      </c>
      <c r="H1" t="s">
        <v>7</v>
      </c>
      <c r="I1" t="s">
        <v>6</v>
      </c>
    </row>
    <row r="2" spans="1:9" x14ac:dyDescent="0.25">
      <c r="A2">
        <v>1</v>
      </c>
      <c r="B2" t="s">
        <v>175</v>
      </c>
      <c r="C2" t="s">
        <v>176</v>
      </c>
      <c r="D2" t="s">
        <v>177</v>
      </c>
      <c r="F2" s="1">
        <v>31182</v>
      </c>
      <c r="G2" s="2" t="s">
        <v>1035</v>
      </c>
      <c r="H2" s="2" t="s">
        <v>1036</v>
      </c>
      <c r="I2" s="2" t="s">
        <v>11</v>
      </c>
    </row>
    <row r="3" spans="1:9" x14ac:dyDescent="0.25">
      <c r="A3">
        <v>2</v>
      </c>
      <c r="B3" t="s">
        <v>178</v>
      </c>
      <c r="C3" t="s">
        <v>55</v>
      </c>
      <c r="D3" t="s">
        <v>103</v>
      </c>
      <c r="F3" s="1">
        <v>31739</v>
      </c>
      <c r="G3" s="2" t="s">
        <v>1035</v>
      </c>
      <c r="H3" s="2" t="s">
        <v>1036</v>
      </c>
      <c r="I3" s="2" t="s">
        <v>11</v>
      </c>
    </row>
    <row r="4" spans="1:9" x14ac:dyDescent="0.25">
      <c r="A4">
        <v>3</v>
      </c>
      <c r="B4" t="s">
        <v>179</v>
      </c>
      <c r="C4" t="s">
        <v>19</v>
      </c>
      <c r="D4" t="s">
        <v>180</v>
      </c>
      <c r="F4" s="1">
        <v>19474</v>
      </c>
      <c r="G4" s="2" t="s">
        <v>1035</v>
      </c>
      <c r="H4" s="2" t="s">
        <v>1036</v>
      </c>
      <c r="I4" s="2" t="s">
        <v>11</v>
      </c>
    </row>
    <row r="5" spans="1:9" x14ac:dyDescent="0.25">
      <c r="A5">
        <v>4</v>
      </c>
      <c r="B5" t="s">
        <v>181</v>
      </c>
      <c r="C5" t="s">
        <v>47</v>
      </c>
      <c r="D5" t="s">
        <v>182</v>
      </c>
      <c r="F5" s="1">
        <v>32533</v>
      </c>
      <c r="G5" s="2" t="s">
        <v>1035</v>
      </c>
      <c r="H5" s="2" t="s">
        <v>1036</v>
      </c>
      <c r="I5" s="2" t="s">
        <v>11</v>
      </c>
    </row>
    <row r="6" spans="1:9" x14ac:dyDescent="0.25">
      <c r="A6">
        <v>5</v>
      </c>
      <c r="B6" t="s">
        <v>183</v>
      </c>
      <c r="C6" t="s">
        <v>184</v>
      </c>
      <c r="D6" t="s">
        <v>185</v>
      </c>
      <c r="F6" s="1">
        <v>21516</v>
      </c>
      <c r="G6" s="2" t="s">
        <v>1035</v>
      </c>
      <c r="H6" s="2" t="s">
        <v>1036</v>
      </c>
      <c r="I6" s="2" t="s">
        <v>11</v>
      </c>
    </row>
    <row r="7" spans="1:9" x14ac:dyDescent="0.25">
      <c r="A7">
        <v>6</v>
      </c>
      <c r="B7" t="s">
        <v>186</v>
      </c>
      <c r="C7" t="s">
        <v>187</v>
      </c>
      <c r="D7" t="s">
        <v>121</v>
      </c>
      <c r="F7" s="1">
        <v>25475</v>
      </c>
      <c r="G7" s="2" t="s">
        <v>1035</v>
      </c>
      <c r="H7" s="2" t="s">
        <v>1036</v>
      </c>
      <c r="I7" s="2" t="s">
        <v>11</v>
      </c>
    </row>
    <row r="8" spans="1:9" x14ac:dyDescent="0.25">
      <c r="A8">
        <v>7</v>
      </c>
      <c r="B8" t="s">
        <v>188</v>
      </c>
      <c r="C8" t="s">
        <v>189</v>
      </c>
      <c r="D8" t="s">
        <v>190</v>
      </c>
      <c r="F8" s="1">
        <v>37688</v>
      </c>
      <c r="G8" s="2" t="s">
        <v>1035</v>
      </c>
      <c r="H8" s="2" t="s">
        <v>1036</v>
      </c>
      <c r="I8" s="2" t="s">
        <v>11</v>
      </c>
    </row>
    <row r="9" spans="1:9" x14ac:dyDescent="0.25">
      <c r="A9">
        <v>8</v>
      </c>
      <c r="B9" t="s">
        <v>121</v>
      </c>
      <c r="C9" t="s">
        <v>165</v>
      </c>
      <c r="D9" t="s">
        <v>191</v>
      </c>
      <c r="F9" s="1">
        <v>27311</v>
      </c>
      <c r="G9" s="2" t="s">
        <v>1035</v>
      </c>
      <c r="H9" s="2" t="s">
        <v>1036</v>
      </c>
      <c r="I9" s="2" t="s">
        <v>11</v>
      </c>
    </row>
    <row r="10" spans="1:9" x14ac:dyDescent="0.25">
      <c r="A10">
        <v>9</v>
      </c>
      <c r="B10" t="s">
        <v>192</v>
      </c>
      <c r="C10" t="s">
        <v>193</v>
      </c>
      <c r="D10" t="s">
        <v>194</v>
      </c>
      <c r="F10" s="1">
        <v>29324</v>
      </c>
      <c r="G10" s="2" t="s">
        <v>1035</v>
      </c>
      <c r="H10" s="2" t="s">
        <v>1036</v>
      </c>
      <c r="I10" s="2" t="s">
        <v>11</v>
      </c>
    </row>
    <row r="11" spans="1:9" x14ac:dyDescent="0.25">
      <c r="A11">
        <v>10</v>
      </c>
      <c r="B11" t="s">
        <v>192</v>
      </c>
      <c r="C11" t="s">
        <v>123</v>
      </c>
      <c r="D11" t="s">
        <v>195</v>
      </c>
      <c r="F11" s="1">
        <v>27514</v>
      </c>
      <c r="G11" s="2" t="s">
        <v>1035</v>
      </c>
      <c r="H11" s="2" t="s">
        <v>1036</v>
      </c>
      <c r="I11" s="2" t="s">
        <v>11</v>
      </c>
    </row>
    <row r="12" spans="1:9" x14ac:dyDescent="0.25">
      <c r="A12">
        <v>11</v>
      </c>
      <c r="B12" t="s">
        <v>126</v>
      </c>
      <c r="C12" t="s">
        <v>196</v>
      </c>
      <c r="D12" t="s">
        <v>197</v>
      </c>
      <c r="E12" t="s">
        <v>22</v>
      </c>
      <c r="F12" s="1">
        <v>24992</v>
      </c>
      <c r="G12" s="2" t="s">
        <v>1035</v>
      </c>
      <c r="H12" s="2" t="s">
        <v>1036</v>
      </c>
      <c r="I12" s="2" t="s">
        <v>11</v>
      </c>
    </row>
    <row r="13" spans="1:9" x14ac:dyDescent="0.25">
      <c r="A13">
        <v>12</v>
      </c>
      <c r="B13" t="s">
        <v>122</v>
      </c>
      <c r="C13" t="s">
        <v>19</v>
      </c>
      <c r="D13" t="s">
        <v>198</v>
      </c>
      <c r="E13" t="s">
        <v>106</v>
      </c>
      <c r="F13" s="1">
        <v>24053</v>
      </c>
      <c r="G13" s="2" t="s">
        <v>1035</v>
      </c>
      <c r="H13" s="2" t="s">
        <v>1036</v>
      </c>
      <c r="I13" s="2" t="s">
        <v>11</v>
      </c>
    </row>
    <row r="14" spans="1:9" x14ac:dyDescent="0.25">
      <c r="A14">
        <v>13</v>
      </c>
      <c r="B14" t="s">
        <v>122</v>
      </c>
      <c r="C14" t="s">
        <v>199</v>
      </c>
      <c r="D14" t="s">
        <v>121</v>
      </c>
      <c r="F14" s="1">
        <v>16212</v>
      </c>
      <c r="G14" s="2" t="s">
        <v>1035</v>
      </c>
      <c r="H14" s="2" t="s">
        <v>1036</v>
      </c>
      <c r="I14" s="2" t="s">
        <v>11</v>
      </c>
    </row>
    <row r="15" spans="1:9" x14ac:dyDescent="0.25">
      <c r="A15">
        <v>14</v>
      </c>
      <c r="B15" t="s">
        <v>200</v>
      </c>
      <c r="C15" t="s">
        <v>201</v>
      </c>
      <c r="D15" t="s">
        <v>202</v>
      </c>
      <c r="F15" s="1">
        <v>26970</v>
      </c>
      <c r="G15" s="2" t="s">
        <v>1035</v>
      </c>
      <c r="H15" s="2" t="s">
        <v>1036</v>
      </c>
      <c r="I15" s="2" t="s">
        <v>11</v>
      </c>
    </row>
    <row r="16" spans="1:9" x14ac:dyDescent="0.25">
      <c r="A16">
        <v>15</v>
      </c>
      <c r="B16" t="s">
        <v>203</v>
      </c>
      <c r="C16" t="s">
        <v>204</v>
      </c>
      <c r="D16" t="s">
        <v>202</v>
      </c>
      <c r="F16" s="1">
        <v>36453</v>
      </c>
      <c r="G16" s="2" t="s">
        <v>1035</v>
      </c>
      <c r="H16" s="2" t="s">
        <v>1036</v>
      </c>
      <c r="I16" s="2" t="s">
        <v>11</v>
      </c>
    </row>
    <row r="17" spans="1:9" x14ac:dyDescent="0.25">
      <c r="A17">
        <v>16</v>
      </c>
      <c r="B17" t="s">
        <v>205</v>
      </c>
      <c r="C17" t="s">
        <v>142</v>
      </c>
      <c r="D17" t="s">
        <v>206</v>
      </c>
      <c r="F17" s="1">
        <v>25241</v>
      </c>
      <c r="G17" s="2" t="s">
        <v>1035</v>
      </c>
      <c r="H17" s="2" t="s">
        <v>1036</v>
      </c>
      <c r="I17" s="2" t="s">
        <v>11</v>
      </c>
    </row>
    <row r="18" spans="1:9" x14ac:dyDescent="0.25">
      <c r="A18">
        <v>17</v>
      </c>
      <c r="B18" t="s">
        <v>207</v>
      </c>
      <c r="C18" t="s">
        <v>208</v>
      </c>
      <c r="D18" t="s">
        <v>209</v>
      </c>
      <c r="F18" s="1">
        <v>30338</v>
      </c>
      <c r="G18" s="2" t="s">
        <v>1035</v>
      </c>
      <c r="H18" s="2" t="s">
        <v>1036</v>
      </c>
      <c r="I18" s="2" t="s">
        <v>11</v>
      </c>
    </row>
    <row r="19" spans="1:9" x14ac:dyDescent="0.25">
      <c r="A19">
        <v>18</v>
      </c>
      <c r="B19" t="s">
        <v>210</v>
      </c>
      <c r="C19" t="s">
        <v>211</v>
      </c>
      <c r="D19" t="s">
        <v>212</v>
      </c>
      <c r="F19" s="1">
        <v>31438</v>
      </c>
      <c r="G19" s="2" t="s">
        <v>1035</v>
      </c>
      <c r="H19" s="2" t="s">
        <v>1036</v>
      </c>
      <c r="I19" s="2" t="s">
        <v>11</v>
      </c>
    </row>
    <row r="20" spans="1:9" x14ac:dyDescent="0.25">
      <c r="A20">
        <v>19</v>
      </c>
      <c r="B20" t="s">
        <v>213</v>
      </c>
      <c r="C20" t="s">
        <v>214</v>
      </c>
      <c r="D20" t="s">
        <v>215</v>
      </c>
      <c r="F20" s="1">
        <v>28072</v>
      </c>
      <c r="G20" s="2" t="s">
        <v>1035</v>
      </c>
      <c r="H20" s="2" t="s">
        <v>1036</v>
      </c>
      <c r="I20" s="2" t="s">
        <v>11</v>
      </c>
    </row>
    <row r="21" spans="1:9" x14ac:dyDescent="0.25">
      <c r="A21">
        <v>20</v>
      </c>
      <c r="B21" t="s">
        <v>216</v>
      </c>
      <c r="C21" t="s">
        <v>146</v>
      </c>
      <c r="D21" t="s">
        <v>164</v>
      </c>
      <c r="F21" s="1">
        <v>29981</v>
      </c>
      <c r="G21" s="2" t="s">
        <v>1035</v>
      </c>
      <c r="H21" s="2" t="s">
        <v>1036</v>
      </c>
      <c r="I21" s="2" t="s">
        <v>11</v>
      </c>
    </row>
    <row r="22" spans="1:9" x14ac:dyDescent="0.25">
      <c r="A22">
        <v>21</v>
      </c>
      <c r="B22" t="s">
        <v>99</v>
      </c>
      <c r="C22" t="s">
        <v>217</v>
      </c>
      <c r="D22" t="s">
        <v>218</v>
      </c>
      <c r="F22" s="1">
        <v>29944</v>
      </c>
      <c r="G22" s="2" t="s">
        <v>1035</v>
      </c>
      <c r="H22" s="2" t="s">
        <v>1036</v>
      </c>
      <c r="I22" s="2" t="s">
        <v>11</v>
      </c>
    </row>
    <row r="23" spans="1:9" x14ac:dyDescent="0.25">
      <c r="A23">
        <v>22</v>
      </c>
      <c r="B23" t="s">
        <v>219</v>
      </c>
      <c r="C23" t="s">
        <v>220</v>
      </c>
      <c r="D23" t="s">
        <v>221</v>
      </c>
      <c r="F23" s="1">
        <v>29445</v>
      </c>
      <c r="G23" s="2" t="s">
        <v>1037</v>
      </c>
      <c r="H23" s="2" t="s">
        <v>1036</v>
      </c>
      <c r="I23" s="2" t="s">
        <v>11</v>
      </c>
    </row>
    <row r="24" spans="1:9" x14ac:dyDescent="0.25">
      <c r="A24">
        <v>23</v>
      </c>
      <c r="B24" t="s">
        <v>222</v>
      </c>
      <c r="C24" t="s">
        <v>223</v>
      </c>
      <c r="D24" t="s">
        <v>224</v>
      </c>
      <c r="E24" t="s">
        <v>22</v>
      </c>
      <c r="F24" s="1">
        <v>27623</v>
      </c>
      <c r="G24" s="2" t="s">
        <v>1037</v>
      </c>
      <c r="H24" s="2" t="s">
        <v>1036</v>
      </c>
      <c r="I24" s="2" t="s">
        <v>11</v>
      </c>
    </row>
    <row r="25" spans="1:9" x14ac:dyDescent="0.25">
      <c r="A25">
        <v>24</v>
      </c>
      <c r="B25" t="s">
        <v>225</v>
      </c>
      <c r="C25" t="s">
        <v>226</v>
      </c>
      <c r="D25" t="s">
        <v>219</v>
      </c>
      <c r="F25" s="1">
        <v>23055</v>
      </c>
      <c r="G25" s="2" t="s">
        <v>1037</v>
      </c>
      <c r="H25" s="2" t="s">
        <v>1036</v>
      </c>
      <c r="I25" s="2" t="s">
        <v>11</v>
      </c>
    </row>
    <row r="26" spans="1:9" x14ac:dyDescent="0.25">
      <c r="A26">
        <v>25</v>
      </c>
      <c r="B26" t="s">
        <v>227</v>
      </c>
      <c r="C26" t="s">
        <v>47</v>
      </c>
      <c r="D26" t="s">
        <v>228</v>
      </c>
      <c r="F26" s="1">
        <v>25633</v>
      </c>
      <c r="G26" s="2" t="s">
        <v>1037</v>
      </c>
      <c r="H26" s="2" t="s">
        <v>1036</v>
      </c>
      <c r="I26" s="2" t="s">
        <v>11</v>
      </c>
    </row>
    <row r="27" spans="1:9" x14ac:dyDescent="0.25">
      <c r="A27">
        <v>26</v>
      </c>
      <c r="B27" t="s">
        <v>229</v>
      </c>
      <c r="C27" t="s">
        <v>230</v>
      </c>
      <c r="D27" t="s">
        <v>162</v>
      </c>
      <c r="F27" s="1">
        <v>33696</v>
      </c>
      <c r="G27" s="2" t="s">
        <v>1037</v>
      </c>
      <c r="H27" s="2" t="s">
        <v>1036</v>
      </c>
      <c r="I27" s="2" t="s">
        <v>11</v>
      </c>
    </row>
    <row r="28" spans="1:9" x14ac:dyDescent="0.25">
      <c r="A28">
        <v>27</v>
      </c>
      <c r="B28" t="s">
        <v>178</v>
      </c>
      <c r="C28" t="s">
        <v>231</v>
      </c>
      <c r="D28" t="s">
        <v>232</v>
      </c>
      <c r="F28" s="1">
        <v>30731</v>
      </c>
      <c r="G28" s="2" t="s">
        <v>1037</v>
      </c>
      <c r="H28" s="2" t="s">
        <v>1036</v>
      </c>
      <c r="I28" s="2" t="s">
        <v>11</v>
      </c>
    </row>
    <row r="29" spans="1:9" x14ac:dyDescent="0.25">
      <c r="A29">
        <v>28</v>
      </c>
      <c r="B29" t="s">
        <v>233</v>
      </c>
      <c r="C29" t="s">
        <v>116</v>
      </c>
      <c r="D29" t="s">
        <v>144</v>
      </c>
      <c r="F29" s="1">
        <v>18736</v>
      </c>
      <c r="G29" s="2" t="s">
        <v>1037</v>
      </c>
      <c r="H29" s="2" t="s">
        <v>1036</v>
      </c>
      <c r="I29" s="2" t="s">
        <v>11</v>
      </c>
    </row>
    <row r="30" spans="1:9" x14ac:dyDescent="0.25">
      <c r="A30">
        <v>29</v>
      </c>
      <c r="B30" t="s">
        <v>234</v>
      </c>
      <c r="C30" t="s">
        <v>235</v>
      </c>
      <c r="D30" t="s">
        <v>124</v>
      </c>
      <c r="F30" s="1">
        <v>27211</v>
      </c>
      <c r="G30" s="2" t="s">
        <v>1037</v>
      </c>
      <c r="H30" s="2" t="s">
        <v>1036</v>
      </c>
      <c r="I30" s="2" t="s">
        <v>11</v>
      </c>
    </row>
    <row r="31" spans="1:9" x14ac:dyDescent="0.25">
      <c r="A31">
        <v>30</v>
      </c>
      <c r="B31" t="s">
        <v>236</v>
      </c>
      <c r="C31" t="s">
        <v>237</v>
      </c>
      <c r="D31" t="s">
        <v>238</v>
      </c>
      <c r="F31" s="1">
        <v>32478</v>
      </c>
      <c r="G31" s="2" t="s">
        <v>1037</v>
      </c>
      <c r="H31" s="2" t="s">
        <v>1036</v>
      </c>
      <c r="I31" s="2" t="s">
        <v>11</v>
      </c>
    </row>
    <row r="32" spans="1:9" x14ac:dyDescent="0.25">
      <c r="A32">
        <v>31</v>
      </c>
      <c r="B32" t="s">
        <v>239</v>
      </c>
      <c r="C32" t="s">
        <v>240</v>
      </c>
      <c r="D32" t="s">
        <v>241</v>
      </c>
      <c r="F32" s="1">
        <v>21962</v>
      </c>
      <c r="G32" s="2" t="s">
        <v>1037</v>
      </c>
      <c r="H32" s="2" t="s">
        <v>1036</v>
      </c>
      <c r="I32" s="2" t="s">
        <v>11</v>
      </c>
    </row>
    <row r="33" spans="1:9" x14ac:dyDescent="0.25">
      <c r="A33">
        <v>32</v>
      </c>
      <c r="B33" t="s">
        <v>242</v>
      </c>
      <c r="C33" t="s">
        <v>243</v>
      </c>
      <c r="D33" t="s">
        <v>81</v>
      </c>
      <c r="F33" s="1">
        <v>33658</v>
      </c>
      <c r="G33" s="2" t="s">
        <v>1037</v>
      </c>
      <c r="H33" s="2" t="s">
        <v>1036</v>
      </c>
      <c r="I33" s="2" t="s">
        <v>11</v>
      </c>
    </row>
    <row r="34" spans="1:9" x14ac:dyDescent="0.25">
      <c r="A34">
        <v>33</v>
      </c>
      <c r="B34" t="s">
        <v>244</v>
      </c>
      <c r="C34" t="s">
        <v>245</v>
      </c>
      <c r="D34" t="s">
        <v>246</v>
      </c>
      <c r="F34" s="1">
        <v>17090</v>
      </c>
      <c r="G34" s="2" t="s">
        <v>1037</v>
      </c>
      <c r="H34" s="2" t="s">
        <v>1036</v>
      </c>
      <c r="I34" s="2" t="s">
        <v>11</v>
      </c>
    </row>
    <row r="35" spans="1:9" x14ac:dyDescent="0.25">
      <c r="A35">
        <v>34</v>
      </c>
      <c r="B35" t="s">
        <v>37</v>
      </c>
      <c r="C35" t="s">
        <v>247</v>
      </c>
      <c r="D35" t="s">
        <v>118</v>
      </c>
      <c r="F35" s="1">
        <v>30385</v>
      </c>
      <c r="G35" s="2" t="s">
        <v>1037</v>
      </c>
      <c r="H35" s="2" t="s">
        <v>1036</v>
      </c>
      <c r="I35" s="2" t="s">
        <v>11</v>
      </c>
    </row>
    <row r="36" spans="1:9" x14ac:dyDescent="0.25">
      <c r="A36">
        <v>35</v>
      </c>
      <c r="B36" t="s">
        <v>248</v>
      </c>
      <c r="C36" t="s">
        <v>56</v>
      </c>
      <c r="D36" t="s">
        <v>249</v>
      </c>
      <c r="F36" s="1" t="s">
        <v>1242</v>
      </c>
      <c r="G36" s="2" t="s">
        <v>1037</v>
      </c>
      <c r="H36" s="2" t="s">
        <v>1036</v>
      </c>
      <c r="I36" s="2" t="s">
        <v>11</v>
      </c>
    </row>
    <row r="37" spans="1:9" x14ac:dyDescent="0.25">
      <c r="A37">
        <v>36</v>
      </c>
      <c r="B37" t="s">
        <v>250</v>
      </c>
      <c r="C37" t="s">
        <v>251</v>
      </c>
      <c r="D37" t="s">
        <v>252</v>
      </c>
      <c r="F37" s="1">
        <v>25280</v>
      </c>
      <c r="G37" s="2" t="s">
        <v>1037</v>
      </c>
      <c r="H37" s="2" t="s">
        <v>1036</v>
      </c>
      <c r="I37" s="2" t="s">
        <v>11</v>
      </c>
    </row>
    <row r="38" spans="1:9" x14ac:dyDescent="0.25">
      <c r="A38">
        <v>37</v>
      </c>
      <c r="B38" t="s">
        <v>253</v>
      </c>
      <c r="C38" t="s">
        <v>254</v>
      </c>
      <c r="D38" t="s">
        <v>255</v>
      </c>
      <c r="F38" s="1">
        <v>38983</v>
      </c>
      <c r="G38" s="2" t="s">
        <v>1037</v>
      </c>
      <c r="H38" s="2" t="s">
        <v>1036</v>
      </c>
      <c r="I38" s="2" t="s">
        <v>11</v>
      </c>
    </row>
    <row r="39" spans="1:9" x14ac:dyDescent="0.25">
      <c r="A39">
        <v>38</v>
      </c>
      <c r="B39" t="s">
        <v>209</v>
      </c>
      <c r="C39" t="s">
        <v>148</v>
      </c>
      <c r="D39" t="s">
        <v>256</v>
      </c>
      <c r="F39" s="1">
        <v>31368</v>
      </c>
      <c r="G39" s="2" t="s">
        <v>1037</v>
      </c>
      <c r="H39" s="2" t="s">
        <v>1036</v>
      </c>
      <c r="I39" s="2" t="s">
        <v>11</v>
      </c>
    </row>
    <row r="40" spans="1:9" x14ac:dyDescent="0.25">
      <c r="A40">
        <v>39</v>
      </c>
      <c r="B40" t="s">
        <v>257</v>
      </c>
      <c r="C40" t="s">
        <v>258</v>
      </c>
      <c r="D40" t="s">
        <v>259</v>
      </c>
      <c r="F40" s="1">
        <v>23568</v>
      </c>
      <c r="G40" s="2" t="s">
        <v>1037</v>
      </c>
      <c r="H40" s="2" t="s">
        <v>1036</v>
      </c>
      <c r="I40" s="2" t="s">
        <v>11</v>
      </c>
    </row>
    <row r="41" spans="1:9" x14ac:dyDescent="0.25">
      <c r="A41">
        <v>40</v>
      </c>
      <c r="B41" t="s">
        <v>180</v>
      </c>
      <c r="C41" t="s">
        <v>50</v>
      </c>
      <c r="D41" t="s">
        <v>260</v>
      </c>
      <c r="F41" s="1">
        <v>30697</v>
      </c>
      <c r="G41" s="2" t="s">
        <v>1037</v>
      </c>
      <c r="H41" s="2" t="s">
        <v>1036</v>
      </c>
      <c r="I41" s="2" t="s">
        <v>11</v>
      </c>
    </row>
    <row r="42" spans="1:9" x14ac:dyDescent="0.25">
      <c r="A42">
        <v>41</v>
      </c>
      <c r="B42" t="s">
        <v>261</v>
      </c>
      <c r="C42" t="s">
        <v>262</v>
      </c>
      <c r="D42" t="s">
        <v>263</v>
      </c>
      <c r="F42" s="1">
        <v>29421</v>
      </c>
      <c r="G42" s="2" t="s">
        <v>1037</v>
      </c>
      <c r="H42" s="2" t="s">
        <v>1036</v>
      </c>
      <c r="I42" s="2" t="s">
        <v>11</v>
      </c>
    </row>
    <row r="43" spans="1:9" x14ac:dyDescent="0.25">
      <c r="A43">
        <v>42</v>
      </c>
      <c r="B43" t="s">
        <v>264</v>
      </c>
      <c r="C43" t="s">
        <v>265</v>
      </c>
      <c r="D43" t="s">
        <v>266</v>
      </c>
      <c r="F43" s="1">
        <v>32762</v>
      </c>
      <c r="G43" s="2" t="s">
        <v>1037</v>
      </c>
      <c r="H43" s="2" t="s">
        <v>1036</v>
      </c>
      <c r="I43" s="2" t="s">
        <v>11</v>
      </c>
    </row>
    <row r="44" spans="1:9" x14ac:dyDescent="0.25">
      <c r="A44">
        <v>43</v>
      </c>
      <c r="B44" t="s">
        <v>267</v>
      </c>
      <c r="C44" t="s">
        <v>268</v>
      </c>
      <c r="D44" t="s">
        <v>269</v>
      </c>
      <c r="F44" s="1">
        <v>21799</v>
      </c>
      <c r="G44" s="2" t="s">
        <v>1037</v>
      </c>
      <c r="H44" s="2" t="s">
        <v>1036</v>
      </c>
      <c r="I44" s="2" t="s">
        <v>11</v>
      </c>
    </row>
    <row r="45" spans="1:9" x14ac:dyDescent="0.25">
      <c r="A45">
        <v>44</v>
      </c>
      <c r="B45" t="s">
        <v>64</v>
      </c>
      <c r="C45" t="s">
        <v>270</v>
      </c>
      <c r="D45" t="s">
        <v>271</v>
      </c>
      <c r="F45" s="1">
        <v>27611</v>
      </c>
      <c r="G45" s="2" t="s">
        <v>1037</v>
      </c>
      <c r="H45" s="2" t="s">
        <v>1036</v>
      </c>
      <c r="I45" s="2" t="s">
        <v>11</v>
      </c>
    </row>
    <row r="46" spans="1:9" x14ac:dyDescent="0.25">
      <c r="A46">
        <v>45</v>
      </c>
      <c r="B46" t="s">
        <v>272</v>
      </c>
      <c r="C46" t="s">
        <v>273</v>
      </c>
      <c r="D46" t="s">
        <v>117</v>
      </c>
      <c r="F46" s="1">
        <v>30153</v>
      </c>
      <c r="G46" s="2" t="s">
        <v>1037</v>
      </c>
      <c r="H46" s="2" t="s">
        <v>1036</v>
      </c>
      <c r="I46" s="2" t="s">
        <v>11</v>
      </c>
    </row>
    <row r="47" spans="1:9" x14ac:dyDescent="0.25">
      <c r="A47">
        <v>46</v>
      </c>
      <c r="B47" t="s">
        <v>53</v>
      </c>
      <c r="C47" t="s">
        <v>274</v>
      </c>
      <c r="D47" t="s">
        <v>275</v>
      </c>
      <c r="F47" s="1">
        <v>28487</v>
      </c>
      <c r="G47" s="2" t="s">
        <v>1037</v>
      </c>
      <c r="H47" s="2" t="s">
        <v>1036</v>
      </c>
      <c r="I47" s="2" t="s">
        <v>11</v>
      </c>
    </row>
    <row r="48" spans="1:9" x14ac:dyDescent="0.25">
      <c r="A48">
        <v>47</v>
      </c>
      <c r="B48" t="s">
        <v>117</v>
      </c>
      <c r="C48" t="s">
        <v>276</v>
      </c>
      <c r="D48" t="s">
        <v>277</v>
      </c>
      <c r="F48" s="1">
        <v>18056</v>
      </c>
      <c r="G48" s="2" t="s">
        <v>1037</v>
      </c>
      <c r="H48" s="2" t="s">
        <v>1036</v>
      </c>
      <c r="I48" s="2" t="s">
        <v>11</v>
      </c>
    </row>
    <row r="49" spans="1:9" x14ac:dyDescent="0.25">
      <c r="A49">
        <v>48</v>
      </c>
      <c r="B49" t="s">
        <v>278</v>
      </c>
      <c r="C49" t="s">
        <v>279</v>
      </c>
      <c r="D49" t="s">
        <v>280</v>
      </c>
      <c r="F49" s="1">
        <v>24934</v>
      </c>
      <c r="G49" s="2" t="s">
        <v>1037</v>
      </c>
      <c r="H49" s="2" t="s">
        <v>1036</v>
      </c>
      <c r="I49" s="2" t="s">
        <v>11</v>
      </c>
    </row>
    <row r="50" spans="1:9" x14ac:dyDescent="0.25">
      <c r="A50">
        <v>49</v>
      </c>
      <c r="B50" t="s">
        <v>162</v>
      </c>
      <c r="C50" t="s">
        <v>281</v>
      </c>
      <c r="D50" t="s">
        <v>78</v>
      </c>
      <c r="F50" s="1">
        <v>34206</v>
      </c>
      <c r="G50" s="2" t="s">
        <v>1037</v>
      </c>
      <c r="H50" s="2" t="s">
        <v>1036</v>
      </c>
      <c r="I50" s="2" t="s">
        <v>11</v>
      </c>
    </row>
    <row r="51" spans="1:9" x14ac:dyDescent="0.25">
      <c r="A51">
        <v>50</v>
      </c>
      <c r="B51" t="s">
        <v>29</v>
      </c>
      <c r="C51" t="s">
        <v>282</v>
      </c>
      <c r="D51" t="s">
        <v>283</v>
      </c>
      <c r="F51" s="1">
        <v>33268</v>
      </c>
      <c r="G51" s="2" t="s">
        <v>1037</v>
      </c>
      <c r="H51" s="2" t="s">
        <v>1036</v>
      </c>
      <c r="I51" s="2" t="s">
        <v>11</v>
      </c>
    </row>
    <row r="52" spans="1:9" x14ac:dyDescent="0.25">
      <c r="A52">
        <v>51</v>
      </c>
      <c r="B52" t="s">
        <v>284</v>
      </c>
      <c r="C52" t="s">
        <v>34</v>
      </c>
      <c r="D52" t="s">
        <v>285</v>
      </c>
      <c r="F52" s="1">
        <v>35058</v>
      </c>
      <c r="G52" s="2" t="s">
        <v>1037</v>
      </c>
      <c r="H52" s="2" t="s">
        <v>1036</v>
      </c>
      <c r="I52" s="2" t="s">
        <v>11</v>
      </c>
    </row>
    <row r="53" spans="1:9" x14ac:dyDescent="0.25">
      <c r="A53">
        <v>52</v>
      </c>
      <c r="B53" t="s">
        <v>286</v>
      </c>
      <c r="C53" t="s">
        <v>287</v>
      </c>
      <c r="D53" t="s">
        <v>242</v>
      </c>
      <c r="E53" t="s">
        <v>106</v>
      </c>
      <c r="F53" s="1">
        <v>30184</v>
      </c>
      <c r="G53" s="2" t="s">
        <v>1037</v>
      </c>
      <c r="H53" s="2" t="s">
        <v>1036</v>
      </c>
      <c r="I53" s="2" t="s">
        <v>11</v>
      </c>
    </row>
    <row r="54" spans="1:9" x14ac:dyDescent="0.25">
      <c r="A54">
        <v>53</v>
      </c>
      <c r="B54" t="s">
        <v>288</v>
      </c>
      <c r="C54" t="s">
        <v>24</v>
      </c>
      <c r="D54" t="s">
        <v>234</v>
      </c>
      <c r="F54" s="1">
        <v>32166</v>
      </c>
      <c r="G54" s="2" t="s">
        <v>1037</v>
      </c>
      <c r="H54" s="2" t="s">
        <v>1036</v>
      </c>
      <c r="I54" s="2" t="s">
        <v>11</v>
      </c>
    </row>
    <row r="55" spans="1:9" x14ac:dyDescent="0.25">
      <c r="A55">
        <v>54</v>
      </c>
      <c r="B55" t="s">
        <v>17</v>
      </c>
      <c r="C55" t="s">
        <v>289</v>
      </c>
      <c r="D55" t="s">
        <v>102</v>
      </c>
      <c r="F55" s="1">
        <v>35073</v>
      </c>
      <c r="G55" s="2" t="s">
        <v>1037</v>
      </c>
      <c r="H55" s="2" t="s">
        <v>1036</v>
      </c>
      <c r="I55" s="2" t="s">
        <v>11</v>
      </c>
    </row>
    <row r="56" spans="1:9" x14ac:dyDescent="0.25">
      <c r="A56">
        <v>55</v>
      </c>
      <c r="B56" t="s">
        <v>290</v>
      </c>
      <c r="C56" t="s">
        <v>291</v>
      </c>
      <c r="D56" t="s">
        <v>292</v>
      </c>
      <c r="F56" s="1">
        <v>29038</v>
      </c>
      <c r="G56" s="2" t="s">
        <v>1037</v>
      </c>
      <c r="H56" s="2" t="s">
        <v>1036</v>
      </c>
      <c r="I56" s="2" t="s">
        <v>11</v>
      </c>
    </row>
    <row r="57" spans="1:9" x14ac:dyDescent="0.25">
      <c r="A57">
        <v>56</v>
      </c>
      <c r="B57" t="s">
        <v>293</v>
      </c>
      <c r="C57" t="s">
        <v>96</v>
      </c>
      <c r="D57" t="s">
        <v>294</v>
      </c>
      <c r="F57" s="1">
        <v>29402</v>
      </c>
      <c r="G57" s="2" t="s">
        <v>1037</v>
      </c>
      <c r="H57" s="2" t="s">
        <v>1036</v>
      </c>
      <c r="I57" s="2" t="s">
        <v>11</v>
      </c>
    </row>
    <row r="58" spans="1:9" x14ac:dyDescent="0.25">
      <c r="A58">
        <v>57</v>
      </c>
      <c r="B58" t="s">
        <v>295</v>
      </c>
      <c r="C58" t="s">
        <v>116</v>
      </c>
      <c r="D58" t="s">
        <v>296</v>
      </c>
      <c r="F58" s="1">
        <v>33143</v>
      </c>
      <c r="G58" s="2" t="s">
        <v>1037</v>
      </c>
      <c r="H58" s="2" t="s">
        <v>1036</v>
      </c>
      <c r="I58" s="2" t="s">
        <v>11</v>
      </c>
    </row>
    <row r="59" spans="1:9" x14ac:dyDescent="0.25">
      <c r="A59">
        <v>58</v>
      </c>
      <c r="B59" t="s">
        <v>297</v>
      </c>
      <c r="C59" t="s">
        <v>131</v>
      </c>
      <c r="D59" t="s">
        <v>298</v>
      </c>
      <c r="F59" s="1">
        <v>26193</v>
      </c>
      <c r="G59" s="2" t="s">
        <v>1037</v>
      </c>
      <c r="H59" s="2" t="s">
        <v>1036</v>
      </c>
      <c r="I59" s="2" t="s">
        <v>11</v>
      </c>
    </row>
    <row r="60" spans="1:9" x14ac:dyDescent="0.25">
      <c r="A60">
        <v>59</v>
      </c>
      <c r="B60" t="s">
        <v>299</v>
      </c>
      <c r="C60" t="s">
        <v>300</v>
      </c>
      <c r="D60" t="s">
        <v>219</v>
      </c>
      <c r="E60" t="s">
        <v>22</v>
      </c>
      <c r="F60" s="1">
        <v>30027</v>
      </c>
      <c r="G60" s="2" t="s">
        <v>1037</v>
      </c>
      <c r="H60" s="2" t="s">
        <v>1036</v>
      </c>
      <c r="I60" s="2" t="s">
        <v>11</v>
      </c>
    </row>
    <row r="61" spans="1:9" x14ac:dyDescent="0.25">
      <c r="A61">
        <v>60</v>
      </c>
      <c r="B61" t="s">
        <v>97</v>
      </c>
      <c r="C61" t="s">
        <v>301</v>
      </c>
      <c r="D61" t="s">
        <v>302</v>
      </c>
      <c r="F61" s="1">
        <v>29377</v>
      </c>
      <c r="G61" s="2" t="s">
        <v>1037</v>
      </c>
      <c r="H61" s="2" t="s">
        <v>1036</v>
      </c>
      <c r="I61" s="2" t="s">
        <v>11</v>
      </c>
    </row>
    <row r="62" spans="1:9" x14ac:dyDescent="0.25">
      <c r="A62">
        <v>61</v>
      </c>
      <c r="B62" t="s">
        <v>97</v>
      </c>
      <c r="C62" t="s">
        <v>170</v>
      </c>
      <c r="D62" t="s">
        <v>302</v>
      </c>
      <c r="F62" s="1">
        <v>35889</v>
      </c>
      <c r="G62" s="2" t="s">
        <v>1037</v>
      </c>
      <c r="H62" s="2" t="s">
        <v>1036</v>
      </c>
      <c r="I62" s="2" t="s">
        <v>11</v>
      </c>
    </row>
    <row r="63" spans="1:9" x14ac:dyDescent="0.25">
      <c r="A63">
        <v>62</v>
      </c>
      <c r="B63" t="s">
        <v>38</v>
      </c>
      <c r="C63" t="s">
        <v>127</v>
      </c>
      <c r="D63" t="s">
        <v>303</v>
      </c>
      <c r="F63" s="1">
        <v>30118</v>
      </c>
      <c r="G63" s="2" t="s">
        <v>1037</v>
      </c>
      <c r="H63" s="2" t="s">
        <v>1036</v>
      </c>
      <c r="I63" s="2" t="s">
        <v>11</v>
      </c>
    </row>
    <row r="64" spans="1:9" x14ac:dyDescent="0.25">
      <c r="A64">
        <v>63</v>
      </c>
      <c r="B64" t="s">
        <v>304</v>
      </c>
      <c r="C64" t="s">
        <v>305</v>
      </c>
      <c r="D64" t="s">
        <v>306</v>
      </c>
      <c r="F64" s="1">
        <v>29580</v>
      </c>
      <c r="G64" s="2" t="s">
        <v>1037</v>
      </c>
      <c r="H64" s="2" t="s">
        <v>1036</v>
      </c>
      <c r="I64" s="2" t="s">
        <v>11</v>
      </c>
    </row>
    <row r="65" spans="1:9" x14ac:dyDescent="0.25">
      <c r="A65">
        <v>64</v>
      </c>
      <c r="B65" t="s">
        <v>307</v>
      </c>
      <c r="C65" t="s">
        <v>308</v>
      </c>
      <c r="D65" t="s">
        <v>90</v>
      </c>
      <c r="F65" s="1">
        <v>27482</v>
      </c>
      <c r="G65" s="2" t="s">
        <v>1037</v>
      </c>
      <c r="H65" s="2" t="s">
        <v>1036</v>
      </c>
      <c r="I65" s="2" t="s">
        <v>11</v>
      </c>
    </row>
    <row r="66" spans="1:9" x14ac:dyDescent="0.25">
      <c r="A66">
        <v>65</v>
      </c>
      <c r="B66" t="s">
        <v>309</v>
      </c>
      <c r="C66" t="s">
        <v>310</v>
      </c>
      <c r="D66" t="s">
        <v>311</v>
      </c>
      <c r="F66" s="1">
        <v>25915</v>
      </c>
      <c r="G66" s="2" t="s">
        <v>1037</v>
      </c>
      <c r="H66" s="2" t="s">
        <v>1036</v>
      </c>
      <c r="I66" s="2" t="s">
        <v>11</v>
      </c>
    </row>
    <row r="67" spans="1:9" x14ac:dyDescent="0.25">
      <c r="A67">
        <v>66</v>
      </c>
      <c r="B67" t="s">
        <v>312</v>
      </c>
      <c r="C67" t="s">
        <v>313</v>
      </c>
      <c r="D67" t="s">
        <v>178</v>
      </c>
      <c r="F67" s="1">
        <v>21922</v>
      </c>
      <c r="G67" s="2" t="s">
        <v>1037</v>
      </c>
      <c r="H67" s="2" t="s">
        <v>1036</v>
      </c>
      <c r="I67" s="2" t="s">
        <v>11</v>
      </c>
    </row>
    <row r="68" spans="1:9" x14ac:dyDescent="0.25">
      <c r="A68">
        <v>67</v>
      </c>
      <c r="B68" t="s">
        <v>164</v>
      </c>
      <c r="C68" t="s">
        <v>314</v>
      </c>
      <c r="D68" t="s">
        <v>315</v>
      </c>
      <c r="F68" s="1">
        <v>31031</v>
      </c>
      <c r="G68" s="2" t="s">
        <v>1037</v>
      </c>
      <c r="H68" s="2" t="s">
        <v>1036</v>
      </c>
      <c r="I68" s="2" t="s">
        <v>11</v>
      </c>
    </row>
    <row r="69" spans="1:9" x14ac:dyDescent="0.25">
      <c r="A69">
        <v>68</v>
      </c>
      <c r="B69" t="s">
        <v>41</v>
      </c>
      <c r="C69" t="s">
        <v>316</v>
      </c>
      <c r="D69" t="s">
        <v>120</v>
      </c>
      <c r="F69" s="1">
        <v>20830</v>
      </c>
      <c r="G69" s="2" t="s">
        <v>1037</v>
      </c>
      <c r="H69" s="2" t="s">
        <v>1036</v>
      </c>
      <c r="I69" s="2" t="s">
        <v>11</v>
      </c>
    </row>
    <row r="70" spans="1:9" x14ac:dyDescent="0.25">
      <c r="A70">
        <v>69</v>
      </c>
      <c r="B70" t="s">
        <v>317</v>
      </c>
      <c r="C70" t="s">
        <v>318</v>
      </c>
      <c r="D70" t="s">
        <v>319</v>
      </c>
      <c r="F70" s="1">
        <v>33687</v>
      </c>
      <c r="G70" s="2" t="s">
        <v>1037</v>
      </c>
      <c r="H70" s="2" t="s">
        <v>1036</v>
      </c>
      <c r="I70" s="2" t="s">
        <v>11</v>
      </c>
    </row>
    <row r="71" spans="1:9" x14ac:dyDescent="0.25">
      <c r="A71">
        <v>70</v>
      </c>
      <c r="B71" t="s">
        <v>320</v>
      </c>
      <c r="C71" t="s">
        <v>321</v>
      </c>
      <c r="D71" t="s">
        <v>322</v>
      </c>
      <c r="F71" s="1">
        <v>26469</v>
      </c>
      <c r="G71" s="2" t="s">
        <v>1037</v>
      </c>
      <c r="H71" s="2" t="s">
        <v>1036</v>
      </c>
      <c r="I71" s="2" t="s">
        <v>11</v>
      </c>
    </row>
    <row r="72" spans="1:9" x14ac:dyDescent="0.25">
      <c r="A72">
        <v>71</v>
      </c>
      <c r="B72" t="s">
        <v>323</v>
      </c>
      <c r="C72" t="s">
        <v>324</v>
      </c>
      <c r="D72" t="s">
        <v>122</v>
      </c>
      <c r="F72" s="1">
        <v>38374</v>
      </c>
      <c r="G72" s="2" t="s">
        <v>1037</v>
      </c>
      <c r="H72" s="2" t="s">
        <v>1036</v>
      </c>
      <c r="I72" s="2" t="s">
        <v>11</v>
      </c>
    </row>
    <row r="73" spans="1:9" x14ac:dyDescent="0.25">
      <c r="A73">
        <v>72</v>
      </c>
      <c r="B73" t="s">
        <v>325</v>
      </c>
      <c r="C73" t="s">
        <v>326</v>
      </c>
      <c r="D73" t="s">
        <v>293</v>
      </c>
      <c r="F73" s="1">
        <v>33787</v>
      </c>
      <c r="G73" s="2" t="s">
        <v>1037</v>
      </c>
      <c r="H73" s="2" t="s">
        <v>1036</v>
      </c>
      <c r="I73" s="2" t="s">
        <v>11</v>
      </c>
    </row>
    <row r="74" spans="1:9" x14ac:dyDescent="0.25">
      <c r="A74">
        <v>73</v>
      </c>
      <c r="B74" t="s">
        <v>327</v>
      </c>
      <c r="C74" t="s">
        <v>328</v>
      </c>
      <c r="D74" t="s">
        <v>233</v>
      </c>
      <c r="F74" s="1">
        <v>27481</v>
      </c>
      <c r="G74" s="2" t="s">
        <v>1038</v>
      </c>
      <c r="H74" s="2" t="s">
        <v>1036</v>
      </c>
      <c r="I74" s="2" t="s">
        <v>11</v>
      </c>
    </row>
    <row r="75" spans="1:9" x14ac:dyDescent="0.25">
      <c r="A75">
        <v>74</v>
      </c>
      <c r="B75" t="s">
        <v>225</v>
      </c>
      <c r="C75" t="s">
        <v>72</v>
      </c>
      <c r="D75" t="s">
        <v>329</v>
      </c>
      <c r="F75" s="1">
        <v>32848</v>
      </c>
      <c r="G75" s="2" t="s">
        <v>1038</v>
      </c>
      <c r="H75" s="2" t="s">
        <v>1036</v>
      </c>
      <c r="I75" s="2" t="s">
        <v>11</v>
      </c>
    </row>
    <row r="76" spans="1:9" x14ac:dyDescent="0.25">
      <c r="A76">
        <v>75</v>
      </c>
      <c r="B76" t="s">
        <v>330</v>
      </c>
      <c r="C76" t="s">
        <v>151</v>
      </c>
      <c r="D76" t="s">
        <v>331</v>
      </c>
      <c r="F76" s="1">
        <v>28192</v>
      </c>
      <c r="G76" s="2" t="s">
        <v>1038</v>
      </c>
      <c r="H76" s="2" t="s">
        <v>1036</v>
      </c>
      <c r="I76" s="2" t="s">
        <v>11</v>
      </c>
    </row>
    <row r="77" spans="1:9" x14ac:dyDescent="0.25">
      <c r="A77">
        <v>76</v>
      </c>
      <c r="B77" t="s">
        <v>332</v>
      </c>
      <c r="C77" t="s">
        <v>333</v>
      </c>
      <c r="D77" t="s">
        <v>334</v>
      </c>
      <c r="F77" s="1">
        <v>30576</v>
      </c>
      <c r="G77" s="2" t="s">
        <v>1038</v>
      </c>
      <c r="H77" s="2" t="s">
        <v>1036</v>
      </c>
      <c r="I77" s="2" t="s">
        <v>11</v>
      </c>
    </row>
    <row r="78" spans="1:9" x14ac:dyDescent="0.25">
      <c r="A78">
        <v>77</v>
      </c>
      <c r="B78" t="s">
        <v>335</v>
      </c>
      <c r="C78" t="s">
        <v>336</v>
      </c>
      <c r="D78" t="s">
        <v>18</v>
      </c>
      <c r="F78" s="1">
        <v>23152</v>
      </c>
      <c r="G78" s="2" t="s">
        <v>1038</v>
      </c>
      <c r="H78" s="2" t="s">
        <v>1036</v>
      </c>
      <c r="I78" s="2" t="s">
        <v>11</v>
      </c>
    </row>
    <row r="79" spans="1:9" x14ac:dyDescent="0.25">
      <c r="A79">
        <v>78</v>
      </c>
      <c r="B79" t="s">
        <v>111</v>
      </c>
      <c r="C79" t="s">
        <v>337</v>
      </c>
      <c r="D79" t="s">
        <v>338</v>
      </c>
      <c r="F79" s="1">
        <v>30027</v>
      </c>
      <c r="G79" s="2" t="s">
        <v>1038</v>
      </c>
      <c r="H79" s="2" t="s">
        <v>1036</v>
      </c>
      <c r="I79" s="2" t="s">
        <v>11</v>
      </c>
    </row>
    <row r="80" spans="1:9" x14ac:dyDescent="0.25">
      <c r="A80">
        <v>79</v>
      </c>
      <c r="B80" t="s">
        <v>339</v>
      </c>
      <c r="C80" t="s">
        <v>340</v>
      </c>
      <c r="D80" t="s">
        <v>51</v>
      </c>
      <c r="F80" s="1">
        <v>20296</v>
      </c>
      <c r="G80" s="2" t="s">
        <v>1038</v>
      </c>
      <c r="H80" s="2" t="s">
        <v>1036</v>
      </c>
      <c r="I80" s="2" t="s">
        <v>11</v>
      </c>
    </row>
    <row r="81" spans="1:9" x14ac:dyDescent="0.25">
      <c r="A81">
        <v>80</v>
      </c>
      <c r="B81" t="s">
        <v>341</v>
      </c>
      <c r="C81" t="s">
        <v>342</v>
      </c>
      <c r="D81" t="s">
        <v>234</v>
      </c>
      <c r="F81" s="1">
        <v>23437</v>
      </c>
      <c r="G81" s="2" t="s">
        <v>1038</v>
      </c>
      <c r="H81" s="2" t="s">
        <v>1036</v>
      </c>
      <c r="I81" s="2" t="s">
        <v>11</v>
      </c>
    </row>
    <row r="82" spans="1:9" x14ac:dyDescent="0.25">
      <c r="A82">
        <v>81</v>
      </c>
      <c r="B82" t="s">
        <v>343</v>
      </c>
      <c r="C82" t="s">
        <v>344</v>
      </c>
      <c r="D82" t="s">
        <v>345</v>
      </c>
      <c r="F82" s="1">
        <v>28958</v>
      </c>
      <c r="G82" s="2" t="s">
        <v>1038</v>
      </c>
      <c r="H82" s="2" t="s">
        <v>1036</v>
      </c>
      <c r="I82" s="2" t="s">
        <v>11</v>
      </c>
    </row>
    <row r="83" spans="1:9" x14ac:dyDescent="0.25">
      <c r="A83">
        <v>82</v>
      </c>
      <c r="B83" t="s">
        <v>343</v>
      </c>
      <c r="C83" t="s">
        <v>170</v>
      </c>
      <c r="D83" t="s">
        <v>345</v>
      </c>
      <c r="F83" s="1">
        <v>34559</v>
      </c>
      <c r="G83" s="2" t="s">
        <v>1038</v>
      </c>
      <c r="H83" s="2" t="s">
        <v>1036</v>
      </c>
      <c r="I83" s="2" t="s">
        <v>11</v>
      </c>
    </row>
    <row r="84" spans="1:9" x14ac:dyDescent="0.25">
      <c r="A84">
        <v>83</v>
      </c>
      <c r="B84" t="s">
        <v>343</v>
      </c>
      <c r="C84" t="s">
        <v>346</v>
      </c>
      <c r="D84" t="s">
        <v>345</v>
      </c>
      <c r="F84" s="1">
        <v>37289</v>
      </c>
      <c r="G84" s="2" t="s">
        <v>1038</v>
      </c>
      <c r="H84" s="2" t="s">
        <v>1036</v>
      </c>
      <c r="I84" s="2" t="s">
        <v>11</v>
      </c>
    </row>
    <row r="85" spans="1:9" x14ac:dyDescent="0.25">
      <c r="A85">
        <v>84</v>
      </c>
      <c r="B85" t="s">
        <v>347</v>
      </c>
      <c r="C85" t="s">
        <v>36</v>
      </c>
      <c r="D85" t="s">
        <v>348</v>
      </c>
      <c r="F85" s="1">
        <v>29588</v>
      </c>
      <c r="G85" s="2" t="s">
        <v>1038</v>
      </c>
      <c r="H85" s="2" t="s">
        <v>1036</v>
      </c>
      <c r="I85" s="2" t="s">
        <v>11</v>
      </c>
    </row>
    <row r="86" spans="1:9" x14ac:dyDescent="0.25">
      <c r="A86">
        <v>85</v>
      </c>
      <c r="B86" t="s">
        <v>347</v>
      </c>
      <c r="C86" t="s">
        <v>349</v>
      </c>
      <c r="D86" t="s">
        <v>350</v>
      </c>
      <c r="F86" s="1">
        <v>19405</v>
      </c>
      <c r="G86" s="2" t="s">
        <v>1038</v>
      </c>
      <c r="H86" s="2" t="s">
        <v>1036</v>
      </c>
      <c r="I86" s="2" t="s">
        <v>11</v>
      </c>
    </row>
    <row r="87" spans="1:9" x14ac:dyDescent="0.25">
      <c r="A87">
        <v>86</v>
      </c>
      <c r="B87" t="s">
        <v>1228</v>
      </c>
      <c r="C87" t="s">
        <v>223</v>
      </c>
      <c r="D87" t="s">
        <v>351</v>
      </c>
      <c r="F87" s="1">
        <v>23356</v>
      </c>
      <c r="G87" s="2" t="s">
        <v>1038</v>
      </c>
      <c r="H87" s="2" t="s">
        <v>1036</v>
      </c>
      <c r="I87" s="2" t="s">
        <v>11</v>
      </c>
    </row>
    <row r="88" spans="1:9" x14ac:dyDescent="0.25">
      <c r="A88">
        <v>87</v>
      </c>
      <c r="B88" t="s">
        <v>352</v>
      </c>
      <c r="C88" t="s">
        <v>353</v>
      </c>
      <c r="D88" t="s">
        <v>354</v>
      </c>
      <c r="F88" s="1">
        <v>21162</v>
      </c>
      <c r="G88" s="2" t="s">
        <v>1038</v>
      </c>
      <c r="H88" s="2" t="s">
        <v>1036</v>
      </c>
      <c r="I88" s="2" t="s">
        <v>11</v>
      </c>
    </row>
    <row r="89" spans="1:9" x14ac:dyDescent="0.25">
      <c r="A89">
        <v>88</v>
      </c>
      <c r="B89" t="s">
        <v>18</v>
      </c>
      <c r="C89" t="s">
        <v>355</v>
      </c>
      <c r="D89" t="s">
        <v>38</v>
      </c>
      <c r="F89" s="1">
        <v>19811</v>
      </c>
      <c r="G89" s="2" t="s">
        <v>1038</v>
      </c>
      <c r="H89" s="2" t="s">
        <v>1036</v>
      </c>
      <c r="I89" s="2" t="s">
        <v>11</v>
      </c>
    </row>
    <row r="90" spans="1:9" x14ac:dyDescent="0.25">
      <c r="A90">
        <v>89</v>
      </c>
      <c r="B90" t="s">
        <v>356</v>
      </c>
      <c r="C90" t="s">
        <v>357</v>
      </c>
      <c r="D90" t="s">
        <v>1229</v>
      </c>
      <c r="F90" s="1">
        <v>30503</v>
      </c>
      <c r="G90" s="2" t="s">
        <v>1038</v>
      </c>
      <c r="H90" s="2" t="s">
        <v>1036</v>
      </c>
      <c r="I90" s="2" t="s">
        <v>11</v>
      </c>
    </row>
    <row r="91" spans="1:9" x14ac:dyDescent="0.25">
      <c r="A91">
        <v>90</v>
      </c>
      <c r="B91" t="s">
        <v>358</v>
      </c>
      <c r="C91" t="s">
        <v>55</v>
      </c>
      <c r="D91" t="s">
        <v>359</v>
      </c>
      <c r="F91" s="1">
        <v>35637</v>
      </c>
      <c r="G91" s="2" t="s">
        <v>1038</v>
      </c>
      <c r="H91" s="2" t="s">
        <v>1036</v>
      </c>
      <c r="I91" s="2" t="s">
        <v>11</v>
      </c>
    </row>
    <row r="92" spans="1:9" x14ac:dyDescent="0.25">
      <c r="A92">
        <v>91</v>
      </c>
      <c r="B92" t="s">
        <v>360</v>
      </c>
      <c r="C92" t="s">
        <v>361</v>
      </c>
      <c r="D92" t="s">
        <v>362</v>
      </c>
      <c r="F92" s="1">
        <v>37432</v>
      </c>
      <c r="G92" s="2" t="s">
        <v>1038</v>
      </c>
      <c r="H92" s="2" t="s">
        <v>1036</v>
      </c>
      <c r="I92" s="2" t="s">
        <v>11</v>
      </c>
    </row>
    <row r="93" spans="1:9" x14ac:dyDescent="0.25">
      <c r="A93">
        <v>92</v>
      </c>
      <c r="B93" t="s">
        <v>363</v>
      </c>
      <c r="C93" t="s">
        <v>364</v>
      </c>
      <c r="D93" t="s">
        <v>88</v>
      </c>
      <c r="F93" s="1">
        <v>35538</v>
      </c>
      <c r="G93" s="2" t="s">
        <v>1038</v>
      </c>
      <c r="H93" s="2" t="s">
        <v>1036</v>
      </c>
      <c r="I93" s="2" t="s">
        <v>11</v>
      </c>
    </row>
    <row r="94" spans="1:9" x14ac:dyDescent="0.25">
      <c r="A94">
        <v>93</v>
      </c>
      <c r="B94" t="s">
        <v>41</v>
      </c>
      <c r="C94" t="s">
        <v>44</v>
      </c>
      <c r="D94" t="s">
        <v>365</v>
      </c>
      <c r="F94" s="1">
        <v>24778</v>
      </c>
      <c r="G94" s="2" t="s">
        <v>1038</v>
      </c>
      <c r="H94" s="2" t="s">
        <v>1036</v>
      </c>
      <c r="I94" s="2" t="s">
        <v>11</v>
      </c>
    </row>
    <row r="95" spans="1:9" x14ac:dyDescent="0.25">
      <c r="A95">
        <v>94</v>
      </c>
      <c r="B95" t="s">
        <v>160</v>
      </c>
      <c r="C95" t="s">
        <v>366</v>
      </c>
      <c r="D95" t="s">
        <v>367</v>
      </c>
      <c r="F95" s="1">
        <v>34636</v>
      </c>
      <c r="G95" s="2" t="s">
        <v>1038</v>
      </c>
      <c r="H95" s="2" t="s">
        <v>1036</v>
      </c>
      <c r="I95" s="2" t="s">
        <v>11</v>
      </c>
    </row>
    <row r="96" spans="1:9" x14ac:dyDescent="0.25">
      <c r="A96">
        <v>95</v>
      </c>
      <c r="B96" t="s">
        <v>90</v>
      </c>
      <c r="C96" t="s">
        <v>368</v>
      </c>
      <c r="D96" t="s">
        <v>180</v>
      </c>
      <c r="F96" s="1">
        <v>23293</v>
      </c>
      <c r="G96" s="2" t="s">
        <v>1038</v>
      </c>
      <c r="H96" s="2" t="s">
        <v>1036</v>
      </c>
      <c r="I96" s="2" t="s">
        <v>11</v>
      </c>
    </row>
    <row r="97" spans="1:9" x14ac:dyDescent="0.25">
      <c r="A97">
        <v>96</v>
      </c>
      <c r="B97" t="s">
        <v>369</v>
      </c>
      <c r="C97" t="s">
        <v>370</v>
      </c>
      <c r="D97" t="s">
        <v>371</v>
      </c>
      <c r="F97" s="1">
        <v>29424</v>
      </c>
      <c r="G97" s="2" t="s">
        <v>1038</v>
      </c>
      <c r="H97" s="2" t="s">
        <v>1036</v>
      </c>
      <c r="I97" s="2" t="s">
        <v>11</v>
      </c>
    </row>
    <row r="98" spans="1:9" x14ac:dyDescent="0.25">
      <c r="A98">
        <v>97</v>
      </c>
      <c r="B98" t="s">
        <v>372</v>
      </c>
      <c r="C98" t="s">
        <v>373</v>
      </c>
      <c r="D98" t="s">
        <v>374</v>
      </c>
      <c r="F98" s="1">
        <v>33366</v>
      </c>
      <c r="G98" s="2" t="s">
        <v>1038</v>
      </c>
      <c r="H98" s="2" t="s">
        <v>1036</v>
      </c>
      <c r="I98" s="2" t="s">
        <v>11</v>
      </c>
    </row>
    <row r="99" spans="1:9" x14ac:dyDescent="0.25">
      <c r="A99">
        <v>98</v>
      </c>
      <c r="B99" t="s">
        <v>97</v>
      </c>
      <c r="C99" t="s">
        <v>375</v>
      </c>
      <c r="D99" t="s">
        <v>376</v>
      </c>
      <c r="F99" s="1">
        <v>32570</v>
      </c>
      <c r="G99" s="2" t="s">
        <v>1038</v>
      </c>
      <c r="H99" s="2" t="s">
        <v>1036</v>
      </c>
      <c r="I99" s="2" t="s">
        <v>11</v>
      </c>
    </row>
    <row r="100" spans="1:9" x14ac:dyDescent="0.25">
      <c r="A100">
        <v>99</v>
      </c>
      <c r="B100" t="s">
        <v>377</v>
      </c>
      <c r="C100" t="s">
        <v>378</v>
      </c>
      <c r="D100" t="s">
        <v>38</v>
      </c>
      <c r="F100" s="1">
        <v>13578</v>
      </c>
      <c r="G100" s="2" t="s">
        <v>1038</v>
      </c>
      <c r="H100" s="2" t="s">
        <v>1036</v>
      </c>
      <c r="I100" s="2" t="s">
        <v>11</v>
      </c>
    </row>
    <row r="101" spans="1:9" x14ac:dyDescent="0.25">
      <c r="A101">
        <v>100</v>
      </c>
      <c r="B101" t="s">
        <v>379</v>
      </c>
      <c r="C101" t="s">
        <v>380</v>
      </c>
      <c r="D101" t="s">
        <v>164</v>
      </c>
      <c r="F101" s="1">
        <v>32916</v>
      </c>
      <c r="G101" s="2" t="s">
        <v>1038</v>
      </c>
      <c r="H101" s="2" t="s">
        <v>1036</v>
      </c>
      <c r="I101" s="2" t="s">
        <v>11</v>
      </c>
    </row>
    <row r="102" spans="1:9" x14ac:dyDescent="0.25">
      <c r="A102">
        <v>101</v>
      </c>
      <c r="B102" t="s">
        <v>381</v>
      </c>
      <c r="C102" t="s">
        <v>382</v>
      </c>
      <c r="D102" t="s">
        <v>33</v>
      </c>
      <c r="F102" s="1">
        <v>33682</v>
      </c>
      <c r="G102" s="2" t="s">
        <v>1038</v>
      </c>
      <c r="H102" s="2" t="s">
        <v>1036</v>
      </c>
      <c r="I102" s="2" t="s">
        <v>11</v>
      </c>
    </row>
    <row r="103" spans="1:9" x14ac:dyDescent="0.25">
      <c r="A103">
        <v>102</v>
      </c>
      <c r="B103" t="s">
        <v>383</v>
      </c>
      <c r="C103" t="s">
        <v>384</v>
      </c>
      <c r="D103" t="s">
        <v>225</v>
      </c>
      <c r="F103" s="1">
        <v>26199</v>
      </c>
      <c r="G103" s="2" t="s">
        <v>1038</v>
      </c>
      <c r="H103" s="2" t="s">
        <v>1036</v>
      </c>
      <c r="I103" s="2" t="s">
        <v>11</v>
      </c>
    </row>
    <row r="104" spans="1:9" x14ac:dyDescent="0.25">
      <c r="A104">
        <v>103</v>
      </c>
      <c r="B104" t="s">
        <v>164</v>
      </c>
      <c r="C104" t="s">
        <v>385</v>
      </c>
      <c r="D104" t="s">
        <v>386</v>
      </c>
      <c r="F104" s="1">
        <v>18619</v>
      </c>
      <c r="G104" s="2" t="s">
        <v>1038</v>
      </c>
      <c r="H104" s="2" t="s">
        <v>1036</v>
      </c>
      <c r="I104" s="2" t="s">
        <v>11</v>
      </c>
    </row>
    <row r="105" spans="1:9" x14ac:dyDescent="0.25">
      <c r="A105">
        <v>104</v>
      </c>
      <c r="B105" t="s">
        <v>164</v>
      </c>
      <c r="C105" t="s">
        <v>387</v>
      </c>
      <c r="D105" t="s">
        <v>215</v>
      </c>
      <c r="F105" s="1">
        <v>27251</v>
      </c>
      <c r="G105" s="2" t="s">
        <v>1038</v>
      </c>
      <c r="H105" s="2" t="s">
        <v>1036</v>
      </c>
      <c r="I105" s="2" t="s">
        <v>11</v>
      </c>
    </row>
    <row r="106" spans="1:9" x14ac:dyDescent="0.25">
      <c r="A106">
        <v>105</v>
      </c>
      <c r="B106" t="s">
        <v>388</v>
      </c>
      <c r="C106" t="s">
        <v>389</v>
      </c>
      <c r="D106" t="s">
        <v>390</v>
      </c>
      <c r="F106" s="1">
        <v>38221</v>
      </c>
      <c r="G106" s="2" t="s">
        <v>1038</v>
      </c>
      <c r="H106" s="2" t="s">
        <v>1036</v>
      </c>
      <c r="I106" s="2" t="s">
        <v>11</v>
      </c>
    </row>
    <row r="107" spans="1:9" x14ac:dyDescent="0.25">
      <c r="A107">
        <v>106</v>
      </c>
      <c r="B107" t="s">
        <v>391</v>
      </c>
      <c r="C107" t="s">
        <v>392</v>
      </c>
      <c r="D107" t="s">
        <v>46</v>
      </c>
      <c r="F107" s="1">
        <v>27102</v>
      </c>
      <c r="G107" s="2" t="s">
        <v>1038</v>
      </c>
      <c r="H107" s="2" t="s">
        <v>1036</v>
      </c>
      <c r="I107" s="2" t="s">
        <v>11</v>
      </c>
    </row>
    <row r="108" spans="1:9" x14ac:dyDescent="0.25">
      <c r="A108">
        <v>107</v>
      </c>
      <c r="B108" t="s">
        <v>225</v>
      </c>
      <c r="C108" t="s">
        <v>393</v>
      </c>
      <c r="D108" t="s">
        <v>348</v>
      </c>
      <c r="F108" s="1">
        <v>29212</v>
      </c>
      <c r="G108" s="2" t="s">
        <v>1038</v>
      </c>
      <c r="H108" s="2" t="s">
        <v>1036</v>
      </c>
      <c r="I108" s="2" t="s">
        <v>11</v>
      </c>
    </row>
    <row r="109" spans="1:9" x14ac:dyDescent="0.25">
      <c r="A109">
        <v>108</v>
      </c>
      <c r="B109" t="s">
        <v>394</v>
      </c>
      <c r="C109" t="s">
        <v>395</v>
      </c>
      <c r="D109" t="s">
        <v>65</v>
      </c>
      <c r="F109" s="1">
        <v>31303</v>
      </c>
      <c r="G109" s="2" t="s">
        <v>1038</v>
      </c>
      <c r="H109" s="2" t="s">
        <v>1036</v>
      </c>
      <c r="I109" s="2" t="s">
        <v>11</v>
      </c>
    </row>
    <row r="110" spans="1:9" x14ac:dyDescent="0.25">
      <c r="A110">
        <v>109</v>
      </c>
      <c r="B110" t="s">
        <v>377</v>
      </c>
      <c r="C110" t="s">
        <v>396</v>
      </c>
      <c r="D110" t="s">
        <v>18</v>
      </c>
      <c r="F110" s="1">
        <v>25814</v>
      </c>
      <c r="G110" s="2" t="s">
        <v>1038</v>
      </c>
      <c r="H110" s="2" t="s">
        <v>1036</v>
      </c>
      <c r="I110" s="2" t="s">
        <v>11</v>
      </c>
    </row>
    <row r="111" spans="1:9" x14ac:dyDescent="0.25">
      <c r="A111">
        <v>110</v>
      </c>
      <c r="B111" t="s">
        <v>377</v>
      </c>
      <c r="C111" t="s">
        <v>396</v>
      </c>
      <c r="D111" t="s">
        <v>397</v>
      </c>
      <c r="F111" s="1">
        <v>25534</v>
      </c>
      <c r="G111" s="2" t="s">
        <v>1038</v>
      </c>
      <c r="H111" s="2" t="s">
        <v>1036</v>
      </c>
      <c r="I111" s="2" t="s">
        <v>11</v>
      </c>
    </row>
    <row r="112" spans="1:9" x14ac:dyDescent="0.25">
      <c r="A112">
        <v>111</v>
      </c>
      <c r="B112" t="s">
        <v>398</v>
      </c>
      <c r="C112" t="s">
        <v>399</v>
      </c>
      <c r="D112" t="s">
        <v>400</v>
      </c>
      <c r="F112" s="1">
        <v>27952</v>
      </c>
      <c r="G112" s="2" t="s">
        <v>1038</v>
      </c>
      <c r="H112" s="2" t="s">
        <v>1036</v>
      </c>
      <c r="I112" s="2" t="s">
        <v>11</v>
      </c>
    </row>
    <row r="113" spans="1:9" x14ac:dyDescent="0.25">
      <c r="A113">
        <v>112</v>
      </c>
      <c r="B113" t="s">
        <v>160</v>
      </c>
      <c r="C113" t="s">
        <v>401</v>
      </c>
      <c r="D113" t="s">
        <v>367</v>
      </c>
      <c r="F113" s="1">
        <v>30479</v>
      </c>
      <c r="G113" s="2" t="s">
        <v>1038</v>
      </c>
      <c r="H113" s="2" t="s">
        <v>1036</v>
      </c>
      <c r="I113" s="2" t="s">
        <v>11</v>
      </c>
    </row>
    <row r="114" spans="1:9" x14ac:dyDescent="0.25">
      <c r="A114">
        <v>113</v>
      </c>
      <c r="B114" t="s">
        <v>233</v>
      </c>
      <c r="C114" t="s">
        <v>402</v>
      </c>
      <c r="D114" t="s">
        <v>400</v>
      </c>
      <c r="F114" s="1">
        <v>26096</v>
      </c>
      <c r="G114" s="2" t="s">
        <v>1038</v>
      </c>
      <c r="H114" s="2" t="s">
        <v>1036</v>
      </c>
      <c r="I114" s="2" t="s">
        <v>11</v>
      </c>
    </row>
    <row r="115" spans="1:9" x14ac:dyDescent="0.25">
      <c r="A115">
        <v>114</v>
      </c>
      <c r="B115" t="s">
        <v>403</v>
      </c>
      <c r="C115" t="s">
        <v>404</v>
      </c>
      <c r="D115" t="s">
        <v>405</v>
      </c>
      <c r="F115" s="1">
        <v>28411</v>
      </c>
      <c r="G115" s="2" t="s">
        <v>1038</v>
      </c>
      <c r="H115" s="2" t="s">
        <v>1036</v>
      </c>
      <c r="I115" s="2" t="s">
        <v>11</v>
      </c>
    </row>
    <row r="116" spans="1:9" x14ac:dyDescent="0.25">
      <c r="A116">
        <v>115</v>
      </c>
      <c r="B116" t="s">
        <v>347</v>
      </c>
      <c r="C116" t="s">
        <v>406</v>
      </c>
      <c r="D116" t="s">
        <v>348</v>
      </c>
      <c r="F116" s="1">
        <v>30225</v>
      </c>
      <c r="G116" s="2" t="s">
        <v>1038</v>
      </c>
      <c r="H116" s="2" t="s">
        <v>1036</v>
      </c>
      <c r="I116" s="2" t="s">
        <v>11</v>
      </c>
    </row>
    <row r="117" spans="1:9" x14ac:dyDescent="0.25">
      <c r="A117">
        <v>116</v>
      </c>
      <c r="B117" t="s">
        <v>358</v>
      </c>
      <c r="C117" t="s">
        <v>407</v>
      </c>
      <c r="D117" t="s">
        <v>377</v>
      </c>
      <c r="F117" s="1">
        <v>24404</v>
      </c>
      <c r="G117" s="2" t="s">
        <v>1038</v>
      </c>
      <c r="H117" s="2" t="s">
        <v>1036</v>
      </c>
      <c r="I117" s="2" t="s">
        <v>11</v>
      </c>
    </row>
    <row r="118" spans="1:9" x14ac:dyDescent="0.25">
      <c r="A118">
        <v>117</v>
      </c>
      <c r="B118" t="s">
        <v>400</v>
      </c>
      <c r="C118" t="s">
        <v>39</v>
      </c>
      <c r="D118" t="s">
        <v>88</v>
      </c>
      <c r="F118" s="1">
        <v>29444</v>
      </c>
      <c r="G118" s="2" t="s">
        <v>1038</v>
      </c>
      <c r="H118" s="2" t="s">
        <v>1036</v>
      </c>
      <c r="I118" s="2" t="s">
        <v>11</v>
      </c>
    </row>
    <row r="119" spans="1:9" x14ac:dyDescent="0.25">
      <c r="A119">
        <v>118</v>
      </c>
      <c r="B119" t="s">
        <v>408</v>
      </c>
      <c r="C119" t="s">
        <v>409</v>
      </c>
      <c r="D119" t="s">
        <v>410</v>
      </c>
      <c r="E119" t="s">
        <v>106</v>
      </c>
      <c r="F119" s="1">
        <v>33900</v>
      </c>
      <c r="G119" s="2" t="s">
        <v>1039</v>
      </c>
      <c r="H119" s="2" t="s">
        <v>1036</v>
      </c>
      <c r="I119" s="2" t="s">
        <v>11</v>
      </c>
    </row>
    <row r="120" spans="1:9" x14ac:dyDescent="0.25">
      <c r="A120">
        <v>119</v>
      </c>
      <c r="B120" t="s">
        <v>411</v>
      </c>
      <c r="C120" t="s">
        <v>412</v>
      </c>
      <c r="D120" t="s">
        <v>413</v>
      </c>
      <c r="F120" s="1">
        <v>31925</v>
      </c>
      <c r="G120" s="2" t="s">
        <v>1039</v>
      </c>
      <c r="H120" s="2" t="s">
        <v>1036</v>
      </c>
      <c r="I120" s="2" t="s">
        <v>11</v>
      </c>
    </row>
    <row r="121" spans="1:9" x14ac:dyDescent="0.25">
      <c r="A121">
        <v>120</v>
      </c>
      <c r="B121" t="s">
        <v>414</v>
      </c>
      <c r="C121" t="s">
        <v>415</v>
      </c>
      <c r="D121" t="s">
        <v>215</v>
      </c>
      <c r="F121" s="1">
        <v>33557</v>
      </c>
      <c r="G121" s="2" t="s">
        <v>1039</v>
      </c>
      <c r="H121" s="2" t="s">
        <v>1036</v>
      </c>
      <c r="I121" s="2" t="s">
        <v>11</v>
      </c>
    </row>
    <row r="122" spans="1:9" x14ac:dyDescent="0.25">
      <c r="A122">
        <v>121</v>
      </c>
      <c r="B122" t="s">
        <v>416</v>
      </c>
      <c r="C122" t="s">
        <v>417</v>
      </c>
      <c r="D122" t="s">
        <v>414</v>
      </c>
      <c r="F122" s="1">
        <v>28754</v>
      </c>
      <c r="G122" s="2" t="s">
        <v>1039</v>
      </c>
      <c r="H122" s="2" t="s">
        <v>1036</v>
      </c>
      <c r="I122" s="2" t="s">
        <v>11</v>
      </c>
    </row>
    <row r="123" spans="1:9" x14ac:dyDescent="0.25">
      <c r="A123">
        <v>122</v>
      </c>
      <c r="B123" t="s">
        <v>418</v>
      </c>
      <c r="C123" t="s">
        <v>419</v>
      </c>
      <c r="D123" t="s">
        <v>78</v>
      </c>
      <c r="F123" s="1">
        <v>29184</v>
      </c>
      <c r="G123" s="2" t="s">
        <v>1040</v>
      </c>
      <c r="H123" s="2" t="s">
        <v>1036</v>
      </c>
      <c r="I123" s="2" t="s">
        <v>11</v>
      </c>
    </row>
    <row r="124" spans="1:9" x14ac:dyDescent="0.25">
      <c r="A124">
        <v>123</v>
      </c>
      <c r="B124" t="s">
        <v>420</v>
      </c>
      <c r="C124" t="s">
        <v>421</v>
      </c>
      <c r="D124" t="s">
        <v>422</v>
      </c>
      <c r="F124" s="1">
        <v>31439</v>
      </c>
      <c r="G124" s="2" t="s">
        <v>1040</v>
      </c>
      <c r="H124" s="2" t="s">
        <v>1036</v>
      </c>
      <c r="I124" s="2" t="s">
        <v>11</v>
      </c>
    </row>
    <row r="125" spans="1:9" x14ac:dyDescent="0.25">
      <c r="A125">
        <v>124</v>
      </c>
      <c r="B125" t="s">
        <v>423</v>
      </c>
      <c r="C125" t="s">
        <v>424</v>
      </c>
      <c r="D125" t="s">
        <v>425</v>
      </c>
      <c r="F125" s="1">
        <v>29766</v>
      </c>
      <c r="G125" s="2" t="s">
        <v>1040</v>
      </c>
      <c r="H125" s="2" t="s">
        <v>1036</v>
      </c>
      <c r="I125" s="2" t="s">
        <v>11</v>
      </c>
    </row>
    <row r="126" spans="1:9" x14ac:dyDescent="0.25">
      <c r="A126">
        <v>125</v>
      </c>
      <c r="B126" t="s">
        <v>426</v>
      </c>
      <c r="C126" t="s">
        <v>427</v>
      </c>
      <c r="D126" t="s">
        <v>1230</v>
      </c>
      <c r="F126" s="1">
        <v>30516</v>
      </c>
      <c r="G126" s="2" t="s">
        <v>1040</v>
      </c>
      <c r="H126" s="2" t="s">
        <v>1036</v>
      </c>
      <c r="I126" s="2" t="s">
        <v>11</v>
      </c>
    </row>
    <row r="127" spans="1:9" x14ac:dyDescent="0.25">
      <c r="A127">
        <v>126</v>
      </c>
      <c r="B127" t="s">
        <v>408</v>
      </c>
      <c r="C127" t="s">
        <v>428</v>
      </c>
      <c r="D127" t="s">
        <v>429</v>
      </c>
      <c r="F127" s="1">
        <v>26055</v>
      </c>
      <c r="G127" s="2" t="s">
        <v>1040</v>
      </c>
      <c r="H127" s="2" t="s">
        <v>1036</v>
      </c>
      <c r="I127" s="2" t="s">
        <v>11</v>
      </c>
    </row>
    <row r="128" spans="1:9" x14ac:dyDescent="0.25">
      <c r="A128">
        <v>127</v>
      </c>
      <c r="B128" t="s">
        <v>430</v>
      </c>
      <c r="C128" t="s">
        <v>431</v>
      </c>
      <c r="D128" t="s">
        <v>432</v>
      </c>
      <c r="F128" s="1">
        <v>33476</v>
      </c>
      <c r="G128" s="2" t="s">
        <v>1040</v>
      </c>
      <c r="H128" s="2" t="s">
        <v>1036</v>
      </c>
      <c r="I128" s="2" t="s">
        <v>11</v>
      </c>
    </row>
    <row r="129" spans="1:9" x14ac:dyDescent="0.25">
      <c r="A129">
        <v>128</v>
      </c>
      <c r="B129" t="s">
        <v>433</v>
      </c>
      <c r="C129" t="s">
        <v>428</v>
      </c>
      <c r="D129" t="s">
        <v>434</v>
      </c>
      <c r="E129" t="s">
        <v>22</v>
      </c>
      <c r="F129" s="1">
        <v>33095</v>
      </c>
      <c r="G129" s="2" t="s">
        <v>1040</v>
      </c>
      <c r="H129" s="2" t="s">
        <v>1036</v>
      </c>
      <c r="I129" s="2" t="s">
        <v>11</v>
      </c>
    </row>
    <row r="130" spans="1:9" x14ac:dyDescent="0.25">
      <c r="A130">
        <v>129</v>
      </c>
      <c r="B130" t="s">
        <v>435</v>
      </c>
      <c r="C130" t="s">
        <v>436</v>
      </c>
      <c r="D130" t="s">
        <v>78</v>
      </c>
      <c r="F130" s="1">
        <v>34997</v>
      </c>
      <c r="G130" s="2" t="s">
        <v>1040</v>
      </c>
      <c r="H130" s="2" t="s">
        <v>1036</v>
      </c>
      <c r="I130" s="2" t="s">
        <v>11</v>
      </c>
    </row>
    <row r="131" spans="1:9" x14ac:dyDescent="0.25">
      <c r="A131">
        <v>130</v>
      </c>
      <c r="B131" t="s">
        <v>437</v>
      </c>
      <c r="C131" t="s">
        <v>387</v>
      </c>
      <c r="D131" t="s">
        <v>78</v>
      </c>
      <c r="F131" s="1">
        <v>25571</v>
      </c>
      <c r="G131" s="2" t="s">
        <v>1040</v>
      </c>
      <c r="H131" s="2" t="s">
        <v>1036</v>
      </c>
      <c r="I131" s="2" t="s">
        <v>11</v>
      </c>
    </row>
    <row r="132" spans="1:9" x14ac:dyDescent="0.25">
      <c r="A132">
        <v>131</v>
      </c>
      <c r="B132" t="s">
        <v>438</v>
      </c>
      <c r="C132" t="s">
        <v>439</v>
      </c>
      <c r="D132" t="s">
        <v>440</v>
      </c>
      <c r="F132" s="1">
        <v>23089</v>
      </c>
      <c r="G132" s="2" t="s">
        <v>1040</v>
      </c>
      <c r="H132" s="2" t="s">
        <v>1036</v>
      </c>
      <c r="I132" s="2" t="s">
        <v>11</v>
      </c>
    </row>
    <row r="133" spans="1:9" x14ac:dyDescent="0.25">
      <c r="A133">
        <v>132</v>
      </c>
      <c r="B133" t="s">
        <v>441</v>
      </c>
      <c r="C133" t="s">
        <v>442</v>
      </c>
      <c r="D133" t="s">
        <v>443</v>
      </c>
      <c r="F133" s="1">
        <v>21025</v>
      </c>
      <c r="G133" s="2" t="s">
        <v>1040</v>
      </c>
      <c r="H133" s="2" t="s">
        <v>1036</v>
      </c>
      <c r="I133" s="2" t="s">
        <v>11</v>
      </c>
    </row>
    <row r="134" spans="1:9" x14ac:dyDescent="0.25">
      <c r="A134">
        <v>133</v>
      </c>
      <c r="B134" t="s">
        <v>444</v>
      </c>
      <c r="C134" t="s">
        <v>445</v>
      </c>
      <c r="D134" t="s">
        <v>446</v>
      </c>
      <c r="F134" s="1">
        <v>31951</v>
      </c>
      <c r="G134" s="2" t="s">
        <v>1040</v>
      </c>
      <c r="H134" s="2" t="s">
        <v>1036</v>
      </c>
      <c r="I134" s="2" t="s">
        <v>11</v>
      </c>
    </row>
    <row r="135" spans="1:9" x14ac:dyDescent="0.25">
      <c r="A135">
        <v>134</v>
      </c>
      <c r="B135" t="s">
        <v>447</v>
      </c>
      <c r="C135" t="s">
        <v>448</v>
      </c>
      <c r="D135" t="s">
        <v>449</v>
      </c>
      <c r="F135" s="1">
        <v>30353</v>
      </c>
      <c r="G135" s="2" t="s">
        <v>1040</v>
      </c>
      <c r="H135" s="2" t="s">
        <v>1036</v>
      </c>
      <c r="I135" s="2" t="s">
        <v>11</v>
      </c>
    </row>
    <row r="136" spans="1:9" x14ac:dyDescent="0.25">
      <c r="A136">
        <v>135</v>
      </c>
      <c r="B136" t="s">
        <v>81</v>
      </c>
      <c r="C136" t="s">
        <v>127</v>
      </c>
      <c r="D136" t="s">
        <v>59</v>
      </c>
      <c r="F136" s="1">
        <v>31176</v>
      </c>
      <c r="G136" s="2" t="s">
        <v>1040</v>
      </c>
      <c r="H136" s="2" t="s">
        <v>1036</v>
      </c>
      <c r="I136" s="2" t="s">
        <v>11</v>
      </c>
    </row>
    <row r="137" spans="1:9" x14ac:dyDescent="0.25">
      <c r="A137">
        <v>136</v>
      </c>
      <c r="B137" t="s">
        <v>450</v>
      </c>
      <c r="C137" t="s">
        <v>451</v>
      </c>
      <c r="D137" t="s">
        <v>452</v>
      </c>
      <c r="F137" s="1">
        <v>31970</v>
      </c>
      <c r="G137" s="2" t="s">
        <v>1040</v>
      </c>
      <c r="H137" s="2" t="s">
        <v>1036</v>
      </c>
      <c r="I137" s="2" t="s">
        <v>11</v>
      </c>
    </row>
    <row r="138" spans="1:9" x14ac:dyDescent="0.25">
      <c r="A138">
        <v>137</v>
      </c>
      <c r="B138" t="s">
        <v>38</v>
      </c>
      <c r="C138" t="s">
        <v>453</v>
      </c>
      <c r="D138" t="s">
        <v>454</v>
      </c>
      <c r="F138" s="1">
        <v>31410</v>
      </c>
      <c r="G138" s="2" t="s">
        <v>1040</v>
      </c>
      <c r="H138" s="2" t="s">
        <v>1036</v>
      </c>
      <c r="I138" s="2" t="s">
        <v>11</v>
      </c>
    </row>
    <row r="139" spans="1:9" x14ac:dyDescent="0.25">
      <c r="A139">
        <v>138</v>
      </c>
      <c r="B139" t="s">
        <v>38</v>
      </c>
      <c r="C139" t="s">
        <v>455</v>
      </c>
      <c r="D139" t="s">
        <v>456</v>
      </c>
      <c r="F139" s="1">
        <v>34214</v>
      </c>
      <c r="G139" s="2" t="s">
        <v>1040</v>
      </c>
      <c r="H139" s="2" t="s">
        <v>1036</v>
      </c>
      <c r="I139" s="2" t="s">
        <v>11</v>
      </c>
    </row>
    <row r="140" spans="1:9" x14ac:dyDescent="0.25">
      <c r="A140">
        <v>139</v>
      </c>
      <c r="B140" t="s">
        <v>457</v>
      </c>
      <c r="C140" t="s">
        <v>166</v>
      </c>
      <c r="D140" t="s">
        <v>156</v>
      </c>
      <c r="F140" s="1">
        <v>27571</v>
      </c>
      <c r="G140" s="2" t="s">
        <v>1040</v>
      </c>
      <c r="H140" s="2" t="s">
        <v>1036</v>
      </c>
      <c r="I140" s="2" t="s">
        <v>11</v>
      </c>
    </row>
    <row r="141" spans="1:9" x14ac:dyDescent="0.25">
      <c r="A141">
        <v>140</v>
      </c>
      <c r="B141" t="s">
        <v>458</v>
      </c>
      <c r="C141" t="s">
        <v>459</v>
      </c>
      <c r="D141" t="s">
        <v>59</v>
      </c>
      <c r="F141" s="1">
        <v>22585</v>
      </c>
      <c r="G141" s="2" t="s">
        <v>1041</v>
      </c>
      <c r="H141" s="2" t="s">
        <v>1036</v>
      </c>
      <c r="I141" s="2" t="s">
        <v>11</v>
      </c>
    </row>
    <row r="142" spans="1:9" x14ac:dyDescent="0.25">
      <c r="A142">
        <v>141</v>
      </c>
      <c r="B142" t="s">
        <v>460</v>
      </c>
      <c r="C142" t="s">
        <v>461</v>
      </c>
      <c r="D142" t="s">
        <v>81</v>
      </c>
      <c r="F142" s="1">
        <v>23778</v>
      </c>
      <c r="G142" s="2" t="s">
        <v>1041</v>
      </c>
      <c r="H142" s="2" t="s">
        <v>1036</v>
      </c>
      <c r="I142" s="2" t="s">
        <v>11</v>
      </c>
    </row>
    <row r="143" spans="1:9" x14ac:dyDescent="0.25">
      <c r="A143">
        <v>142</v>
      </c>
      <c r="B143" t="s">
        <v>462</v>
      </c>
      <c r="C143" t="s">
        <v>463</v>
      </c>
      <c r="D143" t="s">
        <v>464</v>
      </c>
      <c r="F143" s="1">
        <v>28215</v>
      </c>
      <c r="G143" s="2" t="s">
        <v>1041</v>
      </c>
      <c r="H143" s="2" t="s">
        <v>1036</v>
      </c>
      <c r="I143" s="2" t="s">
        <v>11</v>
      </c>
    </row>
    <row r="144" spans="1:9" x14ac:dyDescent="0.25">
      <c r="A144">
        <v>143</v>
      </c>
      <c r="B144" t="s">
        <v>426</v>
      </c>
      <c r="C144" t="s">
        <v>465</v>
      </c>
      <c r="D144" t="s">
        <v>466</v>
      </c>
      <c r="F144" s="1">
        <v>21616</v>
      </c>
      <c r="G144" s="2" t="s">
        <v>1041</v>
      </c>
      <c r="H144" s="2" t="s">
        <v>1036</v>
      </c>
      <c r="I144" s="2" t="s">
        <v>11</v>
      </c>
    </row>
    <row r="145" spans="1:9" x14ac:dyDescent="0.25">
      <c r="A145">
        <v>144</v>
      </c>
      <c r="B145" t="s">
        <v>467</v>
      </c>
      <c r="C145" t="s">
        <v>84</v>
      </c>
      <c r="D145" t="s">
        <v>35</v>
      </c>
      <c r="F145" s="1">
        <v>23264</v>
      </c>
      <c r="G145" s="2" t="s">
        <v>1041</v>
      </c>
      <c r="H145" s="2" t="s">
        <v>1036</v>
      </c>
      <c r="I145" s="2" t="s">
        <v>11</v>
      </c>
    </row>
    <row r="146" spans="1:9" x14ac:dyDescent="0.25">
      <c r="A146">
        <v>145</v>
      </c>
      <c r="B146" t="s">
        <v>468</v>
      </c>
      <c r="C146" t="s">
        <v>469</v>
      </c>
      <c r="D146" t="s">
        <v>81</v>
      </c>
      <c r="F146" s="1">
        <v>23615</v>
      </c>
      <c r="G146" s="2" t="s">
        <v>1041</v>
      </c>
      <c r="H146" s="2" t="s">
        <v>1036</v>
      </c>
      <c r="I146" s="2" t="s">
        <v>11</v>
      </c>
    </row>
    <row r="147" spans="1:9" x14ac:dyDescent="0.25">
      <c r="A147">
        <v>146</v>
      </c>
      <c r="B147" t="s">
        <v>470</v>
      </c>
      <c r="C147" t="s">
        <v>471</v>
      </c>
      <c r="D147" t="s">
        <v>472</v>
      </c>
      <c r="F147" s="1">
        <v>30202</v>
      </c>
      <c r="G147" s="2" t="s">
        <v>1041</v>
      </c>
      <c r="H147" s="2" t="s">
        <v>1036</v>
      </c>
      <c r="I147" s="2" t="s">
        <v>11</v>
      </c>
    </row>
    <row r="148" spans="1:9" x14ac:dyDescent="0.25">
      <c r="A148">
        <v>147</v>
      </c>
      <c r="B148" t="s">
        <v>473</v>
      </c>
      <c r="C148" t="s">
        <v>474</v>
      </c>
      <c r="D148" t="s">
        <v>335</v>
      </c>
      <c r="F148" s="1">
        <v>35137</v>
      </c>
      <c r="G148" s="2" t="s">
        <v>1041</v>
      </c>
      <c r="H148" s="2" t="s">
        <v>1036</v>
      </c>
      <c r="I148" s="2" t="s">
        <v>11</v>
      </c>
    </row>
    <row r="149" spans="1:9" x14ac:dyDescent="0.25">
      <c r="A149">
        <v>148</v>
      </c>
      <c r="B149" t="s">
        <v>81</v>
      </c>
      <c r="C149" t="s">
        <v>475</v>
      </c>
      <c r="D149" t="s">
        <v>53</v>
      </c>
      <c r="F149" s="1">
        <v>21684</v>
      </c>
      <c r="G149" s="2" t="s">
        <v>1041</v>
      </c>
      <c r="H149" s="2" t="s">
        <v>1036</v>
      </c>
      <c r="I149" s="2" t="s">
        <v>11</v>
      </c>
    </row>
    <row r="150" spans="1:9" x14ac:dyDescent="0.25">
      <c r="A150">
        <v>149</v>
      </c>
      <c r="B150" t="s">
        <v>81</v>
      </c>
      <c r="C150" t="s">
        <v>476</v>
      </c>
      <c r="D150" t="s">
        <v>477</v>
      </c>
      <c r="F150" s="1">
        <v>33756</v>
      </c>
      <c r="G150" s="2" t="s">
        <v>1041</v>
      </c>
      <c r="H150" s="2" t="s">
        <v>1036</v>
      </c>
      <c r="I150" s="2" t="s">
        <v>11</v>
      </c>
    </row>
    <row r="151" spans="1:9" x14ac:dyDescent="0.25">
      <c r="A151">
        <v>150</v>
      </c>
      <c r="B151" t="s">
        <v>478</v>
      </c>
      <c r="C151" t="s">
        <v>479</v>
      </c>
      <c r="D151" t="s">
        <v>480</v>
      </c>
      <c r="F151" s="1">
        <v>27627</v>
      </c>
      <c r="G151" s="2" t="s">
        <v>1041</v>
      </c>
      <c r="H151" s="2" t="s">
        <v>1036</v>
      </c>
      <c r="I151" s="2" t="s">
        <v>11</v>
      </c>
    </row>
    <row r="152" spans="1:9" x14ac:dyDescent="0.25">
      <c r="A152">
        <v>151</v>
      </c>
      <c r="B152" t="s">
        <v>38</v>
      </c>
      <c r="C152" t="s">
        <v>481</v>
      </c>
      <c r="D152" t="s">
        <v>81</v>
      </c>
      <c r="F152" s="1">
        <v>28377</v>
      </c>
      <c r="G152" s="2" t="s">
        <v>1041</v>
      </c>
      <c r="H152" s="2" t="s">
        <v>1036</v>
      </c>
      <c r="I152" s="2" t="s">
        <v>11</v>
      </c>
    </row>
    <row r="153" spans="1:9" x14ac:dyDescent="0.25">
      <c r="A153">
        <v>152</v>
      </c>
      <c r="B153" t="s">
        <v>482</v>
      </c>
      <c r="C153" t="s">
        <v>483</v>
      </c>
      <c r="D153" t="s">
        <v>484</v>
      </c>
      <c r="F153" s="1">
        <v>31778</v>
      </c>
      <c r="G153" s="2" t="s">
        <v>1041</v>
      </c>
      <c r="H153" s="2" t="s">
        <v>1036</v>
      </c>
      <c r="I153" s="2" t="s">
        <v>11</v>
      </c>
    </row>
    <row r="154" spans="1:9" x14ac:dyDescent="0.25">
      <c r="A154">
        <v>153</v>
      </c>
      <c r="B154" t="s">
        <v>485</v>
      </c>
      <c r="C154" t="s">
        <v>486</v>
      </c>
      <c r="D154" t="s">
        <v>487</v>
      </c>
      <c r="F154" s="1">
        <v>20062</v>
      </c>
      <c r="G154" s="2" t="s">
        <v>1041</v>
      </c>
      <c r="H154" s="2" t="s">
        <v>1036</v>
      </c>
      <c r="I154" s="2" t="s">
        <v>11</v>
      </c>
    </row>
    <row r="155" spans="1:9" x14ac:dyDescent="0.25">
      <c r="A155">
        <v>154</v>
      </c>
      <c r="B155" t="s">
        <v>488</v>
      </c>
      <c r="C155" t="s">
        <v>489</v>
      </c>
      <c r="D155" t="s">
        <v>490</v>
      </c>
      <c r="F155" s="1">
        <v>20905</v>
      </c>
      <c r="G155" s="2" t="s">
        <v>1041</v>
      </c>
      <c r="H155" s="2" t="s">
        <v>1036</v>
      </c>
      <c r="I155" s="2" t="s">
        <v>11</v>
      </c>
    </row>
    <row r="156" spans="1:9" x14ac:dyDescent="0.25">
      <c r="A156">
        <v>155</v>
      </c>
      <c r="B156" t="s">
        <v>488</v>
      </c>
      <c r="C156" t="s">
        <v>491</v>
      </c>
      <c r="D156" t="s">
        <v>490</v>
      </c>
      <c r="F156" s="1">
        <v>29574</v>
      </c>
      <c r="G156" s="2" t="s">
        <v>1041</v>
      </c>
      <c r="H156" s="2" t="s">
        <v>1036</v>
      </c>
      <c r="I156" s="2" t="s">
        <v>11</v>
      </c>
    </row>
    <row r="157" spans="1:9" x14ac:dyDescent="0.25">
      <c r="A157">
        <v>156</v>
      </c>
      <c r="B157" t="s">
        <v>62</v>
      </c>
      <c r="C157" t="s">
        <v>492</v>
      </c>
      <c r="D157" t="s">
        <v>493</v>
      </c>
      <c r="F157" s="1">
        <v>34027</v>
      </c>
      <c r="G157" s="2" t="s">
        <v>1041</v>
      </c>
      <c r="H157" s="2" t="s">
        <v>1036</v>
      </c>
      <c r="I157" s="2" t="s">
        <v>11</v>
      </c>
    </row>
    <row r="158" spans="1:9" x14ac:dyDescent="0.25">
      <c r="A158">
        <v>157</v>
      </c>
      <c r="B158" t="s">
        <v>62</v>
      </c>
      <c r="C158" t="s">
        <v>134</v>
      </c>
      <c r="D158" t="s">
        <v>494</v>
      </c>
      <c r="F158" s="1">
        <v>27452</v>
      </c>
      <c r="G158" s="2" t="s">
        <v>1041</v>
      </c>
      <c r="H158" s="2" t="s">
        <v>1036</v>
      </c>
      <c r="I158" s="2" t="s">
        <v>11</v>
      </c>
    </row>
    <row r="159" spans="1:9" x14ac:dyDescent="0.25">
      <c r="A159">
        <v>158</v>
      </c>
      <c r="B159" t="s">
        <v>62</v>
      </c>
      <c r="C159" t="s">
        <v>495</v>
      </c>
      <c r="D159" t="s">
        <v>496</v>
      </c>
      <c r="F159" s="1">
        <v>30309</v>
      </c>
      <c r="G159" s="2" t="s">
        <v>1041</v>
      </c>
      <c r="H159" s="2" t="s">
        <v>1036</v>
      </c>
      <c r="I159" s="2" t="s">
        <v>11</v>
      </c>
    </row>
    <row r="160" spans="1:9" x14ac:dyDescent="0.25">
      <c r="A160">
        <v>159</v>
      </c>
      <c r="B160" t="s">
        <v>497</v>
      </c>
      <c r="C160" t="s">
        <v>498</v>
      </c>
      <c r="D160" t="s">
        <v>499</v>
      </c>
      <c r="F160" s="1">
        <v>31266</v>
      </c>
      <c r="G160" s="2" t="s">
        <v>1041</v>
      </c>
      <c r="H160" s="2" t="s">
        <v>1036</v>
      </c>
      <c r="I160" s="2" t="s">
        <v>11</v>
      </c>
    </row>
    <row r="161" spans="1:9" x14ac:dyDescent="0.25">
      <c r="A161">
        <v>160</v>
      </c>
      <c r="B161" t="s">
        <v>500</v>
      </c>
      <c r="C161" t="s">
        <v>501</v>
      </c>
      <c r="D161" t="s">
        <v>502</v>
      </c>
      <c r="F161" s="1">
        <v>36710</v>
      </c>
      <c r="G161" s="2" t="s">
        <v>1042</v>
      </c>
      <c r="H161" s="2" t="s">
        <v>1036</v>
      </c>
      <c r="I161" s="2" t="s">
        <v>11</v>
      </c>
    </row>
    <row r="162" spans="1:9" x14ac:dyDescent="0.25">
      <c r="A162">
        <v>161</v>
      </c>
      <c r="B162" t="s">
        <v>500</v>
      </c>
      <c r="C162" t="s">
        <v>503</v>
      </c>
      <c r="D162" t="s">
        <v>502</v>
      </c>
      <c r="F162" s="1">
        <v>35594</v>
      </c>
      <c r="G162" s="2" t="s">
        <v>1042</v>
      </c>
      <c r="H162" s="2" t="s">
        <v>1036</v>
      </c>
      <c r="I162" s="2" t="s">
        <v>11</v>
      </c>
    </row>
    <row r="163" spans="1:9" x14ac:dyDescent="0.25">
      <c r="A163">
        <v>162</v>
      </c>
      <c r="B163" t="s">
        <v>500</v>
      </c>
      <c r="C163" t="s">
        <v>80</v>
      </c>
      <c r="D163" t="s">
        <v>504</v>
      </c>
      <c r="F163" s="1">
        <v>32314</v>
      </c>
      <c r="G163" s="2" t="s">
        <v>1042</v>
      </c>
      <c r="H163" s="2" t="s">
        <v>1036</v>
      </c>
      <c r="I163" s="2" t="s">
        <v>11</v>
      </c>
    </row>
    <row r="164" spans="1:9" x14ac:dyDescent="0.25">
      <c r="A164">
        <v>163</v>
      </c>
      <c r="B164" t="s">
        <v>500</v>
      </c>
      <c r="C164" t="s">
        <v>505</v>
      </c>
      <c r="D164" t="s">
        <v>113</v>
      </c>
      <c r="F164" s="1">
        <v>34091</v>
      </c>
      <c r="G164" s="2" t="s">
        <v>1042</v>
      </c>
      <c r="H164" s="2" t="s">
        <v>1036</v>
      </c>
      <c r="I164" s="2" t="s">
        <v>11</v>
      </c>
    </row>
    <row r="165" spans="1:9" x14ac:dyDescent="0.25">
      <c r="A165">
        <v>164</v>
      </c>
      <c r="B165" t="s">
        <v>500</v>
      </c>
      <c r="C165" t="s">
        <v>251</v>
      </c>
      <c r="D165" t="s">
        <v>467</v>
      </c>
      <c r="F165" s="1">
        <v>25420</v>
      </c>
      <c r="G165" s="2" t="s">
        <v>1042</v>
      </c>
      <c r="H165" s="2" t="s">
        <v>1036</v>
      </c>
      <c r="I165" s="2" t="s">
        <v>11</v>
      </c>
    </row>
    <row r="166" spans="1:9" x14ac:dyDescent="0.25">
      <c r="A166">
        <v>165</v>
      </c>
      <c r="B166" t="s">
        <v>500</v>
      </c>
      <c r="C166" t="s">
        <v>506</v>
      </c>
      <c r="D166" t="s">
        <v>507</v>
      </c>
      <c r="F166" s="1">
        <v>25125</v>
      </c>
      <c r="G166" s="2" t="s">
        <v>1042</v>
      </c>
      <c r="H166" s="2" t="s">
        <v>1036</v>
      </c>
      <c r="I166" s="2" t="s">
        <v>11</v>
      </c>
    </row>
    <row r="167" spans="1:9" x14ac:dyDescent="0.25">
      <c r="A167">
        <v>166</v>
      </c>
      <c r="B167" t="s">
        <v>508</v>
      </c>
      <c r="C167" t="s">
        <v>509</v>
      </c>
      <c r="D167" t="s">
        <v>510</v>
      </c>
      <c r="F167" s="1">
        <v>34143</v>
      </c>
      <c r="G167" s="2" t="s">
        <v>1042</v>
      </c>
      <c r="H167" s="2" t="s">
        <v>1036</v>
      </c>
      <c r="I167" s="2" t="s">
        <v>11</v>
      </c>
    </row>
    <row r="168" spans="1:9" x14ac:dyDescent="0.25">
      <c r="A168">
        <v>167</v>
      </c>
      <c r="B168" t="s">
        <v>511</v>
      </c>
      <c r="C168" t="s">
        <v>89</v>
      </c>
      <c r="D168" t="s">
        <v>500</v>
      </c>
      <c r="F168" s="1">
        <v>26568</v>
      </c>
      <c r="G168" s="2" t="s">
        <v>1042</v>
      </c>
      <c r="H168" s="2" t="s">
        <v>1036</v>
      </c>
      <c r="I168" s="2" t="s">
        <v>11</v>
      </c>
    </row>
    <row r="169" spans="1:9" x14ac:dyDescent="0.25">
      <c r="A169">
        <v>168</v>
      </c>
      <c r="B169" t="s">
        <v>512</v>
      </c>
      <c r="C169" t="s">
        <v>513</v>
      </c>
      <c r="D169" t="s">
        <v>126</v>
      </c>
      <c r="F169" s="1">
        <v>28623</v>
      </c>
      <c r="G169" s="2" t="s">
        <v>1042</v>
      </c>
      <c r="H169" s="2" t="s">
        <v>1036</v>
      </c>
      <c r="I169" s="2" t="s">
        <v>11</v>
      </c>
    </row>
    <row r="170" spans="1:9" x14ac:dyDescent="0.25">
      <c r="A170">
        <v>169</v>
      </c>
      <c r="B170" t="s">
        <v>512</v>
      </c>
      <c r="C170" t="s">
        <v>514</v>
      </c>
      <c r="D170" t="s">
        <v>97</v>
      </c>
      <c r="F170" s="1">
        <v>19481</v>
      </c>
      <c r="G170" s="2" t="s">
        <v>1042</v>
      </c>
      <c r="H170" s="2" t="s">
        <v>1036</v>
      </c>
      <c r="I170" s="2" t="s">
        <v>11</v>
      </c>
    </row>
    <row r="171" spans="1:9" x14ac:dyDescent="0.25">
      <c r="A171">
        <v>170</v>
      </c>
      <c r="B171" t="s">
        <v>512</v>
      </c>
      <c r="C171" t="s">
        <v>515</v>
      </c>
      <c r="D171" t="s">
        <v>97</v>
      </c>
      <c r="F171" s="1">
        <v>30827</v>
      </c>
      <c r="G171" s="2" t="s">
        <v>1042</v>
      </c>
      <c r="H171" s="2" t="s">
        <v>1036</v>
      </c>
      <c r="I171" s="2" t="s">
        <v>11</v>
      </c>
    </row>
    <row r="172" spans="1:9" x14ac:dyDescent="0.25">
      <c r="A172">
        <v>171</v>
      </c>
      <c r="B172" t="s">
        <v>516</v>
      </c>
      <c r="C172" t="s">
        <v>517</v>
      </c>
      <c r="D172" t="s">
        <v>518</v>
      </c>
      <c r="F172" s="1">
        <v>27904</v>
      </c>
      <c r="G172" s="2" t="s">
        <v>1042</v>
      </c>
      <c r="H172" s="2" t="s">
        <v>1036</v>
      </c>
      <c r="I172" s="2" t="s">
        <v>11</v>
      </c>
    </row>
    <row r="173" spans="1:9" x14ac:dyDescent="0.25">
      <c r="A173">
        <v>172</v>
      </c>
      <c r="B173" t="s">
        <v>519</v>
      </c>
      <c r="C173" t="s">
        <v>520</v>
      </c>
      <c r="D173" t="s">
        <v>521</v>
      </c>
      <c r="F173" s="1">
        <v>31778</v>
      </c>
      <c r="G173" s="2" t="s">
        <v>1042</v>
      </c>
      <c r="H173" s="2" t="s">
        <v>1036</v>
      </c>
      <c r="I173" s="2" t="s">
        <v>11</v>
      </c>
    </row>
    <row r="174" spans="1:9" x14ac:dyDescent="0.25">
      <c r="A174">
        <v>173</v>
      </c>
      <c r="B174" t="s">
        <v>519</v>
      </c>
      <c r="C174" t="s">
        <v>522</v>
      </c>
      <c r="D174" t="s">
        <v>97</v>
      </c>
      <c r="F174" s="1">
        <v>31849</v>
      </c>
      <c r="G174" s="2" t="s">
        <v>1042</v>
      </c>
      <c r="H174" s="2" t="s">
        <v>1036</v>
      </c>
      <c r="I174" s="2" t="s">
        <v>11</v>
      </c>
    </row>
    <row r="175" spans="1:9" x14ac:dyDescent="0.25">
      <c r="A175">
        <v>174</v>
      </c>
      <c r="B175" t="s">
        <v>519</v>
      </c>
      <c r="C175" t="s">
        <v>523</v>
      </c>
      <c r="D175" t="s">
        <v>78</v>
      </c>
      <c r="F175" s="1">
        <v>33089</v>
      </c>
      <c r="G175" s="2" t="s">
        <v>1042</v>
      </c>
      <c r="H175" s="2" t="s">
        <v>1036</v>
      </c>
      <c r="I175" s="2" t="s">
        <v>11</v>
      </c>
    </row>
    <row r="176" spans="1:9" x14ac:dyDescent="0.25">
      <c r="A176">
        <v>175</v>
      </c>
      <c r="B176" t="s">
        <v>524</v>
      </c>
      <c r="C176" t="s">
        <v>525</v>
      </c>
      <c r="D176" t="s">
        <v>526</v>
      </c>
      <c r="F176" s="1">
        <v>33212</v>
      </c>
      <c r="G176" s="2" t="s">
        <v>1042</v>
      </c>
      <c r="H176" s="2" t="s">
        <v>1036</v>
      </c>
      <c r="I176" s="2" t="s">
        <v>11</v>
      </c>
    </row>
    <row r="177" spans="1:9" x14ac:dyDescent="0.25">
      <c r="A177">
        <v>176</v>
      </c>
      <c r="B177" t="s">
        <v>121</v>
      </c>
      <c r="C177" t="s">
        <v>527</v>
      </c>
      <c r="D177" t="s">
        <v>528</v>
      </c>
      <c r="F177" s="1">
        <v>36534</v>
      </c>
      <c r="G177" s="2" t="s">
        <v>1042</v>
      </c>
      <c r="H177" s="2" t="s">
        <v>1036</v>
      </c>
      <c r="I177" s="2" t="s">
        <v>11</v>
      </c>
    </row>
    <row r="178" spans="1:9" x14ac:dyDescent="0.25">
      <c r="A178">
        <v>177</v>
      </c>
      <c r="B178" t="s">
        <v>529</v>
      </c>
      <c r="C178" t="s">
        <v>530</v>
      </c>
      <c r="D178" t="s">
        <v>97</v>
      </c>
      <c r="E178" t="s">
        <v>67</v>
      </c>
      <c r="F178" s="1">
        <v>32060</v>
      </c>
      <c r="G178" s="2" t="s">
        <v>1042</v>
      </c>
      <c r="H178" s="2" t="s">
        <v>1036</v>
      </c>
      <c r="I178" s="2" t="s">
        <v>11</v>
      </c>
    </row>
    <row r="179" spans="1:9" x14ac:dyDescent="0.25">
      <c r="A179">
        <v>178</v>
      </c>
      <c r="B179" t="s">
        <v>529</v>
      </c>
      <c r="C179" t="s">
        <v>531</v>
      </c>
      <c r="D179" t="s">
        <v>532</v>
      </c>
      <c r="F179" s="1">
        <v>36111</v>
      </c>
      <c r="G179" s="2" t="s">
        <v>1042</v>
      </c>
      <c r="H179" s="2" t="s">
        <v>1036</v>
      </c>
      <c r="I179" s="2" t="s">
        <v>11</v>
      </c>
    </row>
    <row r="180" spans="1:9" x14ac:dyDescent="0.25">
      <c r="A180">
        <v>179</v>
      </c>
      <c r="B180" t="s">
        <v>529</v>
      </c>
      <c r="C180" t="s">
        <v>533</v>
      </c>
      <c r="D180" t="s">
        <v>97</v>
      </c>
      <c r="F180" s="1">
        <v>25647</v>
      </c>
      <c r="G180" s="2" t="s">
        <v>1042</v>
      </c>
      <c r="H180" s="2" t="s">
        <v>1036</v>
      </c>
      <c r="I180" s="2" t="s">
        <v>11</v>
      </c>
    </row>
    <row r="181" spans="1:9" x14ac:dyDescent="0.25">
      <c r="A181">
        <v>180</v>
      </c>
      <c r="B181" t="s">
        <v>529</v>
      </c>
      <c r="C181" t="s">
        <v>534</v>
      </c>
      <c r="D181" t="s">
        <v>535</v>
      </c>
      <c r="F181" s="1">
        <v>28932</v>
      </c>
      <c r="G181" s="2" t="s">
        <v>1042</v>
      </c>
      <c r="H181" s="2" t="s">
        <v>1036</v>
      </c>
      <c r="I181" s="2" t="s">
        <v>11</v>
      </c>
    </row>
    <row r="182" spans="1:9" x14ac:dyDescent="0.25">
      <c r="A182">
        <v>181</v>
      </c>
      <c r="B182" t="s">
        <v>529</v>
      </c>
      <c r="C182" t="s">
        <v>536</v>
      </c>
      <c r="D182" t="s">
        <v>537</v>
      </c>
      <c r="F182" s="1">
        <v>28630</v>
      </c>
      <c r="G182" s="2" t="s">
        <v>1042</v>
      </c>
      <c r="H182" s="2" t="s">
        <v>1036</v>
      </c>
      <c r="I182" s="2" t="s">
        <v>11</v>
      </c>
    </row>
    <row r="183" spans="1:9" x14ac:dyDescent="0.25">
      <c r="A183">
        <v>182</v>
      </c>
      <c r="B183" t="s">
        <v>180</v>
      </c>
      <c r="C183" t="s">
        <v>230</v>
      </c>
      <c r="D183" t="s">
        <v>538</v>
      </c>
      <c r="F183" s="1">
        <v>35895</v>
      </c>
      <c r="G183" s="2" t="s">
        <v>1042</v>
      </c>
      <c r="H183" s="2" t="s">
        <v>1036</v>
      </c>
      <c r="I183" s="2" t="s">
        <v>11</v>
      </c>
    </row>
    <row r="184" spans="1:9" x14ac:dyDescent="0.25">
      <c r="A184">
        <v>183</v>
      </c>
      <c r="B184" t="s">
        <v>464</v>
      </c>
      <c r="C184" t="s">
        <v>539</v>
      </c>
      <c r="D184" t="s">
        <v>512</v>
      </c>
      <c r="F184" s="1">
        <v>27320</v>
      </c>
      <c r="G184" s="2" t="s">
        <v>1042</v>
      </c>
      <c r="H184" s="2" t="s">
        <v>1036</v>
      </c>
      <c r="I184" s="2" t="s">
        <v>11</v>
      </c>
    </row>
    <row r="185" spans="1:9" x14ac:dyDescent="0.25">
      <c r="A185">
        <v>184</v>
      </c>
      <c r="B185" t="s">
        <v>540</v>
      </c>
      <c r="C185" t="s">
        <v>541</v>
      </c>
      <c r="D185" t="s">
        <v>542</v>
      </c>
      <c r="F185" s="1">
        <v>36049</v>
      </c>
      <c r="G185" s="2" t="s">
        <v>1042</v>
      </c>
      <c r="H185" s="2" t="s">
        <v>1036</v>
      </c>
      <c r="I185" s="2" t="s">
        <v>11</v>
      </c>
    </row>
    <row r="186" spans="1:9" x14ac:dyDescent="0.25">
      <c r="A186">
        <v>185</v>
      </c>
      <c r="B186" t="s">
        <v>543</v>
      </c>
      <c r="C186" t="s">
        <v>544</v>
      </c>
      <c r="D186" t="s">
        <v>306</v>
      </c>
      <c r="F186" s="1">
        <v>2139</v>
      </c>
      <c r="G186" s="2" t="s">
        <v>1042</v>
      </c>
      <c r="H186" s="2" t="s">
        <v>1036</v>
      </c>
      <c r="I186" s="2" t="s">
        <v>11</v>
      </c>
    </row>
    <row r="187" spans="1:9" x14ac:dyDescent="0.25">
      <c r="A187">
        <v>186</v>
      </c>
      <c r="B187" t="s">
        <v>78</v>
      </c>
      <c r="C187" t="s">
        <v>545</v>
      </c>
      <c r="D187" t="s">
        <v>512</v>
      </c>
      <c r="F187" s="1">
        <v>37300</v>
      </c>
      <c r="G187" s="2" t="s">
        <v>1042</v>
      </c>
      <c r="H187" s="2" t="s">
        <v>1036</v>
      </c>
      <c r="I187" s="2" t="s">
        <v>11</v>
      </c>
    </row>
    <row r="188" spans="1:9" x14ac:dyDescent="0.25">
      <c r="A188">
        <v>187</v>
      </c>
      <c r="B188" t="s">
        <v>546</v>
      </c>
      <c r="C188" t="s">
        <v>547</v>
      </c>
      <c r="D188" t="s">
        <v>548</v>
      </c>
      <c r="F188" s="1">
        <v>30960</v>
      </c>
      <c r="G188" s="2" t="s">
        <v>1042</v>
      </c>
      <c r="H188" s="2" t="s">
        <v>1036</v>
      </c>
      <c r="I188" s="2" t="s">
        <v>11</v>
      </c>
    </row>
    <row r="189" spans="1:9" x14ac:dyDescent="0.25">
      <c r="A189">
        <v>188</v>
      </c>
      <c r="B189" t="s">
        <v>549</v>
      </c>
      <c r="C189" t="s">
        <v>550</v>
      </c>
      <c r="D189" t="s">
        <v>464</v>
      </c>
      <c r="F189" s="1">
        <v>30532</v>
      </c>
      <c r="G189" s="2" t="s">
        <v>1042</v>
      </c>
      <c r="H189" s="2" t="s">
        <v>1036</v>
      </c>
      <c r="I189" s="2" t="s">
        <v>11</v>
      </c>
    </row>
    <row r="190" spans="1:9" x14ac:dyDescent="0.25">
      <c r="A190">
        <v>189</v>
      </c>
      <c r="B190" t="s">
        <v>551</v>
      </c>
      <c r="C190" t="s">
        <v>552</v>
      </c>
      <c r="D190" t="s">
        <v>553</v>
      </c>
      <c r="F190" s="1">
        <v>26134</v>
      </c>
      <c r="G190" s="2" t="s">
        <v>1042</v>
      </c>
      <c r="H190" s="2" t="s">
        <v>1036</v>
      </c>
      <c r="I190" s="2" t="s">
        <v>11</v>
      </c>
    </row>
    <row r="191" spans="1:9" x14ac:dyDescent="0.25">
      <c r="A191">
        <v>190</v>
      </c>
      <c r="B191" t="s">
        <v>97</v>
      </c>
      <c r="C191" t="s">
        <v>530</v>
      </c>
      <c r="D191" t="s">
        <v>535</v>
      </c>
      <c r="F191" s="1">
        <v>20412</v>
      </c>
      <c r="G191" s="2" t="s">
        <v>1042</v>
      </c>
      <c r="H191" s="2" t="s">
        <v>1036</v>
      </c>
      <c r="I191" s="2" t="s">
        <v>11</v>
      </c>
    </row>
    <row r="192" spans="1:9" x14ac:dyDescent="0.25">
      <c r="A192">
        <v>191</v>
      </c>
      <c r="B192" t="s">
        <v>215</v>
      </c>
      <c r="C192" t="s">
        <v>554</v>
      </c>
      <c r="D192" t="s">
        <v>376</v>
      </c>
      <c r="F192" s="1">
        <v>27369</v>
      </c>
      <c r="G192" s="2" t="s">
        <v>1042</v>
      </c>
      <c r="H192" s="2" t="s">
        <v>1036</v>
      </c>
      <c r="I192" s="2" t="s">
        <v>11</v>
      </c>
    </row>
    <row r="193" spans="1:9" x14ac:dyDescent="0.25">
      <c r="A193">
        <v>192</v>
      </c>
      <c r="B193" t="s">
        <v>1231</v>
      </c>
      <c r="C193" t="s">
        <v>75</v>
      </c>
      <c r="D193" t="s">
        <v>555</v>
      </c>
      <c r="F193" s="1">
        <v>31865</v>
      </c>
      <c r="G193" s="2" t="s">
        <v>1042</v>
      </c>
      <c r="H193" s="2" t="s">
        <v>1036</v>
      </c>
      <c r="I193" s="2" t="s">
        <v>11</v>
      </c>
    </row>
    <row r="194" spans="1:9" x14ac:dyDescent="0.25">
      <c r="A194">
        <v>193</v>
      </c>
      <c r="B194" t="s">
        <v>556</v>
      </c>
      <c r="C194" t="s">
        <v>557</v>
      </c>
      <c r="D194" t="s">
        <v>180</v>
      </c>
      <c r="F194" s="1">
        <v>26195</v>
      </c>
      <c r="G194" s="2" t="s">
        <v>1042</v>
      </c>
      <c r="H194" s="2" t="s">
        <v>1036</v>
      </c>
      <c r="I194" s="2" t="s">
        <v>11</v>
      </c>
    </row>
    <row r="195" spans="1:9" x14ac:dyDescent="0.25">
      <c r="A195">
        <v>194</v>
      </c>
      <c r="B195" t="s">
        <v>558</v>
      </c>
      <c r="C195" t="s">
        <v>559</v>
      </c>
      <c r="D195" t="s">
        <v>560</v>
      </c>
      <c r="F195" s="1">
        <v>33300</v>
      </c>
      <c r="G195" s="2" t="s">
        <v>1042</v>
      </c>
      <c r="H195" s="2" t="s">
        <v>1036</v>
      </c>
      <c r="I195" s="2" t="s">
        <v>11</v>
      </c>
    </row>
    <row r="196" spans="1:9" x14ac:dyDescent="0.25">
      <c r="A196">
        <v>195</v>
      </c>
      <c r="B196" t="s">
        <v>561</v>
      </c>
      <c r="C196" t="s">
        <v>562</v>
      </c>
      <c r="D196" t="s">
        <v>168</v>
      </c>
      <c r="F196" s="1">
        <v>32935</v>
      </c>
      <c r="G196" s="2" t="s">
        <v>1042</v>
      </c>
      <c r="H196" s="2" t="s">
        <v>1036</v>
      </c>
      <c r="I196" s="2" t="s">
        <v>11</v>
      </c>
    </row>
    <row r="197" spans="1:9" x14ac:dyDescent="0.25">
      <c r="A197">
        <v>196</v>
      </c>
      <c r="B197" t="s">
        <v>563</v>
      </c>
      <c r="C197" t="s">
        <v>235</v>
      </c>
      <c r="D197" t="s">
        <v>464</v>
      </c>
      <c r="F197" s="1">
        <v>29041</v>
      </c>
      <c r="G197" s="2" t="s">
        <v>1042</v>
      </c>
      <c r="H197" s="2" t="s">
        <v>1036</v>
      </c>
      <c r="I197" s="2" t="s">
        <v>11</v>
      </c>
    </row>
    <row r="198" spans="1:9" x14ac:dyDescent="0.25">
      <c r="A198">
        <v>197</v>
      </c>
      <c r="B198" t="s">
        <v>563</v>
      </c>
      <c r="C198" t="s">
        <v>396</v>
      </c>
      <c r="D198" t="s">
        <v>126</v>
      </c>
      <c r="F198" s="1">
        <v>36114</v>
      </c>
      <c r="G198" s="2" t="s">
        <v>1042</v>
      </c>
      <c r="H198" s="2" t="s">
        <v>1036</v>
      </c>
      <c r="I198" s="2" t="s">
        <v>11</v>
      </c>
    </row>
    <row r="199" spans="1:9" x14ac:dyDescent="0.25">
      <c r="A199">
        <v>198</v>
      </c>
      <c r="B199" t="s">
        <v>168</v>
      </c>
      <c r="C199" t="s">
        <v>166</v>
      </c>
      <c r="D199" t="s">
        <v>560</v>
      </c>
      <c r="F199" s="1">
        <v>36716</v>
      </c>
      <c r="G199" s="2" t="s">
        <v>1042</v>
      </c>
      <c r="H199" s="2" t="s">
        <v>1036</v>
      </c>
      <c r="I199" s="2" t="s">
        <v>11</v>
      </c>
    </row>
    <row r="200" spans="1:9" x14ac:dyDescent="0.25">
      <c r="A200">
        <v>199</v>
      </c>
      <c r="B200" t="s">
        <v>564</v>
      </c>
      <c r="C200" t="s">
        <v>565</v>
      </c>
      <c r="D200" t="s">
        <v>566</v>
      </c>
      <c r="F200" s="1">
        <v>34231</v>
      </c>
      <c r="G200" s="2" t="s">
        <v>1042</v>
      </c>
      <c r="H200" s="2" t="s">
        <v>1036</v>
      </c>
      <c r="I200" s="2" t="s">
        <v>11</v>
      </c>
    </row>
    <row r="201" spans="1:9" x14ac:dyDescent="0.25">
      <c r="A201">
        <v>200</v>
      </c>
      <c r="B201" t="s">
        <v>567</v>
      </c>
      <c r="C201" t="s">
        <v>72</v>
      </c>
      <c r="D201" t="s">
        <v>568</v>
      </c>
      <c r="F201" s="1">
        <v>27844</v>
      </c>
      <c r="G201" s="2" t="s">
        <v>1043</v>
      </c>
      <c r="H201" s="2" t="s">
        <v>1036</v>
      </c>
      <c r="I201" s="2" t="s">
        <v>11</v>
      </c>
    </row>
    <row r="202" spans="1:9" x14ac:dyDescent="0.25">
      <c r="A202">
        <v>201</v>
      </c>
      <c r="B202" t="s">
        <v>569</v>
      </c>
      <c r="C202" t="s">
        <v>570</v>
      </c>
      <c r="D202" t="s">
        <v>78</v>
      </c>
      <c r="F202" s="1">
        <v>24752</v>
      </c>
      <c r="G202" s="2" t="s">
        <v>1044</v>
      </c>
      <c r="H202" s="2" t="s">
        <v>1036</v>
      </c>
      <c r="I202" s="2" t="s">
        <v>11</v>
      </c>
    </row>
    <row r="203" spans="1:9" x14ac:dyDescent="0.25">
      <c r="A203">
        <v>202</v>
      </c>
      <c r="B203" t="s">
        <v>571</v>
      </c>
      <c r="C203" t="s">
        <v>572</v>
      </c>
      <c r="D203" t="s">
        <v>573</v>
      </c>
      <c r="F203" s="1">
        <v>34496</v>
      </c>
      <c r="G203" s="2" t="s">
        <v>1044</v>
      </c>
      <c r="H203" s="2" t="s">
        <v>1036</v>
      </c>
      <c r="I203" s="2" t="s">
        <v>11</v>
      </c>
    </row>
    <row r="204" spans="1:9" x14ac:dyDescent="0.25">
      <c r="A204">
        <v>203</v>
      </c>
      <c r="B204" t="s">
        <v>78</v>
      </c>
      <c r="C204" t="s">
        <v>574</v>
      </c>
      <c r="D204" t="s">
        <v>97</v>
      </c>
      <c r="F204" s="1">
        <v>15600</v>
      </c>
      <c r="G204" s="2" t="s">
        <v>1044</v>
      </c>
      <c r="H204" s="2" t="s">
        <v>1036</v>
      </c>
      <c r="I204" s="2" t="s">
        <v>11</v>
      </c>
    </row>
    <row r="205" spans="1:9" x14ac:dyDescent="0.25">
      <c r="A205">
        <v>204</v>
      </c>
      <c r="B205" t="s">
        <v>575</v>
      </c>
      <c r="C205" t="s">
        <v>576</v>
      </c>
      <c r="D205" t="s">
        <v>132</v>
      </c>
      <c r="F205" s="1">
        <v>24482</v>
      </c>
      <c r="G205" s="2" t="s">
        <v>1044</v>
      </c>
      <c r="H205" s="2" t="s">
        <v>1036</v>
      </c>
      <c r="I205" s="2" t="s">
        <v>11</v>
      </c>
    </row>
    <row r="206" spans="1:9" x14ac:dyDescent="0.25">
      <c r="A206">
        <v>205</v>
      </c>
      <c r="B206" t="s">
        <v>577</v>
      </c>
      <c r="C206" t="s">
        <v>578</v>
      </c>
      <c r="D206" t="s">
        <v>579</v>
      </c>
      <c r="F206" s="1">
        <v>27204</v>
      </c>
      <c r="G206" s="2" t="s">
        <v>1044</v>
      </c>
      <c r="H206" s="2" t="s">
        <v>1036</v>
      </c>
      <c r="I206" s="2" t="s">
        <v>11</v>
      </c>
    </row>
    <row r="207" spans="1:9" x14ac:dyDescent="0.25">
      <c r="A207">
        <v>206</v>
      </c>
      <c r="B207" t="s">
        <v>38</v>
      </c>
      <c r="C207" t="s">
        <v>580</v>
      </c>
      <c r="D207" t="s">
        <v>581</v>
      </c>
      <c r="F207" s="1">
        <v>19647</v>
      </c>
      <c r="G207" s="2" t="s">
        <v>1044</v>
      </c>
      <c r="H207" s="2" t="s">
        <v>1036</v>
      </c>
      <c r="I207" s="2" t="s">
        <v>11</v>
      </c>
    </row>
    <row r="208" spans="1:9" x14ac:dyDescent="0.25">
      <c r="A208">
        <v>207</v>
      </c>
      <c r="B208" t="s">
        <v>573</v>
      </c>
      <c r="C208" t="s">
        <v>167</v>
      </c>
      <c r="D208" t="s">
        <v>582</v>
      </c>
      <c r="F208" s="1">
        <v>35177</v>
      </c>
      <c r="G208" s="2" t="s">
        <v>1044</v>
      </c>
      <c r="H208" s="2" t="s">
        <v>1036</v>
      </c>
      <c r="I208" s="2" t="s">
        <v>11</v>
      </c>
    </row>
    <row r="209" spans="1:9" x14ac:dyDescent="0.25">
      <c r="A209">
        <v>208</v>
      </c>
      <c r="B209" t="s">
        <v>573</v>
      </c>
      <c r="C209" t="s">
        <v>583</v>
      </c>
      <c r="D209" t="s">
        <v>582</v>
      </c>
      <c r="F209" s="1">
        <v>32083</v>
      </c>
      <c r="G209" s="2" t="s">
        <v>1044</v>
      </c>
      <c r="H209" s="2" t="s">
        <v>1036</v>
      </c>
      <c r="I209" s="2" t="s">
        <v>11</v>
      </c>
    </row>
    <row r="210" spans="1:9" x14ac:dyDescent="0.25">
      <c r="A210">
        <v>209</v>
      </c>
      <c r="B210" t="s">
        <v>584</v>
      </c>
      <c r="C210" t="s">
        <v>562</v>
      </c>
      <c r="D210" t="s">
        <v>78</v>
      </c>
      <c r="F210" s="1">
        <v>29795</v>
      </c>
      <c r="G210" s="2" t="s">
        <v>1044</v>
      </c>
      <c r="H210" s="2" t="s">
        <v>1036</v>
      </c>
      <c r="I210" s="2" t="s">
        <v>11</v>
      </c>
    </row>
    <row r="211" spans="1:9" x14ac:dyDescent="0.25">
      <c r="A211">
        <v>210</v>
      </c>
      <c r="B211" t="s">
        <v>585</v>
      </c>
      <c r="C211" t="s">
        <v>586</v>
      </c>
      <c r="D211" t="s">
        <v>135</v>
      </c>
      <c r="F211" s="1">
        <v>18967</v>
      </c>
      <c r="G211" s="2" t="s">
        <v>1045</v>
      </c>
      <c r="H211" s="2" t="s">
        <v>1036</v>
      </c>
      <c r="I211" s="2" t="s">
        <v>11</v>
      </c>
    </row>
    <row r="212" spans="1:9" x14ac:dyDescent="0.25">
      <c r="A212">
        <v>211</v>
      </c>
      <c r="B212" t="s">
        <v>587</v>
      </c>
      <c r="C212" t="s">
        <v>138</v>
      </c>
      <c r="D212" t="s">
        <v>588</v>
      </c>
      <c r="F212" s="1">
        <v>30958</v>
      </c>
      <c r="G212" s="2" t="s">
        <v>1045</v>
      </c>
      <c r="H212" s="2" t="s">
        <v>1036</v>
      </c>
      <c r="I212" s="2" t="s">
        <v>11</v>
      </c>
    </row>
    <row r="213" spans="1:9" x14ac:dyDescent="0.25">
      <c r="A213">
        <v>212</v>
      </c>
      <c r="B213" t="s">
        <v>589</v>
      </c>
      <c r="C213" t="s">
        <v>590</v>
      </c>
      <c r="D213" t="s">
        <v>97</v>
      </c>
      <c r="F213" s="1">
        <v>18600</v>
      </c>
      <c r="G213" s="2" t="s">
        <v>1045</v>
      </c>
      <c r="H213" s="2" t="s">
        <v>1036</v>
      </c>
      <c r="I213" s="2" t="s">
        <v>11</v>
      </c>
    </row>
    <row r="214" spans="1:9" x14ac:dyDescent="0.25">
      <c r="A214">
        <v>213</v>
      </c>
      <c r="B214" t="s">
        <v>589</v>
      </c>
      <c r="C214" t="s">
        <v>161</v>
      </c>
      <c r="D214" t="s">
        <v>591</v>
      </c>
      <c r="F214" s="1">
        <v>27693</v>
      </c>
      <c r="G214" s="2" t="s">
        <v>1045</v>
      </c>
      <c r="H214" s="2" t="s">
        <v>1036</v>
      </c>
      <c r="I214" s="2" t="s">
        <v>11</v>
      </c>
    </row>
    <row r="215" spans="1:9" x14ac:dyDescent="0.25">
      <c r="A215">
        <v>214</v>
      </c>
      <c r="B215" t="s">
        <v>592</v>
      </c>
      <c r="C215" t="s">
        <v>533</v>
      </c>
      <c r="D215" t="s">
        <v>97</v>
      </c>
      <c r="F215" s="1">
        <v>31965</v>
      </c>
      <c r="G215" s="2" t="s">
        <v>1045</v>
      </c>
      <c r="H215" s="2" t="s">
        <v>1036</v>
      </c>
      <c r="I215" s="2" t="s">
        <v>11</v>
      </c>
    </row>
    <row r="216" spans="1:9" x14ac:dyDescent="0.25">
      <c r="A216">
        <v>215</v>
      </c>
      <c r="B216" t="s">
        <v>593</v>
      </c>
      <c r="C216" t="s">
        <v>36</v>
      </c>
      <c r="D216" t="s">
        <v>594</v>
      </c>
      <c r="F216" s="1">
        <v>32809</v>
      </c>
      <c r="G216" s="2" t="s">
        <v>1045</v>
      </c>
      <c r="H216" s="2" t="s">
        <v>1036</v>
      </c>
      <c r="I216" s="2" t="s">
        <v>11</v>
      </c>
    </row>
    <row r="217" spans="1:9" x14ac:dyDescent="0.25">
      <c r="A217">
        <v>216</v>
      </c>
      <c r="B217" t="s">
        <v>595</v>
      </c>
      <c r="C217" t="s">
        <v>31</v>
      </c>
      <c r="D217" t="s">
        <v>112</v>
      </c>
      <c r="F217" s="1">
        <v>25413</v>
      </c>
      <c r="G217" s="2" t="s">
        <v>1045</v>
      </c>
      <c r="H217" s="2" t="s">
        <v>1036</v>
      </c>
      <c r="I217" s="2" t="s">
        <v>11</v>
      </c>
    </row>
    <row r="218" spans="1:9" x14ac:dyDescent="0.25">
      <c r="A218">
        <v>217</v>
      </c>
      <c r="B218" t="s">
        <v>136</v>
      </c>
      <c r="C218" t="s">
        <v>596</v>
      </c>
      <c r="D218" t="s">
        <v>194</v>
      </c>
      <c r="F218" s="1">
        <v>29831</v>
      </c>
      <c r="G218" s="2" t="s">
        <v>1045</v>
      </c>
      <c r="H218" s="2" t="s">
        <v>1036</v>
      </c>
      <c r="I218" s="2" t="s">
        <v>11</v>
      </c>
    </row>
    <row r="219" spans="1:9" x14ac:dyDescent="0.25">
      <c r="A219">
        <v>218</v>
      </c>
      <c r="B219" t="s">
        <v>597</v>
      </c>
      <c r="C219" t="s">
        <v>598</v>
      </c>
      <c r="D219" t="s">
        <v>599</v>
      </c>
      <c r="F219" s="1">
        <v>30410</v>
      </c>
      <c r="G219" s="2" t="s">
        <v>1045</v>
      </c>
      <c r="H219" s="2" t="s">
        <v>1036</v>
      </c>
      <c r="I219" s="2" t="s">
        <v>11</v>
      </c>
    </row>
    <row r="220" spans="1:9" x14ac:dyDescent="0.25">
      <c r="A220">
        <v>219</v>
      </c>
      <c r="B220" t="s">
        <v>600</v>
      </c>
      <c r="C220" t="s">
        <v>149</v>
      </c>
      <c r="D220" t="s">
        <v>601</v>
      </c>
      <c r="F220" s="1">
        <v>33292</v>
      </c>
      <c r="G220" s="2" t="s">
        <v>1045</v>
      </c>
      <c r="H220" s="2" t="s">
        <v>1036</v>
      </c>
      <c r="I220" s="2" t="s">
        <v>11</v>
      </c>
    </row>
    <row r="221" spans="1:9" x14ac:dyDescent="0.25">
      <c r="A221">
        <v>220</v>
      </c>
      <c r="B221" t="s">
        <v>602</v>
      </c>
      <c r="C221" t="s">
        <v>603</v>
      </c>
      <c r="D221" t="s">
        <v>604</v>
      </c>
      <c r="F221" s="1">
        <v>25297</v>
      </c>
      <c r="G221" s="2" t="s">
        <v>1045</v>
      </c>
      <c r="H221" s="2" t="s">
        <v>1036</v>
      </c>
      <c r="I221" s="2" t="s">
        <v>11</v>
      </c>
    </row>
    <row r="222" spans="1:9" x14ac:dyDescent="0.25">
      <c r="A222">
        <v>221</v>
      </c>
      <c r="B222" t="s">
        <v>605</v>
      </c>
      <c r="C222" t="s">
        <v>165</v>
      </c>
      <c r="D222" t="s">
        <v>302</v>
      </c>
      <c r="F222" s="1">
        <v>27091</v>
      </c>
      <c r="G222" s="2" t="s">
        <v>1045</v>
      </c>
      <c r="H222" s="2" t="s">
        <v>1036</v>
      </c>
      <c r="I222" s="2" t="s">
        <v>11</v>
      </c>
    </row>
    <row r="223" spans="1:9" x14ac:dyDescent="0.25">
      <c r="A223">
        <v>222</v>
      </c>
      <c r="B223" t="s">
        <v>70</v>
      </c>
      <c r="C223" t="s">
        <v>396</v>
      </c>
      <c r="D223" t="s">
        <v>606</v>
      </c>
      <c r="F223" s="1">
        <v>30224</v>
      </c>
      <c r="G223" s="2" t="s">
        <v>1045</v>
      </c>
      <c r="H223" s="2" t="s">
        <v>1036</v>
      </c>
      <c r="I223" s="2" t="s">
        <v>11</v>
      </c>
    </row>
    <row r="224" spans="1:9" x14ac:dyDescent="0.25">
      <c r="A224">
        <v>223</v>
      </c>
      <c r="B224" t="s">
        <v>607</v>
      </c>
      <c r="C224" t="s">
        <v>608</v>
      </c>
      <c r="D224" t="s">
        <v>158</v>
      </c>
      <c r="F224" s="1">
        <v>19959</v>
      </c>
      <c r="G224" s="2" t="s">
        <v>1045</v>
      </c>
      <c r="H224" s="2" t="s">
        <v>1036</v>
      </c>
      <c r="I224" s="2" t="s">
        <v>11</v>
      </c>
    </row>
    <row r="225" spans="1:9" x14ac:dyDescent="0.25">
      <c r="A225">
        <v>224</v>
      </c>
      <c r="B225" t="s">
        <v>609</v>
      </c>
      <c r="C225" t="s">
        <v>610</v>
      </c>
      <c r="D225" t="s">
        <v>158</v>
      </c>
      <c r="F225" s="1">
        <v>30023</v>
      </c>
      <c r="G225" s="2" t="s">
        <v>1045</v>
      </c>
      <c r="H225" s="2" t="s">
        <v>1036</v>
      </c>
      <c r="I225" s="2" t="s">
        <v>11</v>
      </c>
    </row>
    <row r="226" spans="1:9" x14ac:dyDescent="0.25">
      <c r="A226">
        <v>225</v>
      </c>
      <c r="B226" t="s">
        <v>611</v>
      </c>
      <c r="C226" t="s">
        <v>428</v>
      </c>
      <c r="D226" t="s">
        <v>97</v>
      </c>
      <c r="E226" t="s">
        <v>612</v>
      </c>
      <c r="F226" s="1">
        <v>31001</v>
      </c>
      <c r="G226" s="2" t="s">
        <v>1045</v>
      </c>
      <c r="H226" s="2" t="s">
        <v>1036</v>
      </c>
      <c r="I226" s="2" t="s">
        <v>11</v>
      </c>
    </row>
    <row r="227" spans="1:9" x14ac:dyDescent="0.25">
      <c r="A227">
        <v>226</v>
      </c>
      <c r="B227" t="s">
        <v>88</v>
      </c>
      <c r="C227" t="s">
        <v>147</v>
      </c>
      <c r="D227" t="s">
        <v>613</v>
      </c>
      <c r="E227" t="s">
        <v>67</v>
      </c>
      <c r="F227" s="1">
        <v>30103</v>
      </c>
      <c r="G227" s="2" t="s">
        <v>1045</v>
      </c>
      <c r="H227" s="2" t="s">
        <v>1036</v>
      </c>
      <c r="I227" s="2" t="s">
        <v>11</v>
      </c>
    </row>
    <row r="228" spans="1:9" x14ac:dyDescent="0.25">
      <c r="A228">
        <v>227</v>
      </c>
      <c r="B228" t="s">
        <v>88</v>
      </c>
      <c r="C228" t="s">
        <v>174</v>
      </c>
      <c r="D228" t="s">
        <v>613</v>
      </c>
      <c r="F228" s="1">
        <v>31304</v>
      </c>
      <c r="G228" s="2" t="s">
        <v>1045</v>
      </c>
      <c r="H228" s="2" t="s">
        <v>1036</v>
      </c>
      <c r="I228" s="2" t="s">
        <v>11</v>
      </c>
    </row>
    <row r="229" spans="1:9" x14ac:dyDescent="0.25">
      <c r="A229">
        <v>228</v>
      </c>
      <c r="B229" t="s">
        <v>88</v>
      </c>
      <c r="C229" t="s">
        <v>614</v>
      </c>
      <c r="D229" t="s">
        <v>615</v>
      </c>
      <c r="F229" s="1">
        <v>28551</v>
      </c>
      <c r="G229" s="2" t="s">
        <v>1045</v>
      </c>
      <c r="H229" s="2" t="s">
        <v>1036</v>
      </c>
      <c r="I229" s="2" t="s">
        <v>11</v>
      </c>
    </row>
    <row r="230" spans="1:9" x14ac:dyDescent="0.25">
      <c r="A230">
        <v>229</v>
      </c>
      <c r="B230" t="s">
        <v>88</v>
      </c>
      <c r="C230" t="s">
        <v>616</v>
      </c>
      <c r="D230" t="s">
        <v>617</v>
      </c>
      <c r="F230" s="1">
        <v>17436</v>
      </c>
      <c r="G230" s="2" t="s">
        <v>1045</v>
      </c>
      <c r="H230" s="2" t="s">
        <v>1036</v>
      </c>
      <c r="I230" s="2" t="s">
        <v>11</v>
      </c>
    </row>
    <row r="231" spans="1:9" x14ac:dyDescent="0.25">
      <c r="A231">
        <v>230</v>
      </c>
      <c r="B231" t="s">
        <v>88</v>
      </c>
      <c r="C231" t="s">
        <v>618</v>
      </c>
      <c r="D231" t="s">
        <v>363</v>
      </c>
      <c r="E231" t="s">
        <v>67</v>
      </c>
      <c r="F231" s="1">
        <v>25260</v>
      </c>
      <c r="G231" s="2" t="s">
        <v>1045</v>
      </c>
      <c r="H231" s="2" t="s">
        <v>1036</v>
      </c>
      <c r="I231" s="2" t="s">
        <v>11</v>
      </c>
    </row>
    <row r="232" spans="1:9" x14ac:dyDescent="0.25">
      <c r="A232">
        <v>231</v>
      </c>
      <c r="B232" t="s">
        <v>619</v>
      </c>
      <c r="C232" t="s">
        <v>153</v>
      </c>
      <c r="D232" t="s">
        <v>620</v>
      </c>
      <c r="E232" t="s">
        <v>67</v>
      </c>
      <c r="F232" s="1">
        <v>29167</v>
      </c>
      <c r="G232" s="2" t="s">
        <v>1045</v>
      </c>
      <c r="H232" s="2" t="s">
        <v>1036</v>
      </c>
      <c r="I232" s="2" t="s">
        <v>11</v>
      </c>
    </row>
    <row r="233" spans="1:9" x14ac:dyDescent="0.25">
      <c r="A233">
        <v>232</v>
      </c>
      <c r="B233" t="s">
        <v>140</v>
      </c>
      <c r="C233" t="s">
        <v>96</v>
      </c>
      <c r="D233" t="s">
        <v>621</v>
      </c>
      <c r="F233" s="1">
        <v>25780</v>
      </c>
      <c r="G233" s="2" t="s">
        <v>1045</v>
      </c>
      <c r="H233" s="2" t="s">
        <v>1036</v>
      </c>
      <c r="I233" s="2" t="s">
        <v>11</v>
      </c>
    </row>
    <row r="234" spans="1:9" x14ac:dyDescent="0.25">
      <c r="A234">
        <v>233</v>
      </c>
      <c r="B234" t="s">
        <v>192</v>
      </c>
      <c r="C234" t="s">
        <v>622</v>
      </c>
      <c r="D234" t="s">
        <v>623</v>
      </c>
      <c r="F234" s="1">
        <v>27170</v>
      </c>
      <c r="G234" s="2" t="s">
        <v>1045</v>
      </c>
      <c r="H234" s="2" t="s">
        <v>1036</v>
      </c>
      <c r="I234" s="2" t="s">
        <v>11</v>
      </c>
    </row>
    <row r="235" spans="1:9" x14ac:dyDescent="0.25">
      <c r="A235">
        <v>234</v>
      </c>
      <c r="B235" t="s">
        <v>192</v>
      </c>
      <c r="C235" t="s">
        <v>287</v>
      </c>
      <c r="D235" t="s">
        <v>595</v>
      </c>
      <c r="F235" s="1">
        <v>24432</v>
      </c>
      <c r="G235" s="2" t="s">
        <v>1045</v>
      </c>
      <c r="H235" s="2" t="s">
        <v>1036</v>
      </c>
      <c r="I235" s="2" t="s">
        <v>11</v>
      </c>
    </row>
    <row r="236" spans="1:9" x14ac:dyDescent="0.25">
      <c r="A236">
        <v>235</v>
      </c>
      <c r="B236" t="s">
        <v>192</v>
      </c>
      <c r="C236" t="s">
        <v>624</v>
      </c>
      <c r="D236" t="s">
        <v>625</v>
      </c>
      <c r="E236" t="s">
        <v>76</v>
      </c>
      <c r="F236" s="1">
        <v>13571</v>
      </c>
      <c r="G236" s="2" t="s">
        <v>1045</v>
      </c>
      <c r="H236" s="2" t="s">
        <v>1036</v>
      </c>
      <c r="I236" s="2" t="s">
        <v>11</v>
      </c>
    </row>
    <row r="237" spans="1:9" x14ac:dyDescent="0.25">
      <c r="A237">
        <v>236</v>
      </c>
      <c r="B237" t="s">
        <v>626</v>
      </c>
      <c r="C237" t="s">
        <v>627</v>
      </c>
      <c r="D237" t="s">
        <v>628</v>
      </c>
      <c r="F237" s="1">
        <v>26307</v>
      </c>
      <c r="G237" s="2" t="s">
        <v>1045</v>
      </c>
      <c r="H237" s="2" t="s">
        <v>1036</v>
      </c>
      <c r="I237" s="2" t="s">
        <v>11</v>
      </c>
    </row>
    <row r="238" spans="1:9" x14ac:dyDescent="0.25">
      <c r="A238">
        <v>237</v>
      </c>
      <c r="B238" t="s">
        <v>126</v>
      </c>
      <c r="C238" t="s">
        <v>629</v>
      </c>
      <c r="D238" t="s">
        <v>630</v>
      </c>
      <c r="F238" s="1">
        <v>27177</v>
      </c>
      <c r="G238" s="2" t="s">
        <v>1045</v>
      </c>
      <c r="H238" s="2" t="s">
        <v>1036</v>
      </c>
      <c r="I238" s="2" t="s">
        <v>11</v>
      </c>
    </row>
    <row r="239" spans="1:9" x14ac:dyDescent="0.25">
      <c r="A239">
        <v>238</v>
      </c>
      <c r="B239" t="s">
        <v>631</v>
      </c>
      <c r="C239" t="s">
        <v>632</v>
      </c>
      <c r="D239" t="s">
        <v>97</v>
      </c>
      <c r="F239" s="1">
        <v>30388</v>
      </c>
      <c r="G239" s="2" t="s">
        <v>1045</v>
      </c>
      <c r="H239" s="2" t="s">
        <v>1036</v>
      </c>
      <c r="I239" s="2" t="s">
        <v>11</v>
      </c>
    </row>
    <row r="240" spans="1:9" x14ac:dyDescent="0.25">
      <c r="A240">
        <v>239</v>
      </c>
      <c r="B240" t="s">
        <v>633</v>
      </c>
      <c r="C240" t="s">
        <v>60</v>
      </c>
      <c r="D240" t="s">
        <v>634</v>
      </c>
      <c r="F240" s="1">
        <v>26529</v>
      </c>
      <c r="G240" s="2" t="s">
        <v>1045</v>
      </c>
      <c r="H240" s="2" t="s">
        <v>1036</v>
      </c>
      <c r="I240" s="2" t="s">
        <v>11</v>
      </c>
    </row>
    <row r="241" spans="1:9" x14ac:dyDescent="0.25">
      <c r="A241">
        <v>240</v>
      </c>
      <c r="B241" t="s">
        <v>635</v>
      </c>
      <c r="C241" t="s">
        <v>636</v>
      </c>
      <c r="D241" t="s">
        <v>637</v>
      </c>
      <c r="F241" s="1">
        <v>34448</v>
      </c>
      <c r="G241" s="2" t="s">
        <v>1045</v>
      </c>
      <c r="H241" s="2" t="s">
        <v>1036</v>
      </c>
      <c r="I241" s="2" t="s">
        <v>11</v>
      </c>
    </row>
    <row r="242" spans="1:9" x14ac:dyDescent="0.25">
      <c r="A242">
        <v>241</v>
      </c>
      <c r="B242" t="s">
        <v>638</v>
      </c>
      <c r="C242" t="s">
        <v>639</v>
      </c>
      <c r="D242" t="s">
        <v>88</v>
      </c>
      <c r="F242" s="1">
        <v>24328</v>
      </c>
      <c r="G242" s="2" t="s">
        <v>1045</v>
      </c>
      <c r="H242" s="2" t="s">
        <v>1036</v>
      </c>
      <c r="I242" s="2" t="s">
        <v>11</v>
      </c>
    </row>
    <row r="243" spans="1:9" x14ac:dyDescent="0.25">
      <c r="A243">
        <v>242</v>
      </c>
      <c r="B243" t="s">
        <v>16</v>
      </c>
      <c r="C243" t="s">
        <v>145</v>
      </c>
      <c r="D243" t="s">
        <v>640</v>
      </c>
      <c r="F243" s="1">
        <v>30282</v>
      </c>
      <c r="G243" s="2" t="s">
        <v>1045</v>
      </c>
      <c r="H243" s="2" t="s">
        <v>1036</v>
      </c>
      <c r="I243" s="2" t="s">
        <v>11</v>
      </c>
    </row>
    <row r="244" spans="1:9" x14ac:dyDescent="0.25">
      <c r="A244">
        <v>243</v>
      </c>
      <c r="B244" t="s">
        <v>16</v>
      </c>
      <c r="C244" t="s">
        <v>641</v>
      </c>
      <c r="D244" t="s">
        <v>28</v>
      </c>
      <c r="F244" s="1">
        <v>31092</v>
      </c>
      <c r="G244" s="2" t="s">
        <v>1045</v>
      </c>
      <c r="H244" s="2" t="s">
        <v>1036</v>
      </c>
      <c r="I244" s="2" t="s">
        <v>11</v>
      </c>
    </row>
    <row r="245" spans="1:9" x14ac:dyDescent="0.25">
      <c r="A245">
        <v>244</v>
      </c>
      <c r="B245" t="s">
        <v>642</v>
      </c>
      <c r="C245" t="s">
        <v>643</v>
      </c>
      <c r="D245" t="s">
        <v>180</v>
      </c>
      <c r="F245" s="1">
        <v>19003</v>
      </c>
      <c r="G245" s="2" t="s">
        <v>1045</v>
      </c>
      <c r="H245" s="2" t="s">
        <v>1036</v>
      </c>
      <c r="I245" s="2" t="s">
        <v>11</v>
      </c>
    </row>
    <row r="246" spans="1:9" x14ac:dyDescent="0.25">
      <c r="A246">
        <v>245</v>
      </c>
      <c r="B246" t="s">
        <v>642</v>
      </c>
      <c r="C246" t="s">
        <v>644</v>
      </c>
      <c r="D246" t="s">
        <v>18</v>
      </c>
      <c r="F246" s="1">
        <v>30999</v>
      </c>
      <c r="G246" s="2" t="s">
        <v>1045</v>
      </c>
      <c r="H246" s="2" t="s">
        <v>1036</v>
      </c>
      <c r="I246" s="2" t="s">
        <v>11</v>
      </c>
    </row>
    <row r="247" spans="1:9" x14ac:dyDescent="0.25">
      <c r="A247">
        <v>246</v>
      </c>
      <c r="B247" t="s">
        <v>78</v>
      </c>
      <c r="C247" t="s">
        <v>645</v>
      </c>
      <c r="D247" t="s">
        <v>646</v>
      </c>
      <c r="F247" s="1">
        <v>32094</v>
      </c>
      <c r="G247" s="2" t="s">
        <v>1045</v>
      </c>
      <c r="H247" s="2" t="s">
        <v>1036</v>
      </c>
      <c r="I247" s="2" t="s">
        <v>11</v>
      </c>
    </row>
    <row r="248" spans="1:9" x14ac:dyDescent="0.25">
      <c r="A248">
        <v>247</v>
      </c>
      <c r="B248" t="s">
        <v>78</v>
      </c>
      <c r="C248" t="s">
        <v>101</v>
      </c>
      <c r="D248" t="s">
        <v>588</v>
      </c>
      <c r="F248" s="1">
        <v>24030</v>
      </c>
      <c r="G248" s="2" t="s">
        <v>1045</v>
      </c>
      <c r="H248" s="2" t="s">
        <v>1036</v>
      </c>
      <c r="I248" s="2" t="s">
        <v>11</v>
      </c>
    </row>
    <row r="249" spans="1:9" x14ac:dyDescent="0.25">
      <c r="A249">
        <v>248</v>
      </c>
      <c r="B249" t="s">
        <v>54</v>
      </c>
      <c r="C249" t="s">
        <v>116</v>
      </c>
      <c r="D249" t="s">
        <v>647</v>
      </c>
      <c r="F249" s="1">
        <v>18113</v>
      </c>
      <c r="G249" s="2" t="s">
        <v>1045</v>
      </c>
      <c r="H249" s="2" t="s">
        <v>1036</v>
      </c>
      <c r="I249" s="2" t="s">
        <v>11</v>
      </c>
    </row>
    <row r="250" spans="1:9" x14ac:dyDescent="0.25">
      <c r="A250">
        <v>249</v>
      </c>
      <c r="B250" t="s">
        <v>81</v>
      </c>
      <c r="C250" t="s">
        <v>648</v>
      </c>
      <c r="D250" t="s">
        <v>649</v>
      </c>
      <c r="F250" s="1">
        <v>44863</v>
      </c>
      <c r="G250" s="2" t="s">
        <v>1045</v>
      </c>
      <c r="H250" s="2" t="s">
        <v>1036</v>
      </c>
      <c r="I250" s="2" t="s">
        <v>11</v>
      </c>
    </row>
    <row r="251" spans="1:9" x14ac:dyDescent="0.25">
      <c r="A251">
        <v>250</v>
      </c>
      <c r="B251" t="s">
        <v>650</v>
      </c>
      <c r="C251" t="s">
        <v>651</v>
      </c>
      <c r="D251" t="s">
        <v>88</v>
      </c>
      <c r="E251" t="s">
        <v>67</v>
      </c>
      <c r="F251" s="1">
        <v>27626</v>
      </c>
      <c r="G251" s="2" t="s">
        <v>1045</v>
      </c>
      <c r="H251" s="2" t="s">
        <v>1036</v>
      </c>
      <c r="I251" s="2" t="s">
        <v>11</v>
      </c>
    </row>
    <row r="252" spans="1:9" x14ac:dyDescent="0.25">
      <c r="A252">
        <v>251</v>
      </c>
      <c r="B252" t="s">
        <v>650</v>
      </c>
      <c r="C252" t="s">
        <v>652</v>
      </c>
      <c r="D252" t="s">
        <v>97</v>
      </c>
      <c r="E252" t="s">
        <v>67</v>
      </c>
      <c r="F252" s="1">
        <v>34938</v>
      </c>
      <c r="G252" s="2" t="s">
        <v>1045</v>
      </c>
      <c r="H252" s="2" t="s">
        <v>1036</v>
      </c>
      <c r="I252" s="2" t="s">
        <v>11</v>
      </c>
    </row>
    <row r="253" spans="1:9" x14ac:dyDescent="0.25">
      <c r="A253">
        <v>252</v>
      </c>
      <c r="B253" t="s">
        <v>650</v>
      </c>
      <c r="C253" t="s">
        <v>652</v>
      </c>
      <c r="D253" t="s">
        <v>88</v>
      </c>
      <c r="E253" t="s">
        <v>76</v>
      </c>
      <c r="F253" s="1">
        <v>24335</v>
      </c>
      <c r="G253" s="2" t="s">
        <v>1045</v>
      </c>
      <c r="H253" s="2" t="s">
        <v>1036</v>
      </c>
      <c r="I253" s="2" t="s">
        <v>11</v>
      </c>
    </row>
    <row r="254" spans="1:9" x14ac:dyDescent="0.25">
      <c r="A254">
        <v>253</v>
      </c>
      <c r="B254" t="s">
        <v>653</v>
      </c>
      <c r="C254" t="s">
        <v>21</v>
      </c>
      <c r="D254" t="s">
        <v>654</v>
      </c>
      <c r="F254" s="1">
        <v>20754</v>
      </c>
      <c r="G254" s="2" t="s">
        <v>1045</v>
      </c>
      <c r="H254" s="2" t="s">
        <v>1036</v>
      </c>
      <c r="I254" s="2" t="s">
        <v>11</v>
      </c>
    </row>
    <row r="255" spans="1:9" x14ac:dyDescent="0.25">
      <c r="A255">
        <v>254</v>
      </c>
      <c r="B255" t="s">
        <v>655</v>
      </c>
      <c r="C255" t="s">
        <v>656</v>
      </c>
      <c r="D255" t="s">
        <v>180</v>
      </c>
      <c r="F255" s="1">
        <v>26392</v>
      </c>
      <c r="G255" s="2" t="s">
        <v>1045</v>
      </c>
      <c r="H255" s="2" t="s">
        <v>1036</v>
      </c>
      <c r="I255" s="2" t="s">
        <v>11</v>
      </c>
    </row>
    <row r="256" spans="1:9" x14ac:dyDescent="0.25">
      <c r="A256">
        <v>255</v>
      </c>
      <c r="B256" t="s">
        <v>1232</v>
      </c>
      <c r="C256" t="s">
        <v>657</v>
      </c>
      <c r="D256" t="s">
        <v>658</v>
      </c>
      <c r="F256" s="1">
        <v>32045</v>
      </c>
      <c r="G256" s="2" t="s">
        <v>1045</v>
      </c>
      <c r="H256" s="2" t="s">
        <v>1036</v>
      </c>
      <c r="I256" s="2" t="s">
        <v>11</v>
      </c>
    </row>
    <row r="257" spans="1:9" x14ac:dyDescent="0.25">
      <c r="A257">
        <v>256</v>
      </c>
      <c r="B257" t="s">
        <v>97</v>
      </c>
      <c r="C257" t="s">
        <v>60</v>
      </c>
      <c r="D257" t="s">
        <v>659</v>
      </c>
      <c r="E257" t="s">
        <v>76</v>
      </c>
      <c r="F257" s="1">
        <v>25291</v>
      </c>
      <c r="G257" s="2" t="s">
        <v>1045</v>
      </c>
      <c r="H257" s="2" t="s">
        <v>1036</v>
      </c>
      <c r="I257" s="2" t="s">
        <v>11</v>
      </c>
    </row>
    <row r="258" spans="1:9" x14ac:dyDescent="0.25">
      <c r="A258">
        <v>257</v>
      </c>
      <c r="B258" t="s">
        <v>97</v>
      </c>
      <c r="C258" t="s">
        <v>660</v>
      </c>
      <c r="D258" t="s">
        <v>109</v>
      </c>
      <c r="F258" s="1">
        <v>34376</v>
      </c>
      <c r="G258" s="2" t="s">
        <v>1045</v>
      </c>
      <c r="H258" s="2" t="s">
        <v>1036</v>
      </c>
      <c r="I258" s="2" t="s">
        <v>11</v>
      </c>
    </row>
    <row r="259" spans="1:9" x14ac:dyDescent="0.25">
      <c r="A259">
        <v>258</v>
      </c>
      <c r="B259" t="s">
        <v>97</v>
      </c>
      <c r="C259" t="s">
        <v>171</v>
      </c>
      <c r="D259" t="s">
        <v>112</v>
      </c>
      <c r="F259" s="1">
        <v>23817</v>
      </c>
      <c r="G259" s="2" t="s">
        <v>1045</v>
      </c>
      <c r="H259" s="2" t="s">
        <v>1036</v>
      </c>
      <c r="I259" s="2" t="s">
        <v>11</v>
      </c>
    </row>
    <row r="260" spans="1:9" x14ac:dyDescent="0.25">
      <c r="A260">
        <v>259</v>
      </c>
      <c r="B260" t="s">
        <v>1233</v>
      </c>
      <c r="C260" t="s">
        <v>25</v>
      </c>
      <c r="D260" t="s">
        <v>661</v>
      </c>
      <c r="E260" t="s">
        <v>67</v>
      </c>
      <c r="F260" s="1">
        <v>31599</v>
      </c>
      <c r="G260" s="2" t="s">
        <v>1045</v>
      </c>
      <c r="H260" s="2" t="s">
        <v>1036</v>
      </c>
      <c r="I260" s="2" t="s">
        <v>11</v>
      </c>
    </row>
    <row r="261" spans="1:9" x14ac:dyDescent="0.25">
      <c r="A261">
        <v>260</v>
      </c>
      <c r="B261" t="s">
        <v>1233</v>
      </c>
      <c r="C261" t="s">
        <v>662</v>
      </c>
      <c r="D261" t="s">
        <v>178</v>
      </c>
      <c r="F261" s="1">
        <v>33863</v>
      </c>
      <c r="G261" s="2" t="s">
        <v>1045</v>
      </c>
      <c r="H261" s="2" t="s">
        <v>1036</v>
      </c>
      <c r="I261" s="2" t="s">
        <v>11</v>
      </c>
    </row>
    <row r="262" spans="1:9" x14ac:dyDescent="0.25">
      <c r="A262">
        <v>261</v>
      </c>
      <c r="B262" t="s">
        <v>1233</v>
      </c>
      <c r="C262" t="s">
        <v>663</v>
      </c>
      <c r="D262" t="s">
        <v>661</v>
      </c>
      <c r="F262" s="1">
        <v>22788</v>
      </c>
      <c r="G262" s="2" t="s">
        <v>1045</v>
      </c>
      <c r="H262" s="2" t="s">
        <v>1036</v>
      </c>
      <c r="I262" s="2" t="s">
        <v>11</v>
      </c>
    </row>
    <row r="263" spans="1:9" x14ac:dyDescent="0.25">
      <c r="A263">
        <v>262</v>
      </c>
      <c r="B263" t="s">
        <v>58</v>
      </c>
      <c r="C263" t="s">
        <v>664</v>
      </c>
      <c r="D263" t="s">
        <v>665</v>
      </c>
      <c r="E263" t="s">
        <v>67</v>
      </c>
      <c r="F263" s="1">
        <v>19918</v>
      </c>
      <c r="G263" s="2" t="s">
        <v>1045</v>
      </c>
      <c r="H263" s="2" t="s">
        <v>1036</v>
      </c>
      <c r="I263" s="2" t="s">
        <v>11</v>
      </c>
    </row>
    <row r="264" spans="1:9" x14ac:dyDescent="0.25">
      <c r="A264">
        <v>263</v>
      </c>
      <c r="B264" t="s">
        <v>666</v>
      </c>
      <c r="C264" t="s">
        <v>667</v>
      </c>
      <c r="D264" t="s">
        <v>668</v>
      </c>
      <c r="F264" s="1">
        <v>33066</v>
      </c>
      <c r="G264" s="2" t="s">
        <v>1045</v>
      </c>
      <c r="H264" s="2" t="s">
        <v>1036</v>
      </c>
      <c r="I264" s="2" t="s">
        <v>11</v>
      </c>
    </row>
    <row r="265" spans="1:9" x14ac:dyDescent="0.25">
      <c r="A265">
        <v>264</v>
      </c>
      <c r="B265" t="s">
        <v>538</v>
      </c>
      <c r="C265" t="s">
        <v>669</v>
      </c>
      <c r="D265" t="s">
        <v>670</v>
      </c>
      <c r="F265" s="1">
        <v>24373</v>
      </c>
      <c r="G265" s="2" t="s">
        <v>1045</v>
      </c>
      <c r="H265" s="2" t="s">
        <v>1036</v>
      </c>
      <c r="I265" s="2" t="s">
        <v>11</v>
      </c>
    </row>
    <row r="266" spans="1:9" x14ac:dyDescent="0.25">
      <c r="A266">
        <v>265</v>
      </c>
      <c r="B266" t="s">
        <v>158</v>
      </c>
      <c r="C266" t="s">
        <v>671</v>
      </c>
      <c r="D266" t="s">
        <v>88</v>
      </c>
      <c r="F266" s="1">
        <v>21130</v>
      </c>
      <c r="G266" s="2" t="s">
        <v>1045</v>
      </c>
      <c r="H266" s="2" t="s">
        <v>1036</v>
      </c>
      <c r="I266" s="2" t="s">
        <v>11</v>
      </c>
    </row>
    <row r="267" spans="1:9" x14ac:dyDescent="0.25">
      <c r="A267">
        <v>266</v>
      </c>
      <c r="B267" t="s">
        <v>88</v>
      </c>
      <c r="C267" t="s">
        <v>43</v>
      </c>
      <c r="D267" t="s">
        <v>363</v>
      </c>
      <c r="F267" s="1">
        <v>32140</v>
      </c>
      <c r="G267" s="2" t="s">
        <v>1045</v>
      </c>
      <c r="H267" s="2" t="s">
        <v>1036</v>
      </c>
      <c r="I267" s="2" t="s">
        <v>11</v>
      </c>
    </row>
    <row r="268" spans="1:9" x14ac:dyDescent="0.25">
      <c r="A268">
        <v>267</v>
      </c>
      <c r="B268" t="s">
        <v>192</v>
      </c>
      <c r="C268" t="s">
        <v>672</v>
      </c>
      <c r="D268" t="s">
        <v>595</v>
      </c>
      <c r="F268" s="1">
        <v>24432</v>
      </c>
      <c r="G268" s="2" t="s">
        <v>1045</v>
      </c>
      <c r="H268" s="2" t="s">
        <v>1036</v>
      </c>
      <c r="I268" s="2" t="s">
        <v>11</v>
      </c>
    </row>
    <row r="269" spans="1:9" x14ac:dyDescent="0.25">
      <c r="A269">
        <v>268</v>
      </c>
      <c r="B269" t="s">
        <v>673</v>
      </c>
      <c r="C269" t="s">
        <v>674</v>
      </c>
      <c r="D269" t="s">
        <v>675</v>
      </c>
      <c r="F269" s="1">
        <v>25688</v>
      </c>
      <c r="G269" s="2" t="s">
        <v>1046</v>
      </c>
      <c r="H269" s="2" t="s">
        <v>1036</v>
      </c>
      <c r="I269" s="2" t="s">
        <v>11</v>
      </c>
    </row>
    <row r="270" spans="1:9" x14ac:dyDescent="0.25">
      <c r="A270">
        <v>269</v>
      </c>
      <c r="B270" t="s">
        <v>676</v>
      </c>
      <c r="C270" t="s">
        <v>677</v>
      </c>
      <c r="D270" t="s">
        <v>678</v>
      </c>
      <c r="E270" t="s">
        <v>76</v>
      </c>
      <c r="F270" s="1">
        <v>23983</v>
      </c>
      <c r="G270" s="2" t="s">
        <v>1046</v>
      </c>
      <c r="H270" s="2" t="s">
        <v>1036</v>
      </c>
      <c r="I270" s="2" t="s">
        <v>11</v>
      </c>
    </row>
    <row r="271" spans="1:9" x14ac:dyDescent="0.25">
      <c r="A271">
        <v>270</v>
      </c>
      <c r="B271" t="s">
        <v>679</v>
      </c>
      <c r="C271" t="s">
        <v>680</v>
      </c>
      <c r="D271" t="s">
        <v>676</v>
      </c>
      <c r="F271" s="1">
        <v>34242</v>
      </c>
      <c r="G271" s="2" t="s">
        <v>1046</v>
      </c>
      <c r="H271" s="2" t="s">
        <v>1036</v>
      </c>
      <c r="I271" s="2" t="s">
        <v>11</v>
      </c>
    </row>
    <row r="272" spans="1:9" x14ac:dyDescent="0.25">
      <c r="A272">
        <v>271</v>
      </c>
      <c r="B272" t="s">
        <v>234</v>
      </c>
      <c r="C272" t="s">
        <v>681</v>
      </c>
      <c r="D272" t="s">
        <v>391</v>
      </c>
      <c r="F272" s="1">
        <v>31364</v>
      </c>
      <c r="G272" s="2" t="s">
        <v>1046</v>
      </c>
      <c r="H272" s="2" t="s">
        <v>1036</v>
      </c>
      <c r="I272" s="2" t="s">
        <v>11</v>
      </c>
    </row>
    <row r="273" spans="1:9" x14ac:dyDescent="0.25">
      <c r="A273">
        <v>272</v>
      </c>
      <c r="B273" t="s">
        <v>682</v>
      </c>
      <c r="C273" t="s">
        <v>34</v>
      </c>
      <c r="D273" t="s">
        <v>432</v>
      </c>
      <c r="F273" s="1">
        <v>28302</v>
      </c>
      <c r="G273" s="2" t="s">
        <v>1046</v>
      </c>
      <c r="H273" s="2" t="s">
        <v>1036</v>
      </c>
      <c r="I273" s="2" t="s">
        <v>11</v>
      </c>
    </row>
    <row r="274" spans="1:9" x14ac:dyDescent="0.25">
      <c r="A274">
        <v>273</v>
      </c>
      <c r="B274" t="s">
        <v>683</v>
      </c>
      <c r="C274" t="s">
        <v>57</v>
      </c>
      <c r="D274" t="s">
        <v>684</v>
      </c>
      <c r="F274" s="1">
        <v>28489</v>
      </c>
      <c r="G274" s="2" t="s">
        <v>1046</v>
      </c>
      <c r="H274" s="2" t="s">
        <v>1036</v>
      </c>
      <c r="I274" s="2" t="s">
        <v>11</v>
      </c>
    </row>
    <row r="275" spans="1:9" x14ac:dyDescent="0.25">
      <c r="A275">
        <v>274</v>
      </c>
      <c r="B275" t="s">
        <v>685</v>
      </c>
      <c r="C275" t="s">
        <v>686</v>
      </c>
      <c r="D275" t="s">
        <v>73</v>
      </c>
      <c r="F275" s="1">
        <v>28874</v>
      </c>
      <c r="G275" s="2" t="s">
        <v>1047</v>
      </c>
      <c r="H275" s="2" t="s">
        <v>1036</v>
      </c>
      <c r="I275" s="2" t="s">
        <v>11</v>
      </c>
    </row>
    <row r="276" spans="1:9" x14ac:dyDescent="0.25">
      <c r="A276">
        <v>275</v>
      </c>
      <c r="B276" t="s">
        <v>687</v>
      </c>
      <c r="C276" t="s">
        <v>552</v>
      </c>
      <c r="D276" t="s">
        <v>688</v>
      </c>
      <c r="F276" s="1">
        <v>34336</v>
      </c>
      <c r="G276" s="2" t="s">
        <v>1047</v>
      </c>
      <c r="H276" s="2" t="s">
        <v>1036</v>
      </c>
      <c r="I276" s="2" t="s">
        <v>11</v>
      </c>
    </row>
    <row r="277" spans="1:9" x14ac:dyDescent="0.25">
      <c r="A277">
        <v>276</v>
      </c>
      <c r="B277" t="s">
        <v>689</v>
      </c>
      <c r="C277" t="s">
        <v>690</v>
      </c>
      <c r="D277" t="s">
        <v>691</v>
      </c>
      <c r="F277" s="1">
        <v>20489</v>
      </c>
      <c r="G277" s="2" t="s">
        <v>1047</v>
      </c>
      <c r="H277" s="2" t="s">
        <v>1036</v>
      </c>
      <c r="I277" s="2" t="s">
        <v>11</v>
      </c>
    </row>
    <row r="278" spans="1:9" x14ac:dyDescent="0.25">
      <c r="A278">
        <v>277</v>
      </c>
      <c r="B278" t="s">
        <v>692</v>
      </c>
      <c r="C278" t="s">
        <v>693</v>
      </c>
      <c r="D278" t="s">
        <v>694</v>
      </c>
      <c r="F278" s="1">
        <v>33309</v>
      </c>
      <c r="G278" s="2" t="s">
        <v>1047</v>
      </c>
      <c r="H278" s="2" t="s">
        <v>1036</v>
      </c>
      <c r="I278" s="2" t="s">
        <v>11</v>
      </c>
    </row>
    <row r="279" spans="1:9" x14ac:dyDescent="0.25">
      <c r="A279">
        <v>278</v>
      </c>
      <c r="B279" t="s">
        <v>695</v>
      </c>
      <c r="C279" t="s">
        <v>696</v>
      </c>
      <c r="D279" t="s">
        <v>694</v>
      </c>
      <c r="F279" s="1">
        <v>25699</v>
      </c>
      <c r="G279" s="2" t="s">
        <v>1047</v>
      </c>
      <c r="H279" s="2" t="s">
        <v>1036</v>
      </c>
      <c r="I279" s="2" t="s">
        <v>11</v>
      </c>
    </row>
    <row r="280" spans="1:9" x14ac:dyDescent="0.25">
      <c r="A280">
        <v>279</v>
      </c>
      <c r="B280" t="s">
        <v>695</v>
      </c>
      <c r="C280" t="s">
        <v>697</v>
      </c>
      <c r="D280" t="s">
        <v>698</v>
      </c>
      <c r="F280" s="1">
        <v>21261</v>
      </c>
      <c r="G280" s="2" t="s">
        <v>1047</v>
      </c>
      <c r="H280" s="2" t="s">
        <v>1036</v>
      </c>
      <c r="I280" s="2" t="s">
        <v>11</v>
      </c>
    </row>
    <row r="281" spans="1:9" x14ac:dyDescent="0.25">
      <c r="A281">
        <v>280</v>
      </c>
      <c r="B281" t="s">
        <v>695</v>
      </c>
      <c r="C281" t="s">
        <v>699</v>
      </c>
      <c r="D281" t="s">
        <v>1234</v>
      </c>
      <c r="F281" s="1">
        <v>32837</v>
      </c>
      <c r="G281" s="2" t="s">
        <v>1047</v>
      </c>
      <c r="H281" s="2" t="s">
        <v>1036</v>
      </c>
      <c r="I281" s="2" t="s">
        <v>11</v>
      </c>
    </row>
    <row r="282" spans="1:9" x14ac:dyDescent="0.25">
      <c r="A282">
        <v>281</v>
      </c>
      <c r="B282" t="s">
        <v>700</v>
      </c>
      <c r="C282" t="s">
        <v>701</v>
      </c>
      <c r="D282" t="s">
        <v>41</v>
      </c>
      <c r="F282" s="1">
        <v>32609</v>
      </c>
      <c r="G282" s="2" t="s">
        <v>1047</v>
      </c>
      <c r="H282" s="2" t="s">
        <v>1036</v>
      </c>
      <c r="I282" s="2" t="s">
        <v>11</v>
      </c>
    </row>
    <row r="283" spans="1:9" x14ac:dyDescent="0.25">
      <c r="A283">
        <v>282</v>
      </c>
      <c r="B283" t="s">
        <v>702</v>
      </c>
      <c r="C283" t="s">
        <v>703</v>
      </c>
      <c r="D283" t="s">
        <v>12</v>
      </c>
      <c r="F283" s="1">
        <v>31482</v>
      </c>
      <c r="G283" s="2" t="s">
        <v>1047</v>
      </c>
      <c r="H283" s="2" t="s">
        <v>1036</v>
      </c>
      <c r="I283" s="2" t="s">
        <v>11</v>
      </c>
    </row>
    <row r="284" spans="1:9" x14ac:dyDescent="0.25">
      <c r="A284">
        <v>283</v>
      </c>
      <c r="B284" t="s">
        <v>225</v>
      </c>
      <c r="C284" t="s">
        <v>704</v>
      </c>
      <c r="D284" t="s">
        <v>705</v>
      </c>
      <c r="F284" s="1">
        <v>31906</v>
      </c>
      <c r="G284" s="2" t="s">
        <v>1047</v>
      </c>
      <c r="H284" s="2" t="s">
        <v>1036</v>
      </c>
      <c r="I284" s="2" t="s">
        <v>11</v>
      </c>
    </row>
    <row r="285" spans="1:9" x14ac:dyDescent="0.25">
      <c r="A285">
        <v>284</v>
      </c>
      <c r="B285" t="s">
        <v>23</v>
      </c>
      <c r="C285" t="s">
        <v>706</v>
      </c>
      <c r="D285" t="s">
        <v>707</v>
      </c>
      <c r="F285" s="1">
        <v>31116</v>
      </c>
      <c r="G285" s="2" t="s">
        <v>1047</v>
      </c>
      <c r="H285" s="2" t="s">
        <v>1036</v>
      </c>
      <c r="I285" s="2" t="s">
        <v>11</v>
      </c>
    </row>
    <row r="286" spans="1:9" x14ac:dyDescent="0.25">
      <c r="A286">
        <v>285</v>
      </c>
      <c r="B286" t="s">
        <v>23</v>
      </c>
      <c r="C286" t="s">
        <v>708</v>
      </c>
      <c r="D286" t="s">
        <v>709</v>
      </c>
      <c r="F286" s="1">
        <v>21718</v>
      </c>
      <c r="G286" s="2" t="s">
        <v>1047</v>
      </c>
      <c r="H286" s="2" t="s">
        <v>1036</v>
      </c>
      <c r="I286" s="2" t="s">
        <v>11</v>
      </c>
    </row>
    <row r="287" spans="1:9" x14ac:dyDescent="0.25">
      <c r="A287">
        <v>286</v>
      </c>
      <c r="B287" t="s">
        <v>23</v>
      </c>
      <c r="C287" t="s">
        <v>154</v>
      </c>
      <c r="D287" t="s">
        <v>710</v>
      </c>
      <c r="F287" s="1">
        <v>28594</v>
      </c>
      <c r="G287" s="2" t="s">
        <v>1047</v>
      </c>
      <c r="H287" s="2" t="s">
        <v>1036</v>
      </c>
      <c r="I287" s="2" t="s">
        <v>11</v>
      </c>
    </row>
    <row r="288" spans="1:9" x14ac:dyDescent="0.25">
      <c r="A288">
        <v>287</v>
      </c>
      <c r="B288" t="s">
        <v>23</v>
      </c>
      <c r="C288" t="s">
        <v>711</v>
      </c>
      <c r="D288" t="s">
        <v>712</v>
      </c>
      <c r="F288" s="1">
        <v>29737</v>
      </c>
      <c r="G288" s="2" t="s">
        <v>1047</v>
      </c>
      <c r="H288" s="2" t="s">
        <v>1036</v>
      </c>
      <c r="I288" s="2" t="s">
        <v>11</v>
      </c>
    </row>
    <row r="289" spans="1:9" x14ac:dyDescent="0.25">
      <c r="A289">
        <v>288</v>
      </c>
      <c r="B289" t="s">
        <v>23</v>
      </c>
      <c r="C289" t="s">
        <v>713</v>
      </c>
      <c r="D289" t="s">
        <v>341</v>
      </c>
      <c r="F289" s="1">
        <v>33274</v>
      </c>
      <c r="G289" s="2" t="s">
        <v>1047</v>
      </c>
      <c r="H289" s="2" t="s">
        <v>1036</v>
      </c>
      <c r="I289" s="2" t="s">
        <v>11</v>
      </c>
    </row>
    <row r="290" spans="1:9" x14ac:dyDescent="0.25">
      <c r="A290">
        <v>289</v>
      </c>
      <c r="B290" t="s">
        <v>714</v>
      </c>
      <c r="C290" t="s">
        <v>71</v>
      </c>
      <c r="D290" t="s">
        <v>715</v>
      </c>
      <c r="F290" s="1">
        <v>28737</v>
      </c>
      <c r="G290" s="2" t="s">
        <v>1047</v>
      </c>
      <c r="H290" s="2" t="s">
        <v>1036</v>
      </c>
      <c r="I290" s="2" t="s">
        <v>11</v>
      </c>
    </row>
    <row r="291" spans="1:9" x14ac:dyDescent="0.25">
      <c r="A291">
        <v>290</v>
      </c>
      <c r="B291" t="s">
        <v>714</v>
      </c>
      <c r="C291" t="s">
        <v>83</v>
      </c>
      <c r="D291" t="s">
        <v>716</v>
      </c>
      <c r="F291" s="1">
        <v>19088</v>
      </c>
      <c r="G291" s="2" t="s">
        <v>1047</v>
      </c>
      <c r="H291" s="2" t="s">
        <v>1036</v>
      </c>
      <c r="I291" s="2" t="s">
        <v>11</v>
      </c>
    </row>
    <row r="292" spans="1:9" x14ac:dyDescent="0.25">
      <c r="A292">
        <v>291</v>
      </c>
      <c r="B292" t="s">
        <v>717</v>
      </c>
      <c r="C292" t="s">
        <v>718</v>
      </c>
      <c r="D292" t="s">
        <v>307</v>
      </c>
      <c r="F292" s="1">
        <v>23444</v>
      </c>
      <c r="G292" s="2" t="s">
        <v>1047</v>
      </c>
      <c r="H292" s="2" t="s">
        <v>1036</v>
      </c>
      <c r="I292" s="2" t="s">
        <v>11</v>
      </c>
    </row>
    <row r="293" spans="1:9" x14ac:dyDescent="0.25">
      <c r="A293">
        <v>292</v>
      </c>
      <c r="B293" t="s">
        <v>719</v>
      </c>
      <c r="C293" t="s">
        <v>720</v>
      </c>
      <c r="D293" t="s">
        <v>721</v>
      </c>
      <c r="F293" s="1">
        <v>36556</v>
      </c>
      <c r="G293" s="2" t="s">
        <v>1047</v>
      </c>
      <c r="H293" s="2" t="s">
        <v>1036</v>
      </c>
      <c r="I293" s="2" t="s">
        <v>11</v>
      </c>
    </row>
    <row r="294" spans="1:9" x14ac:dyDescent="0.25">
      <c r="A294">
        <v>293</v>
      </c>
      <c r="B294" t="s">
        <v>722</v>
      </c>
      <c r="C294" t="s">
        <v>723</v>
      </c>
      <c r="D294" t="s">
        <v>232</v>
      </c>
      <c r="F294" s="1">
        <v>35738</v>
      </c>
      <c r="G294" s="2" t="s">
        <v>1047</v>
      </c>
      <c r="H294" s="2" t="s">
        <v>1036</v>
      </c>
      <c r="I294" s="2" t="s">
        <v>11</v>
      </c>
    </row>
    <row r="295" spans="1:9" x14ac:dyDescent="0.25">
      <c r="A295">
        <v>294</v>
      </c>
      <c r="B295" t="s">
        <v>232</v>
      </c>
      <c r="C295" t="s">
        <v>724</v>
      </c>
      <c r="D295" t="s">
        <v>172</v>
      </c>
      <c r="F295" s="1">
        <v>32905</v>
      </c>
      <c r="G295" s="2" t="s">
        <v>1047</v>
      </c>
      <c r="H295" s="2" t="s">
        <v>1036</v>
      </c>
      <c r="I295" s="2" t="s">
        <v>11</v>
      </c>
    </row>
    <row r="296" spans="1:9" x14ac:dyDescent="0.25">
      <c r="A296">
        <v>295</v>
      </c>
      <c r="B296" t="s">
        <v>725</v>
      </c>
      <c r="C296" t="s">
        <v>726</v>
      </c>
      <c r="D296" t="s">
        <v>727</v>
      </c>
      <c r="F296" s="1">
        <v>28707</v>
      </c>
      <c r="G296" s="2" t="s">
        <v>1047</v>
      </c>
      <c r="H296" s="2" t="s">
        <v>1036</v>
      </c>
      <c r="I296" s="2" t="s">
        <v>11</v>
      </c>
    </row>
    <row r="297" spans="1:9" x14ac:dyDescent="0.25">
      <c r="A297">
        <v>296</v>
      </c>
      <c r="B297" t="s">
        <v>725</v>
      </c>
      <c r="C297" t="s">
        <v>147</v>
      </c>
      <c r="D297" t="s">
        <v>728</v>
      </c>
      <c r="E297" t="s">
        <v>22</v>
      </c>
      <c r="F297" s="1">
        <v>21378</v>
      </c>
      <c r="G297" s="2" t="s">
        <v>1047</v>
      </c>
      <c r="H297" s="2" t="s">
        <v>1036</v>
      </c>
      <c r="I297" s="2" t="s">
        <v>11</v>
      </c>
    </row>
    <row r="298" spans="1:9" x14ac:dyDescent="0.25">
      <c r="A298">
        <v>297</v>
      </c>
      <c r="B298" t="s">
        <v>542</v>
      </c>
      <c r="C298" t="s">
        <v>729</v>
      </c>
      <c r="D298" t="s">
        <v>620</v>
      </c>
      <c r="F298" s="1">
        <v>29119</v>
      </c>
      <c r="G298" s="2" t="s">
        <v>1047</v>
      </c>
      <c r="H298" s="2" t="s">
        <v>1036</v>
      </c>
      <c r="I298" s="2" t="s">
        <v>11</v>
      </c>
    </row>
    <row r="299" spans="1:9" x14ac:dyDescent="0.25">
      <c r="A299">
        <v>298</v>
      </c>
      <c r="B299" t="s">
        <v>542</v>
      </c>
      <c r="C299" t="s">
        <v>730</v>
      </c>
      <c r="D299" t="s">
        <v>620</v>
      </c>
      <c r="F299" s="1">
        <v>18107</v>
      </c>
      <c r="G299" s="2" t="s">
        <v>1047</v>
      </c>
      <c r="H299" s="2" t="s">
        <v>1036</v>
      </c>
      <c r="I299" s="2" t="s">
        <v>11</v>
      </c>
    </row>
    <row r="300" spans="1:9" x14ac:dyDescent="0.25">
      <c r="A300">
        <v>299</v>
      </c>
      <c r="B300" t="s">
        <v>542</v>
      </c>
      <c r="C300" t="s">
        <v>731</v>
      </c>
      <c r="D300" t="s">
        <v>98</v>
      </c>
      <c r="F300" s="1">
        <v>30578</v>
      </c>
      <c r="G300" s="2" t="s">
        <v>1047</v>
      </c>
      <c r="H300" s="2" t="s">
        <v>1036</v>
      </c>
      <c r="I300" s="2" t="s">
        <v>11</v>
      </c>
    </row>
    <row r="301" spans="1:9" x14ac:dyDescent="0.25">
      <c r="A301">
        <v>300</v>
      </c>
      <c r="B301" t="s">
        <v>732</v>
      </c>
      <c r="C301" t="s">
        <v>137</v>
      </c>
      <c r="D301" t="s">
        <v>733</v>
      </c>
      <c r="F301" s="1">
        <v>32086</v>
      </c>
      <c r="G301" s="2" t="s">
        <v>1047</v>
      </c>
      <c r="H301" s="2" t="s">
        <v>1036</v>
      </c>
      <c r="I301" s="2" t="s">
        <v>11</v>
      </c>
    </row>
    <row r="302" spans="1:9" x14ac:dyDescent="0.25">
      <c r="A302">
        <v>301</v>
      </c>
      <c r="B302" t="s">
        <v>734</v>
      </c>
      <c r="C302" t="s">
        <v>361</v>
      </c>
      <c r="D302" t="s">
        <v>98</v>
      </c>
      <c r="F302" s="1">
        <v>28613</v>
      </c>
      <c r="G302" s="2" t="s">
        <v>1047</v>
      </c>
      <c r="H302" s="2" t="s">
        <v>1036</v>
      </c>
      <c r="I302" s="2" t="s">
        <v>11</v>
      </c>
    </row>
    <row r="303" spans="1:9" x14ac:dyDescent="0.25">
      <c r="A303">
        <v>302</v>
      </c>
      <c r="B303" t="s">
        <v>735</v>
      </c>
      <c r="C303" t="s">
        <v>82</v>
      </c>
      <c r="D303" t="s">
        <v>521</v>
      </c>
      <c r="F303" s="1">
        <v>32198</v>
      </c>
      <c r="G303" s="2" t="s">
        <v>1047</v>
      </c>
      <c r="H303" s="2" t="s">
        <v>1036</v>
      </c>
      <c r="I303" s="2" t="s">
        <v>11</v>
      </c>
    </row>
    <row r="304" spans="1:9" x14ac:dyDescent="0.25">
      <c r="A304">
        <v>303</v>
      </c>
      <c r="B304" t="s">
        <v>66</v>
      </c>
      <c r="C304" t="s">
        <v>736</v>
      </c>
      <c r="D304" t="s">
        <v>85</v>
      </c>
      <c r="F304" s="1">
        <v>35513</v>
      </c>
      <c r="G304" s="2" t="s">
        <v>1047</v>
      </c>
      <c r="H304" s="2" t="s">
        <v>1036</v>
      </c>
      <c r="I304" s="2" t="s">
        <v>11</v>
      </c>
    </row>
    <row r="305" spans="1:9" x14ac:dyDescent="0.25">
      <c r="A305">
        <v>304</v>
      </c>
      <c r="B305" t="s">
        <v>46</v>
      </c>
      <c r="C305" t="s">
        <v>737</v>
      </c>
      <c r="D305" t="s">
        <v>738</v>
      </c>
      <c r="F305" s="1">
        <v>28741</v>
      </c>
      <c r="G305" s="2" t="s">
        <v>1047</v>
      </c>
      <c r="H305" s="2" t="s">
        <v>1036</v>
      </c>
      <c r="I305" s="2" t="s">
        <v>11</v>
      </c>
    </row>
    <row r="306" spans="1:9" x14ac:dyDescent="0.25">
      <c r="A306">
        <v>305</v>
      </c>
      <c r="B306" t="s">
        <v>739</v>
      </c>
      <c r="C306" t="s">
        <v>740</v>
      </c>
      <c r="D306" t="s">
        <v>741</v>
      </c>
      <c r="F306" s="1">
        <v>25879</v>
      </c>
      <c r="G306" s="2" t="s">
        <v>1047</v>
      </c>
      <c r="H306" s="2" t="s">
        <v>1036</v>
      </c>
      <c r="I306" s="2" t="s">
        <v>11</v>
      </c>
    </row>
    <row r="307" spans="1:9" x14ac:dyDescent="0.25">
      <c r="A307">
        <v>306</v>
      </c>
      <c r="B307" t="s">
        <v>742</v>
      </c>
      <c r="C307" t="s">
        <v>14</v>
      </c>
      <c r="D307" t="s">
        <v>41</v>
      </c>
      <c r="F307" s="1">
        <v>27988</v>
      </c>
      <c r="G307" s="2" t="s">
        <v>1047</v>
      </c>
      <c r="H307" s="2" t="s">
        <v>1036</v>
      </c>
      <c r="I307" s="2" t="s">
        <v>11</v>
      </c>
    </row>
    <row r="308" spans="1:9" x14ac:dyDescent="0.25">
      <c r="A308">
        <v>307</v>
      </c>
      <c r="B308" t="s">
        <v>743</v>
      </c>
      <c r="C308" t="s">
        <v>552</v>
      </c>
      <c r="D308" t="s">
        <v>744</v>
      </c>
      <c r="F308" s="1">
        <v>33726</v>
      </c>
      <c r="G308" s="2" t="s">
        <v>1047</v>
      </c>
      <c r="H308" s="2" t="s">
        <v>1036</v>
      </c>
      <c r="I308" s="2" t="s">
        <v>11</v>
      </c>
    </row>
    <row r="309" spans="1:9" x14ac:dyDescent="0.25">
      <c r="A309">
        <v>308</v>
      </c>
      <c r="B309" t="s">
        <v>79</v>
      </c>
      <c r="C309" t="s">
        <v>745</v>
      </c>
      <c r="D309" t="s">
        <v>746</v>
      </c>
      <c r="F309" s="1">
        <v>28501</v>
      </c>
      <c r="G309" s="2" t="s">
        <v>1047</v>
      </c>
      <c r="H309" s="2" t="s">
        <v>1036</v>
      </c>
      <c r="I309" s="2" t="s">
        <v>11</v>
      </c>
    </row>
    <row r="310" spans="1:9" x14ac:dyDescent="0.25">
      <c r="A310">
        <v>309</v>
      </c>
      <c r="B310" t="s">
        <v>747</v>
      </c>
      <c r="C310" t="s">
        <v>748</v>
      </c>
      <c r="D310" t="s">
        <v>749</v>
      </c>
      <c r="F310" s="1">
        <v>32139</v>
      </c>
      <c r="G310" s="2" t="s">
        <v>1047</v>
      </c>
      <c r="H310" s="2" t="s">
        <v>1036</v>
      </c>
      <c r="I310" s="2" t="s">
        <v>11</v>
      </c>
    </row>
    <row r="311" spans="1:9" x14ac:dyDescent="0.25">
      <c r="A311">
        <v>310</v>
      </c>
      <c r="B311" t="s">
        <v>750</v>
      </c>
      <c r="C311" t="s">
        <v>751</v>
      </c>
      <c r="D311" t="s">
        <v>286</v>
      </c>
      <c r="F311" s="1">
        <v>32600</v>
      </c>
      <c r="G311" s="2" t="s">
        <v>1047</v>
      </c>
      <c r="H311" s="2" t="s">
        <v>1036</v>
      </c>
      <c r="I311" s="2" t="s">
        <v>11</v>
      </c>
    </row>
    <row r="312" spans="1:9" x14ac:dyDescent="0.25">
      <c r="A312">
        <v>311</v>
      </c>
      <c r="B312" t="s">
        <v>752</v>
      </c>
      <c r="C312" t="s">
        <v>753</v>
      </c>
      <c r="D312" t="s">
        <v>23</v>
      </c>
      <c r="F312" s="1">
        <v>34925</v>
      </c>
      <c r="G312" s="2" t="s">
        <v>1047</v>
      </c>
      <c r="H312" s="2" t="s">
        <v>1036</v>
      </c>
      <c r="I312" s="2" t="s">
        <v>11</v>
      </c>
    </row>
    <row r="313" spans="1:9" x14ac:dyDescent="0.25">
      <c r="A313">
        <v>312</v>
      </c>
      <c r="B313" t="s">
        <v>754</v>
      </c>
      <c r="C313" t="s">
        <v>755</v>
      </c>
      <c r="D313" t="s">
        <v>41</v>
      </c>
      <c r="F313" s="1">
        <v>27171</v>
      </c>
      <c r="G313" s="2" t="s">
        <v>1047</v>
      </c>
      <c r="H313" s="2" t="s">
        <v>1036</v>
      </c>
      <c r="I313" s="2" t="s">
        <v>11</v>
      </c>
    </row>
    <row r="314" spans="1:9" x14ac:dyDescent="0.25">
      <c r="A314">
        <v>313</v>
      </c>
      <c r="B314" t="s">
        <v>756</v>
      </c>
      <c r="C314" t="s">
        <v>310</v>
      </c>
      <c r="D314" t="s">
        <v>1233</v>
      </c>
      <c r="F314" s="1">
        <v>22222</v>
      </c>
      <c r="G314" s="2" t="s">
        <v>1047</v>
      </c>
      <c r="H314" s="2" t="s">
        <v>1036</v>
      </c>
      <c r="I314" s="2" t="s">
        <v>11</v>
      </c>
    </row>
    <row r="315" spans="1:9" x14ac:dyDescent="0.25">
      <c r="A315">
        <v>314</v>
      </c>
      <c r="B315" t="s">
        <v>757</v>
      </c>
      <c r="C315" t="s">
        <v>758</v>
      </c>
      <c r="D315" t="s">
        <v>59</v>
      </c>
      <c r="F315" s="1">
        <v>31707</v>
      </c>
      <c r="G315" s="2" t="s">
        <v>1047</v>
      </c>
      <c r="H315" s="2" t="s">
        <v>1036</v>
      </c>
      <c r="I315" s="2" t="s">
        <v>11</v>
      </c>
    </row>
    <row r="316" spans="1:9" x14ac:dyDescent="0.25">
      <c r="A316">
        <v>315</v>
      </c>
      <c r="B316" t="s">
        <v>759</v>
      </c>
      <c r="C316" t="s">
        <v>760</v>
      </c>
      <c r="D316" t="s">
        <v>761</v>
      </c>
      <c r="F316" s="1">
        <v>23949</v>
      </c>
      <c r="G316" s="2" t="s">
        <v>1047</v>
      </c>
      <c r="H316" s="2" t="s">
        <v>1036</v>
      </c>
      <c r="I316" s="2" t="s">
        <v>11</v>
      </c>
    </row>
    <row r="317" spans="1:9" x14ac:dyDescent="0.25">
      <c r="A317">
        <v>316</v>
      </c>
      <c r="B317" t="s">
        <v>762</v>
      </c>
      <c r="C317" t="s">
        <v>211</v>
      </c>
      <c r="D317" t="s">
        <v>763</v>
      </c>
      <c r="F317" s="1">
        <v>36544</v>
      </c>
      <c r="G317" s="2" t="s">
        <v>1047</v>
      </c>
      <c r="H317" s="2" t="s">
        <v>1036</v>
      </c>
      <c r="I317" s="2" t="s">
        <v>11</v>
      </c>
    </row>
    <row r="318" spans="1:9" x14ac:dyDescent="0.25">
      <c r="A318">
        <v>317</v>
      </c>
      <c r="B318" t="s">
        <v>180</v>
      </c>
      <c r="C318" t="s">
        <v>764</v>
      </c>
      <c r="D318" t="s">
        <v>765</v>
      </c>
      <c r="F318" s="1">
        <v>25077</v>
      </c>
      <c r="G318" s="2" t="s">
        <v>1047</v>
      </c>
      <c r="H318" s="2" t="s">
        <v>1036</v>
      </c>
      <c r="I318" s="2" t="s">
        <v>11</v>
      </c>
    </row>
    <row r="319" spans="1:9" x14ac:dyDescent="0.25">
      <c r="A319">
        <v>318</v>
      </c>
      <c r="B319" t="s">
        <v>180</v>
      </c>
      <c r="C319" t="s">
        <v>47</v>
      </c>
      <c r="D319" t="s">
        <v>79</v>
      </c>
      <c r="F319" s="1">
        <v>22434</v>
      </c>
      <c r="G319" s="2" t="s">
        <v>1047</v>
      </c>
      <c r="H319" s="2" t="s">
        <v>1036</v>
      </c>
      <c r="I319" s="2" t="s">
        <v>11</v>
      </c>
    </row>
    <row r="320" spans="1:9" x14ac:dyDescent="0.25">
      <c r="A320">
        <v>319</v>
      </c>
      <c r="B320" t="s">
        <v>766</v>
      </c>
      <c r="C320" t="s">
        <v>767</v>
      </c>
      <c r="D320" t="s">
        <v>81</v>
      </c>
      <c r="F320" s="1">
        <v>26319</v>
      </c>
      <c r="G320" s="2" t="s">
        <v>1047</v>
      </c>
      <c r="H320" s="2" t="s">
        <v>1036</v>
      </c>
      <c r="I320" s="2" t="s">
        <v>11</v>
      </c>
    </row>
    <row r="321" spans="1:9" x14ac:dyDescent="0.25">
      <c r="A321">
        <v>320</v>
      </c>
      <c r="B321" t="s">
        <v>768</v>
      </c>
      <c r="C321" t="s">
        <v>769</v>
      </c>
      <c r="D321" t="s">
        <v>30</v>
      </c>
      <c r="F321" s="1">
        <v>26595</v>
      </c>
      <c r="G321" s="2" t="s">
        <v>1047</v>
      </c>
      <c r="H321" s="2" t="s">
        <v>1036</v>
      </c>
      <c r="I321" s="2" t="s">
        <v>11</v>
      </c>
    </row>
    <row r="322" spans="1:9" x14ac:dyDescent="0.25">
      <c r="A322">
        <v>321</v>
      </c>
      <c r="B322" t="s">
        <v>770</v>
      </c>
      <c r="C322" t="s">
        <v>214</v>
      </c>
      <c r="D322" t="s">
        <v>771</v>
      </c>
      <c r="F322" s="1">
        <v>31765</v>
      </c>
      <c r="G322" s="2" t="s">
        <v>1047</v>
      </c>
      <c r="H322" s="2" t="s">
        <v>1036</v>
      </c>
      <c r="I322" s="2" t="s">
        <v>11</v>
      </c>
    </row>
    <row r="323" spans="1:9" x14ac:dyDescent="0.25">
      <c r="A323">
        <v>322</v>
      </c>
      <c r="B323" t="s">
        <v>132</v>
      </c>
      <c r="C323" t="s">
        <v>42</v>
      </c>
      <c r="D323" t="s">
        <v>302</v>
      </c>
      <c r="E323" t="s">
        <v>67</v>
      </c>
      <c r="F323" s="1">
        <v>34783</v>
      </c>
      <c r="G323" s="2" t="s">
        <v>1047</v>
      </c>
      <c r="H323" s="2" t="s">
        <v>1036</v>
      </c>
      <c r="I323" s="2" t="s">
        <v>11</v>
      </c>
    </row>
    <row r="324" spans="1:9" x14ac:dyDescent="0.25">
      <c r="A324">
        <v>323</v>
      </c>
      <c r="B324" t="s">
        <v>132</v>
      </c>
      <c r="C324" t="s">
        <v>43</v>
      </c>
      <c r="D324" t="s">
        <v>772</v>
      </c>
      <c r="F324" s="1">
        <v>25873</v>
      </c>
      <c r="G324" s="2" t="s">
        <v>1047</v>
      </c>
      <c r="H324" s="2" t="s">
        <v>1036</v>
      </c>
      <c r="I324" s="2" t="s">
        <v>11</v>
      </c>
    </row>
    <row r="325" spans="1:9" x14ac:dyDescent="0.25">
      <c r="A325">
        <v>324</v>
      </c>
      <c r="B325" t="s">
        <v>132</v>
      </c>
      <c r="C325" t="s">
        <v>42</v>
      </c>
      <c r="D325" t="s">
        <v>772</v>
      </c>
      <c r="F325" s="1">
        <v>23017</v>
      </c>
      <c r="G325" s="2" t="s">
        <v>1047</v>
      </c>
      <c r="H325" s="2" t="s">
        <v>1036</v>
      </c>
      <c r="I325" s="2" t="s">
        <v>11</v>
      </c>
    </row>
    <row r="326" spans="1:9" x14ac:dyDescent="0.25">
      <c r="A326">
        <v>325</v>
      </c>
      <c r="B326" t="s">
        <v>773</v>
      </c>
      <c r="C326" t="s">
        <v>774</v>
      </c>
      <c r="D326" t="s">
        <v>775</v>
      </c>
      <c r="F326" s="1">
        <v>38644</v>
      </c>
      <c r="G326" s="2" t="s">
        <v>1047</v>
      </c>
      <c r="H326" s="2" t="s">
        <v>1036</v>
      </c>
      <c r="I326" s="2" t="s">
        <v>11</v>
      </c>
    </row>
    <row r="327" spans="1:9" x14ac:dyDescent="0.25">
      <c r="A327">
        <v>326</v>
      </c>
      <c r="B327" t="s">
        <v>776</v>
      </c>
      <c r="C327" t="s">
        <v>777</v>
      </c>
      <c r="D327" t="s">
        <v>778</v>
      </c>
      <c r="F327" s="1">
        <v>24699</v>
      </c>
      <c r="G327" s="2" t="s">
        <v>1047</v>
      </c>
      <c r="H327" s="2" t="s">
        <v>1036</v>
      </c>
      <c r="I327" s="2" t="s">
        <v>11</v>
      </c>
    </row>
    <row r="328" spans="1:9" x14ac:dyDescent="0.25">
      <c r="A328">
        <v>327</v>
      </c>
      <c r="B328" t="s">
        <v>779</v>
      </c>
      <c r="C328" t="s">
        <v>780</v>
      </c>
      <c r="D328" t="s">
        <v>781</v>
      </c>
      <c r="E328" t="s">
        <v>22</v>
      </c>
      <c r="F328" s="1">
        <v>28880</v>
      </c>
      <c r="G328" s="2" t="s">
        <v>1047</v>
      </c>
      <c r="H328" s="2" t="s">
        <v>1036</v>
      </c>
      <c r="I328" s="2" t="s">
        <v>11</v>
      </c>
    </row>
    <row r="329" spans="1:9" x14ac:dyDescent="0.25">
      <c r="A329">
        <v>328</v>
      </c>
      <c r="B329" t="s">
        <v>782</v>
      </c>
      <c r="C329" t="s">
        <v>783</v>
      </c>
      <c r="D329" t="s">
        <v>784</v>
      </c>
      <c r="F329" s="1" t="s">
        <v>1141</v>
      </c>
      <c r="G329" s="2" t="s">
        <v>1047</v>
      </c>
      <c r="H329" s="2" t="s">
        <v>1036</v>
      </c>
      <c r="I329" s="2" t="s">
        <v>11</v>
      </c>
    </row>
    <row r="330" spans="1:9" x14ac:dyDescent="0.25">
      <c r="A330">
        <v>329</v>
      </c>
      <c r="B330" t="s">
        <v>785</v>
      </c>
      <c r="C330" t="s">
        <v>61</v>
      </c>
      <c r="D330" t="s">
        <v>786</v>
      </c>
      <c r="F330" s="1" t="s">
        <v>1142</v>
      </c>
      <c r="G330" s="2" t="s">
        <v>1047</v>
      </c>
      <c r="H330" s="2" t="s">
        <v>1036</v>
      </c>
      <c r="I330" s="2" t="s">
        <v>11</v>
      </c>
    </row>
    <row r="331" spans="1:9" x14ac:dyDescent="0.25">
      <c r="A331">
        <v>330</v>
      </c>
      <c r="B331" t="s">
        <v>785</v>
      </c>
      <c r="C331" t="s">
        <v>787</v>
      </c>
      <c r="D331" t="s">
        <v>788</v>
      </c>
      <c r="F331" s="1">
        <v>34999</v>
      </c>
      <c r="G331" s="2" t="s">
        <v>1047</v>
      </c>
      <c r="H331" s="2" t="s">
        <v>1036</v>
      </c>
      <c r="I331" s="2" t="s">
        <v>11</v>
      </c>
    </row>
    <row r="332" spans="1:9" x14ac:dyDescent="0.25">
      <c r="A332">
        <v>331</v>
      </c>
      <c r="B332" t="s">
        <v>688</v>
      </c>
      <c r="C332" t="s">
        <v>789</v>
      </c>
      <c r="D332" t="s">
        <v>790</v>
      </c>
      <c r="F332" s="1">
        <v>13846</v>
      </c>
      <c r="G332" s="2" t="s">
        <v>1047</v>
      </c>
      <c r="H332" s="2" t="s">
        <v>1036</v>
      </c>
      <c r="I332" s="2" t="s">
        <v>11</v>
      </c>
    </row>
    <row r="333" spans="1:9" x14ac:dyDescent="0.25">
      <c r="A333">
        <v>332</v>
      </c>
      <c r="B333" t="s">
        <v>791</v>
      </c>
      <c r="C333" t="s">
        <v>792</v>
      </c>
      <c r="D333" t="s">
        <v>119</v>
      </c>
      <c r="F333" s="1">
        <v>36909</v>
      </c>
      <c r="G333" s="2" t="s">
        <v>1047</v>
      </c>
      <c r="H333" s="2" t="s">
        <v>1036</v>
      </c>
      <c r="I333" s="2" t="s">
        <v>11</v>
      </c>
    </row>
    <row r="334" spans="1:9" x14ac:dyDescent="0.25">
      <c r="A334">
        <v>333</v>
      </c>
      <c r="B334" t="s">
        <v>793</v>
      </c>
      <c r="C334" t="s">
        <v>787</v>
      </c>
      <c r="F334" s="1">
        <v>37292</v>
      </c>
      <c r="G334" s="2" t="s">
        <v>1047</v>
      </c>
      <c r="H334" s="2" t="s">
        <v>1036</v>
      </c>
      <c r="I334" s="2" t="s">
        <v>11</v>
      </c>
    </row>
    <row r="335" spans="1:9" x14ac:dyDescent="0.25">
      <c r="A335">
        <v>334</v>
      </c>
      <c r="B335" t="s">
        <v>794</v>
      </c>
      <c r="C335" t="s">
        <v>795</v>
      </c>
      <c r="D335" t="s">
        <v>74</v>
      </c>
      <c r="F335" s="1">
        <v>24074</v>
      </c>
      <c r="G335" s="2" t="s">
        <v>1047</v>
      </c>
      <c r="H335" s="2" t="s">
        <v>1036</v>
      </c>
      <c r="I335" s="2" t="s">
        <v>11</v>
      </c>
    </row>
    <row r="336" spans="1:9" x14ac:dyDescent="0.25">
      <c r="A336">
        <v>335</v>
      </c>
      <c r="B336" t="s">
        <v>794</v>
      </c>
      <c r="C336" t="s">
        <v>614</v>
      </c>
      <c r="D336" t="s">
        <v>796</v>
      </c>
      <c r="E336" t="s">
        <v>67</v>
      </c>
      <c r="F336" s="1">
        <v>33764</v>
      </c>
      <c r="G336" s="2" t="s">
        <v>1047</v>
      </c>
      <c r="H336" s="2" t="s">
        <v>1036</v>
      </c>
      <c r="I336" s="2" t="s">
        <v>11</v>
      </c>
    </row>
    <row r="337" spans="1:9" x14ac:dyDescent="0.25">
      <c r="A337">
        <v>336</v>
      </c>
      <c r="B337" t="s">
        <v>797</v>
      </c>
      <c r="C337" t="s">
        <v>798</v>
      </c>
      <c r="D337" t="s">
        <v>799</v>
      </c>
      <c r="F337" s="1">
        <v>32076</v>
      </c>
      <c r="G337" s="2" t="s">
        <v>1047</v>
      </c>
      <c r="H337" s="2" t="s">
        <v>1036</v>
      </c>
      <c r="I337" s="2" t="s">
        <v>11</v>
      </c>
    </row>
    <row r="338" spans="1:9" x14ac:dyDescent="0.25">
      <c r="A338">
        <v>337</v>
      </c>
      <c r="B338" t="s">
        <v>800</v>
      </c>
      <c r="C338" t="s">
        <v>316</v>
      </c>
      <c r="D338" t="s">
        <v>33</v>
      </c>
      <c r="F338" s="1">
        <v>26040</v>
      </c>
      <c r="G338" s="2" t="s">
        <v>1047</v>
      </c>
      <c r="H338" s="2" t="s">
        <v>1036</v>
      </c>
      <c r="I338" s="2" t="s">
        <v>11</v>
      </c>
    </row>
    <row r="339" spans="1:9" x14ac:dyDescent="0.25">
      <c r="A339">
        <v>338</v>
      </c>
      <c r="B339" t="s">
        <v>801</v>
      </c>
      <c r="C339" t="s">
        <v>802</v>
      </c>
      <c r="D339" t="s">
        <v>803</v>
      </c>
      <c r="F339" s="1">
        <v>24856</v>
      </c>
      <c r="G339" s="2" t="s">
        <v>1047</v>
      </c>
      <c r="H339" s="2" t="s">
        <v>1036</v>
      </c>
      <c r="I339" s="2" t="s">
        <v>11</v>
      </c>
    </row>
    <row r="340" spans="1:9" x14ac:dyDescent="0.25">
      <c r="A340">
        <v>339</v>
      </c>
      <c r="B340" t="s">
        <v>801</v>
      </c>
      <c r="C340" t="s">
        <v>804</v>
      </c>
      <c r="D340" t="s">
        <v>803</v>
      </c>
      <c r="F340" s="1">
        <v>35004</v>
      </c>
      <c r="G340" s="2" t="s">
        <v>1047</v>
      </c>
      <c r="H340" s="2" t="s">
        <v>1036</v>
      </c>
      <c r="I340" s="2" t="s">
        <v>11</v>
      </c>
    </row>
    <row r="341" spans="1:9" x14ac:dyDescent="0.25">
      <c r="A341">
        <v>340</v>
      </c>
      <c r="B341" t="s">
        <v>115</v>
      </c>
      <c r="C341" t="s">
        <v>805</v>
      </c>
      <c r="D341" t="s">
        <v>806</v>
      </c>
      <c r="F341" s="1">
        <v>37997</v>
      </c>
      <c r="G341" s="2" t="s">
        <v>1047</v>
      </c>
      <c r="H341" s="2" t="s">
        <v>1036</v>
      </c>
      <c r="I341" s="2" t="s">
        <v>11</v>
      </c>
    </row>
    <row r="342" spans="1:9" x14ac:dyDescent="0.25">
      <c r="A342">
        <v>341</v>
      </c>
      <c r="B342" t="s">
        <v>807</v>
      </c>
      <c r="C342" t="s">
        <v>808</v>
      </c>
      <c r="D342" t="s">
        <v>809</v>
      </c>
      <c r="F342" s="1">
        <v>18299</v>
      </c>
      <c r="G342" s="2" t="s">
        <v>1047</v>
      </c>
      <c r="H342" s="2" t="s">
        <v>1036</v>
      </c>
      <c r="I342" s="2" t="s">
        <v>11</v>
      </c>
    </row>
    <row r="343" spans="1:9" x14ac:dyDescent="0.25">
      <c r="A343">
        <v>342</v>
      </c>
      <c r="B343" t="s">
        <v>807</v>
      </c>
      <c r="C343" t="s">
        <v>810</v>
      </c>
      <c r="D343" t="s">
        <v>811</v>
      </c>
      <c r="F343" s="1">
        <v>31031</v>
      </c>
      <c r="G343" s="2" t="s">
        <v>1047</v>
      </c>
      <c r="H343" s="2" t="s">
        <v>1036</v>
      </c>
      <c r="I343" s="2" t="s">
        <v>11</v>
      </c>
    </row>
    <row r="344" spans="1:9" x14ac:dyDescent="0.25">
      <c r="A344">
        <v>343</v>
      </c>
      <c r="B344" t="s">
        <v>812</v>
      </c>
      <c r="C344" t="s">
        <v>813</v>
      </c>
      <c r="D344" t="s">
        <v>814</v>
      </c>
      <c r="F344" s="1">
        <v>35007</v>
      </c>
      <c r="G344" s="2" t="s">
        <v>1047</v>
      </c>
      <c r="H344" s="2" t="s">
        <v>1036</v>
      </c>
      <c r="I344" s="2" t="s">
        <v>11</v>
      </c>
    </row>
    <row r="345" spans="1:9" x14ac:dyDescent="0.25">
      <c r="A345">
        <v>344</v>
      </c>
      <c r="B345" t="s">
        <v>815</v>
      </c>
      <c r="C345" t="s">
        <v>816</v>
      </c>
      <c r="D345" t="s">
        <v>817</v>
      </c>
      <c r="F345" s="1">
        <v>33425</v>
      </c>
      <c r="G345" s="2" t="s">
        <v>1047</v>
      </c>
      <c r="H345" s="2" t="s">
        <v>1036</v>
      </c>
      <c r="I345" s="2" t="s">
        <v>11</v>
      </c>
    </row>
    <row r="346" spans="1:9" x14ac:dyDescent="0.25">
      <c r="A346">
        <v>345</v>
      </c>
      <c r="B346" t="s">
        <v>818</v>
      </c>
      <c r="C346" t="s">
        <v>819</v>
      </c>
      <c r="D346" t="s">
        <v>820</v>
      </c>
      <c r="F346" s="1">
        <v>36448</v>
      </c>
      <c r="G346" s="2" t="s">
        <v>1047</v>
      </c>
      <c r="H346" s="2" t="s">
        <v>1036</v>
      </c>
      <c r="I346" s="2" t="s">
        <v>11</v>
      </c>
    </row>
    <row r="347" spans="1:9" x14ac:dyDescent="0.25">
      <c r="A347">
        <v>346</v>
      </c>
      <c r="B347" t="s">
        <v>820</v>
      </c>
      <c r="C347" t="s">
        <v>48</v>
      </c>
      <c r="D347" t="s">
        <v>821</v>
      </c>
      <c r="F347" s="1">
        <v>23772</v>
      </c>
      <c r="G347" s="2" t="s">
        <v>1047</v>
      </c>
      <c r="H347" s="2" t="s">
        <v>1036</v>
      </c>
      <c r="I347" s="2" t="s">
        <v>11</v>
      </c>
    </row>
    <row r="348" spans="1:9" x14ac:dyDescent="0.25">
      <c r="A348">
        <v>347</v>
      </c>
      <c r="B348" t="s">
        <v>796</v>
      </c>
      <c r="C348" t="s">
        <v>822</v>
      </c>
      <c r="D348" t="s">
        <v>823</v>
      </c>
      <c r="F348" s="1">
        <v>36072</v>
      </c>
      <c r="G348" s="2" t="s">
        <v>1047</v>
      </c>
      <c r="H348" s="2" t="s">
        <v>1036</v>
      </c>
      <c r="I348" s="2" t="s">
        <v>11</v>
      </c>
    </row>
    <row r="349" spans="1:9" x14ac:dyDescent="0.25">
      <c r="A349">
        <v>348</v>
      </c>
      <c r="B349" t="s">
        <v>824</v>
      </c>
      <c r="C349" t="s">
        <v>825</v>
      </c>
      <c r="D349" t="s">
        <v>741</v>
      </c>
      <c r="F349" s="1">
        <v>27497</v>
      </c>
      <c r="G349" s="2" t="s">
        <v>1047</v>
      </c>
      <c r="H349" s="2" t="s">
        <v>1036</v>
      </c>
      <c r="I349" s="2" t="s">
        <v>11</v>
      </c>
    </row>
    <row r="350" spans="1:9" x14ac:dyDescent="0.25">
      <c r="A350">
        <v>349</v>
      </c>
      <c r="B350" t="s">
        <v>826</v>
      </c>
      <c r="C350" t="s">
        <v>827</v>
      </c>
      <c r="D350" t="s">
        <v>232</v>
      </c>
      <c r="F350" s="1">
        <v>33116</v>
      </c>
      <c r="G350" s="2" t="s">
        <v>1047</v>
      </c>
      <c r="H350" s="2" t="s">
        <v>1036</v>
      </c>
      <c r="I350" s="2" t="s">
        <v>11</v>
      </c>
    </row>
    <row r="351" spans="1:9" x14ac:dyDescent="0.25">
      <c r="A351">
        <v>350</v>
      </c>
      <c r="B351" t="s">
        <v>828</v>
      </c>
      <c r="C351" t="s">
        <v>829</v>
      </c>
      <c r="D351" t="s">
        <v>830</v>
      </c>
      <c r="F351" s="1">
        <v>28926</v>
      </c>
      <c r="G351" s="2" t="s">
        <v>1047</v>
      </c>
      <c r="H351" s="2" t="s">
        <v>1036</v>
      </c>
      <c r="I351" s="2" t="s">
        <v>11</v>
      </c>
    </row>
    <row r="352" spans="1:9" x14ac:dyDescent="0.25">
      <c r="A352">
        <v>351</v>
      </c>
      <c r="B352" t="s">
        <v>831</v>
      </c>
      <c r="C352" t="s">
        <v>832</v>
      </c>
      <c r="D352" t="s">
        <v>833</v>
      </c>
      <c r="F352" s="1">
        <v>33283</v>
      </c>
      <c r="G352" s="2" t="s">
        <v>1047</v>
      </c>
      <c r="H352" s="2" t="s">
        <v>1036</v>
      </c>
      <c r="I352" s="2" t="s">
        <v>11</v>
      </c>
    </row>
    <row r="353" spans="1:9" x14ac:dyDescent="0.25">
      <c r="A353">
        <v>352</v>
      </c>
      <c r="B353" t="s">
        <v>834</v>
      </c>
      <c r="C353" t="s">
        <v>143</v>
      </c>
      <c r="D353" t="s">
        <v>835</v>
      </c>
      <c r="F353" s="1">
        <v>21480</v>
      </c>
      <c r="G353" s="2" t="s">
        <v>1047</v>
      </c>
      <c r="H353" s="2" t="s">
        <v>1036</v>
      </c>
      <c r="I353" s="2" t="s">
        <v>11</v>
      </c>
    </row>
    <row r="354" spans="1:9" x14ac:dyDescent="0.25">
      <c r="A354">
        <v>353</v>
      </c>
      <c r="B354" t="s">
        <v>836</v>
      </c>
      <c r="C354" t="s">
        <v>837</v>
      </c>
      <c r="D354" t="s">
        <v>838</v>
      </c>
      <c r="F354" s="1">
        <v>32831</v>
      </c>
      <c r="G354" s="2" t="s">
        <v>1047</v>
      </c>
      <c r="H354" s="2" t="s">
        <v>1036</v>
      </c>
      <c r="I354" s="2" t="s">
        <v>11</v>
      </c>
    </row>
    <row r="355" spans="1:9" x14ac:dyDescent="0.25">
      <c r="A355">
        <v>354</v>
      </c>
      <c r="B355" t="s">
        <v>839</v>
      </c>
      <c r="C355" t="s">
        <v>840</v>
      </c>
      <c r="D355" t="s">
        <v>302</v>
      </c>
      <c r="F355" s="1">
        <v>32432</v>
      </c>
      <c r="G355" s="2" t="s">
        <v>1047</v>
      </c>
      <c r="H355" s="2" t="s">
        <v>1036</v>
      </c>
      <c r="I355" s="2" t="s">
        <v>11</v>
      </c>
    </row>
    <row r="356" spans="1:9" x14ac:dyDescent="0.25">
      <c r="A356">
        <v>355</v>
      </c>
      <c r="B356" t="s">
        <v>841</v>
      </c>
      <c r="C356" t="s">
        <v>842</v>
      </c>
      <c r="D356" t="s">
        <v>843</v>
      </c>
      <c r="F356" s="1">
        <v>35120</v>
      </c>
      <c r="G356" s="2" t="s">
        <v>1047</v>
      </c>
      <c r="H356" s="2" t="s">
        <v>1036</v>
      </c>
      <c r="I356" s="2" t="s">
        <v>11</v>
      </c>
    </row>
    <row r="357" spans="1:9" x14ac:dyDescent="0.25">
      <c r="A357">
        <v>356</v>
      </c>
      <c r="B357" t="s">
        <v>844</v>
      </c>
      <c r="C357" t="s">
        <v>845</v>
      </c>
      <c r="D357" t="s">
        <v>846</v>
      </c>
      <c r="F357" s="1">
        <v>36389</v>
      </c>
      <c r="G357" s="2" t="s">
        <v>1047</v>
      </c>
      <c r="H357" s="2" t="s">
        <v>1036</v>
      </c>
      <c r="I357" s="2" t="s">
        <v>11</v>
      </c>
    </row>
    <row r="358" spans="1:9" x14ac:dyDescent="0.25">
      <c r="A358">
        <v>357</v>
      </c>
      <c r="B358" t="s">
        <v>97</v>
      </c>
      <c r="C358" t="s">
        <v>847</v>
      </c>
      <c r="D358" t="s">
        <v>848</v>
      </c>
      <c r="F358" s="1">
        <v>25495</v>
      </c>
      <c r="G358" s="2" t="s">
        <v>1047</v>
      </c>
      <c r="H358" s="2" t="s">
        <v>1036</v>
      </c>
      <c r="I358" s="2" t="s">
        <v>11</v>
      </c>
    </row>
    <row r="359" spans="1:9" x14ac:dyDescent="0.25">
      <c r="A359">
        <v>358</v>
      </c>
      <c r="B359" t="s">
        <v>215</v>
      </c>
      <c r="C359" t="s">
        <v>123</v>
      </c>
      <c r="D359" t="s">
        <v>849</v>
      </c>
      <c r="F359" s="1">
        <v>31152</v>
      </c>
      <c r="G359" s="2" t="s">
        <v>1047</v>
      </c>
      <c r="H359" s="2" t="s">
        <v>1036</v>
      </c>
      <c r="I359" s="2" t="s">
        <v>11</v>
      </c>
    </row>
    <row r="360" spans="1:9" x14ac:dyDescent="0.25">
      <c r="A360">
        <v>359</v>
      </c>
      <c r="B360" t="s">
        <v>215</v>
      </c>
      <c r="C360" t="s">
        <v>850</v>
      </c>
      <c r="D360" t="s">
        <v>849</v>
      </c>
      <c r="F360" s="1">
        <v>30429</v>
      </c>
      <c r="G360" s="2" t="s">
        <v>1047</v>
      </c>
      <c r="H360" s="2" t="s">
        <v>1036</v>
      </c>
      <c r="I360" s="2" t="s">
        <v>11</v>
      </c>
    </row>
    <row r="361" spans="1:9" x14ac:dyDescent="0.25">
      <c r="A361">
        <v>360</v>
      </c>
      <c r="B361" t="s">
        <v>215</v>
      </c>
      <c r="C361" t="s">
        <v>851</v>
      </c>
      <c r="D361" t="s">
        <v>849</v>
      </c>
      <c r="F361" s="1">
        <v>33519</v>
      </c>
      <c r="G361" s="2" t="s">
        <v>1047</v>
      </c>
      <c r="H361" s="2" t="s">
        <v>1036</v>
      </c>
      <c r="I361" s="2" t="s">
        <v>11</v>
      </c>
    </row>
    <row r="362" spans="1:9" x14ac:dyDescent="0.25">
      <c r="A362">
        <v>361</v>
      </c>
      <c r="B362" t="s">
        <v>215</v>
      </c>
      <c r="C362" t="s">
        <v>852</v>
      </c>
      <c r="D362" t="s">
        <v>90</v>
      </c>
      <c r="F362" s="1">
        <v>30635</v>
      </c>
      <c r="G362" s="2" t="s">
        <v>1047</v>
      </c>
      <c r="H362" s="2" t="s">
        <v>1036</v>
      </c>
      <c r="I362" s="2" t="s">
        <v>11</v>
      </c>
    </row>
    <row r="363" spans="1:9" x14ac:dyDescent="0.25">
      <c r="A363">
        <v>362</v>
      </c>
      <c r="B363" t="s">
        <v>853</v>
      </c>
      <c r="C363" t="s">
        <v>854</v>
      </c>
      <c r="D363" t="s">
        <v>855</v>
      </c>
      <c r="F363" s="1">
        <v>30525</v>
      </c>
      <c r="G363" s="2" t="s">
        <v>1047</v>
      </c>
      <c r="H363" s="2" t="s">
        <v>1036</v>
      </c>
      <c r="I363" s="2" t="s">
        <v>11</v>
      </c>
    </row>
    <row r="364" spans="1:9" x14ac:dyDescent="0.25">
      <c r="A364">
        <v>363</v>
      </c>
      <c r="B364" t="s">
        <v>856</v>
      </c>
      <c r="C364" t="s">
        <v>713</v>
      </c>
      <c r="D364" t="s">
        <v>129</v>
      </c>
      <c r="F364" s="1">
        <v>28426</v>
      </c>
      <c r="G364" s="2" t="s">
        <v>1047</v>
      </c>
      <c r="H364" s="2" t="s">
        <v>1036</v>
      </c>
      <c r="I364" s="2" t="s">
        <v>11</v>
      </c>
    </row>
    <row r="365" spans="1:9" x14ac:dyDescent="0.25">
      <c r="A365">
        <v>364</v>
      </c>
      <c r="B365" t="s">
        <v>857</v>
      </c>
      <c r="C365" t="s">
        <v>570</v>
      </c>
      <c r="D365" t="s">
        <v>23</v>
      </c>
      <c r="F365" s="1">
        <v>30495</v>
      </c>
      <c r="G365" s="2" t="s">
        <v>1047</v>
      </c>
      <c r="H365" s="2" t="s">
        <v>1036</v>
      </c>
      <c r="I365" s="2" t="s">
        <v>11</v>
      </c>
    </row>
    <row r="366" spans="1:9" x14ac:dyDescent="0.25">
      <c r="A366">
        <v>365</v>
      </c>
      <c r="B366" t="s">
        <v>858</v>
      </c>
      <c r="C366" t="s">
        <v>859</v>
      </c>
      <c r="D366" t="s">
        <v>132</v>
      </c>
      <c r="F366" s="1">
        <v>17194</v>
      </c>
      <c r="G366" s="2" t="s">
        <v>1047</v>
      </c>
      <c r="H366" s="2" t="s">
        <v>1036</v>
      </c>
      <c r="I366" s="2" t="s">
        <v>11</v>
      </c>
    </row>
    <row r="367" spans="1:9" x14ac:dyDescent="0.25">
      <c r="A367">
        <v>366</v>
      </c>
      <c r="B367" t="s">
        <v>858</v>
      </c>
      <c r="C367" t="s">
        <v>860</v>
      </c>
      <c r="D367" t="s">
        <v>861</v>
      </c>
      <c r="F367" s="1">
        <v>28521</v>
      </c>
      <c r="G367" s="2" t="s">
        <v>1047</v>
      </c>
      <c r="H367" s="2" t="s">
        <v>1036</v>
      </c>
      <c r="I367" s="2" t="s">
        <v>11</v>
      </c>
    </row>
    <row r="368" spans="1:9" x14ac:dyDescent="0.25">
      <c r="A368">
        <v>367</v>
      </c>
      <c r="B368" t="s">
        <v>862</v>
      </c>
      <c r="C368" t="s">
        <v>863</v>
      </c>
      <c r="D368" t="s">
        <v>864</v>
      </c>
      <c r="F368" s="1">
        <v>35161</v>
      </c>
      <c r="G368" s="2" t="s">
        <v>1047</v>
      </c>
      <c r="H368" s="2" t="s">
        <v>1036</v>
      </c>
      <c r="I368" s="2" t="s">
        <v>11</v>
      </c>
    </row>
    <row r="369" spans="1:9" x14ac:dyDescent="0.25">
      <c r="A369">
        <v>368</v>
      </c>
      <c r="B369" t="s">
        <v>862</v>
      </c>
      <c r="C369" t="s">
        <v>157</v>
      </c>
      <c r="D369" t="s">
        <v>865</v>
      </c>
      <c r="F369" s="1">
        <v>22412</v>
      </c>
      <c r="G369" s="2" t="s">
        <v>1047</v>
      </c>
      <c r="H369" s="2" t="s">
        <v>1036</v>
      </c>
      <c r="I369" s="2" t="s">
        <v>11</v>
      </c>
    </row>
    <row r="370" spans="1:9" x14ac:dyDescent="0.25">
      <c r="A370">
        <v>369</v>
      </c>
      <c r="B370" t="s">
        <v>1235</v>
      </c>
      <c r="C370" t="s">
        <v>866</v>
      </c>
      <c r="D370" t="s">
        <v>858</v>
      </c>
      <c r="F370" s="1">
        <v>28627</v>
      </c>
      <c r="G370" s="2" t="s">
        <v>1047</v>
      </c>
      <c r="H370" s="2" t="s">
        <v>1036</v>
      </c>
      <c r="I370" s="2" t="s">
        <v>11</v>
      </c>
    </row>
    <row r="371" spans="1:9" x14ac:dyDescent="0.25">
      <c r="A371">
        <v>370</v>
      </c>
      <c r="B371" t="s">
        <v>867</v>
      </c>
      <c r="C371" t="s">
        <v>310</v>
      </c>
      <c r="D371" t="s">
        <v>9</v>
      </c>
      <c r="F371" s="1">
        <v>29025</v>
      </c>
      <c r="G371" s="2" t="s">
        <v>1047</v>
      </c>
      <c r="H371" s="2" t="s">
        <v>1036</v>
      </c>
      <c r="I371" s="2" t="s">
        <v>11</v>
      </c>
    </row>
    <row r="372" spans="1:9" x14ac:dyDescent="0.25">
      <c r="A372">
        <v>371</v>
      </c>
      <c r="B372" t="s">
        <v>868</v>
      </c>
      <c r="C372" t="s">
        <v>869</v>
      </c>
      <c r="D372" t="s">
        <v>236</v>
      </c>
      <c r="F372" s="1">
        <v>28856</v>
      </c>
      <c r="G372" s="2" t="s">
        <v>1047</v>
      </c>
      <c r="H372" s="2" t="s">
        <v>1036</v>
      </c>
      <c r="I372" s="2" t="s">
        <v>11</v>
      </c>
    </row>
    <row r="373" spans="1:9" x14ac:dyDescent="0.25">
      <c r="A373">
        <v>372</v>
      </c>
      <c r="B373" t="s">
        <v>870</v>
      </c>
      <c r="C373" t="s">
        <v>871</v>
      </c>
      <c r="D373" t="s">
        <v>872</v>
      </c>
      <c r="F373" s="1">
        <v>39486</v>
      </c>
      <c r="G373" s="2" t="s">
        <v>1047</v>
      </c>
      <c r="H373" s="2" t="s">
        <v>1036</v>
      </c>
      <c r="I373" s="2" t="s">
        <v>11</v>
      </c>
    </row>
    <row r="374" spans="1:9" x14ac:dyDescent="0.25">
      <c r="A374">
        <v>373</v>
      </c>
      <c r="B374" t="s">
        <v>814</v>
      </c>
      <c r="C374" t="s">
        <v>873</v>
      </c>
      <c r="D374" t="s">
        <v>874</v>
      </c>
      <c r="F374" s="1">
        <v>24872</v>
      </c>
      <c r="G374" s="2" t="s">
        <v>1047</v>
      </c>
      <c r="H374" s="2" t="s">
        <v>1036</v>
      </c>
      <c r="I374" s="2" t="s">
        <v>11</v>
      </c>
    </row>
    <row r="375" spans="1:9" x14ac:dyDescent="0.25">
      <c r="A375">
        <v>374</v>
      </c>
      <c r="B375" t="s">
        <v>814</v>
      </c>
      <c r="C375" t="s">
        <v>875</v>
      </c>
      <c r="D375" t="s">
        <v>876</v>
      </c>
      <c r="F375" s="1">
        <v>23849</v>
      </c>
      <c r="G375" s="2" t="s">
        <v>1047</v>
      </c>
      <c r="H375" s="2" t="s">
        <v>1036</v>
      </c>
      <c r="I375" s="2" t="s">
        <v>11</v>
      </c>
    </row>
    <row r="376" spans="1:9" x14ac:dyDescent="0.25">
      <c r="A376">
        <v>375</v>
      </c>
      <c r="B376" t="s">
        <v>877</v>
      </c>
      <c r="C376" t="s">
        <v>878</v>
      </c>
      <c r="D376" t="s">
        <v>879</v>
      </c>
      <c r="F376" s="1">
        <v>35738</v>
      </c>
      <c r="G376" s="2" t="s">
        <v>1047</v>
      </c>
      <c r="H376" s="2" t="s">
        <v>1036</v>
      </c>
      <c r="I376" s="2" t="s">
        <v>11</v>
      </c>
    </row>
    <row r="377" spans="1:9" x14ac:dyDescent="0.25">
      <c r="A377">
        <v>376</v>
      </c>
      <c r="B377" t="s">
        <v>877</v>
      </c>
      <c r="C377" t="s">
        <v>880</v>
      </c>
      <c r="D377" t="s">
        <v>881</v>
      </c>
      <c r="F377" s="1">
        <v>25247</v>
      </c>
      <c r="G377" s="2" t="s">
        <v>1047</v>
      </c>
      <c r="H377" s="2" t="s">
        <v>1036</v>
      </c>
      <c r="I377" s="2" t="s">
        <v>11</v>
      </c>
    </row>
    <row r="378" spans="1:9" x14ac:dyDescent="0.25">
      <c r="A378">
        <v>377</v>
      </c>
      <c r="B378" t="s">
        <v>882</v>
      </c>
      <c r="C378" t="s">
        <v>883</v>
      </c>
      <c r="D378" t="s">
        <v>812</v>
      </c>
      <c r="F378" s="1">
        <v>34246</v>
      </c>
      <c r="G378" s="2" t="s">
        <v>1047</v>
      </c>
      <c r="H378" s="2" t="s">
        <v>1036</v>
      </c>
      <c r="I378" s="2" t="s">
        <v>11</v>
      </c>
    </row>
    <row r="379" spans="1:9" x14ac:dyDescent="0.25">
      <c r="A379">
        <v>378</v>
      </c>
      <c r="B379" t="s">
        <v>884</v>
      </c>
      <c r="C379" t="s">
        <v>851</v>
      </c>
      <c r="D379" t="s">
        <v>90</v>
      </c>
      <c r="F379" s="1">
        <v>31717</v>
      </c>
      <c r="G379" s="2" t="s">
        <v>1047</v>
      </c>
      <c r="H379" s="2" t="s">
        <v>1036</v>
      </c>
      <c r="I379" s="2" t="s">
        <v>11</v>
      </c>
    </row>
    <row r="380" spans="1:9" x14ac:dyDescent="0.25">
      <c r="A380">
        <v>379</v>
      </c>
      <c r="B380" t="s">
        <v>884</v>
      </c>
      <c r="C380" t="s">
        <v>885</v>
      </c>
      <c r="D380" t="s">
        <v>886</v>
      </c>
      <c r="F380" s="1">
        <v>27423</v>
      </c>
      <c r="G380" s="2" t="s">
        <v>1047</v>
      </c>
      <c r="H380" s="2" t="s">
        <v>1036</v>
      </c>
      <c r="I380" s="2" t="s">
        <v>11</v>
      </c>
    </row>
    <row r="381" spans="1:9" x14ac:dyDescent="0.25">
      <c r="A381">
        <v>380</v>
      </c>
      <c r="B381" t="s">
        <v>425</v>
      </c>
      <c r="C381" t="s">
        <v>887</v>
      </c>
      <c r="D381" t="s">
        <v>888</v>
      </c>
      <c r="F381" s="1">
        <v>34492</v>
      </c>
      <c r="G381" s="2" t="s">
        <v>1047</v>
      </c>
      <c r="H381" s="2" t="s">
        <v>1036</v>
      </c>
      <c r="I381" s="2" t="s">
        <v>11</v>
      </c>
    </row>
    <row r="382" spans="1:9" x14ac:dyDescent="0.25">
      <c r="A382">
        <v>381</v>
      </c>
      <c r="B382" t="s">
        <v>889</v>
      </c>
      <c r="C382" t="s">
        <v>890</v>
      </c>
      <c r="D382" t="s">
        <v>542</v>
      </c>
      <c r="F382" s="1">
        <v>29303</v>
      </c>
      <c r="G382" s="2" t="s">
        <v>1047</v>
      </c>
      <c r="H382" s="2" t="s">
        <v>1036</v>
      </c>
      <c r="I382" s="2" t="s">
        <v>11</v>
      </c>
    </row>
    <row r="383" spans="1:9" x14ac:dyDescent="0.25">
      <c r="A383">
        <v>382</v>
      </c>
      <c r="B383" t="s">
        <v>891</v>
      </c>
      <c r="C383" t="s">
        <v>892</v>
      </c>
      <c r="D383" t="s">
        <v>717</v>
      </c>
      <c r="F383" s="1">
        <v>33688</v>
      </c>
      <c r="G383" s="2" t="s">
        <v>1047</v>
      </c>
      <c r="H383" s="2" t="s">
        <v>1036</v>
      </c>
      <c r="I383" s="2" t="s">
        <v>11</v>
      </c>
    </row>
    <row r="384" spans="1:9" x14ac:dyDescent="0.25">
      <c r="A384">
        <v>383</v>
      </c>
      <c r="B384" t="s">
        <v>41</v>
      </c>
      <c r="C384" t="s">
        <v>893</v>
      </c>
      <c r="D384" t="s">
        <v>894</v>
      </c>
      <c r="F384" s="1">
        <v>38021</v>
      </c>
      <c r="G384" s="2" t="s">
        <v>1047</v>
      </c>
      <c r="H384" s="2" t="s">
        <v>1036</v>
      </c>
      <c r="I384" s="2" t="s">
        <v>11</v>
      </c>
    </row>
    <row r="385" spans="1:9" x14ac:dyDescent="0.25">
      <c r="A385">
        <v>384</v>
      </c>
      <c r="B385" t="s">
        <v>41</v>
      </c>
      <c r="C385" t="s">
        <v>895</v>
      </c>
      <c r="D385" t="s">
        <v>104</v>
      </c>
      <c r="F385" s="1">
        <v>28788</v>
      </c>
      <c r="G385" s="2" t="s">
        <v>1047</v>
      </c>
      <c r="H385" s="2" t="s">
        <v>1036</v>
      </c>
      <c r="I385" s="2" t="s">
        <v>11</v>
      </c>
    </row>
    <row r="386" spans="1:9" x14ac:dyDescent="0.25">
      <c r="A386">
        <v>385</v>
      </c>
      <c r="B386" t="s">
        <v>41</v>
      </c>
      <c r="C386" t="s">
        <v>896</v>
      </c>
      <c r="D386" t="s">
        <v>897</v>
      </c>
      <c r="F386" s="1">
        <v>35436</v>
      </c>
      <c r="G386" s="2" t="s">
        <v>1047</v>
      </c>
      <c r="H386" s="2" t="s">
        <v>1036</v>
      </c>
      <c r="I386" s="2" t="s">
        <v>11</v>
      </c>
    </row>
    <row r="387" spans="1:9" x14ac:dyDescent="0.25">
      <c r="A387">
        <v>386</v>
      </c>
      <c r="B387" t="s">
        <v>164</v>
      </c>
      <c r="C387" t="s">
        <v>26</v>
      </c>
      <c r="D387" t="s">
        <v>898</v>
      </c>
      <c r="F387" s="1">
        <v>21632</v>
      </c>
      <c r="G387" s="2" t="s">
        <v>1047</v>
      </c>
      <c r="H387" s="2" t="s">
        <v>1036</v>
      </c>
      <c r="I387" s="2" t="s">
        <v>11</v>
      </c>
    </row>
    <row r="388" spans="1:9" x14ac:dyDescent="0.25">
      <c r="A388">
        <v>387</v>
      </c>
      <c r="B388" t="s">
        <v>62</v>
      </c>
      <c r="C388" t="s">
        <v>899</v>
      </c>
      <c r="D388" t="s">
        <v>41</v>
      </c>
      <c r="F388" s="1">
        <v>30523</v>
      </c>
      <c r="G388" s="2" t="s">
        <v>1047</v>
      </c>
      <c r="H388" s="2" t="s">
        <v>1036</v>
      </c>
      <c r="I388" s="2" t="s">
        <v>11</v>
      </c>
    </row>
    <row r="389" spans="1:9" x14ac:dyDescent="0.25">
      <c r="A389">
        <v>388</v>
      </c>
      <c r="B389" t="s">
        <v>900</v>
      </c>
      <c r="C389" t="s">
        <v>901</v>
      </c>
      <c r="D389" t="s">
        <v>128</v>
      </c>
      <c r="F389" s="1">
        <v>36007</v>
      </c>
      <c r="G389" s="2" t="s">
        <v>1047</v>
      </c>
      <c r="H389" s="2" t="s">
        <v>1036</v>
      </c>
      <c r="I389" s="2" t="s">
        <v>11</v>
      </c>
    </row>
    <row r="390" spans="1:9" x14ac:dyDescent="0.25">
      <c r="A390">
        <v>389</v>
      </c>
      <c r="B390" t="s">
        <v>902</v>
      </c>
      <c r="C390" t="s">
        <v>903</v>
      </c>
      <c r="D390" t="s">
        <v>94</v>
      </c>
      <c r="F390" s="1">
        <v>31855</v>
      </c>
      <c r="G390" s="2" t="s">
        <v>1047</v>
      </c>
      <c r="H390" s="2" t="s">
        <v>1036</v>
      </c>
      <c r="I390" s="2" t="s">
        <v>11</v>
      </c>
    </row>
    <row r="391" spans="1:9" x14ac:dyDescent="0.25">
      <c r="A391">
        <v>390</v>
      </c>
      <c r="B391" t="s">
        <v>904</v>
      </c>
      <c r="C391" t="s">
        <v>505</v>
      </c>
      <c r="D391" t="s">
        <v>1236</v>
      </c>
      <c r="F391" s="1">
        <v>34486</v>
      </c>
      <c r="G391" s="2" t="s">
        <v>1047</v>
      </c>
      <c r="H391" s="2" t="s">
        <v>1036</v>
      </c>
      <c r="I391" s="2" t="s">
        <v>11</v>
      </c>
    </row>
    <row r="392" spans="1:9" x14ac:dyDescent="0.25">
      <c r="A392">
        <v>391</v>
      </c>
      <c r="B392" t="s">
        <v>538</v>
      </c>
      <c r="C392" t="s">
        <v>905</v>
      </c>
      <c r="D392" t="s">
        <v>906</v>
      </c>
      <c r="F392" s="1">
        <v>23547</v>
      </c>
      <c r="G392" s="2" t="s">
        <v>1047</v>
      </c>
      <c r="H392" s="2" t="s">
        <v>1036</v>
      </c>
      <c r="I392" s="2" t="s">
        <v>11</v>
      </c>
    </row>
    <row r="393" spans="1:9" x14ac:dyDescent="0.25">
      <c r="A393">
        <v>392</v>
      </c>
      <c r="B393" t="s">
        <v>1237</v>
      </c>
      <c r="C393" t="s">
        <v>813</v>
      </c>
      <c r="D393" t="s">
        <v>132</v>
      </c>
      <c r="F393" s="1">
        <v>32460</v>
      </c>
      <c r="G393" s="2" t="s">
        <v>1047</v>
      </c>
      <c r="H393" s="2" t="s">
        <v>1036</v>
      </c>
      <c r="I393" s="2" t="s">
        <v>11</v>
      </c>
    </row>
    <row r="394" spans="1:9" x14ac:dyDescent="0.25">
      <c r="A394">
        <v>393</v>
      </c>
      <c r="B394" t="s">
        <v>158</v>
      </c>
      <c r="C394" t="s">
        <v>907</v>
      </c>
      <c r="D394" t="s">
        <v>908</v>
      </c>
      <c r="F394" s="1">
        <v>33248</v>
      </c>
      <c r="G394" s="2" t="s">
        <v>1047</v>
      </c>
      <c r="H394" s="2" t="s">
        <v>1036</v>
      </c>
      <c r="I394" s="2" t="s">
        <v>11</v>
      </c>
    </row>
    <row r="395" spans="1:9" x14ac:dyDescent="0.25">
      <c r="A395">
        <v>394</v>
      </c>
      <c r="B395" t="s">
        <v>224</v>
      </c>
      <c r="C395" t="s">
        <v>909</v>
      </c>
      <c r="D395" t="s">
        <v>910</v>
      </c>
      <c r="F395" s="1">
        <v>38616</v>
      </c>
      <c r="G395" s="2" t="s">
        <v>1047</v>
      </c>
      <c r="H395" s="2" t="s">
        <v>1036</v>
      </c>
      <c r="I395" s="2" t="s">
        <v>11</v>
      </c>
    </row>
    <row r="396" spans="1:9" x14ac:dyDescent="0.25">
      <c r="A396">
        <v>395</v>
      </c>
      <c r="B396" t="s">
        <v>911</v>
      </c>
      <c r="C396" t="s">
        <v>912</v>
      </c>
      <c r="D396" t="s">
        <v>913</v>
      </c>
      <c r="F396" s="1">
        <v>30361</v>
      </c>
      <c r="G396" s="2" t="s">
        <v>1047</v>
      </c>
      <c r="H396" s="2" t="s">
        <v>1036</v>
      </c>
      <c r="I396" s="2" t="s">
        <v>11</v>
      </c>
    </row>
    <row r="397" spans="1:9" x14ac:dyDescent="0.25">
      <c r="A397">
        <v>396</v>
      </c>
      <c r="B397" t="s">
        <v>108</v>
      </c>
      <c r="C397" t="s">
        <v>914</v>
      </c>
      <c r="D397" t="s">
        <v>716</v>
      </c>
      <c r="F397" s="1">
        <v>35503</v>
      </c>
      <c r="G397" s="2" t="s">
        <v>1047</v>
      </c>
      <c r="H397" s="2" t="s">
        <v>1036</v>
      </c>
      <c r="I397" s="2" t="s">
        <v>11</v>
      </c>
    </row>
    <row r="398" spans="1:9" x14ac:dyDescent="0.25">
      <c r="A398">
        <v>397</v>
      </c>
      <c r="B398" t="s">
        <v>915</v>
      </c>
      <c r="C398" t="s">
        <v>916</v>
      </c>
      <c r="D398" t="s">
        <v>224</v>
      </c>
      <c r="F398" s="1">
        <v>29828</v>
      </c>
      <c r="G398" s="2" t="s">
        <v>1047</v>
      </c>
      <c r="H398" s="2" t="s">
        <v>1036</v>
      </c>
      <c r="I398" s="2" t="s">
        <v>11</v>
      </c>
    </row>
    <row r="399" spans="1:9" x14ac:dyDescent="0.25">
      <c r="A399">
        <v>398</v>
      </c>
      <c r="B399" t="s">
        <v>917</v>
      </c>
      <c r="C399" t="s">
        <v>138</v>
      </c>
      <c r="D399" t="s">
        <v>51</v>
      </c>
      <c r="F399" s="1">
        <v>34054</v>
      </c>
      <c r="G399" s="2" t="s">
        <v>1047</v>
      </c>
      <c r="H399" s="2" t="s">
        <v>1036</v>
      </c>
      <c r="I399" s="2" t="s">
        <v>11</v>
      </c>
    </row>
    <row r="400" spans="1:9" x14ac:dyDescent="0.25">
      <c r="A400">
        <v>399</v>
      </c>
      <c r="B400" t="s">
        <v>918</v>
      </c>
      <c r="C400" t="s">
        <v>919</v>
      </c>
      <c r="D400" t="s">
        <v>920</v>
      </c>
      <c r="F400" s="1">
        <v>35340</v>
      </c>
      <c r="G400" s="2" t="s">
        <v>1047</v>
      </c>
      <c r="H400" s="2" t="s">
        <v>1036</v>
      </c>
      <c r="I400" s="2" t="s">
        <v>11</v>
      </c>
    </row>
    <row r="401" spans="1:9" x14ac:dyDescent="0.25">
      <c r="A401">
        <v>400</v>
      </c>
      <c r="B401" t="s">
        <v>59</v>
      </c>
      <c r="C401" t="s">
        <v>921</v>
      </c>
      <c r="D401" t="s">
        <v>922</v>
      </c>
      <c r="F401" s="1">
        <v>28820</v>
      </c>
      <c r="G401" s="2" t="s">
        <v>1047</v>
      </c>
      <c r="H401" s="2" t="s">
        <v>1036</v>
      </c>
      <c r="I401" s="2" t="s">
        <v>11</v>
      </c>
    </row>
    <row r="402" spans="1:9" x14ac:dyDescent="0.25">
      <c r="A402">
        <v>401</v>
      </c>
      <c r="B402" t="s">
        <v>923</v>
      </c>
      <c r="C402" t="s">
        <v>924</v>
      </c>
      <c r="D402" t="s">
        <v>925</v>
      </c>
      <c r="F402" s="1">
        <v>14939</v>
      </c>
      <c r="G402" s="2" t="s">
        <v>10</v>
      </c>
      <c r="H402" s="2" t="s">
        <v>1036</v>
      </c>
      <c r="I402" s="2" t="s">
        <v>11</v>
      </c>
    </row>
    <row r="403" spans="1:9" x14ac:dyDescent="0.25">
      <c r="A403">
        <v>402</v>
      </c>
      <c r="B403" t="s">
        <v>38</v>
      </c>
      <c r="C403" t="s">
        <v>926</v>
      </c>
      <c r="D403" t="s">
        <v>927</v>
      </c>
      <c r="E403" t="s">
        <v>22</v>
      </c>
      <c r="F403" s="1">
        <v>25352</v>
      </c>
      <c r="G403" s="2" t="s">
        <v>10</v>
      </c>
      <c r="H403" s="2" t="s">
        <v>1036</v>
      </c>
      <c r="I403" s="2" t="s">
        <v>11</v>
      </c>
    </row>
    <row r="404" spans="1:9" x14ac:dyDescent="0.25">
      <c r="A404">
        <v>403</v>
      </c>
      <c r="B404" t="s">
        <v>928</v>
      </c>
      <c r="C404" t="s">
        <v>929</v>
      </c>
      <c r="D404" t="s">
        <v>172</v>
      </c>
      <c r="F404" s="1">
        <v>31138</v>
      </c>
      <c r="G404" s="2" t="s">
        <v>10</v>
      </c>
      <c r="H404" s="2" t="s">
        <v>1036</v>
      </c>
      <c r="I404" s="2" t="s">
        <v>11</v>
      </c>
    </row>
    <row r="405" spans="1:9" x14ac:dyDescent="0.25">
      <c r="A405">
        <v>404</v>
      </c>
      <c r="B405" t="s">
        <v>930</v>
      </c>
      <c r="C405" t="s">
        <v>931</v>
      </c>
      <c r="D405" t="s">
        <v>77</v>
      </c>
      <c r="F405" s="1">
        <v>30767</v>
      </c>
      <c r="G405" s="2" t="s">
        <v>1048</v>
      </c>
      <c r="H405" s="2" t="s">
        <v>1036</v>
      </c>
      <c r="I405" s="2" t="s">
        <v>11</v>
      </c>
    </row>
    <row r="406" spans="1:9" x14ac:dyDescent="0.25">
      <c r="A406">
        <v>405</v>
      </c>
      <c r="B406" t="s">
        <v>932</v>
      </c>
      <c r="C406" t="s">
        <v>933</v>
      </c>
      <c r="D406" t="s">
        <v>934</v>
      </c>
      <c r="F406" s="1">
        <v>28225</v>
      </c>
      <c r="G406" s="2" t="s">
        <v>1048</v>
      </c>
      <c r="H406" s="2" t="s">
        <v>1036</v>
      </c>
      <c r="I406" s="2" t="s">
        <v>11</v>
      </c>
    </row>
    <row r="407" spans="1:9" x14ac:dyDescent="0.25">
      <c r="A407">
        <v>406</v>
      </c>
      <c r="B407" t="s">
        <v>609</v>
      </c>
      <c r="C407" t="s">
        <v>301</v>
      </c>
      <c r="D407" t="s">
        <v>78</v>
      </c>
      <c r="F407" s="1">
        <v>35043</v>
      </c>
      <c r="G407" s="2" t="s">
        <v>1048</v>
      </c>
      <c r="H407" s="2" t="s">
        <v>1036</v>
      </c>
      <c r="I407" s="2" t="s">
        <v>11</v>
      </c>
    </row>
    <row r="408" spans="1:9" x14ac:dyDescent="0.25">
      <c r="A408">
        <v>407</v>
      </c>
      <c r="B408" t="s">
        <v>122</v>
      </c>
      <c r="C408" t="s">
        <v>570</v>
      </c>
      <c r="D408" t="s">
        <v>935</v>
      </c>
      <c r="F408" s="1">
        <v>24896</v>
      </c>
      <c r="G408" s="2" t="s">
        <v>1048</v>
      </c>
      <c r="H408" s="2" t="s">
        <v>1036</v>
      </c>
      <c r="I408" s="2" t="s">
        <v>11</v>
      </c>
    </row>
    <row r="409" spans="1:9" x14ac:dyDescent="0.25">
      <c r="A409">
        <v>408</v>
      </c>
      <c r="B409" t="s">
        <v>49</v>
      </c>
      <c r="C409" t="s">
        <v>936</v>
      </c>
      <c r="D409" t="s">
        <v>935</v>
      </c>
      <c r="E409" t="s">
        <v>67</v>
      </c>
      <c r="F409" s="1">
        <v>30390</v>
      </c>
      <c r="G409" s="2" t="s">
        <v>1048</v>
      </c>
      <c r="H409" s="2" t="s">
        <v>1036</v>
      </c>
      <c r="I409" s="2" t="s">
        <v>11</v>
      </c>
    </row>
    <row r="410" spans="1:9" x14ac:dyDescent="0.25">
      <c r="A410">
        <v>409</v>
      </c>
      <c r="B410" t="s">
        <v>937</v>
      </c>
      <c r="C410" t="s">
        <v>875</v>
      </c>
      <c r="D410" t="s">
        <v>938</v>
      </c>
      <c r="F410" s="1">
        <v>18662</v>
      </c>
      <c r="G410" s="2" t="s">
        <v>1048</v>
      </c>
      <c r="H410" s="2" t="s">
        <v>1036</v>
      </c>
      <c r="I410" s="2" t="s">
        <v>11</v>
      </c>
    </row>
    <row r="411" spans="1:9" x14ac:dyDescent="0.25">
      <c r="A411">
        <v>410</v>
      </c>
      <c r="B411" t="s">
        <v>52</v>
      </c>
      <c r="C411" t="s">
        <v>45</v>
      </c>
      <c r="D411" t="s">
        <v>939</v>
      </c>
      <c r="F411" s="1">
        <v>33283</v>
      </c>
      <c r="G411" s="2" t="s">
        <v>1048</v>
      </c>
      <c r="H411" s="2" t="s">
        <v>1036</v>
      </c>
      <c r="I411" s="2" t="s">
        <v>11</v>
      </c>
    </row>
    <row r="412" spans="1:9" x14ac:dyDescent="0.25">
      <c r="A412">
        <v>411</v>
      </c>
      <c r="B412" t="s">
        <v>940</v>
      </c>
      <c r="C412" t="s">
        <v>63</v>
      </c>
      <c r="D412" t="s">
        <v>114</v>
      </c>
      <c r="F412" s="1">
        <v>19775</v>
      </c>
      <c r="G412" s="2" t="s">
        <v>1048</v>
      </c>
      <c r="H412" s="2" t="s">
        <v>1036</v>
      </c>
      <c r="I412" s="2" t="s">
        <v>11</v>
      </c>
    </row>
    <row r="413" spans="1:9" x14ac:dyDescent="0.25">
      <c r="A413">
        <v>412</v>
      </c>
      <c r="B413" t="s">
        <v>93</v>
      </c>
      <c r="C413" t="s">
        <v>941</v>
      </c>
      <c r="D413" t="s">
        <v>33</v>
      </c>
      <c r="F413" s="1">
        <v>24768</v>
      </c>
      <c r="G413" s="2" t="s">
        <v>1048</v>
      </c>
      <c r="H413" s="2" t="s">
        <v>1036</v>
      </c>
      <c r="I413" s="2" t="s">
        <v>11</v>
      </c>
    </row>
    <row r="414" spans="1:9" x14ac:dyDescent="0.25">
      <c r="A414">
        <v>413</v>
      </c>
      <c r="B414" t="s">
        <v>13</v>
      </c>
      <c r="C414" t="s">
        <v>942</v>
      </c>
      <c r="D414" t="s">
        <v>943</v>
      </c>
      <c r="F414" s="1">
        <v>28092</v>
      </c>
      <c r="G414" s="2" t="s">
        <v>1048</v>
      </c>
      <c r="H414" s="2" t="s">
        <v>1036</v>
      </c>
      <c r="I414" s="2" t="s">
        <v>11</v>
      </c>
    </row>
    <row r="415" spans="1:9" x14ac:dyDescent="0.25">
      <c r="A415">
        <v>414</v>
      </c>
      <c r="B415" t="s">
        <v>95</v>
      </c>
      <c r="C415" t="s">
        <v>944</v>
      </c>
      <c r="D415" t="s">
        <v>945</v>
      </c>
      <c r="F415" s="1">
        <v>28003</v>
      </c>
      <c r="G415" s="2" t="s">
        <v>1048</v>
      </c>
      <c r="H415" s="2" t="s">
        <v>1036</v>
      </c>
      <c r="I415" s="2" t="s">
        <v>11</v>
      </c>
    </row>
    <row r="416" spans="1:9" x14ac:dyDescent="0.25">
      <c r="A416">
        <v>415</v>
      </c>
      <c r="B416" t="s">
        <v>946</v>
      </c>
      <c r="C416" t="s">
        <v>522</v>
      </c>
      <c r="D416" t="s">
        <v>947</v>
      </c>
      <c r="F416" s="1">
        <v>32411</v>
      </c>
      <c r="G416" s="2" t="s">
        <v>1048</v>
      </c>
      <c r="H416" s="2" t="s">
        <v>1036</v>
      </c>
      <c r="I416" s="2" t="s">
        <v>11</v>
      </c>
    </row>
    <row r="417" spans="1:9" x14ac:dyDescent="0.25">
      <c r="A417">
        <v>416</v>
      </c>
      <c r="B417" t="s">
        <v>948</v>
      </c>
      <c r="C417" t="s">
        <v>141</v>
      </c>
      <c r="D417" t="s">
        <v>949</v>
      </c>
      <c r="F417" s="1">
        <v>34459</v>
      </c>
      <c r="G417" s="2" t="s">
        <v>1048</v>
      </c>
      <c r="H417" s="2" t="s">
        <v>1036</v>
      </c>
      <c r="I417" s="2" t="s">
        <v>11</v>
      </c>
    </row>
    <row r="418" spans="1:9" x14ac:dyDescent="0.25">
      <c r="A418">
        <v>417</v>
      </c>
      <c r="B418" t="s">
        <v>92</v>
      </c>
      <c r="C418" t="s">
        <v>950</v>
      </c>
      <c r="D418" t="s">
        <v>560</v>
      </c>
      <c r="F418" s="1">
        <v>22579</v>
      </c>
      <c r="G418" s="2" t="s">
        <v>1037</v>
      </c>
      <c r="H418" s="2" t="s">
        <v>1036</v>
      </c>
      <c r="I418" s="2" t="s">
        <v>11</v>
      </c>
    </row>
    <row r="419" spans="1:9" x14ac:dyDescent="0.25">
      <c r="A419">
        <v>418</v>
      </c>
      <c r="B419" t="s">
        <v>951</v>
      </c>
      <c r="C419" t="s">
        <v>220</v>
      </c>
      <c r="D419" t="s">
        <v>952</v>
      </c>
      <c r="F419" s="1">
        <v>33549</v>
      </c>
      <c r="G419" s="2" t="s">
        <v>1049</v>
      </c>
      <c r="H419" s="2" t="s">
        <v>1036</v>
      </c>
      <c r="I419" s="2" t="s">
        <v>11</v>
      </c>
    </row>
    <row r="420" spans="1:9" x14ac:dyDescent="0.25">
      <c r="A420">
        <v>419</v>
      </c>
      <c r="B420" t="s">
        <v>646</v>
      </c>
      <c r="C420" t="s">
        <v>251</v>
      </c>
      <c r="D420" t="s">
        <v>90</v>
      </c>
      <c r="F420" s="1">
        <v>25514</v>
      </c>
      <c r="G420" s="2" t="s">
        <v>1049</v>
      </c>
      <c r="H420" s="2" t="s">
        <v>1036</v>
      </c>
      <c r="I420" s="2" t="s">
        <v>11</v>
      </c>
    </row>
    <row r="421" spans="1:9" x14ac:dyDescent="0.25">
      <c r="A421">
        <v>420</v>
      </c>
      <c r="B421" t="s">
        <v>953</v>
      </c>
      <c r="C421" t="s">
        <v>954</v>
      </c>
      <c r="D421" t="s">
        <v>955</v>
      </c>
      <c r="F421" s="1">
        <v>34447</v>
      </c>
      <c r="G421" s="2" t="s">
        <v>1049</v>
      </c>
      <c r="H421" s="2" t="s">
        <v>1036</v>
      </c>
      <c r="I421" s="2" t="s">
        <v>11</v>
      </c>
    </row>
    <row r="422" spans="1:9" x14ac:dyDescent="0.25">
      <c r="A422">
        <v>421</v>
      </c>
      <c r="B422" t="s">
        <v>360</v>
      </c>
      <c r="C422" t="s">
        <v>139</v>
      </c>
      <c r="D422" t="s">
        <v>538</v>
      </c>
      <c r="F422" s="1">
        <v>29070</v>
      </c>
      <c r="G422" s="2" t="s">
        <v>1049</v>
      </c>
      <c r="H422" s="2" t="s">
        <v>1036</v>
      </c>
      <c r="I422" s="2" t="s">
        <v>11</v>
      </c>
    </row>
    <row r="423" spans="1:9" x14ac:dyDescent="0.25">
      <c r="A423">
        <v>422</v>
      </c>
      <c r="B423" t="s">
        <v>18</v>
      </c>
      <c r="C423" t="s">
        <v>26</v>
      </c>
      <c r="D423" t="s">
        <v>956</v>
      </c>
      <c r="E423" t="s">
        <v>22</v>
      </c>
      <c r="F423" s="1">
        <v>27894</v>
      </c>
      <c r="G423" s="2" t="s">
        <v>1049</v>
      </c>
      <c r="H423" s="2" t="s">
        <v>1036</v>
      </c>
      <c r="I423" s="2" t="s">
        <v>11</v>
      </c>
    </row>
    <row r="424" spans="1:9" x14ac:dyDescent="0.25">
      <c r="A424">
        <v>423</v>
      </c>
      <c r="B424" t="s">
        <v>957</v>
      </c>
      <c r="C424" t="s">
        <v>958</v>
      </c>
      <c r="D424" t="s">
        <v>959</v>
      </c>
      <c r="F424" s="1">
        <v>25552</v>
      </c>
      <c r="G424" s="2" t="s">
        <v>1035</v>
      </c>
      <c r="H424" s="2" t="s">
        <v>1036</v>
      </c>
      <c r="I424" s="2" t="s">
        <v>11</v>
      </c>
    </row>
    <row r="425" spans="1:9" x14ac:dyDescent="0.25">
      <c r="A425">
        <v>424</v>
      </c>
      <c r="B425" t="s">
        <v>960</v>
      </c>
      <c r="C425" t="s">
        <v>68</v>
      </c>
      <c r="D425" t="s">
        <v>646</v>
      </c>
      <c r="F425" s="1">
        <v>26393</v>
      </c>
      <c r="G425" s="2" t="s">
        <v>1049</v>
      </c>
      <c r="H425" s="2" t="s">
        <v>1036</v>
      </c>
      <c r="I425" s="2" t="s">
        <v>11</v>
      </c>
    </row>
    <row r="426" spans="1:9" x14ac:dyDescent="0.25">
      <c r="A426">
        <v>425</v>
      </c>
      <c r="B426" t="s">
        <v>528</v>
      </c>
      <c r="C426" t="s">
        <v>107</v>
      </c>
      <c r="D426" t="s">
        <v>960</v>
      </c>
      <c r="F426" s="1">
        <v>28447</v>
      </c>
      <c r="G426" s="2" t="s">
        <v>1049</v>
      </c>
      <c r="H426" s="2" t="s">
        <v>1036</v>
      </c>
      <c r="I426" s="2" t="s">
        <v>11</v>
      </c>
    </row>
    <row r="427" spans="1:9" x14ac:dyDescent="0.25">
      <c r="A427">
        <v>426</v>
      </c>
      <c r="B427" t="s">
        <v>961</v>
      </c>
      <c r="C427" t="s">
        <v>962</v>
      </c>
      <c r="D427" t="s">
        <v>963</v>
      </c>
      <c r="F427" s="1">
        <v>32790</v>
      </c>
      <c r="G427" s="2" t="s">
        <v>1049</v>
      </c>
      <c r="H427" s="2" t="s">
        <v>1036</v>
      </c>
      <c r="I427" s="2" t="s">
        <v>11</v>
      </c>
    </row>
    <row r="428" spans="1:9" x14ac:dyDescent="0.25">
      <c r="A428">
        <v>427</v>
      </c>
      <c r="B428" t="s">
        <v>360</v>
      </c>
      <c r="C428" t="s">
        <v>57</v>
      </c>
      <c r="D428" t="s">
        <v>555</v>
      </c>
      <c r="F428" s="1">
        <v>25059</v>
      </c>
      <c r="G428" s="2" t="s">
        <v>1049</v>
      </c>
      <c r="H428" s="2" t="s">
        <v>1036</v>
      </c>
      <c r="I428" s="2" t="s">
        <v>11</v>
      </c>
    </row>
    <row r="429" spans="1:9" x14ac:dyDescent="0.25">
      <c r="A429">
        <v>428</v>
      </c>
      <c r="B429" t="s">
        <v>964</v>
      </c>
      <c r="C429" t="s">
        <v>166</v>
      </c>
      <c r="D429" t="s">
        <v>965</v>
      </c>
      <c r="F429" s="1">
        <v>34399</v>
      </c>
      <c r="G429" s="2" t="s">
        <v>1050</v>
      </c>
      <c r="H429" s="2" t="s">
        <v>1036</v>
      </c>
      <c r="I429" s="2" t="s">
        <v>11</v>
      </c>
    </row>
    <row r="430" spans="1:9" x14ac:dyDescent="0.25">
      <c r="A430">
        <v>429</v>
      </c>
      <c r="B430" t="s">
        <v>430</v>
      </c>
      <c r="C430" t="s">
        <v>966</v>
      </c>
      <c r="D430" t="s">
        <v>41</v>
      </c>
      <c r="F430" s="1">
        <v>28853</v>
      </c>
      <c r="G430" s="2" t="s">
        <v>1049</v>
      </c>
      <c r="H430" s="2" t="s">
        <v>1036</v>
      </c>
      <c r="I430" s="2" t="s">
        <v>11</v>
      </c>
    </row>
    <row r="431" spans="1:9" x14ac:dyDescent="0.25">
      <c r="A431">
        <v>430</v>
      </c>
      <c r="B431" t="s">
        <v>967</v>
      </c>
      <c r="C431" t="s">
        <v>968</v>
      </c>
      <c r="D431" t="s">
        <v>969</v>
      </c>
      <c r="F431" s="1">
        <v>31527</v>
      </c>
      <c r="G431" s="2" t="s">
        <v>1050</v>
      </c>
      <c r="H431" s="2" t="s">
        <v>1036</v>
      </c>
      <c r="I431" s="2" t="s">
        <v>11</v>
      </c>
    </row>
    <row r="432" spans="1:9" x14ac:dyDescent="0.25">
      <c r="A432">
        <v>431</v>
      </c>
      <c r="B432" t="s">
        <v>970</v>
      </c>
      <c r="C432" t="s">
        <v>971</v>
      </c>
      <c r="F432" s="1">
        <v>33140</v>
      </c>
      <c r="G432" s="2" t="s">
        <v>1049</v>
      </c>
      <c r="H432" s="2" t="s">
        <v>1036</v>
      </c>
      <c r="I432" s="2" t="s">
        <v>11</v>
      </c>
    </row>
    <row r="433" spans="1:9" x14ac:dyDescent="0.25">
      <c r="A433">
        <v>432</v>
      </c>
      <c r="B433" t="s">
        <v>865</v>
      </c>
      <c r="C433" t="s">
        <v>736</v>
      </c>
      <c r="D433" t="s">
        <v>972</v>
      </c>
      <c r="F433" s="1">
        <v>28850</v>
      </c>
      <c r="G433" s="2" t="s">
        <v>1050</v>
      </c>
      <c r="H433" s="2" t="s">
        <v>1036</v>
      </c>
      <c r="I433" s="2" t="s">
        <v>11</v>
      </c>
    </row>
    <row r="434" spans="1:9" x14ac:dyDescent="0.25">
      <c r="A434">
        <v>433</v>
      </c>
      <c r="B434" t="s">
        <v>538</v>
      </c>
      <c r="C434" t="s">
        <v>973</v>
      </c>
      <c r="D434" t="s">
        <v>172</v>
      </c>
      <c r="F434" s="1">
        <v>26610</v>
      </c>
      <c r="G434" s="2" t="s">
        <v>1049</v>
      </c>
      <c r="H434" s="2" t="s">
        <v>1036</v>
      </c>
      <c r="I434" s="2" t="s">
        <v>11</v>
      </c>
    </row>
    <row r="435" spans="1:9" x14ac:dyDescent="0.25">
      <c r="A435">
        <v>434</v>
      </c>
      <c r="B435" t="s">
        <v>974</v>
      </c>
      <c r="C435" t="s">
        <v>975</v>
      </c>
      <c r="D435" t="s">
        <v>976</v>
      </c>
      <c r="F435" s="1">
        <v>24743</v>
      </c>
      <c r="G435" s="2" t="s">
        <v>1050</v>
      </c>
      <c r="H435" s="2" t="s">
        <v>1036</v>
      </c>
      <c r="I435" s="2" t="s">
        <v>11</v>
      </c>
    </row>
    <row r="436" spans="1:9" x14ac:dyDescent="0.25">
      <c r="A436">
        <v>435</v>
      </c>
      <c r="B436" t="s">
        <v>977</v>
      </c>
      <c r="C436" t="s">
        <v>978</v>
      </c>
      <c r="D436" t="s">
        <v>979</v>
      </c>
      <c r="F436" s="1">
        <v>32507</v>
      </c>
      <c r="G436" s="2" t="s">
        <v>1050</v>
      </c>
      <c r="H436" s="2" t="s">
        <v>1036</v>
      </c>
      <c r="I436" s="2" t="s">
        <v>11</v>
      </c>
    </row>
    <row r="437" spans="1:9" x14ac:dyDescent="0.25">
      <c r="A437">
        <v>436</v>
      </c>
      <c r="B437" t="s">
        <v>980</v>
      </c>
      <c r="C437" t="s">
        <v>981</v>
      </c>
      <c r="D437" t="s">
        <v>105</v>
      </c>
      <c r="F437" s="1">
        <v>20120</v>
      </c>
      <c r="G437" s="2" t="s">
        <v>1050</v>
      </c>
      <c r="H437" s="2" t="s">
        <v>1036</v>
      </c>
      <c r="I437" s="2" t="s">
        <v>11</v>
      </c>
    </row>
    <row r="438" spans="1:9" x14ac:dyDescent="0.25">
      <c r="A438">
        <v>437</v>
      </c>
      <c r="B438" t="s">
        <v>982</v>
      </c>
      <c r="C438" t="s">
        <v>983</v>
      </c>
      <c r="D438" t="s">
        <v>820</v>
      </c>
      <c r="F438" s="1">
        <v>31219</v>
      </c>
      <c r="G438" s="2" t="s">
        <v>1050</v>
      </c>
      <c r="H438" s="2" t="s">
        <v>1036</v>
      </c>
      <c r="I438" s="2" t="s">
        <v>11</v>
      </c>
    </row>
    <row r="439" spans="1:9" x14ac:dyDescent="0.25">
      <c r="A439">
        <v>438</v>
      </c>
      <c r="B439" t="s">
        <v>984</v>
      </c>
      <c r="C439" t="s">
        <v>166</v>
      </c>
      <c r="D439" t="s">
        <v>965</v>
      </c>
      <c r="F439" s="1">
        <v>34399</v>
      </c>
      <c r="G439" s="2" t="s">
        <v>1050</v>
      </c>
      <c r="H439" s="2" t="s">
        <v>1036</v>
      </c>
      <c r="I439" s="2" t="s">
        <v>11</v>
      </c>
    </row>
    <row r="440" spans="1:9" x14ac:dyDescent="0.25">
      <c r="A440">
        <v>439</v>
      </c>
      <c r="B440" t="s">
        <v>790</v>
      </c>
      <c r="C440" t="s">
        <v>985</v>
      </c>
      <c r="D440" t="s">
        <v>529</v>
      </c>
      <c r="F440" s="1">
        <v>23470</v>
      </c>
      <c r="G440" s="2" t="s">
        <v>1050</v>
      </c>
      <c r="H440" s="2" t="s">
        <v>1036</v>
      </c>
      <c r="I440" s="2" t="s">
        <v>11</v>
      </c>
    </row>
    <row r="441" spans="1:9" x14ac:dyDescent="0.25">
      <c r="A441">
        <v>440</v>
      </c>
      <c r="B441" t="s">
        <v>78</v>
      </c>
      <c r="C441" t="s">
        <v>986</v>
      </c>
      <c r="D441" t="s">
        <v>987</v>
      </c>
      <c r="F441" s="1">
        <v>34235</v>
      </c>
      <c r="G441" s="2" t="s">
        <v>1050</v>
      </c>
      <c r="H441" s="2" t="s">
        <v>1036</v>
      </c>
      <c r="I441" s="2" t="s">
        <v>11</v>
      </c>
    </row>
    <row r="442" spans="1:9" x14ac:dyDescent="0.25">
      <c r="A442">
        <v>441</v>
      </c>
      <c r="B442" t="s">
        <v>38</v>
      </c>
      <c r="C442" t="s">
        <v>68</v>
      </c>
      <c r="D442" t="s">
        <v>988</v>
      </c>
      <c r="F442" s="1">
        <v>22318</v>
      </c>
      <c r="G442" s="2" t="s">
        <v>1050</v>
      </c>
      <c r="H442" s="2" t="s">
        <v>1036</v>
      </c>
      <c r="I442" s="2" t="s">
        <v>11</v>
      </c>
    </row>
    <row r="443" spans="1:9" x14ac:dyDescent="0.25">
      <c r="A443">
        <v>442</v>
      </c>
      <c r="B443" t="s">
        <v>790</v>
      </c>
      <c r="C443" t="s">
        <v>989</v>
      </c>
      <c r="D443" t="s">
        <v>990</v>
      </c>
      <c r="F443" s="1">
        <v>32791</v>
      </c>
      <c r="G443" s="2" t="s">
        <v>1050</v>
      </c>
      <c r="H443" s="2" t="s">
        <v>1036</v>
      </c>
      <c r="I443" s="2" t="s">
        <v>11</v>
      </c>
    </row>
    <row r="444" spans="1:9" x14ac:dyDescent="0.25">
      <c r="A444">
        <v>443</v>
      </c>
      <c r="B444" t="s">
        <v>78</v>
      </c>
      <c r="C444" t="s">
        <v>991</v>
      </c>
      <c r="D444" t="s">
        <v>992</v>
      </c>
      <c r="F444" s="1">
        <v>33097</v>
      </c>
      <c r="G444" s="2" t="s">
        <v>1050</v>
      </c>
      <c r="H444" s="2" t="s">
        <v>1036</v>
      </c>
      <c r="I444" s="2" t="s">
        <v>11</v>
      </c>
    </row>
    <row r="445" spans="1:9" x14ac:dyDescent="0.25">
      <c r="A445">
        <v>444</v>
      </c>
      <c r="B445" t="s">
        <v>993</v>
      </c>
      <c r="C445" t="s">
        <v>36</v>
      </c>
      <c r="F445" s="1">
        <v>27739</v>
      </c>
      <c r="G445" s="2" t="s">
        <v>1050</v>
      </c>
      <c r="H445" s="2" t="s">
        <v>1036</v>
      </c>
      <c r="I445" s="2" t="s">
        <v>11</v>
      </c>
    </row>
    <row r="446" spans="1:9" x14ac:dyDescent="0.25">
      <c r="A446">
        <v>445</v>
      </c>
      <c r="B446" t="s">
        <v>994</v>
      </c>
      <c r="C446" t="s">
        <v>69</v>
      </c>
      <c r="F446" s="1">
        <v>32949</v>
      </c>
      <c r="G446" s="2" t="s">
        <v>1050</v>
      </c>
      <c r="H446" s="2" t="s">
        <v>1036</v>
      </c>
      <c r="I446" s="2" t="s">
        <v>11</v>
      </c>
    </row>
    <row r="447" spans="1:9" x14ac:dyDescent="0.25">
      <c r="A447">
        <v>446</v>
      </c>
      <c r="B447" t="s">
        <v>100</v>
      </c>
      <c r="C447" t="s">
        <v>159</v>
      </c>
      <c r="D447" t="s">
        <v>995</v>
      </c>
      <c r="F447" s="1">
        <v>30579</v>
      </c>
      <c r="G447" s="2" t="s">
        <v>1050</v>
      </c>
      <c r="H447" s="2" t="s">
        <v>1036</v>
      </c>
      <c r="I447" s="2" t="s">
        <v>11</v>
      </c>
    </row>
    <row r="448" spans="1:9" x14ac:dyDescent="0.25">
      <c r="A448">
        <v>447</v>
      </c>
      <c r="B448" t="s">
        <v>78</v>
      </c>
      <c r="C448" t="s">
        <v>996</v>
      </c>
      <c r="D448" t="s">
        <v>997</v>
      </c>
      <c r="F448" s="1">
        <v>17735</v>
      </c>
      <c r="G448" s="2" t="s">
        <v>1050</v>
      </c>
      <c r="H448" s="2" t="s">
        <v>1036</v>
      </c>
      <c r="I448" s="2" t="s">
        <v>11</v>
      </c>
    </row>
    <row r="449" spans="1:9" x14ac:dyDescent="0.25">
      <c r="A449">
        <v>448</v>
      </c>
      <c r="B449" t="s">
        <v>216</v>
      </c>
      <c r="C449" t="s">
        <v>998</v>
      </c>
      <c r="D449" t="s">
        <v>164</v>
      </c>
      <c r="F449" s="1">
        <v>36336</v>
      </c>
      <c r="G449" s="2" t="s">
        <v>1035</v>
      </c>
      <c r="H449" s="2" t="s">
        <v>1036</v>
      </c>
      <c r="I449" s="2" t="s">
        <v>11</v>
      </c>
    </row>
    <row r="450" spans="1:9" x14ac:dyDescent="0.25">
      <c r="A450">
        <v>449</v>
      </c>
      <c r="B450" t="s">
        <v>88</v>
      </c>
      <c r="C450" t="s">
        <v>15</v>
      </c>
      <c r="D450" t="s">
        <v>363</v>
      </c>
      <c r="F450" s="1">
        <v>28623</v>
      </c>
      <c r="G450" s="2" t="s">
        <v>1047</v>
      </c>
      <c r="H450" s="2" t="s">
        <v>1036</v>
      </c>
      <c r="I450" s="2" t="s">
        <v>11</v>
      </c>
    </row>
    <row r="451" spans="1:9" x14ac:dyDescent="0.25">
      <c r="A451">
        <v>450</v>
      </c>
      <c r="B451" t="s">
        <v>999</v>
      </c>
      <c r="C451" t="s">
        <v>1000</v>
      </c>
      <c r="D451" t="s">
        <v>130</v>
      </c>
      <c r="F451" s="1">
        <v>22839</v>
      </c>
      <c r="G451" s="2" t="s">
        <v>1050</v>
      </c>
      <c r="H451" s="2" t="s">
        <v>1036</v>
      </c>
      <c r="I451" s="2" t="s">
        <v>11</v>
      </c>
    </row>
    <row r="452" spans="1:9" x14ac:dyDescent="0.25">
      <c r="A452">
        <v>451</v>
      </c>
      <c r="B452" t="s">
        <v>579</v>
      </c>
      <c r="C452" t="s">
        <v>1001</v>
      </c>
      <c r="D452" t="s">
        <v>1002</v>
      </c>
      <c r="F452" s="1">
        <v>33913</v>
      </c>
      <c r="G452" s="2" t="s">
        <v>128</v>
      </c>
      <c r="H452" s="2" t="s">
        <v>1036</v>
      </c>
      <c r="I452" s="2" t="s">
        <v>11</v>
      </c>
    </row>
    <row r="453" spans="1:9" x14ac:dyDescent="0.25">
      <c r="A453">
        <v>452</v>
      </c>
      <c r="B453" t="s">
        <v>1003</v>
      </c>
      <c r="C453" t="s">
        <v>1004</v>
      </c>
      <c r="D453" t="s">
        <v>1005</v>
      </c>
      <c r="F453" s="1">
        <v>29365</v>
      </c>
      <c r="G453" s="2" t="s">
        <v>1051</v>
      </c>
      <c r="H453" s="2" t="s">
        <v>1036</v>
      </c>
      <c r="I453" s="2" t="s">
        <v>11</v>
      </c>
    </row>
    <row r="454" spans="1:9" x14ac:dyDescent="0.25">
      <c r="A454">
        <v>453</v>
      </c>
      <c r="B454" t="s">
        <v>646</v>
      </c>
      <c r="C454" t="s">
        <v>251</v>
      </c>
      <c r="D454" t="s">
        <v>90</v>
      </c>
      <c r="F454" s="1">
        <v>25514</v>
      </c>
      <c r="G454" s="2" t="s">
        <v>1049</v>
      </c>
      <c r="H454" s="2" t="s">
        <v>1036</v>
      </c>
      <c r="I454" s="2" t="s">
        <v>11</v>
      </c>
    </row>
    <row r="455" spans="1:9" x14ac:dyDescent="0.25">
      <c r="A455">
        <v>454</v>
      </c>
      <c r="B455" t="s">
        <v>951</v>
      </c>
      <c r="C455" t="s">
        <v>220</v>
      </c>
      <c r="D455" t="s">
        <v>952</v>
      </c>
      <c r="F455" s="1">
        <v>33549</v>
      </c>
      <c r="G455" s="2" t="s">
        <v>1049</v>
      </c>
      <c r="H455" s="2" t="s">
        <v>1036</v>
      </c>
      <c r="I455" s="2" t="s">
        <v>11</v>
      </c>
    </row>
    <row r="456" spans="1:9" x14ac:dyDescent="0.25">
      <c r="A456">
        <v>455</v>
      </c>
      <c r="B456" t="s">
        <v>1006</v>
      </c>
      <c r="C456" t="s">
        <v>853</v>
      </c>
      <c r="D456" t="s">
        <v>1007</v>
      </c>
      <c r="F456" s="1">
        <v>32741</v>
      </c>
      <c r="G456" s="2" t="s">
        <v>1045</v>
      </c>
      <c r="H456" s="2" t="s">
        <v>1036</v>
      </c>
      <c r="I456" s="2" t="s">
        <v>11</v>
      </c>
    </row>
    <row r="457" spans="1:9" x14ac:dyDescent="0.25">
      <c r="A457">
        <v>456</v>
      </c>
      <c r="B457" t="s">
        <v>1008</v>
      </c>
      <c r="C457" t="s">
        <v>1009</v>
      </c>
      <c r="F457" s="1">
        <v>31189</v>
      </c>
      <c r="G457" s="2" t="s">
        <v>1045</v>
      </c>
      <c r="H457" s="2" t="s">
        <v>1036</v>
      </c>
      <c r="I457" s="2" t="s">
        <v>11</v>
      </c>
    </row>
    <row r="458" spans="1:9" x14ac:dyDescent="0.25">
      <c r="A458">
        <v>457</v>
      </c>
      <c r="B458" t="s">
        <v>646</v>
      </c>
      <c r="C458" t="s">
        <v>40</v>
      </c>
      <c r="D458" t="s">
        <v>1010</v>
      </c>
      <c r="F458" s="1">
        <v>34197</v>
      </c>
      <c r="G458" s="2" t="s">
        <v>1045</v>
      </c>
      <c r="H458" s="2" t="s">
        <v>1036</v>
      </c>
      <c r="I458" s="2" t="s">
        <v>11</v>
      </c>
    </row>
    <row r="459" spans="1:9" x14ac:dyDescent="0.25">
      <c r="A459">
        <v>458</v>
      </c>
      <c r="B459" t="s">
        <v>207</v>
      </c>
      <c r="C459" t="s">
        <v>1011</v>
      </c>
      <c r="D459" t="s">
        <v>209</v>
      </c>
      <c r="F459" s="1">
        <v>21572</v>
      </c>
      <c r="G459" s="2" t="s">
        <v>1035</v>
      </c>
      <c r="H459" s="2" t="s">
        <v>1036</v>
      </c>
      <c r="I459" s="2" t="s">
        <v>11</v>
      </c>
    </row>
    <row r="460" spans="1:9" x14ac:dyDescent="0.25">
      <c r="A460">
        <v>459</v>
      </c>
      <c r="B460" t="s">
        <v>78</v>
      </c>
      <c r="C460" t="s">
        <v>25</v>
      </c>
      <c r="D460" t="s">
        <v>218</v>
      </c>
      <c r="F460" s="1">
        <v>37386</v>
      </c>
      <c r="G460" s="2" t="s">
        <v>1052</v>
      </c>
      <c r="H460" s="2" t="s">
        <v>1036</v>
      </c>
      <c r="I460" s="2" t="s">
        <v>11</v>
      </c>
    </row>
    <row r="461" spans="1:9" x14ac:dyDescent="0.25">
      <c r="A461">
        <v>460</v>
      </c>
      <c r="B461" t="s">
        <v>1012</v>
      </c>
      <c r="C461" t="s">
        <v>1013</v>
      </c>
      <c r="D461" t="s">
        <v>1014</v>
      </c>
      <c r="F461" s="1">
        <v>25147</v>
      </c>
      <c r="G461" s="2" t="s">
        <v>1052</v>
      </c>
      <c r="H461" s="2" t="s">
        <v>1036</v>
      </c>
      <c r="I461" s="2" t="s">
        <v>11</v>
      </c>
    </row>
    <row r="462" spans="1:9" x14ac:dyDescent="0.25">
      <c r="A462">
        <v>461</v>
      </c>
      <c r="B462" t="s">
        <v>1015</v>
      </c>
      <c r="C462" t="s">
        <v>1016</v>
      </c>
      <c r="D462" t="s">
        <v>1017</v>
      </c>
      <c r="F462" s="1">
        <v>31137</v>
      </c>
      <c r="G462" s="2" t="s">
        <v>1052</v>
      </c>
      <c r="H462" s="2" t="s">
        <v>1036</v>
      </c>
      <c r="I462" s="2" t="s">
        <v>11</v>
      </c>
    </row>
    <row r="463" spans="1:9" x14ac:dyDescent="0.25">
      <c r="A463">
        <v>462</v>
      </c>
      <c r="B463" t="s">
        <v>935</v>
      </c>
      <c r="C463" t="s">
        <v>1018</v>
      </c>
      <c r="D463" t="s">
        <v>1019</v>
      </c>
      <c r="F463" s="1">
        <v>27183</v>
      </c>
      <c r="G463" s="2" t="s">
        <v>1052</v>
      </c>
      <c r="H463" s="2" t="s">
        <v>1036</v>
      </c>
      <c r="I463" s="2" t="s">
        <v>11</v>
      </c>
    </row>
    <row r="464" spans="1:9" x14ac:dyDescent="0.25">
      <c r="A464">
        <v>463</v>
      </c>
      <c r="B464" t="s">
        <v>1020</v>
      </c>
      <c r="C464" t="s">
        <v>975</v>
      </c>
      <c r="D464" t="s">
        <v>1021</v>
      </c>
      <c r="F464" s="1">
        <v>32037</v>
      </c>
      <c r="G464" s="2" t="s">
        <v>1052</v>
      </c>
      <c r="H464" s="2" t="s">
        <v>1036</v>
      </c>
      <c r="I464" s="2" t="s">
        <v>11</v>
      </c>
    </row>
    <row r="465" spans="1:9" x14ac:dyDescent="0.25">
      <c r="A465">
        <v>464</v>
      </c>
      <c r="B465" t="s">
        <v>46</v>
      </c>
      <c r="C465" t="s">
        <v>1022</v>
      </c>
      <c r="D465" t="s">
        <v>1023</v>
      </c>
      <c r="F465" s="1">
        <v>34098</v>
      </c>
      <c r="G465" s="2" t="s">
        <v>1035</v>
      </c>
      <c r="H465" s="2" t="s">
        <v>1036</v>
      </c>
      <c r="I465" s="2" t="s">
        <v>11</v>
      </c>
    </row>
    <row r="466" spans="1:9" x14ac:dyDescent="0.25">
      <c r="A466">
        <v>465</v>
      </c>
      <c r="B466" t="s">
        <v>1024</v>
      </c>
      <c r="C466" t="s">
        <v>1025</v>
      </c>
      <c r="D466" t="s">
        <v>32</v>
      </c>
      <c r="F466" s="1">
        <v>23004</v>
      </c>
      <c r="G466" s="2" t="s">
        <v>1052</v>
      </c>
      <c r="H466" s="2" t="s">
        <v>1036</v>
      </c>
      <c r="I466" s="2" t="s">
        <v>11</v>
      </c>
    </row>
    <row r="467" spans="1:9" x14ac:dyDescent="0.25">
      <c r="A467">
        <v>466</v>
      </c>
      <c r="B467" t="s">
        <v>1026</v>
      </c>
      <c r="C467" t="s">
        <v>1027</v>
      </c>
      <c r="D467" t="s">
        <v>538</v>
      </c>
      <c r="F467" s="1">
        <v>34458</v>
      </c>
      <c r="G467" s="2" t="s">
        <v>1047</v>
      </c>
      <c r="H467" s="2" t="s">
        <v>1036</v>
      </c>
      <c r="I467" s="2" t="s">
        <v>11</v>
      </c>
    </row>
    <row r="468" spans="1:9" x14ac:dyDescent="0.25">
      <c r="A468">
        <v>467</v>
      </c>
      <c r="B468" t="s">
        <v>132</v>
      </c>
      <c r="C468" t="s">
        <v>1028</v>
      </c>
      <c r="D468" t="s">
        <v>133</v>
      </c>
      <c r="F468" s="1">
        <v>28733</v>
      </c>
      <c r="G468" s="2" t="s">
        <v>1035</v>
      </c>
      <c r="H468" s="2" t="s">
        <v>1036</v>
      </c>
      <c r="I468" s="2" t="s">
        <v>11</v>
      </c>
    </row>
    <row r="469" spans="1:9" x14ac:dyDescent="0.25">
      <c r="A469">
        <v>468</v>
      </c>
      <c r="B469" t="s">
        <v>1029</v>
      </c>
      <c r="C469" t="s">
        <v>975</v>
      </c>
      <c r="F469" s="1">
        <v>36173</v>
      </c>
      <c r="G469" s="2" t="s">
        <v>1046</v>
      </c>
      <c r="H469" s="2" t="s">
        <v>1036</v>
      </c>
      <c r="I469" s="2" t="s">
        <v>11</v>
      </c>
    </row>
    <row r="470" spans="1:9" x14ac:dyDescent="0.25">
      <c r="A470">
        <v>469</v>
      </c>
      <c r="B470" t="s">
        <v>1030</v>
      </c>
      <c r="C470" t="s">
        <v>576</v>
      </c>
      <c r="D470" t="s">
        <v>601</v>
      </c>
      <c r="F470" s="1">
        <v>24946</v>
      </c>
      <c r="G470" s="2" t="s">
        <v>1052</v>
      </c>
      <c r="H470" s="2" t="s">
        <v>1036</v>
      </c>
      <c r="I470" s="2" t="s">
        <v>11</v>
      </c>
    </row>
    <row r="471" spans="1:9" x14ac:dyDescent="0.25">
      <c r="A471">
        <v>470</v>
      </c>
      <c r="B471" t="s">
        <v>1031</v>
      </c>
      <c r="C471" t="s">
        <v>245</v>
      </c>
      <c r="D471" t="s">
        <v>86</v>
      </c>
      <c r="F471" s="1">
        <v>26478</v>
      </c>
      <c r="G471" s="2" t="s">
        <v>1052</v>
      </c>
      <c r="H471" s="2" t="s">
        <v>1036</v>
      </c>
      <c r="I471" s="2" t="s">
        <v>11</v>
      </c>
    </row>
    <row r="472" spans="1:9" x14ac:dyDescent="0.25">
      <c r="A472">
        <v>471</v>
      </c>
      <c r="B472" t="s">
        <v>362</v>
      </c>
      <c r="C472" t="s">
        <v>1032</v>
      </c>
      <c r="D472" t="s">
        <v>1033</v>
      </c>
      <c r="F472" s="1">
        <v>29858</v>
      </c>
      <c r="G472" s="2" t="s">
        <v>1052</v>
      </c>
      <c r="H472" s="2" t="s">
        <v>1036</v>
      </c>
      <c r="I472" s="2" t="s">
        <v>11</v>
      </c>
    </row>
    <row r="473" spans="1:9" x14ac:dyDescent="0.25">
      <c r="A473">
        <v>472</v>
      </c>
      <c r="B473" t="s">
        <v>609</v>
      </c>
      <c r="C473" t="s">
        <v>91</v>
      </c>
      <c r="D473" t="s">
        <v>1034</v>
      </c>
      <c r="F473" s="1">
        <v>28957</v>
      </c>
      <c r="G473" s="2" t="s">
        <v>1035</v>
      </c>
      <c r="H473" s="2" t="s">
        <v>1036</v>
      </c>
      <c r="I473" s="2" t="s">
        <v>11</v>
      </c>
    </row>
    <row r="474" spans="1:9" x14ac:dyDescent="0.25">
      <c r="A474">
        <v>473</v>
      </c>
      <c r="B474" t="s">
        <v>1238</v>
      </c>
      <c r="C474" t="s">
        <v>1239</v>
      </c>
      <c r="D474" t="s">
        <v>1240</v>
      </c>
      <c r="F474" s="1">
        <v>35980</v>
      </c>
      <c r="G474" s="2" t="s">
        <v>1043</v>
      </c>
      <c r="H474" s="2" t="s">
        <v>1036</v>
      </c>
      <c r="I474" s="2" t="s">
        <v>11</v>
      </c>
    </row>
    <row r="475" spans="1:9" x14ac:dyDescent="0.25">
      <c r="A475">
        <v>474</v>
      </c>
      <c r="B475" t="s">
        <v>528</v>
      </c>
      <c r="C475" t="s">
        <v>795</v>
      </c>
      <c r="D475" t="s">
        <v>960</v>
      </c>
      <c r="F475" s="1">
        <v>24946</v>
      </c>
      <c r="G475" t="s">
        <v>1049</v>
      </c>
      <c r="H475" t="s">
        <v>1036</v>
      </c>
      <c r="I475" t="s">
        <v>11</v>
      </c>
    </row>
    <row r="476" spans="1:9" x14ac:dyDescent="0.25">
      <c r="A476">
        <v>475</v>
      </c>
      <c r="B476" t="s">
        <v>1053</v>
      </c>
      <c r="C476" t="s">
        <v>412</v>
      </c>
      <c r="D476" t="s">
        <v>1054</v>
      </c>
      <c r="F476" s="1">
        <v>35783</v>
      </c>
      <c r="G476" t="s">
        <v>1047</v>
      </c>
      <c r="H476" t="s">
        <v>1036</v>
      </c>
      <c r="I476" t="s">
        <v>11</v>
      </c>
    </row>
    <row r="477" spans="1:9" x14ac:dyDescent="0.25">
      <c r="A477">
        <v>476</v>
      </c>
      <c r="B477" t="s">
        <v>92</v>
      </c>
      <c r="C477" t="s">
        <v>43</v>
      </c>
      <c r="D477" t="s">
        <v>190</v>
      </c>
      <c r="F477" s="1">
        <v>22827</v>
      </c>
      <c r="G477" t="s">
        <v>1037</v>
      </c>
      <c r="H477" t="s">
        <v>1036</v>
      </c>
      <c r="I477" t="s">
        <v>11</v>
      </c>
    </row>
    <row r="478" spans="1:9" x14ac:dyDescent="0.25">
      <c r="A478">
        <v>477</v>
      </c>
      <c r="B478" t="s">
        <v>180</v>
      </c>
      <c r="C478" t="s">
        <v>150</v>
      </c>
      <c r="D478" t="s">
        <v>290</v>
      </c>
      <c r="F478" s="1">
        <v>33092</v>
      </c>
      <c r="G478" t="s">
        <v>1049</v>
      </c>
      <c r="H478" t="s">
        <v>1036</v>
      </c>
      <c r="I478" t="s">
        <v>11</v>
      </c>
    </row>
    <row r="479" spans="1:9" x14ac:dyDescent="0.25">
      <c r="A479">
        <v>478</v>
      </c>
      <c r="B479" t="s">
        <v>646</v>
      </c>
      <c r="C479" t="s">
        <v>1055</v>
      </c>
      <c r="D479" t="s">
        <v>87</v>
      </c>
      <c r="F479" s="1">
        <v>23342</v>
      </c>
      <c r="G479" t="s">
        <v>1049</v>
      </c>
      <c r="H479" t="s">
        <v>1036</v>
      </c>
      <c r="I479" t="s">
        <v>11</v>
      </c>
    </row>
    <row r="480" spans="1:9" x14ac:dyDescent="0.25">
      <c r="A480">
        <v>479</v>
      </c>
      <c r="B480" t="s">
        <v>1056</v>
      </c>
      <c r="C480" t="s">
        <v>1057</v>
      </c>
      <c r="D480" t="s">
        <v>1058</v>
      </c>
      <c r="F480" s="1">
        <v>35002</v>
      </c>
      <c r="G480" t="s">
        <v>1049</v>
      </c>
      <c r="H480" t="s">
        <v>1036</v>
      </c>
      <c r="I480" t="s">
        <v>11</v>
      </c>
    </row>
    <row r="481" spans="1:9" x14ac:dyDescent="0.25">
      <c r="A481">
        <v>480</v>
      </c>
      <c r="B481" t="s">
        <v>360</v>
      </c>
      <c r="C481" t="s">
        <v>1059</v>
      </c>
      <c r="D481" t="s">
        <v>1060</v>
      </c>
      <c r="F481" s="1">
        <v>27513</v>
      </c>
      <c r="G481" t="s">
        <v>1049</v>
      </c>
      <c r="H481" t="s">
        <v>1036</v>
      </c>
      <c r="I481" t="s">
        <v>11</v>
      </c>
    </row>
    <row r="482" spans="1:9" x14ac:dyDescent="0.25">
      <c r="A482">
        <v>481</v>
      </c>
      <c r="B482" t="s">
        <v>18</v>
      </c>
      <c r="C482" t="s">
        <v>1061</v>
      </c>
      <c r="D482" t="s">
        <v>1010</v>
      </c>
      <c r="F482" s="1">
        <v>30303</v>
      </c>
      <c r="G482" t="s">
        <v>1049</v>
      </c>
      <c r="H482" t="s">
        <v>1036</v>
      </c>
      <c r="I482" t="s">
        <v>11</v>
      </c>
    </row>
    <row r="483" spans="1:9" x14ac:dyDescent="0.25">
      <c r="A483">
        <v>482</v>
      </c>
      <c r="B483" t="s">
        <v>1062</v>
      </c>
      <c r="C483" t="s">
        <v>957</v>
      </c>
      <c r="F483" s="1">
        <v>24456</v>
      </c>
      <c r="G483" t="s">
        <v>1035</v>
      </c>
      <c r="H483" t="s">
        <v>1036</v>
      </c>
      <c r="I483" t="s">
        <v>11</v>
      </c>
    </row>
    <row r="484" spans="1:9" x14ac:dyDescent="0.25">
      <c r="A484">
        <v>483</v>
      </c>
      <c r="B484" t="s">
        <v>960</v>
      </c>
      <c r="C484" t="s">
        <v>145</v>
      </c>
      <c r="D484" t="s">
        <v>772</v>
      </c>
      <c r="F484" s="1">
        <v>27634</v>
      </c>
      <c r="G484" t="s">
        <v>1049</v>
      </c>
      <c r="H484" t="s">
        <v>1036</v>
      </c>
      <c r="I484" t="s">
        <v>11</v>
      </c>
    </row>
    <row r="485" spans="1:9" x14ac:dyDescent="0.25">
      <c r="A485">
        <v>484</v>
      </c>
      <c r="B485" t="s">
        <v>1063</v>
      </c>
      <c r="C485" t="s">
        <v>173</v>
      </c>
      <c r="D485" t="s">
        <v>1064</v>
      </c>
      <c r="F485" s="1">
        <v>35877</v>
      </c>
      <c r="G485" t="s">
        <v>1049</v>
      </c>
      <c r="H485" t="s">
        <v>1036</v>
      </c>
      <c r="I485" t="s">
        <v>11</v>
      </c>
    </row>
    <row r="486" spans="1:9" x14ac:dyDescent="0.25">
      <c r="A486">
        <v>485</v>
      </c>
      <c r="B486" t="s">
        <v>967</v>
      </c>
      <c r="C486" t="s">
        <v>598</v>
      </c>
      <c r="F486" s="1">
        <v>30733</v>
      </c>
      <c r="G486" t="s">
        <v>1050</v>
      </c>
      <c r="H486" t="s">
        <v>1036</v>
      </c>
      <c r="I486" t="s">
        <v>11</v>
      </c>
    </row>
    <row r="487" spans="1:9" x14ac:dyDescent="0.25">
      <c r="A487">
        <v>486</v>
      </c>
      <c r="B487" t="s">
        <v>646</v>
      </c>
      <c r="C487" t="s">
        <v>155</v>
      </c>
      <c r="D487" t="s">
        <v>90</v>
      </c>
      <c r="F487" s="1">
        <v>36375</v>
      </c>
      <c r="G487" t="s">
        <v>1049</v>
      </c>
      <c r="H487" t="s">
        <v>1036</v>
      </c>
      <c r="I487" t="s">
        <v>11</v>
      </c>
    </row>
    <row r="488" spans="1:9" x14ac:dyDescent="0.25">
      <c r="A488">
        <v>487</v>
      </c>
      <c r="B488" t="s">
        <v>865</v>
      </c>
      <c r="C488" t="s">
        <v>147</v>
      </c>
      <c r="F488" s="1">
        <v>26994</v>
      </c>
      <c r="G488" t="s">
        <v>1050</v>
      </c>
      <c r="H488" t="s">
        <v>1036</v>
      </c>
      <c r="I488" t="s">
        <v>11</v>
      </c>
    </row>
    <row r="489" spans="1:9" x14ac:dyDescent="0.25">
      <c r="A489">
        <v>488</v>
      </c>
      <c r="B489" t="s">
        <v>1065</v>
      </c>
      <c r="C489" t="s">
        <v>538</v>
      </c>
      <c r="D489" t="s">
        <v>1066</v>
      </c>
      <c r="F489" s="1">
        <v>29597</v>
      </c>
      <c r="G489" t="s">
        <v>1049</v>
      </c>
      <c r="H489" t="s">
        <v>1036</v>
      </c>
      <c r="I489" t="s">
        <v>11</v>
      </c>
    </row>
    <row r="490" spans="1:9" x14ac:dyDescent="0.25">
      <c r="A490">
        <v>489</v>
      </c>
      <c r="B490" t="s">
        <v>974</v>
      </c>
      <c r="C490" t="s">
        <v>1067</v>
      </c>
      <c r="F490" s="1">
        <v>26727</v>
      </c>
      <c r="G490" t="s">
        <v>1050</v>
      </c>
      <c r="H490" t="s">
        <v>1036</v>
      </c>
      <c r="I490" t="s">
        <v>11</v>
      </c>
    </row>
    <row r="491" spans="1:9" x14ac:dyDescent="0.25">
      <c r="A491">
        <v>490</v>
      </c>
      <c r="B491" t="s">
        <v>1068</v>
      </c>
      <c r="C491" t="s">
        <v>1069</v>
      </c>
      <c r="D491" t="s">
        <v>1070</v>
      </c>
      <c r="F491" s="1">
        <v>32906</v>
      </c>
      <c r="G491" t="s">
        <v>1050</v>
      </c>
      <c r="H491" t="s">
        <v>1036</v>
      </c>
      <c r="I491" t="s">
        <v>11</v>
      </c>
    </row>
    <row r="492" spans="1:9" x14ac:dyDescent="0.25">
      <c r="A492">
        <v>491</v>
      </c>
      <c r="B492" t="s">
        <v>982</v>
      </c>
      <c r="C492" t="s">
        <v>1071</v>
      </c>
      <c r="F492" s="1">
        <v>31219</v>
      </c>
      <c r="G492" t="s">
        <v>1050</v>
      </c>
      <c r="H492" t="s">
        <v>1036</v>
      </c>
      <c r="I492" t="s">
        <v>11</v>
      </c>
    </row>
    <row r="493" spans="1:9" x14ac:dyDescent="0.25">
      <c r="A493">
        <v>492</v>
      </c>
      <c r="B493" t="s">
        <v>1072</v>
      </c>
      <c r="C493" t="s">
        <v>1073</v>
      </c>
      <c r="D493" t="s">
        <v>1074</v>
      </c>
      <c r="F493" s="1">
        <v>33934</v>
      </c>
      <c r="G493" t="s">
        <v>1050</v>
      </c>
      <c r="H493" t="s">
        <v>1036</v>
      </c>
      <c r="I493" t="s">
        <v>11</v>
      </c>
    </row>
    <row r="494" spans="1:9" x14ac:dyDescent="0.25">
      <c r="A494">
        <v>493</v>
      </c>
      <c r="B494" t="s">
        <v>790</v>
      </c>
      <c r="C494" t="s">
        <v>1075</v>
      </c>
      <c r="F494" s="1">
        <v>36404</v>
      </c>
      <c r="G494" t="s">
        <v>1050</v>
      </c>
      <c r="H494" t="s">
        <v>1036</v>
      </c>
      <c r="I494" t="s">
        <v>11</v>
      </c>
    </row>
    <row r="495" spans="1:9" x14ac:dyDescent="0.25">
      <c r="A495">
        <v>494</v>
      </c>
      <c r="B495" t="s">
        <v>38</v>
      </c>
      <c r="C495" t="s">
        <v>570</v>
      </c>
      <c r="F495" s="1">
        <v>23324</v>
      </c>
      <c r="G495" t="s">
        <v>1050</v>
      </c>
      <c r="H495" t="s">
        <v>1036</v>
      </c>
      <c r="I495" t="s">
        <v>11</v>
      </c>
    </row>
    <row r="496" spans="1:9" x14ac:dyDescent="0.25">
      <c r="A496">
        <v>495</v>
      </c>
      <c r="B496" t="s">
        <v>790</v>
      </c>
      <c r="C496" t="s">
        <v>1076</v>
      </c>
      <c r="F496" s="1">
        <v>33873</v>
      </c>
      <c r="G496" t="s">
        <v>1050</v>
      </c>
      <c r="H496" t="s">
        <v>1036</v>
      </c>
      <c r="I496" t="s">
        <v>11</v>
      </c>
    </row>
    <row r="497" spans="1:9" x14ac:dyDescent="0.25">
      <c r="A497">
        <v>496</v>
      </c>
      <c r="B497" t="s">
        <v>790</v>
      </c>
      <c r="C497" t="s">
        <v>125</v>
      </c>
      <c r="F497" s="1">
        <v>33209</v>
      </c>
      <c r="G497" t="s">
        <v>1050</v>
      </c>
      <c r="H497" t="s">
        <v>1036</v>
      </c>
      <c r="I497" t="s">
        <v>11</v>
      </c>
    </row>
    <row r="498" spans="1:9" x14ac:dyDescent="0.25">
      <c r="A498">
        <v>497</v>
      </c>
      <c r="B498" t="s">
        <v>78</v>
      </c>
      <c r="C498" t="s">
        <v>1077</v>
      </c>
      <c r="F498" s="1">
        <v>26854</v>
      </c>
      <c r="G498" t="s">
        <v>1050</v>
      </c>
      <c r="H498" t="s">
        <v>1036</v>
      </c>
      <c r="I498" t="s">
        <v>11</v>
      </c>
    </row>
    <row r="499" spans="1:9" x14ac:dyDescent="0.25">
      <c r="A499">
        <v>498</v>
      </c>
      <c r="B499" t="s">
        <v>1078</v>
      </c>
      <c r="C499" t="s">
        <v>138</v>
      </c>
      <c r="F499" s="1">
        <v>30756</v>
      </c>
      <c r="G499" t="s">
        <v>1050</v>
      </c>
      <c r="H499" t="s">
        <v>1036</v>
      </c>
      <c r="I499" t="s">
        <v>11</v>
      </c>
    </row>
    <row r="500" spans="1:9" x14ac:dyDescent="0.25">
      <c r="A500">
        <v>499</v>
      </c>
      <c r="B500" t="s">
        <v>100</v>
      </c>
      <c r="C500" t="s">
        <v>1079</v>
      </c>
      <c r="F500" s="1">
        <v>36360</v>
      </c>
      <c r="G500" t="s">
        <v>1050</v>
      </c>
      <c r="H500" t="s">
        <v>1036</v>
      </c>
      <c r="I500" t="s">
        <v>11</v>
      </c>
    </row>
    <row r="501" spans="1:9" x14ac:dyDescent="0.25">
      <c r="A501">
        <v>500</v>
      </c>
      <c r="B501" t="s">
        <v>1080</v>
      </c>
      <c r="C501" t="s">
        <v>1081</v>
      </c>
      <c r="D501" t="s">
        <v>529</v>
      </c>
      <c r="F501" s="1">
        <v>33844</v>
      </c>
      <c r="G501" t="s">
        <v>1035</v>
      </c>
      <c r="H501" t="s">
        <v>1036</v>
      </c>
      <c r="I501" t="s">
        <v>11</v>
      </c>
    </row>
    <row r="502" spans="1:9" x14ac:dyDescent="0.25">
      <c r="A502">
        <v>501</v>
      </c>
      <c r="B502" t="s">
        <v>1082</v>
      </c>
      <c r="C502" t="s">
        <v>1083</v>
      </c>
      <c r="F502" s="1">
        <v>28623</v>
      </c>
      <c r="G502" t="s">
        <v>1047</v>
      </c>
      <c r="H502" t="s">
        <v>1036</v>
      </c>
      <c r="I502" t="s">
        <v>11</v>
      </c>
    </row>
    <row r="503" spans="1:9" x14ac:dyDescent="0.25">
      <c r="A503">
        <v>502</v>
      </c>
      <c r="B503" t="s">
        <v>27</v>
      </c>
      <c r="C503" t="s">
        <v>1084</v>
      </c>
      <c r="F503" s="1">
        <v>25561</v>
      </c>
      <c r="G503" t="s">
        <v>1050</v>
      </c>
      <c r="H503" t="s">
        <v>1036</v>
      </c>
      <c r="I503" t="s">
        <v>11</v>
      </c>
    </row>
    <row r="504" spans="1:9" x14ac:dyDescent="0.25">
      <c r="A504">
        <v>503</v>
      </c>
      <c r="B504" t="s">
        <v>579</v>
      </c>
      <c r="C504" t="s">
        <v>1085</v>
      </c>
      <c r="F504" s="1">
        <v>32590</v>
      </c>
      <c r="G504" t="s">
        <v>128</v>
      </c>
      <c r="H504" t="s">
        <v>1036</v>
      </c>
      <c r="I504" t="s">
        <v>11</v>
      </c>
    </row>
    <row r="505" spans="1:9" x14ac:dyDescent="0.25">
      <c r="A505">
        <v>504</v>
      </c>
      <c r="B505" t="s">
        <v>1003</v>
      </c>
      <c r="C505" t="s">
        <v>1086</v>
      </c>
      <c r="F505" s="1">
        <v>28418</v>
      </c>
      <c r="G505" t="s">
        <v>1051</v>
      </c>
      <c r="H505" t="s">
        <v>1036</v>
      </c>
      <c r="I505" t="s">
        <v>11</v>
      </c>
    </row>
    <row r="506" spans="1:9" x14ac:dyDescent="0.25">
      <c r="A506">
        <v>505</v>
      </c>
      <c r="B506" t="s">
        <v>646</v>
      </c>
      <c r="C506" t="s">
        <v>1055</v>
      </c>
      <c r="E506" t="s">
        <v>106</v>
      </c>
      <c r="F506" s="1">
        <v>23342</v>
      </c>
      <c r="G506" t="s">
        <v>1049</v>
      </c>
      <c r="H506" t="s">
        <v>1036</v>
      </c>
      <c r="I506" t="s">
        <v>11</v>
      </c>
    </row>
    <row r="507" spans="1:9" x14ac:dyDescent="0.25">
      <c r="A507">
        <v>506</v>
      </c>
      <c r="B507" t="s">
        <v>180</v>
      </c>
      <c r="C507" t="s">
        <v>150</v>
      </c>
      <c r="F507" s="1">
        <v>33092</v>
      </c>
      <c r="G507" t="s">
        <v>1049</v>
      </c>
      <c r="H507" t="s">
        <v>1036</v>
      </c>
      <c r="I507" t="s">
        <v>11</v>
      </c>
    </row>
    <row r="508" spans="1:9" x14ac:dyDescent="0.25">
      <c r="A508">
        <v>507</v>
      </c>
      <c r="B508" t="s">
        <v>1087</v>
      </c>
      <c r="C508" t="s">
        <v>1088</v>
      </c>
      <c r="F508" s="1">
        <v>33745</v>
      </c>
      <c r="G508" t="s">
        <v>1045</v>
      </c>
      <c r="H508" t="s">
        <v>1036</v>
      </c>
      <c r="I508" t="s">
        <v>11</v>
      </c>
    </row>
    <row r="509" spans="1:9" x14ac:dyDescent="0.25">
      <c r="A509">
        <v>508</v>
      </c>
      <c r="B509" t="s">
        <v>1008</v>
      </c>
      <c r="C509" t="s">
        <v>1089</v>
      </c>
      <c r="F509" s="1">
        <v>32557</v>
      </c>
      <c r="G509" t="s">
        <v>1045</v>
      </c>
      <c r="H509" t="s">
        <v>1036</v>
      </c>
      <c r="I509" t="s">
        <v>11</v>
      </c>
    </row>
    <row r="510" spans="1:9" x14ac:dyDescent="0.25">
      <c r="A510">
        <v>509</v>
      </c>
      <c r="B510" t="s">
        <v>646</v>
      </c>
      <c r="C510" t="s">
        <v>769</v>
      </c>
      <c r="F510" s="1">
        <v>34743</v>
      </c>
      <c r="G510" t="s">
        <v>1045</v>
      </c>
      <c r="H510" t="s">
        <v>1036</v>
      </c>
      <c r="I510" t="s">
        <v>11</v>
      </c>
    </row>
    <row r="511" spans="1:9" x14ac:dyDescent="0.25">
      <c r="A511">
        <v>510</v>
      </c>
      <c r="B511" t="s">
        <v>218</v>
      </c>
      <c r="C511" t="s">
        <v>1090</v>
      </c>
      <c r="F511" s="1">
        <v>37548</v>
      </c>
      <c r="G511" t="s">
        <v>1052</v>
      </c>
      <c r="H511" t="s">
        <v>1036</v>
      </c>
      <c r="I511" t="s">
        <v>11</v>
      </c>
    </row>
    <row r="512" spans="1:9" x14ac:dyDescent="0.25">
      <c r="A512">
        <v>511</v>
      </c>
      <c r="B512" t="s">
        <v>1014</v>
      </c>
      <c r="C512" t="s">
        <v>1091</v>
      </c>
      <c r="F512" s="1">
        <v>33518</v>
      </c>
      <c r="G512" t="s">
        <v>1052</v>
      </c>
      <c r="H512" t="s">
        <v>1036</v>
      </c>
      <c r="I512" t="s">
        <v>11</v>
      </c>
    </row>
    <row r="513" spans="1:9" x14ac:dyDescent="0.25">
      <c r="A513">
        <v>512</v>
      </c>
      <c r="B513" t="s">
        <v>1017</v>
      </c>
      <c r="C513" t="s">
        <v>155</v>
      </c>
      <c r="F513" s="1">
        <v>33131</v>
      </c>
      <c r="G513" t="s">
        <v>1052</v>
      </c>
      <c r="H513" t="s">
        <v>1036</v>
      </c>
      <c r="I513" t="s">
        <v>11</v>
      </c>
    </row>
    <row r="514" spans="1:9" x14ac:dyDescent="0.25">
      <c r="A514">
        <v>513</v>
      </c>
      <c r="B514" t="s">
        <v>935</v>
      </c>
      <c r="C514" t="s">
        <v>1092</v>
      </c>
      <c r="F514" s="1">
        <v>35055</v>
      </c>
      <c r="G514" t="s">
        <v>1052</v>
      </c>
      <c r="H514" t="s">
        <v>1036</v>
      </c>
      <c r="I514" t="s">
        <v>11</v>
      </c>
    </row>
    <row r="515" spans="1:9" x14ac:dyDescent="0.25">
      <c r="A515">
        <v>514</v>
      </c>
      <c r="B515" t="s">
        <v>1020</v>
      </c>
      <c r="C515" t="s">
        <v>1093</v>
      </c>
      <c r="F515" s="1">
        <v>31516</v>
      </c>
      <c r="G515" t="s">
        <v>1052</v>
      </c>
      <c r="H515" t="s">
        <v>1036</v>
      </c>
      <c r="I515" t="s">
        <v>11</v>
      </c>
    </row>
    <row r="516" spans="1:9" x14ac:dyDescent="0.25">
      <c r="A516">
        <v>515</v>
      </c>
      <c r="B516" t="s">
        <v>999</v>
      </c>
      <c r="C516" t="s">
        <v>1094</v>
      </c>
      <c r="D516" t="s">
        <v>1095</v>
      </c>
      <c r="F516" s="1">
        <v>34401</v>
      </c>
      <c r="G516" t="s">
        <v>1035</v>
      </c>
      <c r="H516" t="s">
        <v>1036</v>
      </c>
      <c r="I516" t="s">
        <v>11</v>
      </c>
    </row>
    <row r="517" spans="1:9" x14ac:dyDescent="0.25">
      <c r="A517">
        <v>516</v>
      </c>
      <c r="B517" t="s">
        <v>132</v>
      </c>
      <c r="C517" t="s">
        <v>1096</v>
      </c>
      <c r="D517" t="s">
        <v>1097</v>
      </c>
      <c r="F517" s="1">
        <v>24467</v>
      </c>
      <c r="G517" t="s">
        <v>1035</v>
      </c>
      <c r="H517" t="s">
        <v>1036</v>
      </c>
      <c r="I517" t="s">
        <v>11</v>
      </c>
    </row>
    <row r="518" spans="1:9" x14ac:dyDescent="0.25">
      <c r="A518">
        <v>517</v>
      </c>
      <c r="B518" t="s">
        <v>1029</v>
      </c>
      <c r="C518" t="s">
        <v>1098</v>
      </c>
      <c r="F518" s="1">
        <v>35253</v>
      </c>
      <c r="G518" t="s">
        <v>1046</v>
      </c>
      <c r="H518" t="s">
        <v>1036</v>
      </c>
      <c r="I518" t="s">
        <v>11</v>
      </c>
    </row>
    <row r="519" spans="1:9" x14ac:dyDescent="0.25">
      <c r="A519">
        <v>518</v>
      </c>
      <c r="B519" t="s">
        <v>1030</v>
      </c>
      <c r="C519" t="s">
        <v>1099</v>
      </c>
      <c r="F519" s="1">
        <v>25676</v>
      </c>
      <c r="G519" t="s">
        <v>1052</v>
      </c>
      <c r="H519" t="s">
        <v>1036</v>
      </c>
      <c r="I519" t="s">
        <v>11</v>
      </c>
    </row>
    <row r="520" spans="1:9" x14ac:dyDescent="0.25">
      <c r="A520">
        <v>519</v>
      </c>
      <c r="B520" t="s">
        <v>362</v>
      </c>
      <c r="C520" t="s">
        <v>1100</v>
      </c>
      <c r="D520" t="s">
        <v>190</v>
      </c>
      <c r="F520" s="1">
        <v>29722</v>
      </c>
      <c r="G520" t="s">
        <v>1052</v>
      </c>
      <c r="H520" t="s">
        <v>1036</v>
      </c>
      <c r="I520" t="s">
        <v>11</v>
      </c>
    </row>
    <row r="521" spans="1:9" x14ac:dyDescent="0.25">
      <c r="A521">
        <v>520</v>
      </c>
      <c r="B521" t="s">
        <v>78</v>
      </c>
      <c r="C521" t="s">
        <v>1241</v>
      </c>
      <c r="F521" s="1">
        <v>36954</v>
      </c>
      <c r="G521" t="s">
        <v>1043</v>
      </c>
      <c r="H521" t="s">
        <v>1036</v>
      </c>
      <c r="I521" t="s">
        <v>11</v>
      </c>
    </row>
    <row r="522" spans="1:9" x14ac:dyDescent="0.25">
      <c r="A522">
        <v>521</v>
      </c>
      <c r="B522" t="s">
        <v>92</v>
      </c>
      <c r="C522" t="s">
        <v>1101</v>
      </c>
      <c r="D522" t="s">
        <v>560</v>
      </c>
      <c r="F522" s="1">
        <v>32191</v>
      </c>
      <c r="G522" t="s">
        <v>1037</v>
      </c>
      <c r="H522" t="s">
        <v>1036</v>
      </c>
      <c r="I522" t="s">
        <v>11</v>
      </c>
    </row>
    <row r="523" spans="1:9" x14ac:dyDescent="0.25">
      <c r="A523">
        <v>522</v>
      </c>
      <c r="B523" t="s">
        <v>92</v>
      </c>
      <c r="C523" t="s">
        <v>1102</v>
      </c>
      <c r="D523" t="s">
        <v>560</v>
      </c>
      <c r="F523" s="1">
        <v>35139</v>
      </c>
      <c r="G523" t="s">
        <v>1037</v>
      </c>
      <c r="H523" t="s">
        <v>1036</v>
      </c>
      <c r="I523" t="s">
        <v>11</v>
      </c>
    </row>
    <row r="524" spans="1:9" x14ac:dyDescent="0.25">
      <c r="A524">
        <v>523</v>
      </c>
      <c r="B524" t="s">
        <v>1103</v>
      </c>
      <c r="C524" t="s">
        <v>1104</v>
      </c>
      <c r="D524" t="s">
        <v>90</v>
      </c>
      <c r="F524" s="1">
        <v>34277</v>
      </c>
      <c r="G524" t="s">
        <v>1049</v>
      </c>
      <c r="H524" t="s">
        <v>1036</v>
      </c>
      <c r="I524" t="s">
        <v>11</v>
      </c>
    </row>
    <row r="525" spans="1:9" x14ac:dyDescent="0.25">
      <c r="A525">
        <v>524</v>
      </c>
      <c r="B525" t="s">
        <v>1103</v>
      </c>
      <c r="C525" t="s">
        <v>1055</v>
      </c>
      <c r="D525" t="s">
        <v>90</v>
      </c>
      <c r="E525" t="s">
        <v>22</v>
      </c>
      <c r="F525" s="1">
        <v>37577</v>
      </c>
      <c r="G525" t="s">
        <v>1049</v>
      </c>
      <c r="H525" t="s">
        <v>1036</v>
      </c>
      <c r="I525" t="s">
        <v>11</v>
      </c>
    </row>
    <row r="526" spans="1:9" x14ac:dyDescent="0.25">
      <c r="A526">
        <v>525</v>
      </c>
      <c r="B526" t="s">
        <v>360</v>
      </c>
      <c r="C526" t="s">
        <v>1105</v>
      </c>
      <c r="D526" t="s">
        <v>1060</v>
      </c>
      <c r="F526" s="1">
        <v>36532</v>
      </c>
      <c r="G526" t="s">
        <v>1049</v>
      </c>
      <c r="H526" t="s">
        <v>1036</v>
      </c>
      <c r="I526" t="s">
        <v>11</v>
      </c>
    </row>
    <row r="527" spans="1:9" x14ac:dyDescent="0.25">
      <c r="A527">
        <v>526</v>
      </c>
      <c r="B527" t="s">
        <v>360</v>
      </c>
      <c r="C527" t="s">
        <v>1106</v>
      </c>
      <c r="D527" t="s">
        <v>1060</v>
      </c>
      <c r="F527" s="1">
        <v>44491</v>
      </c>
      <c r="G527" t="s">
        <v>1049</v>
      </c>
      <c r="H527" t="s">
        <v>1036</v>
      </c>
      <c r="I527" t="s">
        <v>11</v>
      </c>
    </row>
    <row r="528" spans="1:9" x14ac:dyDescent="0.25">
      <c r="A528">
        <v>527</v>
      </c>
      <c r="B528" t="s">
        <v>360</v>
      </c>
      <c r="C528" t="s">
        <v>1107</v>
      </c>
      <c r="D528" t="s">
        <v>1060</v>
      </c>
      <c r="F528" s="1">
        <v>38316</v>
      </c>
      <c r="G528" t="s">
        <v>1049</v>
      </c>
      <c r="H528" t="s">
        <v>1036</v>
      </c>
      <c r="I528" t="s">
        <v>11</v>
      </c>
    </row>
    <row r="529" spans="1:9" x14ac:dyDescent="0.25">
      <c r="A529">
        <v>528</v>
      </c>
      <c r="B529" t="s">
        <v>18</v>
      </c>
      <c r="C529" t="s">
        <v>1108</v>
      </c>
      <c r="D529" t="s">
        <v>90</v>
      </c>
      <c r="F529" s="1">
        <v>38612</v>
      </c>
      <c r="G529" t="s">
        <v>1049</v>
      </c>
      <c r="H529" t="s">
        <v>1036</v>
      </c>
      <c r="I529" t="s">
        <v>11</v>
      </c>
    </row>
    <row r="530" spans="1:9" x14ac:dyDescent="0.25">
      <c r="A530">
        <v>529</v>
      </c>
      <c r="B530" t="s">
        <v>18</v>
      </c>
      <c r="C530" t="s">
        <v>1109</v>
      </c>
      <c r="D530" t="s">
        <v>90</v>
      </c>
      <c r="F530" s="1">
        <v>39380</v>
      </c>
      <c r="G530" t="s">
        <v>1049</v>
      </c>
      <c r="H530" t="s">
        <v>1036</v>
      </c>
      <c r="I530" t="s">
        <v>11</v>
      </c>
    </row>
    <row r="531" spans="1:9" x14ac:dyDescent="0.25">
      <c r="A531">
        <v>530</v>
      </c>
      <c r="B531" t="s">
        <v>440</v>
      </c>
      <c r="C531" t="s">
        <v>1110</v>
      </c>
      <c r="D531" t="s">
        <v>960</v>
      </c>
      <c r="F531" s="1">
        <v>35535</v>
      </c>
      <c r="G531" t="s">
        <v>1049</v>
      </c>
      <c r="H531" t="s">
        <v>1036</v>
      </c>
      <c r="I531" t="s">
        <v>11</v>
      </c>
    </row>
    <row r="532" spans="1:9" x14ac:dyDescent="0.25">
      <c r="A532">
        <v>531</v>
      </c>
      <c r="B532" t="s">
        <v>960</v>
      </c>
      <c r="C532" t="s">
        <v>1111</v>
      </c>
      <c r="D532" t="s">
        <v>772</v>
      </c>
      <c r="F532" s="1">
        <v>38450</v>
      </c>
      <c r="G532" t="s">
        <v>1049</v>
      </c>
      <c r="H532" t="s">
        <v>1036</v>
      </c>
      <c r="I532" t="s">
        <v>11</v>
      </c>
    </row>
    <row r="533" spans="1:9" x14ac:dyDescent="0.25">
      <c r="A533">
        <v>532</v>
      </c>
      <c r="B533" t="s">
        <v>967</v>
      </c>
      <c r="C533" t="s">
        <v>1112</v>
      </c>
      <c r="D533" t="s">
        <v>969</v>
      </c>
      <c r="F533" s="1">
        <v>39307</v>
      </c>
      <c r="G533" t="s">
        <v>1050</v>
      </c>
      <c r="H533" t="s">
        <v>1036</v>
      </c>
      <c r="I533" t="s">
        <v>11</v>
      </c>
    </row>
    <row r="534" spans="1:9" x14ac:dyDescent="0.25">
      <c r="A534">
        <v>533</v>
      </c>
      <c r="B534" t="s">
        <v>865</v>
      </c>
      <c r="C534" t="s">
        <v>1113</v>
      </c>
      <c r="F534" s="1">
        <v>36875</v>
      </c>
      <c r="G534" t="s">
        <v>1050</v>
      </c>
      <c r="H534" t="s">
        <v>1036</v>
      </c>
      <c r="I534" t="s">
        <v>11</v>
      </c>
    </row>
    <row r="535" spans="1:9" x14ac:dyDescent="0.25">
      <c r="A535">
        <v>534</v>
      </c>
      <c r="B535" t="s">
        <v>538</v>
      </c>
      <c r="C535" t="s">
        <v>1114</v>
      </c>
      <c r="D535" t="s">
        <v>1066</v>
      </c>
      <c r="F535" s="1">
        <v>36651</v>
      </c>
      <c r="G535" t="s">
        <v>1049</v>
      </c>
      <c r="H535" t="s">
        <v>1036</v>
      </c>
      <c r="I535" t="s">
        <v>11</v>
      </c>
    </row>
    <row r="536" spans="1:9" x14ac:dyDescent="0.25">
      <c r="A536">
        <v>535</v>
      </c>
      <c r="B536" t="s">
        <v>538</v>
      </c>
      <c r="C536" t="s">
        <v>169</v>
      </c>
      <c r="D536" t="s">
        <v>1066</v>
      </c>
      <c r="F536" s="1">
        <v>37152</v>
      </c>
      <c r="G536" t="s">
        <v>1049</v>
      </c>
      <c r="H536" t="s">
        <v>1036</v>
      </c>
      <c r="I536" t="s">
        <v>11</v>
      </c>
    </row>
    <row r="537" spans="1:9" x14ac:dyDescent="0.25">
      <c r="A537">
        <v>536</v>
      </c>
      <c r="B537" t="s">
        <v>538</v>
      </c>
      <c r="C537" t="s">
        <v>110</v>
      </c>
      <c r="D537" t="s">
        <v>1066</v>
      </c>
      <c r="F537" s="1">
        <v>37916</v>
      </c>
      <c r="G537" t="s">
        <v>1049</v>
      </c>
      <c r="H537" t="s">
        <v>1036</v>
      </c>
      <c r="I537" t="s">
        <v>11</v>
      </c>
    </row>
    <row r="538" spans="1:9" x14ac:dyDescent="0.25">
      <c r="A538">
        <v>537</v>
      </c>
      <c r="B538" t="s">
        <v>538</v>
      </c>
      <c r="C538" t="s">
        <v>1115</v>
      </c>
      <c r="D538" t="s">
        <v>1066</v>
      </c>
      <c r="F538" s="1">
        <v>39860</v>
      </c>
      <c r="G538" t="s">
        <v>1049</v>
      </c>
      <c r="H538" t="s">
        <v>1036</v>
      </c>
      <c r="I538" t="s">
        <v>11</v>
      </c>
    </row>
    <row r="539" spans="1:9" x14ac:dyDescent="0.25">
      <c r="A539">
        <v>538</v>
      </c>
      <c r="B539" t="s">
        <v>974</v>
      </c>
      <c r="C539" t="s">
        <v>636</v>
      </c>
      <c r="F539" s="1">
        <v>35522</v>
      </c>
      <c r="G539" t="s">
        <v>1050</v>
      </c>
      <c r="H539" t="s">
        <v>1036</v>
      </c>
      <c r="I539" t="s">
        <v>11</v>
      </c>
    </row>
    <row r="540" spans="1:9" x14ac:dyDescent="0.25">
      <c r="A540">
        <v>539</v>
      </c>
      <c r="B540" t="s">
        <v>980</v>
      </c>
      <c r="C540" t="s">
        <v>1116</v>
      </c>
      <c r="D540" t="s">
        <v>105</v>
      </c>
      <c r="F540" s="1">
        <v>37297</v>
      </c>
      <c r="G540" t="s">
        <v>1050</v>
      </c>
      <c r="H540" t="s">
        <v>1036</v>
      </c>
      <c r="I540" t="s">
        <v>11</v>
      </c>
    </row>
    <row r="541" spans="1:9" x14ac:dyDescent="0.25">
      <c r="A541">
        <v>540</v>
      </c>
      <c r="B541" t="s">
        <v>982</v>
      </c>
      <c r="C541" t="s">
        <v>1117</v>
      </c>
      <c r="D541" t="s">
        <v>820</v>
      </c>
      <c r="F541" s="1">
        <v>37241</v>
      </c>
      <c r="G541" t="s">
        <v>1050</v>
      </c>
      <c r="H541" t="s">
        <v>1036</v>
      </c>
      <c r="I541" t="s">
        <v>11</v>
      </c>
    </row>
    <row r="542" spans="1:9" x14ac:dyDescent="0.25">
      <c r="A542">
        <v>541</v>
      </c>
      <c r="B542" t="s">
        <v>1118</v>
      </c>
      <c r="C542" t="s">
        <v>1119</v>
      </c>
      <c r="D542" t="s">
        <v>529</v>
      </c>
      <c r="F542" s="1">
        <v>30973</v>
      </c>
      <c r="G542" t="s">
        <v>1050</v>
      </c>
      <c r="H542" t="s">
        <v>1036</v>
      </c>
      <c r="I542" t="s">
        <v>11</v>
      </c>
    </row>
    <row r="543" spans="1:9" x14ac:dyDescent="0.25">
      <c r="A543">
        <v>542</v>
      </c>
      <c r="B543" t="s">
        <v>38</v>
      </c>
      <c r="C543" t="s">
        <v>1120</v>
      </c>
      <c r="F543" s="1">
        <v>33379</v>
      </c>
      <c r="G543" t="s">
        <v>1050</v>
      </c>
      <c r="H543" t="s">
        <v>1036</v>
      </c>
      <c r="I543" t="s">
        <v>11</v>
      </c>
    </row>
    <row r="544" spans="1:9" x14ac:dyDescent="0.25">
      <c r="A544">
        <v>543</v>
      </c>
      <c r="B544" t="s">
        <v>993</v>
      </c>
      <c r="C544" t="s">
        <v>954</v>
      </c>
      <c r="F544" s="1">
        <v>39323</v>
      </c>
      <c r="G544" t="s">
        <v>1050</v>
      </c>
      <c r="H544" t="s">
        <v>1036</v>
      </c>
      <c r="I544" t="s">
        <v>11</v>
      </c>
    </row>
    <row r="545" spans="1:9" x14ac:dyDescent="0.25">
      <c r="A545">
        <v>544</v>
      </c>
      <c r="B545" t="s">
        <v>1078</v>
      </c>
      <c r="C545" t="s">
        <v>1121</v>
      </c>
      <c r="D545" t="s">
        <v>994</v>
      </c>
      <c r="F545" s="1">
        <v>38268</v>
      </c>
      <c r="G545" t="s">
        <v>1050</v>
      </c>
      <c r="H545" t="s">
        <v>1036</v>
      </c>
      <c r="I545" t="s">
        <v>11</v>
      </c>
    </row>
    <row r="546" spans="1:9" x14ac:dyDescent="0.25">
      <c r="A546">
        <v>545</v>
      </c>
      <c r="B546" t="s">
        <v>78</v>
      </c>
      <c r="C546" t="s">
        <v>1122</v>
      </c>
      <c r="D546" t="s">
        <v>997</v>
      </c>
      <c r="F546" s="1">
        <v>38539</v>
      </c>
      <c r="G546" t="s">
        <v>1050</v>
      </c>
      <c r="H546" t="s">
        <v>1036</v>
      </c>
      <c r="I546" t="s">
        <v>11</v>
      </c>
    </row>
    <row r="547" spans="1:9" x14ac:dyDescent="0.25">
      <c r="A547">
        <v>546</v>
      </c>
      <c r="B547" t="s">
        <v>88</v>
      </c>
      <c r="C547" t="s">
        <v>163</v>
      </c>
      <c r="F547" s="1">
        <v>38790</v>
      </c>
      <c r="G547" t="s">
        <v>1047</v>
      </c>
      <c r="H547" t="s">
        <v>1036</v>
      </c>
      <c r="I547" t="s">
        <v>11</v>
      </c>
    </row>
    <row r="548" spans="1:9" x14ac:dyDescent="0.25">
      <c r="A548">
        <v>547</v>
      </c>
      <c r="B548" t="s">
        <v>1003</v>
      </c>
      <c r="C548" t="s">
        <v>1123</v>
      </c>
      <c r="F548" s="1">
        <v>36264</v>
      </c>
      <c r="G548" t="s">
        <v>1051</v>
      </c>
      <c r="H548" t="s">
        <v>1036</v>
      </c>
      <c r="I548" t="s">
        <v>11</v>
      </c>
    </row>
    <row r="549" spans="1:9" x14ac:dyDescent="0.25">
      <c r="A549">
        <v>548</v>
      </c>
      <c r="B549" t="s">
        <v>1003</v>
      </c>
      <c r="C549" t="s">
        <v>20</v>
      </c>
      <c r="F549" s="1">
        <v>37215</v>
      </c>
      <c r="G549" t="s">
        <v>1051</v>
      </c>
      <c r="H549" t="s">
        <v>1036</v>
      </c>
      <c r="I549" t="s">
        <v>11</v>
      </c>
    </row>
    <row r="550" spans="1:9" x14ac:dyDescent="0.25">
      <c r="A550">
        <v>549</v>
      </c>
      <c r="B550" t="s">
        <v>646</v>
      </c>
      <c r="C550" t="s">
        <v>1055</v>
      </c>
      <c r="D550" t="s">
        <v>90</v>
      </c>
      <c r="E550" t="s">
        <v>22</v>
      </c>
      <c r="F550" s="1">
        <v>37216</v>
      </c>
      <c r="G550" t="s">
        <v>1049</v>
      </c>
      <c r="H550" t="s">
        <v>1036</v>
      </c>
      <c r="I550" t="s">
        <v>11</v>
      </c>
    </row>
    <row r="551" spans="1:9" x14ac:dyDescent="0.25">
      <c r="A551">
        <v>550</v>
      </c>
      <c r="B551" t="s">
        <v>207</v>
      </c>
      <c r="C551" t="s">
        <v>1124</v>
      </c>
      <c r="D551" t="s">
        <v>209</v>
      </c>
      <c r="F551" s="1">
        <v>30685</v>
      </c>
      <c r="G551" t="s">
        <v>1035</v>
      </c>
      <c r="H551" t="s">
        <v>1036</v>
      </c>
      <c r="I551" t="s">
        <v>11</v>
      </c>
    </row>
    <row r="552" spans="1:9" x14ac:dyDescent="0.25">
      <c r="A552">
        <v>551</v>
      </c>
      <c r="B552" t="s">
        <v>1030</v>
      </c>
      <c r="C552" t="s">
        <v>1125</v>
      </c>
      <c r="D552" t="s">
        <v>601</v>
      </c>
      <c r="F552" s="1">
        <v>35889</v>
      </c>
      <c r="G552" t="s">
        <v>1052</v>
      </c>
      <c r="H552" t="s">
        <v>1036</v>
      </c>
      <c r="I552" t="s">
        <v>11</v>
      </c>
    </row>
    <row r="553" spans="1:9" x14ac:dyDescent="0.25">
      <c r="A553">
        <v>552</v>
      </c>
      <c r="B553" t="s">
        <v>1030</v>
      </c>
      <c r="C553" t="s">
        <v>1126</v>
      </c>
      <c r="D553" t="s">
        <v>601</v>
      </c>
      <c r="F553" s="1">
        <v>38715</v>
      </c>
      <c r="G553" t="s">
        <v>1052</v>
      </c>
      <c r="H553" t="s">
        <v>1036</v>
      </c>
      <c r="I553" t="s">
        <v>11</v>
      </c>
    </row>
    <row r="554" spans="1:9" x14ac:dyDescent="0.25">
      <c r="A554">
        <v>553</v>
      </c>
      <c r="B554" t="s">
        <v>1031</v>
      </c>
      <c r="C554" t="s">
        <v>1127</v>
      </c>
      <c r="D554" t="s">
        <v>86</v>
      </c>
      <c r="F554" s="1">
        <v>39011</v>
      </c>
      <c r="G554" t="s">
        <v>1052</v>
      </c>
      <c r="H554" t="s">
        <v>1036</v>
      </c>
      <c r="I554" t="s">
        <v>11</v>
      </c>
    </row>
    <row r="555" spans="1:9" x14ac:dyDescent="0.25">
      <c r="A555">
        <v>554</v>
      </c>
      <c r="B555" t="s">
        <v>1031</v>
      </c>
      <c r="C555" t="s">
        <v>1128</v>
      </c>
      <c r="D555" t="s">
        <v>86</v>
      </c>
      <c r="F555" s="1">
        <v>39222</v>
      </c>
      <c r="G555" t="s">
        <v>1052</v>
      </c>
      <c r="H555" t="s">
        <v>1036</v>
      </c>
      <c r="I555" t="s">
        <v>11</v>
      </c>
    </row>
    <row r="556" spans="1:9" x14ac:dyDescent="0.25">
      <c r="A556">
        <v>555</v>
      </c>
      <c r="B556" t="s">
        <v>362</v>
      </c>
      <c r="C556" t="s">
        <v>1129</v>
      </c>
      <c r="D556" t="s">
        <v>190</v>
      </c>
      <c r="F556" s="1">
        <v>38588</v>
      </c>
      <c r="G556" t="s">
        <v>1052</v>
      </c>
      <c r="H556" t="s">
        <v>1036</v>
      </c>
      <c r="I556" t="s">
        <v>11</v>
      </c>
    </row>
    <row r="557" spans="1:9" x14ac:dyDescent="0.25">
      <c r="A557">
        <v>556</v>
      </c>
      <c r="B557" t="s">
        <v>362</v>
      </c>
      <c r="C557" t="s">
        <v>1130</v>
      </c>
      <c r="D557" t="s">
        <v>190</v>
      </c>
      <c r="F557" s="1">
        <v>39446</v>
      </c>
      <c r="G557" t="s">
        <v>1052</v>
      </c>
      <c r="H557" t="s">
        <v>1036</v>
      </c>
      <c r="I557" t="s">
        <v>11</v>
      </c>
    </row>
  </sheetData>
  <autoFilter ref="A1:I557"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B6C47-202F-47CF-AB11-F073A9E020B8}">
  <dimension ref="A1:I555"/>
  <sheetViews>
    <sheetView workbookViewId="0">
      <pane ySplit="1" topLeftCell="A2" activePane="bottomLeft" state="frozen"/>
      <selection pane="bottomLeft" activeCell="A2" sqref="A2"/>
    </sheetView>
  </sheetViews>
  <sheetFormatPr defaultRowHeight="15" x14ac:dyDescent="0.25"/>
  <cols>
    <col min="1" max="1" width="11.7109375" bestFit="1" customWidth="1"/>
    <col min="2" max="2" width="14.5703125" bestFit="1" customWidth="1"/>
    <col min="3" max="3" width="18.7109375" bestFit="1" customWidth="1"/>
    <col min="4" max="4" width="14.28515625" bestFit="1" customWidth="1"/>
    <col min="5" max="5" width="3.85546875" bestFit="1" customWidth="1"/>
    <col min="6" max="6" width="10.42578125" style="1" bestFit="1" customWidth="1"/>
    <col min="7" max="7" width="19.7109375" bestFit="1" customWidth="1"/>
    <col min="8" max="8" width="8.5703125" bestFit="1" customWidth="1"/>
    <col min="9" max="9" width="16.5703125" bestFit="1" customWidth="1"/>
  </cols>
  <sheetData>
    <row r="1" spans="1:9" x14ac:dyDescent="0.25">
      <c r="A1" t="s">
        <v>8</v>
      </c>
      <c r="B1" t="s">
        <v>0</v>
      </c>
      <c r="C1" t="s">
        <v>1</v>
      </c>
      <c r="D1" t="s">
        <v>2</v>
      </c>
      <c r="E1" t="s">
        <v>3</v>
      </c>
      <c r="F1" s="1" t="s">
        <v>4</v>
      </c>
      <c r="G1" t="s">
        <v>5</v>
      </c>
      <c r="H1" t="s">
        <v>7</v>
      </c>
      <c r="I1" t="s">
        <v>6</v>
      </c>
    </row>
    <row r="2" spans="1:9" x14ac:dyDescent="0.25">
      <c r="A2">
        <v>1</v>
      </c>
      <c r="B2" t="s">
        <v>175</v>
      </c>
      <c r="C2" t="s">
        <v>176</v>
      </c>
      <c r="D2" t="s">
        <v>177</v>
      </c>
      <c r="F2" s="1">
        <v>31182</v>
      </c>
      <c r="G2" s="2" t="s">
        <v>1035</v>
      </c>
      <c r="H2" s="2" t="s">
        <v>1036</v>
      </c>
      <c r="I2" s="2" t="s">
        <v>11</v>
      </c>
    </row>
    <row r="3" spans="1:9" x14ac:dyDescent="0.25">
      <c r="A3">
        <v>2</v>
      </c>
      <c r="B3" t="s">
        <v>178</v>
      </c>
      <c r="C3" t="s">
        <v>55</v>
      </c>
      <c r="D3" t="s">
        <v>103</v>
      </c>
      <c r="F3" s="1">
        <v>31739</v>
      </c>
      <c r="G3" s="2" t="s">
        <v>1035</v>
      </c>
      <c r="H3" s="2" t="s">
        <v>1036</v>
      </c>
      <c r="I3" s="2" t="s">
        <v>11</v>
      </c>
    </row>
    <row r="4" spans="1:9" x14ac:dyDescent="0.25">
      <c r="A4">
        <v>3</v>
      </c>
      <c r="B4" t="s">
        <v>179</v>
      </c>
      <c r="C4" t="s">
        <v>19</v>
      </c>
      <c r="D4" t="s">
        <v>180</v>
      </c>
      <c r="F4" s="1">
        <v>19474</v>
      </c>
      <c r="G4" s="2" t="s">
        <v>1035</v>
      </c>
      <c r="H4" s="2" t="s">
        <v>1036</v>
      </c>
      <c r="I4" s="2" t="s">
        <v>11</v>
      </c>
    </row>
    <row r="5" spans="1:9" x14ac:dyDescent="0.25">
      <c r="A5">
        <v>4</v>
      </c>
      <c r="B5" t="s">
        <v>181</v>
      </c>
      <c r="C5" t="s">
        <v>47</v>
      </c>
      <c r="D5" t="s">
        <v>182</v>
      </c>
      <c r="F5" s="1">
        <v>32533</v>
      </c>
      <c r="G5" s="2" t="s">
        <v>1035</v>
      </c>
      <c r="H5" s="2" t="s">
        <v>1036</v>
      </c>
      <c r="I5" s="2" t="s">
        <v>11</v>
      </c>
    </row>
    <row r="6" spans="1:9" x14ac:dyDescent="0.25">
      <c r="A6">
        <v>5</v>
      </c>
      <c r="B6" t="s">
        <v>183</v>
      </c>
      <c r="C6" t="s">
        <v>184</v>
      </c>
      <c r="D6" t="s">
        <v>185</v>
      </c>
      <c r="F6" s="1">
        <v>21516</v>
      </c>
      <c r="G6" s="2" t="s">
        <v>1035</v>
      </c>
      <c r="H6" s="2" t="s">
        <v>1036</v>
      </c>
      <c r="I6" s="2" t="s">
        <v>11</v>
      </c>
    </row>
    <row r="7" spans="1:9" x14ac:dyDescent="0.25">
      <c r="A7">
        <v>6</v>
      </c>
      <c r="B7" t="s">
        <v>186</v>
      </c>
      <c r="C7" t="s">
        <v>187</v>
      </c>
      <c r="D7" t="s">
        <v>121</v>
      </c>
      <c r="F7" s="1">
        <v>25475</v>
      </c>
      <c r="G7" s="2" t="s">
        <v>1035</v>
      </c>
      <c r="H7" s="2" t="s">
        <v>1036</v>
      </c>
      <c r="I7" s="2" t="s">
        <v>11</v>
      </c>
    </row>
    <row r="8" spans="1:9" x14ac:dyDescent="0.25">
      <c r="A8">
        <v>7</v>
      </c>
      <c r="B8" t="s">
        <v>188</v>
      </c>
      <c r="C8" t="s">
        <v>189</v>
      </c>
      <c r="D8" t="s">
        <v>190</v>
      </c>
      <c r="F8" s="1">
        <v>37688</v>
      </c>
      <c r="G8" s="2" t="s">
        <v>1035</v>
      </c>
      <c r="H8" s="2" t="s">
        <v>1036</v>
      </c>
      <c r="I8" s="2" t="s">
        <v>11</v>
      </c>
    </row>
    <row r="9" spans="1:9" x14ac:dyDescent="0.25">
      <c r="A9">
        <v>8</v>
      </c>
      <c r="B9" t="s">
        <v>121</v>
      </c>
      <c r="C9" t="s">
        <v>165</v>
      </c>
      <c r="D9" t="s">
        <v>191</v>
      </c>
      <c r="F9" s="1">
        <v>27311</v>
      </c>
      <c r="G9" s="2" t="s">
        <v>1035</v>
      </c>
      <c r="H9" s="2" t="s">
        <v>1036</v>
      </c>
      <c r="I9" s="2" t="s">
        <v>11</v>
      </c>
    </row>
    <row r="10" spans="1:9" x14ac:dyDescent="0.25">
      <c r="A10">
        <v>9</v>
      </c>
      <c r="B10" t="s">
        <v>192</v>
      </c>
      <c r="C10" t="s">
        <v>193</v>
      </c>
      <c r="D10" t="s">
        <v>194</v>
      </c>
      <c r="F10" s="1">
        <v>29324</v>
      </c>
      <c r="G10" s="2" t="s">
        <v>1035</v>
      </c>
      <c r="H10" s="2" t="s">
        <v>1036</v>
      </c>
      <c r="I10" s="2" t="s">
        <v>11</v>
      </c>
    </row>
    <row r="11" spans="1:9" x14ac:dyDescent="0.25">
      <c r="A11">
        <v>10</v>
      </c>
      <c r="B11" t="s">
        <v>192</v>
      </c>
      <c r="C11" t="s">
        <v>123</v>
      </c>
      <c r="D11" t="s">
        <v>195</v>
      </c>
      <c r="F11" s="1">
        <v>27514</v>
      </c>
      <c r="G11" s="2" t="s">
        <v>1035</v>
      </c>
      <c r="H11" s="2" t="s">
        <v>1036</v>
      </c>
      <c r="I11" s="2" t="s">
        <v>11</v>
      </c>
    </row>
    <row r="12" spans="1:9" x14ac:dyDescent="0.25">
      <c r="A12">
        <v>11</v>
      </c>
      <c r="B12" t="s">
        <v>126</v>
      </c>
      <c r="C12" t="s">
        <v>196</v>
      </c>
      <c r="D12" t="s">
        <v>197</v>
      </c>
      <c r="E12" t="s">
        <v>22</v>
      </c>
      <c r="F12" s="1">
        <v>24992</v>
      </c>
      <c r="G12" s="2" t="s">
        <v>1035</v>
      </c>
      <c r="H12" s="2" t="s">
        <v>1036</v>
      </c>
      <c r="I12" s="2" t="s">
        <v>11</v>
      </c>
    </row>
    <row r="13" spans="1:9" x14ac:dyDescent="0.25">
      <c r="A13">
        <v>12</v>
      </c>
      <c r="B13" t="s">
        <v>122</v>
      </c>
      <c r="C13" t="s">
        <v>19</v>
      </c>
      <c r="D13" t="s">
        <v>198</v>
      </c>
      <c r="E13" t="s">
        <v>106</v>
      </c>
      <c r="F13" s="1">
        <v>24053</v>
      </c>
      <c r="G13" s="2" t="s">
        <v>1035</v>
      </c>
      <c r="H13" s="2" t="s">
        <v>1036</v>
      </c>
      <c r="I13" s="2" t="s">
        <v>11</v>
      </c>
    </row>
    <row r="14" spans="1:9" x14ac:dyDescent="0.25">
      <c r="A14">
        <v>13</v>
      </c>
      <c r="B14" t="s">
        <v>122</v>
      </c>
      <c r="C14" t="s">
        <v>199</v>
      </c>
      <c r="D14" t="s">
        <v>121</v>
      </c>
      <c r="F14" s="1">
        <v>16212</v>
      </c>
      <c r="G14" s="2" t="s">
        <v>1035</v>
      </c>
      <c r="H14" s="2" t="s">
        <v>1036</v>
      </c>
      <c r="I14" s="2" t="s">
        <v>11</v>
      </c>
    </row>
    <row r="15" spans="1:9" x14ac:dyDescent="0.25">
      <c r="A15">
        <v>14</v>
      </c>
      <c r="B15" t="s">
        <v>200</v>
      </c>
      <c r="C15" t="s">
        <v>201</v>
      </c>
      <c r="D15" t="s">
        <v>202</v>
      </c>
      <c r="F15" s="1">
        <v>26970</v>
      </c>
      <c r="G15" s="2" t="s">
        <v>1035</v>
      </c>
      <c r="H15" s="2" t="s">
        <v>1036</v>
      </c>
      <c r="I15" s="2" t="s">
        <v>11</v>
      </c>
    </row>
    <row r="16" spans="1:9" x14ac:dyDescent="0.25">
      <c r="A16">
        <v>15</v>
      </c>
      <c r="B16" t="s">
        <v>203</v>
      </c>
      <c r="C16" t="s">
        <v>204</v>
      </c>
      <c r="D16" t="s">
        <v>202</v>
      </c>
      <c r="F16" s="1">
        <v>36453</v>
      </c>
      <c r="G16" s="2" t="s">
        <v>1035</v>
      </c>
      <c r="H16" s="2" t="s">
        <v>1036</v>
      </c>
      <c r="I16" s="2" t="s">
        <v>11</v>
      </c>
    </row>
    <row r="17" spans="1:9" x14ac:dyDescent="0.25">
      <c r="A17">
        <v>16</v>
      </c>
      <c r="B17" t="s">
        <v>205</v>
      </c>
      <c r="C17" t="s">
        <v>142</v>
      </c>
      <c r="D17" t="s">
        <v>206</v>
      </c>
      <c r="F17" s="1">
        <v>25241</v>
      </c>
      <c r="G17" s="2" t="s">
        <v>1035</v>
      </c>
      <c r="H17" s="2" t="s">
        <v>1036</v>
      </c>
      <c r="I17" s="2" t="s">
        <v>11</v>
      </c>
    </row>
    <row r="18" spans="1:9" x14ac:dyDescent="0.25">
      <c r="A18">
        <v>17</v>
      </c>
      <c r="B18" t="s">
        <v>207</v>
      </c>
      <c r="C18" t="s">
        <v>208</v>
      </c>
      <c r="D18" t="s">
        <v>209</v>
      </c>
      <c r="F18" s="1">
        <v>30338</v>
      </c>
      <c r="G18" s="2" t="s">
        <v>1035</v>
      </c>
      <c r="H18" s="2" t="s">
        <v>1036</v>
      </c>
      <c r="I18" s="2" t="s">
        <v>11</v>
      </c>
    </row>
    <row r="19" spans="1:9" x14ac:dyDescent="0.25">
      <c r="A19">
        <v>18</v>
      </c>
      <c r="B19" t="s">
        <v>210</v>
      </c>
      <c r="C19" t="s">
        <v>211</v>
      </c>
      <c r="D19" t="s">
        <v>212</v>
      </c>
      <c r="F19" s="1">
        <v>31438</v>
      </c>
      <c r="G19" s="2" t="s">
        <v>1035</v>
      </c>
      <c r="H19" s="2" t="s">
        <v>1036</v>
      </c>
      <c r="I19" s="2" t="s">
        <v>11</v>
      </c>
    </row>
    <row r="20" spans="1:9" x14ac:dyDescent="0.25">
      <c r="A20">
        <v>19</v>
      </c>
      <c r="B20" t="s">
        <v>213</v>
      </c>
      <c r="C20" t="s">
        <v>214</v>
      </c>
      <c r="D20" t="s">
        <v>215</v>
      </c>
      <c r="F20" s="1">
        <v>28072</v>
      </c>
      <c r="G20" s="2" t="s">
        <v>1035</v>
      </c>
      <c r="H20" s="2" t="s">
        <v>1036</v>
      </c>
      <c r="I20" s="2" t="s">
        <v>11</v>
      </c>
    </row>
    <row r="21" spans="1:9" x14ac:dyDescent="0.25">
      <c r="A21">
        <v>20</v>
      </c>
      <c r="B21" t="s">
        <v>216</v>
      </c>
      <c r="C21" t="s">
        <v>146</v>
      </c>
      <c r="D21" t="s">
        <v>164</v>
      </c>
      <c r="F21" s="1">
        <v>29981</v>
      </c>
      <c r="G21" s="2" t="s">
        <v>1035</v>
      </c>
      <c r="H21" s="2" t="s">
        <v>1036</v>
      </c>
      <c r="I21" s="2" t="s">
        <v>11</v>
      </c>
    </row>
    <row r="22" spans="1:9" x14ac:dyDescent="0.25">
      <c r="A22">
        <v>21</v>
      </c>
      <c r="B22" t="s">
        <v>99</v>
      </c>
      <c r="C22" t="s">
        <v>217</v>
      </c>
      <c r="D22" t="s">
        <v>218</v>
      </c>
      <c r="F22" s="1">
        <v>29944</v>
      </c>
      <c r="G22" s="2" t="s">
        <v>1035</v>
      </c>
      <c r="H22" s="2" t="s">
        <v>1036</v>
      </c>
      <c r="I22" s="2" t="s">
        <v>11</v>
      </c>
    </row>
    <row r="23" spans="1:9" x14ac:dyDescent="0.25">
      <c r="A23">
        <v>22</v>
      </c>
      <c r="B23" t="s">
        <v>219</v>
      </c>
      <c r="C23" t="s">
        <v>220</v>
      </c>
      <c r="D23" t="s">
        <v>221</v>
      </c>
      <c r="F23" s="1">
        <v>29445</v>
      </c>
      <c r="G23" s="2" t="s">
        <v>1037</v>
      </c>
      <c r="H23" s="2" t="s">
        <v>1036</v>
      </c>
      <c r="I23" s="2" t="s">
        <v>11</v>
      </c>
    </row>
    <row r="24" spans="1:9" x14ac:dyDescent="0.25">
      <c r="A24">
        <v>23</v>
      </c>
      <c r="B24" t="s">
        <v>222</v>
      </c>
      <c r="C24" t="s">
        <v>223</v>
      </c>
      <c r="D24" t="s">
        <v>224</v>
      </c>
      <c r="E24" t="s">
        <v>22</v>
      </c>
      <c r="F24" s="1">
        <v>27623</v>
      </c>
      <c r="G24" s="2" t="s">
        <v>1037</v>
      </c>
      <c r="H24" s="2" t="s">
        <v>1036</v>
      </c>
      <c r="I24" s="2" t="s">
        <v>11</v>
      </c>
    </row>
    <row r="25" spans="1:9" x14ac:dyDescent="0.25">
      <c r="A25">
        <v>24</v>
      </c>
      <c r="B25" t="s">
        <v>225</v>
      </c>
      <c r="C25" t="s">
        <v>226</v>
      </c>
      <c r="D25" t="s">
        <v>219</v>
      </c>
      <c r="F25" s="1">
        <v>23055</v>
      </c>
      <c r="G25" s="2" t="s">
        <v>1037</v>
      </c>
      <c r="H25" s="2" t="s">
        <v>1036</v>
      </c>
      <c r="I25" s="2" t="s">
        <v>11</v>
      </c>
    </row>
    <row r="26" spans="1:9" x14ac:dyDescent="0.25">
      <c r="A26">
        <v>25</v>
      </c>
      <c r="B26" t="s">
        <v>227</v>
      </c>
      <c r="C26" t="s">
        <v>47</v>
      </c>
      <c r="D26" t="s">
        <v>228</v>
      </c>
      <c r="F26" s="1">
        <v>25633</v>
      </c>
      <c r="G26" s="2" t="s">
        <v>1037</v>
      </c>
      <c r="H26" s="2" t="s">
        <v>1036</v>
      </c>
      <c r="I26" s="2" t="s">
        <v>11</v>
      </c>
    </row>
    <row r="27" spans="1:9" x14ac:dyDescent="0.25">
      <c r="A27">
        <v>26</v>
      </c>
      <c r="B27" t="s">
        <v>229</v>
      </c>
      <c r="C27" t="s">
        <v>230</v>
      </c>
      <c r="D27" t="s">
        <v>162</v>
      </c>
      <c r="F27" s="1">
        <v>33696</v>
      </c>
      <c r="G27" s="2" t="s">
        <v>1037</v>
      </c>
      <c r="H27" s="2" t="s">
        <v>1036</v>
      </c>
      <c r="I27" s="2" t="s">
        <v>11</v>
      </c>
    </row>
    <row r="28" spans="1:9" x14ac:dyDescent="0.25">
      <c r="A28">
        <v>27</v>
      </c>
      <c r="B28" t="s">
        <v>178</v>
      </c>
      <c r="C28" t="s">
        <v>231</v>
      </c>
      <c r="D28" t="s">
        <v>232</v>
      </c>
      <c r="F28" s="1">
        <v>30731</v>
      </c>
      <c r="G28" s="2" t="s">
        <v>1037</v>
      </c>
      <c r="H28" s="2" t="s">
        <v>1036</v>
      </c>
      <c r="I28" s="2" t="s">
        <v>11</v>
      </c>
    </row>
    <row r="29" spans="1:9" x14ac:dyDescent="0.25">
      <c r="A29">
        <v>28</v>
      </c>
      <c r="B29" t="s">
        <v>233</v>
      </c>
      <c r="C29" t="s">
        <v>116</v>
      </c>
      <c r="D29" t="s">
        <v>144</v>
      </c>
      <c r="F29" s="1">
        <v>18736</v>
      </c>
      <c r="G29" s="2" t="s">
        <v>1037</v>
      </c>
      <c r="H29" s="2" t="s">
        <v>1036</v>
      </c>
      <c r="I29" s="2" t="s">
        <v>11</v>
      </c>
    </row>
    <row r="30" spans="1:9" x14ac:dyDescent="0.25">
      <c r="A30">
        <v>29</v>
      </c>
      <c r="B30" t="s">
        <v>234</v>
      </c>
      <c r="C30" t="s">
        <v>235</v>
      </c>
      <c r="D30" t="s">
        <v>124</v>
      </c>
      <c r="F30" s="1">
        <v>27211</v>
      </c>
      <c r="G30" s="2" t="s">
        <v>1037</v>
      </c>
      <c r="H30" s="2" t="s">
        <v>1036</v>
      </c>
      <c r="I30" s="2" t="s">
        <v>11</v>
      </c>
    </row>
    <row r="31" spans="1:9" x14ac:dyDescent="0.25">
      <c r="A31">
        <v>30</v>
      </c>
      <c r="B31" t="s">
        <v>236</v>
      </c>
      <c r="C31" t="s">
        <v>237</v>
      </c>
      <c r="D31" t="s">
        <v>238</v>
      </c>
      <c r="F31" s="1">
        <v>32478</v>
      </c>
      <c r="G31" s="2" t="s">
        <v>1037</v>
      </c>
      <c r="H31" s="2" t="s">
        <v>1036</v>
      </c>
      <c r="I31" s="2" t="s">
        <v>11</v>
      </c>
    </row>
    <row r="32" spans="1:9" x14ac:dyDescent="0.25">
      <c r="A32">
        <v>31</v>
      </c>
      <c r="B32" t="s">
        <v>239</v>
      </c>
      <c r="C32" t="s">
        <v>240</v>
      </c>
      <c r="D32" t="s">
        <v>241</v>
      </c>
      <c r="F32" s="1">
        <v>21962</v>
      </c>
      <c r="G32" s="2" t="s">
        <v>1037</v>
      </c>
      <c r="H32" s="2" t="s">
        <v>1036</v>
      </c>
      <c r="I32" s="2" t="s">
        <v>11</v>
      </c>
    </row>
    <row r="33" spans="1:9" x14ac:dyDescent="0.25">
      <c r="A33">
        <v>32</v>
      </c>
      <c r="B33" t="s">
        <v>242</v>
      </c>
      <c r="C33" t="s">
        <v>243</v>
      </c>
      <c r="D33" t="s">
        <v>81</v>
      </c>
      <c r="F33" s="1">
        <v>33658</v>
      </c>
      <c r="G33" s="2" t="s">
        <v>1037</v>
      </c>
      <c r="H33" s="2" t="s">
        <v>1036</v>
      </c>
      <c r="I33" s="2" t="s">
        <v>11</v>
      </c>
    </row>
    <row r="34" spans="1:9" x14ac:dyDescent="0.25">
      <c r="A34">
        <v>33</v>
      </c>
      <c r="B34" t="s">
        <v>244</v>
      </c>
      <c r="C34" t="s">
        <v>245</v>
      </c>
      <c r="D34" t="s">
        <v>246</v>
      </c>
      <c r="F34" s="1">
        <v>17090</v>
      </c>
      <c r="G34" s="2" t="s">
        <v>1037</v>
      </c>
      <c r="H34" s="2" t="s">
        <v>1036</v>
      </c>
      <c r="I34" s="2" t="s">
        <v>11</v>
      </c>
    </row>
    <row r="35" spans="1:9" x14ac:dyDescent="0.25">
      <c r="A35">
        <v>34</v>
      </c>
      <c r="B35" t="s">
        <v>37</v>
      </c>
      <c r="C35" t="s">
        <v>247</v>
      </c>
      <c r="D35" t="s">
        <v>118</v>
      </c>
      <c r="F35" s="1">
        <v>30385</v>
      </c>
      <c r="G35" s="2" t="s">
        <v>1037</v>
      </c>
      <c r="H35" s="2" t="s">
        <v>1036</v>
      </c>
      <c r="I35" s="2" t="s">
        <v>11</v>
      </c>
    </row>
    <row r="36" spans="1:9" x14ac:dyDescent="0.25">
      <c r="A36">
        <v>35</v>
      </c>
      <c r="B36" t="s">
        <v>248</v>
      </c>
      <c r="C36" t="s">
        <v>56</v>
      </c>
      <c r="D36" t="s">
        <v>249</v>
      </c>
      <c r="F36" s="1" t="s">
        <v>1140</v>
      </c>
      <c r="G36" s="2" t="s">
        <v>1037</v>
      </c>
      <c r="H36" s="2" t="s">
        <v>1036</v>
      </c>
      <c r="I36" s="2" t="s">
        <v>11</v>
      </c>
    </row>
    <row r="37" spans="1:9" x14ac:dyDescent="0.25">
      <c r="A37">
        <v>36</v>
      </c>
      <c r="B37" t="s">
        <v>250</v>
      </c>
      <c r="C37" t="s">
        <v>251</v>
      </c>
      <c r="D37" t="s">
        <v>252</v>
      </c>
      <c r="F37" s="1">
        <v>25280</v>
      </c>
      <c r="G37" s="2" t="s">
        <v>1037</v>
      </c>
      <c r="H37" s="2" t="s">
        <v>1036</v>
      </c>
      <c r="I37" s="2" t="s">
        <v>11</v>
      </c>
    </row>
    <row r="38" spans="1:9" x14ac:dyDescent="0.25">
      <c r="A38">
        <v>37</v>
      </c>
      <c r="B38" t="s">
        <v>253</v>
      </c>
      <c r="C38" t="s">
        <v>254</v>
      </c>
      <c r="D38" t="s">
        <v>255</v>
      </c>
      <c r="F38" s="1">
        <v>38983</v>
      </c>
      <c r="G38" s="2" t="s">
        <v>1037</v>
      </c>
      <c r="H38" s="2" t="s">
        <v>1036</v>
      </c>
      <c r="I38" s="2" t="s">
        <v>11</v>
      </c>
    </row>
    <row r="39" spans="1:9" x14ac:dyDescent="0.25">
      <c r="A39">
        <v>38</v>
      </c>
      <c r="B39" t="s">
        <v>209</v>
      </c>
      <c r="C39" t="s">
        <v>148</v>
      </c>
      <c r="D39" t="s">
        <v>256</v>
      </c>
      <c r="F39" s="1">
        <v>31368</v>
      </c>
      <c r="G39" s="2" t="s">
        <v>1037</v>
      </c>
      <c r="H39" s="2" t="s">
        <v>1036</v>
      </c>
      <c r="I39" s="2" t="s">
        <v>11</v>
      </c>
    </row>
    <row r="40" spans="1:9" x14ac:dyDescent="0.25">
      <c r="A40">
        <v>39</v>
      </c>
      <c r="B40" t="s">
        <v>257</v>
      </c>
      <c r="C40" t="s">
        <v>258</v>
      </c>
      <c r="D40" t="s">
        <v>259</v>
      </c>
      <c r="F40" s="1">
        <v>23568</v>
      </c>
      <c r="G40" s="2" t="s">
        <v>1037</v>
      </c>
      <c r="H40" s="2" t="s">
        <v>1036</v>
      </c>
      <c r="I40" s="2" t="s">
        <v>11</v>
      </c>
    </row>
    <row r="41" spans="1:9" x14ac:dyDescent="0.25">
      <c r="A41">
        <v>40</v>
      </c>
      <c r="B41" t="s">
        <v>180</v>
      </c>
      <c r="C41" t="s">
        <v>50</v>
      </c>
      <c r="D41" t="s">
        <v>260</v>
      </c>
      <c r="F41" s="1">
        <v>30697</v>
      </c>
      <c r="G41" s="2" t="s">
        <v>1037</v>
      </c>
      <c r="H41" s="2" t="s">
        <v>1036</v>
      </c>
      <c r="I41" s="2" t="s">
        <v>11</v>
      </c>
    </row>
    <row r="42" spans="1:9" x14ac:dyDescent="0.25">
      <c r="A42">
        <v>41</v>
      </c>
      <c r="B42" t="s">
        <v>261</v>
      </c>
      <c r="C42" t="s">
        <v>262</v>
      </c>
      <c r="D42" t="s">
        <v>263</v>
      </c>
      <c r="F42" s="1">
        <v>29421</v>
      </c>
      <c r="G42" s="2" t="s">
        <v>1037</v>
      </c>
      <c r="H42" s="2" t="s">
        <v>1036</v>
      </c>
      <c r="I42" s="2" t="s">
        <v>11</v>
      </c>
    </row>
    <row r="43" spans="1:9" x14ac:dyDescent="0.25">
      <c r="A43">
        <v>42</v>
      </c>
      <c r="B43" t="s">
        <v>264</v>
      </c>
      <c r="C43" t="s">
        <v>265</v>
      </c>
      <c r="D43" t="s">
        <v>266</v>
      </c>
      <c r="F43" s="1">
        <v>32762</v>
      </c>
      <c r="G43" s="2" t="s">
        <v>1037</v>
      </c>
      <c r="H43" s="2" t="s">
        <v>1036</v>
      </c>
      <c r="I43" s="2" t="s">
        <v>11</v>
      </c>
    </row>
    <row r="44" spans="1:9" x14ac:dyDescent="0.25">
      <c r="A44">
        <v>43</v>
      </c>
      <c r="B44" t="s">
        <v>267</v>
      </c>
      <c r="C44" t="s">
        <v>268</v>
      </c>
      <c r="D44" t="s">
        <v>269</v>
      </c>
      <c r="F44" s="1">
        <v>21799</v>
      </c>
      <c r="G44" s="2" t="s">
        <v>1037</v>
      </c>
      <c r="H44" s="2" t="s">
        <v>1036</v>
      </c>
      <c r="I44" s="2" t="s">
        <v>11</v>
      </c>
    </row>
    <row r="45" spans="1:9" x14ac:dyDescent="0.25">
      <c r="A45">
        <v>44</v>
      </c>
      <c r="B45" t="s">
        <v>64</v>
      </c>
      <c r="C45" t="s">
        <v>270</v>
      </c>
      <c r="D45" t="s">
        <v>271</v>
      </c>
      <c r="F45" s="1">
        <v>27611</v>
      </c>
      <c r="G45" s="2" t="s">
        <v>1037</v>
      </c>
      <c r="H45" s="2" t="s">
        <v>1036</v>
      </c>
      <c r="I45" s="2" t="s">
        <v>11</v>
      </c>
    </row>
    <row r="46" spans="1:9" x14ac:dyDescent="0.25">
      <c r="A46">
        <v>45</v>
      </c>
      <c r="B46" t="s">
        <v>272</v>
      </c>
      <c r="C46" t="s">
        <v>273</v>
      </c>
      <c r="D46" t="s">
        <v>117</v>
      </c>
      <c r="F46" s="1">
        <v>30153</v>
      </c>
      <c r="G46" s="2" t="s">
        <v>1037</v>
      </c>
      <c r="H46" s="2" t="s">
        <v>1036</v>
      </c>
      <c r="I46" s="2" t="s">
        <v>11</v>
      </c>
    </row>
    <row r="47" spans="1:9" x14ac:dyDescent="0.25">
      <c r="A47">
        <v>46</v>
      </c>
      <c r="B47" t="s">
        <v>53</v>
      </c>
      <c r="C47" t="s">
        <v>274</v>
      </c>
      <c r="D47" t="s">
        <v>275</v>
      </c>
      <c r="F47" s="1">
        <v>28487</v>
      </c>
      <c r="G47" s="2" t="s">
        <v>1037</v>
      </c>
      <c r="H47" s="2" t="s">
        <v>1036</v>
      </c>
      <c r="I47" s="2" t="s">
        <v>11</v>
      </c>
    </row>
    <row r="48" spans="1:9" x14ac:dyDescent="0.25">
      <c r="A48">
        <v>47</v>
      </c>
      <c r="B48" t="s">
        <v>117</v>
      </c>
      <c r="C48" t="s">
        <v>276</v>
      </c>
      <c r="D48" t="s">
        <v>277</v>
      </c>
      <c r="F48" s="1">
        <v>18056</v>
      </c>
      <c r="G48" s="2" t="s">
        <v>1037</v>
      </c>
      <c r="H48" s="2" t="s">
        <v>1036</v>
      </c>
      <c r="I48" s="2" t="s">
        <v>11</v>
      </c>
    </row>
    <row r="49" spans="1:9" x14ac:dyDescent="0.25">
      <c r="A49">
        <v>48</v>
      </c>
      <c r="B49" t="s">
        <v>278</v>
      </c>
      <c r="C49" t="s">
        <v>279</v>
      </c>
      <c r="D49" t="s">
        <v>280</v>
      </c>
      <c r="F49" s="1">
        <v>24934</v>
      </c>
      <c r="G49" s="2" t="s">
        <v>1037</v>
      </c>
      <c r="H49" s="2" t="s">
        <v>1036</v>
      </c>
      <c r="I49" s="2" t="s">
        <v>11</v>
      </c>
    </row>
    <row r="50" spans="1:9" x14ac:dyDescent="0.25">
      <c r="A50">
        <v>49</v>
      </c>
      <c r="B50" t="s">
        <v>162</v>
      </c>
      <c r="C50" t="s">
        <v>281</v>
      </c>
      <c r="D50" t="s">
        <v>78</v>
      </c>
      <c r="F50" s="1">
        <v>34206</v>
      </c>
      <c r="G50" s="2" t="s">
        <v>1037</v>
      </c>
      <c r="H50" s="2" t="s">
        <v>1036</v>
      </c>
      <c r="I50" s="2" t="s">
        <v>11</v>
      </c>
    </row>
    <row r="51" spans="1:9" x14ac:dyDescent="0.25">
      <c r="A51">
        <v>50</v>
      </c>
      <c r="B51" t="s">
        <v>29</v>
      </c>
      <c r="C51" t="s">
        <v>282</v>
      </c>
      <c r="D51" t="s">
        <v>283</v>
      </c>
      <c r="F51" s="1">
        <v>33268</v>
      </c>
      <c r="G51" s="2" t="s">
        <v>1037</v>
      </c>
      <c r="H51" s="2" t="s">
        <v>1036</v>
      </c>
      <c r="I51" s="2" t="s">
        <v>11</v>
      </c>
    </row>
    <row r="52" spans="1:9" x14ac:dyDescent="0.25">
      <c r="A52">
        <v>51</v>
      </c>
      <c r="B52" t="s">
        <v>284</v>
      </c>
      <c r="C52" t="s">
        <v>34</v>
      </c>
      <c r="D52" t="s">
        <v>285</v>
      </c>
      <c r="F52" s="1">
        <v>35058</v>
      </c>
      <c r="G52" s="2" t="s">
        <v>1037</v>
      </c>
      <c r="H52" s="2" t="s">
        <v>1036</v>
      </c>
      <c r="I52" s="2" t="s">
        <v>11</v>
      </c>
    </row>
    <row r="53" spans="1:9" x14ac:dyDescent="0.25">
      <c r="A53">
        <v>52</v>
      </c>
      <c r="B53" t="s">
        <v>286</v>
      </c>
      <c r="C53" t="s">
        <v>287</v>
      </c>
      <c r="D53" t="s">
        <v>242</v>
      </c>
      <c r="E53" t="s">
        <v>106</v>
      </c>
      <c r="F53" s="1">
        <v>30184</v>
      </c>
      <c r="G53" s="2" t="s">
        <v>1037</v>
      </c>
      <c r="H53" s="2" t="s">
        <v>1036</v>
      </c>
      <c r="I53" s="2" t="s">
        <v>11</v>
      </c>
    </row>
    <row r="54" spans="1:9" x14ac:dyDescent="0.25">
      <c r="A54">
        <v>53</v>
      </c>
      <c r="B54" t="s">
        <v>288</v>
      </c>
      <c r="C54" t="s">
        <v>24</v>
      </c>
      <c r="D54" t="s">
        <v>234</v>
      </c>
      <c r="F54" s="1">
        <v>32166</v>
      </c>
      <c r="G54" s="2" t="s">
        <v>1037</v>
      </c>
      <c r="H54" s="2" t="s">
        <v>1036</v>
      </c>
      <c r="I54" s="2" t="s">
        <v>11</v>
      </c>
    </row>
    <row r="55" spans="1:9" x14ac:dyDescent="0.25">
      <c r="A55">
        <v>54</v>
      </c>
      <c r="B55" t="s">
        <v>17</v>
      </c>
      <c r="C55" t="s">
        <v>289</v>
      </c>
      <c r="D55" t="s">
        <v>102</v>
      </c>
      <c r="F55" s="1">
        <v>35073</v>
      </c>
      <c r="G55" s="2" t="s">
        <v>1037</v>
      </c>
      <c r="H55" s="2" t="s">
        <v>1036</v>
      </c>
      <c r="I55" s="2" t="s">
        <v>11</v>
      </c>
    </row>
    <row r="56" spans="1:9" x14ac:dyDescent="0.25">
      <c r="A56">
        <v>55</v>
      </c>
      <c r="B56" t="s">
        <v>290</v>
      </c>
      <c r="C56" t="s">
        <v>291</v>
      </c>
      <c r="D56" t="s">
        <v>292</v>
      </c>
      <c r="F56" s="1">
        <v>29038</v>
      </c>
      <c r="G56" s="2" t="s">
        <v>1037</v>
      </c>
      <c r="H56" s="2" t="s">
        <v>1036</v>
      </c>
      <c r="I56" s="2" t="s">
        <v>11</v>
      </c>
    </row>
    <row r="57" spans="1:9" x14ac:dyDescent="0.25">
      <c r="A57">
        <v>56</v>
      </c>
      <c r="B57" t="s">
        <v>293</v>
      </c>
      <c r="C57" t="s">
        <v>96</v>
      </c>
      <c r="D57" t="s">
        <v>294</v>
      </c>
      <c r="F57" s="1">
        <v>29402</v>
      </c>
      <c r="G57" s="2" t="s">
        <v>1037</v>
      </c>
      <c r="H57" s="2" t="s">
        <v>1036</v>
      </c>
      <c r="I57" s="2" t="s">
        <v>11</v>
      </c>
    </row>
    <row r="58" spans="1:9" x14ac:dyDescent="0.25">
      <c r="A58">
        <v>57</v>
      </c>
      <c r="B58" t="s">
        <v>295</v>
      </c>
      <c r="C58" t="s">
        <v>116</v>
      </c>
      <c r="D58" t="s">
        <v>296</v>
      </c>
      <c r="F58" s="1">
        <v>33143</v>
      </c>
      <c r="G58" s="2" t="s">
        <v>1037</v>
      </c>
      <c r="H58" s="2" t="s">
        <v>1036</v>
      </c>
      <c r="I58" s="2" t="s">
        <v>11</v>
      </c>
    </row>
    <row r="59" spans="1:9" x14ac:dyDescent="0.25">
      <c r="A59">
        <v>58</v>
      </c>
      <c r="B59" t="s">
        <v>297</v>
      </c>
      <c r="C59" t="s">
        <v>131</v>
      </c>
      <c r="D59" t="s">
        <v>298</v>
      </c>
      <c r="F59" s="1">
        <v>26193</v>
      </c>
      <c r="G59" s="2" t="s">
        <v>1037</v>
      </c>
      <c r="H59" s="2" t="s">
        <v>1036</v>
      </c>
      <c r="I59" s="2" t="s">
        <v>11</v>
      </c>
    </row>
    <row r="60" spans="1:9" x14ac:dyDescent="0.25">
      <c r="A60">
        <v>59</v>
      </c>
      <c r="B60" t="s">
        <v>299</v>
      </c>
      <c r="C60" t="s">
        <v>300</v>
      </c>
      <c r="D60" t="s">
        <v>219</v>
      </c>
      <c r="E60" t="s">
        <v>22</v>
      </c>
      <c r="F60" s="1">
        <v>30027</v>
      </c>
      <c r="G60" s="2" t="s">
        <v>1037</v>
      </c>
      <c r="H60" s="2" t="s">
        <v>1036</v>
      </c>
      <c r="I60" s="2" t="s">
        <v>11</v>
      </c>
    </row>
    <row r="61" spans="1:9" x14ac:dyDescent="0.25">
      <c r="A61">
        <v>60</v>
      </c>
      <c r="B61" t="s">
        <v>97</v>
      </c>
      <c r="C61" t="s">
        <v>301</v>
      </c>
      <c r="D61" t="s">
        <v>302</v>
      </c>
      <c r="F61" s="1">
        <v>29377</v>
      </c>
      <c r="G61" s="2" t="s">
        <v>1037</v>
      </c>
      <c r="H61" s="2" t="s">
        <v>1036</v>
      </c>
      <c r="I61" s="2" t="s">
        <v>11</v>
      </c>
    </row>
    <row r="62" spans="1:9" x14ac:dyDescent="0.25">
      <c r="A62">
        <v>61</v>
      </c>
      <c r="B62" t="s">
        <v>97</v>
      </c>
      <c r="C62" t="s">
        <v>170</v>
      </c>
      <c r="D62" t="s">
        <v>302</v>
      </c>
      <c r="F62" s="1">
        <v>35889</v>
      </c>
      <c r="G62" s="2" t="s">
        <v>1037</v>
      </c>
      <c r="H62" s="2" t="s">
        <v>1036</v>
      </c>
      <c r="I62" s="2" t="s">
        <v>11</v>
      </c>
    </row>
    <row r="63" spans="1:9" x14ac:dyDescent="0.25">
      <c r="A63">
        <v>62</v>
      </c>
      <c r="B63" t="s">
        <v>38</v>
      </c>
      <c r="C63" t="s">
        <v>127</v>
      </c>
      <c r="D63" t="s">
        <v>303</v>
      </c>
      <c r="F63" s="1">
        <v>30118</v>
      </c>
      <c r="G63" s="2" t="s">
        <v>1037</v>
      </c>
      <c r="H63" s="2" t="s">
        <v>1036</v>
      </c>
      <c r="I63" s="2" t="s">
        <v>11</v>
      </c>
    </row>
    <row r="64" spans="1:9" x14ac:dyDescent="0.25">
      <c r="A64">
        <v>63</v>
      </c>
      <c r="B64" t="s">
        <v>304</v>
      </c>
      <c r="C64" t="s">
        <v>305</v>
      </c>
      <c r="D64" t="s">
        <v>306</v>
      </c>
      <c r="F64" s="1">
        <v>29580</v>
      </c>
      <c r="G64" s="2" t="s">
        <v>1037</v>
      </c>
      <c r="H64" s="2" t="s">
        <v>1036</v>
      </c>
      <c r="I64" s="2" t="s">
        <v>11</v>
      </c>
    </row>
    <row r="65" spans="1:9" x14ac:dyDescent="0.25">
      <c r="A65">
        <v>64</v>
      </c>
      <c r="B65" t="s">
        <v>307</v>
      </c>
      <c r="C65" t="s">
        <v>308</v>
      </c>
      <c r="D65" t="s">
        <v>90</v>
      </c>
      <c r="F65" s="1">
        <v>27482</v>
      </c>
      <c r="G65" s="2" t="s">
        <v>1037</v>
      </c>
      <c r="H65" s="2" t="s">
        <v>1036</v>
      </c>
      <c r="I65" s="2" t="s">
        <v>11</v>
      </c>
    </row>
    <row r="66" spans="1:9" x14ac:dyDescent="0.25">
      <c r="A66">
        <v>65</v>
      </c>
      <c r="B66" t="s">
        <v>309</v>
      </c>
      <c r="C66" t="s">
        <v>310</v>
      </c>
      <c r="D66" t="s">
        <v>311</v>
      </c>
      <c r="F66" s="1">
        <v>25915</v>
      </c>
      <c r="G66" s="2" t="s">
        <v>1037</v>
      </c>
      <c r="H66" s="2" t="s">
        <v>1036</v>
      </c>
      <c r="I66" s="2" t="s">
        <v>11</v>
      </c>
    </row>
    <row r="67" spans="1:9" x14ac:dyDescent="0.25">
      <c r="A67">
        <v>66</v>
      </c>
      <c r="B67" t="s">
        <v>312</v>
      </c>
      <c r="C67" t="s">
        <v>313</v>
      </c>
      <c r="D67" t="s">
        <v>178</v>
      </c>
      <c r="F67" s="1">
        <v>21922</v>
      </c>
      <c r="G67" s="2" t="s">
        <v>1037</v>
      </c>
      <c r="H67" s="2" t="s">
        <v>1036</v>
      </c>
      <c r="I67" s="2" t="s">
        <v>11</v>
      </c>
    </row>
    <row r="68" spans="1:9" x14ac:dyDescent="0.25">
      <c r="A68">
        <v>67</v>
      </c>
      <c r="B68" t="s">
        <v>164</v>
      </c>
      <c r="C68" t="s">
        <v>314</v>
      </c>
      <c r="D68" t="s">
        <v>315</v>
      </c>
      <c r="F68" s="1">
        <v>31031</v>
      </c>
      <c r="G68" s="2" t="s">
        <v>1037</v>
      </c>
      <c r="H68" s="2" t="s">
        <v>1036</v>
      </c>
      <c r="I68" s="2" t="s">
        <v>11</v>
      </c>
    </row>
    <row r="69" spans="1:9" x14ac:dyDescent="0.25">
      <c r="A69">
        <v>68</v>
      </c>
      <c r="B69" t="s">
        <v>41</v>
      </c>
      <c r="C69" t="s">
        <v>316</v>
      </c>
      <c r="D69" t="s">
        <v>120</v>
      </c>
      <c r="F69" s="1">
        <v>20830</v>
      </c>
      <c r="G69" s="2" t="s">
        <v>1037</v>
      </c>
      <c r="H69" s="2" t="s">
        <v>1036</v>
      </c>
      <c r="I69" s="2" t="s">
        <v>11</v>
      </c>
    </row>
    <row r="70" spans="1:9" x14ac:dyDescent="0.25">
      <c r="A70">
        <v>69</v>
      </c>
      <c r="B70" t="s">
        <v>317</v>
      </c>
      <c r="C70" t="s">
        <v>318</v>
      </c>
      <c r="D70" t="s">
        <v>319</v>
      </c>
      <c r="F70" s="1">
        <v>33687</v>
      </c>
      <c r="G70" s="2" t="s">
        <v>1037</v>
      </c>
      <c r="H70" s="2" t="s">
        <v>1036</v>
      </c>
      <c r="I70" s="2" t="s">
        <v>11</v>
      </c>
    </row>
    <row r="71" spans="1:9" x14ac:dyDescent="0.25">
      <c r="A71">
        <v>70</v>
      </c>
      <c r="B71" t="s">
        <v>320</v>
      </c>
      <c r="C71" t="s">
        <v>321</v>
      </c>
      <c r="D71" t="s">
        <v>322</v>
      </c>
      <c r="F71" s="1">
        <v>26469</v>
      </c>
      <c r="G71" s="2" t="s">
        <v>1037</v>
      </c>
      <c r="H71" s="2" t="s">
        <v>1036</v>
      </c>
      <c r="I71" s="2" t="s">
        <v>11</v>
      </c>
    </row>
    <row r="72" spans="1:9" x14ac:dyDescent="0.25">
      <c r="A72">
        <v>71</v>
      </c>
      <c r="B72" t="s">
        <v>323</v>
      </c>
      <c r="C72" t="s">
        <v>324</v>
      </c>
      <c r="D72" t="s">
        <v>122</v>
      </c>
      <c r="F72" s="1">
        <v>38374</v>
      </c>
      <c r="G72" s="2" t="s">
        <v>1037</v>
      </c>
      <c r="H72" s="2" t="s">
        <v>1036</v>
      </c>
      <c r="I72" s="2" t="s">
        <v>11</v>
      </c>
    </row>
    <row r="73" spans="1:9" x14ac:dyDescent="0.25">
      <c r="A73">
        <v>72</v>
      </c>
      <c r="B73" t="s">
        <v>325</v>
      </c>
      <c r="C73" t="s">
        <v>326</v>
      </c>
      <c r="D73" t="s">
        <v>293</v>
      </c>
      <c r="F73" s="1">
        <v>33787</v>
      </c>
      <c r="G73" s="2" t="s">
        <v>1037</v>
      </c>
      <c r="H73" s="2" t="s">
        <v>1036</v>
      </c>
      <c r="I73" s="2" t="s">
        <v>11</v>
      </c>
    </row>
    <row r="74" spans="1:9" x14ac:dyDescent="0.25">
      <c r="A74">
        <v>73</v>
      </c>
      <c r="B74" t="s">
        <v>327</v>
      </c>
      <c r="C74" t="s">
        <v>328</v>
      </c>
      <c r="D74" t="s">
        <v>233</v>
      </c>
      <c r="F74" s="1">
        <v>27481</v>
      </c>
      <c r="G74" s="2" t="s">
        <v>1038</v>
      </c>
      <c r="H74" s="2" t="s">
        <v>1036</v>
      </c>
      <c r="I74" s="2" t="s">
        <v>11</v>
      </c>
    </row>
    <row r="75" spans="1:9" x14ac:dyDescent="0.25">
      <c r="A75">
        <v>74</v>
      </c>
      <c r="B75" t="s">
        <v>225</v>
      </c>
      <c r="C75" t="s">
        <v>72</v>
      </c>
      <c r="D75" t="s">
        <v>329</v>
      </c>
      <c r="F75" s="1">
        <v>32848</v>
      </c>
      <c r="G75" s="2" t="s">
        <v>1038</v>
      </c>
      <c r="H75" s="2" t="s">
        <v>1036</v>
      </c>
      <c r="I75" s="2" t="s">
        <v>11</v>
      </c>
    </row>
    <row r="76" spans="1:9" x14ac:dyDescent="0.25">
      <c r="A76">
        <v>75</v>
      </c>
      <c r="B76" t="s">
        <v>330</v>
      </c>
      <c r="C76" t="s">
        <v>151</v>
      </c>
      <c r="D76" t="s">
        <v>331</v>
      </c>
      <c r="F76" s="1">
        <v>28192</v>
      </c>
      <c r="G76" s="2" t="s">
        <v>1038</v>
      </c>
      <c r="H76" s="2" t="s">
        <v>1036</v>
      </c>
      <c r="I76" s="2" t="s">
        <v>11</v>
      </c>
    </row>
    <row r="77" spans="1:9" x14ac:dyDescent="0.25">
      <c r="A77">
        <v>76</v>
      </c>
      <c r="B77" t="s">
        <v>332</v>
      </c>
      <c r="C77" t="s">
        <v>333</v>
      </c>
      <c r="D77" t="s">
        <v>334</v>
      </c>
      <c r="F77" s="1">
        <v>30576</v>
      </c>
      <c r="G77" s="2" t="s">
        <v>1038</v>
      </c>
      <c r="H77" s="2" t="s">
        <v>1036</v>
      </c>
      <c r="I77" s="2" t="s">
        <v>11</v>
      </c>
    </row>
    <row r="78" spans="1:9" x14ac:dyDescent="0.25">
      <c r="A78">
        <v>77</v>
      </c>
      <c r="B78" t="s">
        <v>335</v>
      </c>
      <c r="C78" t="s">
        <v>336</v>
      </c>
      <c r="D78" t="s">
        <v>18</v>
      </c>
      <c r="F78" s="1">
        <v>23152</v>
      </c>
      <c r="G78" s="2" t="s">
        <v>1038</v>
      </c>
      <c r="H78" s="2" t="s">
        <v>1036</v>
      </c>
      <c r="I78" s="2" t="s">
        <v>11</v>
      </c>
    </row>
    <row r="79" spans="1:9" x14ac:dyDescent="0.25">
      <c r="A79">
        <v>78</v>
      </c>
      <c r="B79" t="s">
        <v>111</v>
      </c>
      <c r="C79" t="s">
        <v>337</v>
      </c>
      <c r="D79" t="s">
        <v>338</v>
      </c>
      <c r="F79" s="1">
        <v>30027</v>
      </c>
      <c r="G79" s="2" t="s">
        <v>1038</v>
      </c>
      <c r="H79" s="2" t="s">
        <v>1036</v>
      </c>
      <c r="I79" s="2" t="s">
        <v>11</v>
      </c>
    </row>
    <row r="80" spans="1:9" x14ac:dyDescent="0.25">
      <c r="A80">
        <v>79</v>
      </c>
      <c r="B80" t="s">
        <v>339</v>
      </c>
      <c r="C80" t="s">
        <v>340</v>
      </c>
      <c r="D80" t="s">
        <v>51</v>
      </c>
      <c r="F80" s="1">
        <v>20296</v>
      </c>
      <c r="G80" s="2" t="s">
        <v>1038</v>
      </c>
      <c r="H80" s="2" t="s">
        <v>1036</v>
      </c>
      <c r="I80" s="2" t="s">
        <v>11</v>
      </c>
    </row>
    <row r="81" spans="1:9" x14ac:dyDescent="0.25">
      <c r="A81">
        <v>80</v>
      </c>
      <c r="B81" t="s">
        <v>341</v>
      </c>
      <c r="C81" t="s">
        <v>342</v>
      </c>
      <c r="D81" t="s">
        <v>234</v>
      </c>
      <c r="F81" s="1">
        <v>23437</v>
      </c>
      <c r="G81" s="2" t="s">
        <v>1038</v>
      </c>
      <c r="H81" s="2" t="s">
        <v>1036</v>
      </c>
      <c r="I81" s="2" t="s">
        <v>11</v>
      </c>
    </row>
    <row r="82" spans="1:9" x14ac:dyDescent="0.25">
      <c r="A82">
        <v>81</v>
      </c>
      <c r="B82" t="s">
        <v>343</v>
      </c>
      <c r="C82" t="s">
        <v>344</v>
      </c>
      <c r="D82" t="s">
        <v>345</v>
      </c>
      <c r="F82" s="1">
        <v>28958</v>
      </c>
      <c r="G82" s="2" t="s">
        <v>1038</v>
      </c>
      <c r="H82" s="2" t="s">
        <v>1036</v>
      </c>
      <c r="I82" s="2" t="s">
        <v>11</v>
      </c>
    </row>
    <row r="83" spans="1:9" x14ac:dyDescent="0.25">
      <c r="A83">
        <v>82</v>
      </c>
      <c r="B83" t="s">
        <v>343</v>
      </c>
      <c r="C83" t="s">
        <v>170</v>
      </c>
      <c r="D83" t="s">
        <v>345</v>
      </c>
      <c r="F83" s="1">
        <v>34559</v>
      </c>
      <c r="G83" s="2" t="s">
        <v>1038</v>
      </c>
      <c r="H83" s="2" t="s">
        <v>1036</v>
      </c>
      <c r="I83" s="2" t="s">
        <v>11</v>
      </c>
    </row>
    <row r="84" spans="1:9" x14ac:dyDescent="0.25">
      <c r="A84">
        <v>83</v>
      </c>
      <c r="B84" t="s">
        <v>343</v>
      </c>
      <c r="C84" t="s">
        <v>346</v>
      </c>
      <c r="D84" t="s">
        <v>345</v>
      </c>
      <c r="F84" s="1">
        <v>37289</v>
      </c>
      <c r="G84" s="2" t="s">
        <v>1038</v>
      </c>
      <c r="H84" s="2" t="s">
        <v>1036</v>
      </c>
      <c r="I84" s="2" t="s">
        <v>11</v>
      </c>
    </row>
    <row r="85" spans="1:9" x14ac:dyDescent="0.25">
      <c r="A85">
        <v>84</v>
      </c>
      <c r="B85" t="s">
        <v>347</v>
      </c>
      <c r="C85" t="s">
        <v>36</v>
      </c>
      <c r="D85" t="s">
        <v>348</v>
      </c>
      <c r="F85" s="1">
        <v>29588</v>
      </c>
      <c r="G85" s="2" t="s">
        <v>1038</v>
      </c>
      <c r="H85" s="2" t="s">
        <v>1036</v>
      </c>
      <c r="I85" s="2" t="s">
        <v>11</v>
      </c>
    </row>
    <row r="86" spans="1:9" x14ac:dyDescent="0.25">
      <c r="A86">
        <v>85</v>
      </c>
      <c r="B86" t="s">
        <v>347</v>
      </c>
      <c r="C86" t="s">
        <v>349</v>
      </c>
      <c r="D86" t="s">
        <v>350</v>
      </c>
      <c r="F86" s="1">
        <v>19405</v>
      </c>
      <c r="G86" s="2" t="s">
        <v>1038</v>
      </c>
      <c r="H86" s="2" t="s">
        <v>1036</v>
      </c>
      <c r="I86" s="2" t="s">
        <v>11</v>
      </c>
    </row>
    <row r="87" spans="1:9" x14ac:dyDescent="0.25">
      <c r="A87">
        <v>86</v>
      </c>
      <c r="B87" t="s">
        <v>1131</v>
      </c>
      <c r="C87" t="s">
        <v>223</v>
      </c>
      <c r="D87" t="s">
        <v>351</v>
      </c>
      <c r="F87" s="1">
        <v>23356</v>
      </c>
      <c r="G87" s="2" t="s">
        <v>1038</v>
      </c>
      <c r="H87" s="2" t="s">
        <v>1036</v>
      </c>
      <c r="I87" s="2" t="s">
        <v>11</v>
      </c>
    </row>
    <row r="88" spans="1:9" x14ac:dyDescent="0.25">
      <c r="A88">
        <v>87</v>
      </c>
      <c r="B88" t="s">
        <v>352</v>
      </c>
      <c r="C88" t="s">
        <v>353</v>
      </c>
      <c r="D88" t="s">
        <v>354</v>
      </c>
      <c r="F88" s="1">
        <v>21162</v>
      </c>
      <c r="G88" s="2" t="s">
        <v>1038</v>
      </c>
      <c r="H88" s="2" t="s">
        <v>1036</v>
      </c>
      <c r="I88" s="2" t="s">
        <v>11</v>
      </c>
    </row>
    <row r="89" spans="1:9" x14ac:dyDescent="0.25">
      <c r="A89">
        <v>88</v>
      </c>
      <c r="B89" t="s">
        <v>18</v>
      </c>
      <c r="C89" t="s">
        <v>355</v>
      </c>
      <c r="D89" t="s">
        <v>38</v>
      </c>
      <c r="F89" s="1">
        <v>19811</v>
      </c>
      <c r="G89" s="2" t="s">
        <v>1038</v>
      </c>
      <c r="H89" s="2" t="s">
        <v>1036</v>
      </c>
      <c r="I89" s="2" t="s">
        <v>11</v>
      </c>
    </row>
    <row r="90" spans="1:9" x14ac:dyDescent="0.25">
      <c r="A90">
        <v>89</v>
      </c>
      <c r="B90" t="s">
        <v>356</v>
      </c>
      <c r="C90" t="s">
        <v>357</v>
      </c>
      <c r="D90" t="s">
        <v>1132</v>
      </c>
      <c r="F90" s="1">
        <v>30503</v>
      </c>
      <c r="G90" s="2" t="s">
        <v>1038</v>
      </c>
      <c r="H90" s="2" t="s">
        <v>1036</v>
      </c>
      <c r="I90" s="2" t="s">
        <v>11</v>
      </c>
    </row>
    <row r="91" spans="1:9" x14ac:dyDescent="0.25">
      <c r="A91">
        <v>90</v>
      </c>
      <c r="B91" t="s">
        <v>358</v>
      </c>
      <c r="C91" t="s">
        <v>55</v>
      </c>
      <c r="D91" t="s">
        <v>359</v>
      </c>
      <c r="F91" s="1">
        <v>35637</v>
      </c>
      <c r="G91" s="2" t="s">
        <v>1038</v>
      </c>
      <c r="H91" s="2" t="s">
        <v>1036</v>
      </c>
      <c r="I91" s="2" t="s">
        <v>11</v>
      </c>
    </row>
    <row r="92" spans="1:9" x14ac:dyDescent="0.25">
      <c r="A92">
        <v>91</v>
      </c>
      <c r="B92" t="s">
        <v>360</v>
      </c>
      <c r="C92" t="s">
        <v>361</v>
      </c>
      <c r="D92" t="s">
        <v>362</v>
      </c>
      <c r="F92" s="1">
        <v>37432</v>
      </c>
      <c r="G92" s="2" t="s">
        <v>1038</v>
      </c>
      <c r="H92" s="2" t="s">
        <v>1036</v>
      </c>
      <c r="I92" s="2" t="s">
        <v>11</v>
      </c>
    </row>
    <row r="93" spans="1:9" x14ac:dyDescent="0.25">
      <c r="A93">
        <v>92</v>
      </c>
      <c r="B93" t="s">
        <v>363</v>
      </c>
      <c r="C93" t="s">
        <v>364</v>
      </c>
      <c r="D93" t="s">
        <v>88</v>
      </c>
      <c r="F93" s="1">
        <v>35538</v>
      </c>
      <c r="G93" s="2" t="s">
        <v>1038</v>
      </c>
      <c r="H93" s="2" t="s">
        <v>1036</v>
      </c>
      <c r="I93" s="2" t="s">
        <v>11</v>
      </c>
    </row>
    <row r="94" spans="1:9" x14ac:dyDescent="0.25">
      <c r="A94">
        <v>93</v>
      </c>
      <c r="B94" t="s">
        <v>41</v>
      </c>
      <c r="C94" t="s">
        <v>44</v>
      </c>
      <c r="D94" t="s">
        <v>365</v>
      </c>
      <c r="F94" s="1">
        <v>24778</v>
      </c>
      <c r="G94" s="2" t="s">
        <v>1038</v>
      </c>
      <c r="H94" s="2" t="s">
        <v>1036</v>
      </c>
      <c r="I94" s="2" t="s">
        <v>11</v>
      </c>
    </row>
    <row r="95" spans="1:9" x14ac:dyDescent="0.25">
      <c r="A95">
        <v>94</v>
      </c>
      <c r="B95" t="s">
        <v>160</v>
      </c>
      <c r="C95" t="s">
        <v>366</v>
      </c>
      <c r="D95" t="s">
        <v>367</v>
      </c>
      <c r="F95" s="1">
        <v>34636</v>
      </c>
      <c r="G95" s="2" t="s">
        <v>1038</v>
      </c>
      <c r="H95" s="2" t="s">
        <v>1036</v>
      </c>
      <c r="I95" s="2" t="s">
        <v>11</v>
      </c>
    </row>
    <row r="96" spans="1:9" x14ac:dyDescent="0.25">
      <c r="A96">
        <v>95</v>
      </c>
      <c r="B96" t="s">
        <v>90</v>
      </c>
      <c r="C96" t="s">
        <v>368</v>
      </c>
      <c r="D96" t="s">
        <v>180</v>
      </c>
      <c r="F96" s="1">
        <v>23293</v>
      </c>
      <c r="G96" s="2" t="s">
        <v>1038</v>
      </c>
      <c r="H96" s="2" t="s">
        <v>1036</v>
      </c>
      <c r="I96" s="2" t="s">
        <v>11</v>
      </c>
    </row>
    <row r="97" spans="1:9" x14ac:dyDescent="0.25">
      <c r="A97">
        <v>96</v>
      </c>
      <c r="B97" t="s">
        <v>369</v>
      </c>
      <c r="C97" t="s">
        <v>370</v>
      </c>
      <c r="D97" t="s">
        <v>371</v>
      </c>
      <c r="F97" s="1">
        <v>29424</v>
      </c>
      <c r="G97" s="2" t="s">
        <v>1038</v>
      </c>
      <c r="H97" s="2" t="s">
        <v>1036</v>
      </c>
      <c r="I97" s="2" t="s">
        <v>11</v>
      </c>
    </row>
    <row r="98" spans="1:9" x14ac:dyDescent="0.25">
      <c r="A98">
        <v>97</v>
      </c>
      <c r="B98" t="s">
        <v>372</v>
      </c>
      <c r="C98" t="s">
        <v>373</v>
      </c>
      <c r="D98" t="s">
        <v>374</v>
      </c>
      <c r="F98" s="1">
        <v>33366</v>
      </c>
      <c r="G98" s="2" t="s">
        <v>1038</v>
      </c>
      <c r="H98" s="2" t="s">
        <v>1036</v>
      </c>
      <c r="I98" s="2" t="s">
        <v>11</v>
      </c>
    </row>
    <row r="99" spans="1:9" x14ac:dyDescent="0.25">
      <c r="A99">
        <v>98</v>
      </c>
      <c r="B99" t="s">
        <v>97</v>
      </c>
      <c r="C99" t="s">
        <v>375</v>
      </c>
      <c r="D99" t="s">
        <v>376</v>
      </c>
      <c r="F99" s="1">
        <v>32570</v>
      </c>
      <c r="G99" s="2" t="s">
        <v>1038</v>
      </c>
      <c r="H99" s="2" t="s">
        <v>1036</v>
      </c>
      <c r="I99" s="2" t="s">
        <v>11</v>
      </c>
    </row>
    <row r="100" spans="1:9" x14ac:dyDescent="0.25">
      <c r="A100">
        <v>99</v>
      </c>
      <c r="B100" t="s">
        <v>377</v>
      </c>
      <c r="C100" t="s">
        <v>378</v>
      </c>
      <c r="D100" t="s">
        <v>38</v>
      </c>
      <c r="F100" s="1">
        <v>13578</v>
      </c>
      <c r="G100" s="2" t="s">
        <v>1038</v>
      </c>
      <c r="H100" s="2" t="s">
        <v>1036</v>
      </c>
      <c r="I100" s="2" t="s">
        <v>11</v>
      </c>
    </row>
    <row r="101" spans="1:9" x14ac:dyDescent="0.25">
      <c r="A101">
        <v>100</v>
      </c>
      <c r="B101" t="s">
        <v>379</v>
      </c>
      <c r="C101" t="s">
        <v>380</v>
      </c>
      <c r="D101" t="s">
        <v>164</v>
      </c>
      <c r="F101" s="1">
        <v>32916</v>
      </c>
      <c r="G101" s="2" t="s">
        <v>1038</v>
      </c>
      <c r="H101" s="2" t="s">
        <v>1036</v>
      </c>
      <c r="I101" s="2" t="s">
        <v>11</v>
      </c>
    </row>
    <row r="102" spans="1:9" x14ac:dyDescent="0.25">
      <c r="A102">
        <v>101</v>
      </c>
      <c r="B102" t="s">
        <v>381</v>
      </c>
      <c r="C102" t="s">
        <v>382</v>
      </c>
      <c r="D102" t="s">
        <v>33</v>
      </c>
      <c r="F102" s="1">
        <v>33682</v>
      </c>
      <c r="G102" s="2" t="s">
        <v>1038</v>
      </c>
      <c r="H102" s="2" t="s">
        <v>1036</v>
      </c>
      <c r="I102" s="2" t="s">
        <v>11</v>
      </c>
    </row>
    <row r="103" spans="1:9" x14ac:dyDescent="0.25">
      <c r="A103">
        <v>102</v>
      </c>
      <c r="B103" t="s">
        <v>383</v>
      </c>
      <c r="C103" t="s">
        <v>384</v>
      </c>
      <c r="D103" t="s">
        <v>225</v>
      </c>
      <c r="F103" s="1">
        <v>26199</v>
      </c>
      <c r="G103" s="2" t="s">
        <v>1038</v>
      </c>
      <c r="H103" s="2" t="s">
        <v>1036</v>
      </c>
      <c r="I103" s="2" t="s">
        <v>11</v>
      </c>
    </row>
    <row r="104" spans="1:9" x14ac:dyDescent="0.25">
      <c r="A104">
        <v>103</v>
      </c>
      <c r="B104" t="s">
        <v>164</v>
      </c>
      <c r="C104" t="s">
        <v>385</v>
      </c>
      <c r="D104" t="s">
        <v>386</v>
      </c>
      <c r="F104" s="1">
        <v>18619</v>
      </c>
      <c r="G104" s="2" t="s">
        <v>1038</v>
      </c>
      <c r="H104" s="2" t="s">
        <v>1036</v>
      </c>
      <c r="I104" s="2" t="s">
        <v>11</v>
      </c>
    </row>
    <row r="105" spans="1:9" x14ac:dyDescent="0.25">
      <c r="A105">
        <v>104</v>
      </c>
      <c r="B105" t="s">
        <v>164</v>
      </c>
      <c r="C105" t="s">
        <v>387</v>
      </c>
      <c r="D105" t="s">
        <v>215</v>
      </c>
      <c r="F105" s="1">
        <v>27251</v>
      </c>
      <c r="G105" s="2" t="s">
        <v>1038</v>
      </c>
      <c r="H105" s="2" t="s">
        <v>1036</v>
      </c>
      <c r="I105" s="2" t="s">
        <v>11</v>
      </c>
    </row>
    <row r="106" spans="1:9" x14ac:dyDescent="0.25">
      <c r="A106">
        <v>105</v>
      </c>
      <c r="B106" t="s">
        <v>388</v>
      </c>
      <c r="C106" t="s">
        <v>389</v>
      </c>
      <c r="D106" t="s">
        <v>390</v>
      </c>
      <c r="F106" s="1">
        <v>38221</v>
      </c>
      <c r="G106" s="2" t="s">
        <v>1038</v>
      </c>
      <c r="H106" s="2" t="s">
        <v>1036</v>
      </c>
      <c r="I106" s="2" t="s">
        <v>11</v>
      </c>
    </row>
    <row r="107" spans="1:9" x14ac:dyDescent="0.25">
      <c r="A107">
        <v>106</v>
      </c>
      <c r="B107" t="s">
        <v>391</v>
      </c>
      <c r="C107" t="s">
        <v>392</v>
      </c>
      <c r="D107" t="s">
        <v>46</v>
      </c>
      <c r="F107" s="1">
        <v>27102</v>
      </c>
      <c r="G107" s="2" t="s">
        <v>1038</v>
      </c>
      <c r="H107" s="2" t="s">
        <v>1036</v>
      </c>
      <c r="I107" s="2" t="s">
        <v>11</v>
      </c>
    </row>
    <row r="108" spans="1:9" x14ac:dyDescent="0.25">
      <c r="A108">
        <v>107</v>
      </c>
      <c r="B108" t="s">
        <v>225</v>
      </c>
      <c r="C108" t="s">
        <v>393</v>
      </c>
      <c r="D108" t="s">
        <v>348</v>
      </c>
      <c r="F108" s="1">
        <v>29212</v>
      </c>
      <c r="G108" s="2" t="s">
        <v>1038</v>
      </c>
      <c r="H108" s="2" t="s">
        <v>1036</v>
      </c>
      <c r="I108" s="2" t="s">
        <v>11</v>
      </c>
    </row>
    <row r="109" spans="1:9" x14ac:dyDescent="0.25">
      <c r="A109">
        <v>108</v>
      </c>
      <c r="B109" t="s">
        <v>394</v>
      </c>
      <c r="C109" t="s">
        <v>395</v>
      </c>
      <c r="D109" t="s">
        <v>65</v>
      </c>
      <c r="F109" s="1">
        <v>31303</v>
      </c>
      <c r="G109" s="2" t="s">
        <v>1038</v>
      </c>
      <c r="H109" s="2" t="s">
        <v>1036</v>
      </c>
      <c r="I109" s="2" t="s">
        <v>11</v>
      </c>
    </row>
    <row r="110" spans="1:9" x14ac:dyDescent="0.25">
      <c r="A110">
        <v>109</v>
      </c>
      <c r="B110" t="s">
        <v>377</v>
      </c>
      <c r="C110" t="s">
        <v>396</v>
      </c>
      <c r="D110" t="s">
        <v>18</v>
      </c>
      <c r="F110" s="1">
        <v>25814</v>
      </c>
      <c r="G110" s="2" t="s">
        <v>1038</v>
      </c>
      <c r="H110" s="2" t="s">
        <v>1036</v>
      </c>
      <c r="I110" s="2" t="s">
        <v>11</v>
      </c>
    </row>
    <row r="111" spans="1:9" x14ac:dyDescent="0.25">
      <c r="A111">
        <v>110</v>
      </c>
      <c r="B111" t="s">
        <v>377</v>
      </c>
      <c r="C111" t="s">
        <v>396</v>
      </c>
      <c r="D111" t="s">
        <v>397</v>
      </c>
      <c r="F111" s="1">
        <v>25534</v>
      </c>
      <c r="G111" s="2" t="s">
        <v>1038</v>
      </c>
      <c r="H111" s="2" t="s">
        <v>1036</v>
      </c>
      <c r="I111" s="2" t="s">
        <v>11</v>
      </c>
    </row>
    <row r="112" spans="1:9" x14ac:dyDescent="0.25">
      <c r="A112">
        <v>111</v>
      </c>
      <c r="B112" t="s">
        <v>398</v>
      </c>
      <c r="C112" t="s">
        <v>399</v>
      </c>
      <c r="D112" t="s">
        <v>400</v>
      </c>
      <c r="F112" s="1">
        <v>27952</v>
      </c>
      <c r="G112" s="2" t="s">
        <v>1038</v>
      </c>
      <c r="H112" s="2" t="s">
        <v>1036</v>
      </c>
      <c r="I112" s="2" t="s">
        <v>11</v>
      </c>
    </row>
    <row r="113" spans="1:9" x14ac:dyDescent="0.25">
      <c r="A113">
        <v>112</v>
      </c>
      <c r="B113" t="s">
        <v>160</v>
      </c>
      <c r="C113" t="s">
        <v>401</v>
      </c>
      <c r="D113" t="s">
        <v>367</v>
      </c>
      <c r="F113" s="1">
        <v>30479</v>
      </c>
      <c r="G113" s="2" t="s">
        <v>1038</v>
      </c>
      <c r="H113" s="2" t="s">
        <v>1036</v>
      </c>
      <c r="I113" s="2" t="s">
        <v>11</v>
      </c>
    </row>
    <row r="114" spans="1:9" x14ac:dyDescent="0.25">
      <c r="A114">
        <v>113</v>
      </c>
      <c r="B114" t="s">
        <v>233</v>
      </c>
      <c r="C114" t="s">
        <v>402</v>
      </c>
      <c r="D114" t="s">
        <v>400</v>
      </c>
      <c r="F114" s="1">
        <v>26096</v>
      </c>
      <c r="G114" s="2" t="s">
        <v>1038</v>
      </c>
      <c r="H114" s="2" t="s">
        <v>1036</v>
      </c>
      <c r="I114" s="2" t="s">
        <v>11</v>
      </c>
    </row>
    <row r="115" spans="1:9" x14ac:dyDescent="0.25">
      <c r="A115">
        <v>114</v>
      </c>
      <c r="B115" t="s">
        <v>403</v>
      </c>
      <c r="C115" t="s">
        <v>404</v>
      </c>
      <c r="D115" t="s">
        <v>405</v>
      </c>
      <c r="F115" s="1">
        <v>28411</v>
      </c>
      <c r="G115" s="2" t="s">
        <v>1038</v>
      </c>
      <c r="H115" s="2" t="s">
        <v>1036</v>
      </c>
      <c r="I115" s="2" t="s">
        <v>11</v>
      </c>
    </row>
    <row r="116" spans="1:9" x14ac:dyDescent="0.25">
      <c r="A116">
        <v>115</v>
      </c>
      <c r="B116" t="s">
        <v>347</v>
      </c>
      <c r="C116" t="s">
        <v>406</v>
      </c>
      <c r="D116" t="s">
        <v>348</v>
      </c>
      <c r="F116" s="1">
        <v>30225</v>
      </c>
      <c r="G116" s="2" t="s">
        <v>1038</v>
      </c>
      <c r="H116" s="2" t="s">
        <v>1036</v>
      </c>
      <c r="I116" s="2" t="s">
        <v>11</v>
      </c>
    </row>
    <row r="117" spans="1:9" x14ac:dyDescent="0.25">
      <c r="A117">
        <v>116</v>
      </c>
      <c r="B117" t="s">
        <v>358</v>
      </c>
      <c r="C117" t="s">
        <v>407</v>
      </c>
      <c r="D117" t="s">
        <v>377</v>
      </c>
      <c r="F117" s="1">
        <v>24404</v>
      </c>
      <c r="G117" s="2" t="s">
        <v>1038</v>
      </c>
      <c r="H117" s="2" t="s">
        <v>1036</v>
      </c>
      <c r="I117" s="2" t="s">
        <v>11</v>
      </c>
    </row>
    <row r="118" spans="1:9" x14ac:dyDescent="0.25">
      <c r="A118">
        <v>117</v>
      </c>
      <c r="B118" t="s">
        <v>400</v>
      </c>
      <c r="C118" t="s">
        <v>39</v>
      </c>
      <c r="D118" t="s">
        <v>88</v>
      </c>
      <c r="F118" s="1">
        <v>29444</v>
      </c>
      <c r="G118" s="2" t="s">
        <v>1038</v>
      </c>
      <c r="H118" s="2" t="s">
        <v>1036</v>
      </c>
      <c r="I118" s="2" t="s">
        <v>11</v>
      </c>
    </row>
    <row r="119" spans="1:9" x14ac:dyDescent="0.25">
      <c r="A119">
        <v>118</v>
      </c>
      <c r="B119" t="s">
        <v>408</v>
      </c>
      <c r="C119" t="s">
        <v>409</v>
      </c>
      <c r="D119" t="s">
        <v>410</v>
      </c>
      <c r="E119" t="s">
        <v>106</v>
      </c>
      <c r="F119" s="1">
        <v>33900</v>
      </c>
      <c r="G119" s="2" t="s">
        <v>1039</v>
      </c>
      <c r="H119" s="2" t="s">
        <v>1036</v>
      </c>
      <c r="I119" s="2" t="s">
        <v>11</v>
      </c>
    </row>
    <row r="120" spans="1:9" x14ac:dyDescent="0.25">
      <c r="A120">
        <v>119</v>
      </c>
      <c r="B120" t="s">
        <v>411</v>
      </c>
      <c r="C120" t="s">
        <v>412</v>
      </c>
      <c r="D120" t="s">
        <v>413</v>
      </c>
      <c r="F120" s="1">
        <v>31925</v>
      </c>
      <c r="G120" s="2" t="s">
        <v>1039</v>
      </c>
      <c r="H120" s="2" t="s">
        <v>1036</v>
      </c>
      <c r="I120" s="2" t="s">
        <v>11</v>
      </c>
    </row>
    <row r="121" spans="1:9" x14ac:dyDescent="0.25">
      <c r="A121">
        <v>120</v>
      </c>
      <c r="B121" t="s">
        <v>414</v>
      </c>
      <c r="C121" t="s">
        <v>415</v>
      </c>
      <c r="D121" t="s">
        <v>215</v>
      </c>
      <c r="F121" s="1">
        <v>33557</v>
      </c>
      <c r="G121" s="2" t="s">
        <v>1039</v>
      </c>
      <c r="H121" s="2" t="s">
        <v>1036</v>
      </c>
      <c r="I121" s="2" t="s">
        <v>11</v>
      </c>
    </row>
    <row r="122" spans="1:9" x14ac:dyDescent="0.25">
      <c r="A122">
        <v>121</v>
      </c>
      <c r="B122" t="s">
        <v>416</v>
      </c>
      <c r="C122" t="s">
        <v>417</v>
      </c>
      <c r="D122" t="s">
        <v>414</v>
      </c>
      <c r="F122" s="1">
        <v>28754</v>
      </c>
      <c r="G122" s="2" t="s">
        <v>1039</v>
      </c>
      <c r="H122" s="2" t="s">
        <v>1036</v>
      </c>
      <c r="I122" s="2" t="s">
        <v>11</v>
      </c>
    </row>
    <row r="123" spans="1:9" x14ac:dyDescent="0.25">
      <c r="A123">
        <v>122</v>
      </c>
      <c r="B123" t="s">
        <v>418</v>
      </c>
      <c r="C123" t="s">
        <v>419</v>
      </c>
      <c r="D123" t="s">
        <v>78</v>
      </c>
      <c r="F123" s="1">
        <v>29184</v>
      </c>
      <c r="G123" s="2" t="s">
        <v>1040</v>
      </c>
      <c r="H123" s="2" t="s">
        <v>1036</v>
      </c>
      <c r="I123" s="2" t="s">
        <v>11</v>
      </c>
    </row>
    <row r="124" spans="1:9" x14ac:dyDescent="0.25">
      <c r="A124">
        <v>123</v>
      </c>
      <c r="B124" t="s">
        <v>420</v>
      </c>
      <c r="C124" t="s">
        <v>421</v>
      </c>
      <c r="D124" t="s">
        <v>422</v>
      </c>
      <c r="F124" s="1">
        <v>31439</v>
      </c>
      <c r="G124" s="2" t="s">
        <v>1040</v>
      </c>
      <c r="H124" s="2" t="s">
        <v>1036</v>
      </c>
      <c r="I124" s="2" t="s">
        <v>11</v>
      </c>
    </row>
    <row r="125" spans="1:9" x14ac:dyDescent="0.25">
      <c r="A125">
        <v>124</v>
      </c>
      <c r="B125" t="s">
        <v>423</v>
      </c>
      <c r="C125" t="s">
        <v>424</v>
      </c>
      <c r="D125" t="s">
        <v>425</v>
      </c>
      <c r="F125" s="1">
        <v>29766</v>
      </c>
      <c r="G125" s="2" t="s">
        <v>1040</v>
      </c>
      <c r="H125" s="2" t="s">
        <v>1036</v>
      </c>
      <c r="I125" s="2" t="s">
        <v>11</v>
      </c>
    </row>
    <row r="126" spans="1:9" x14ac:dyDescent="0.25">
      <c r="A126">
        <v>125</v>
      </c>
      <c r="B126" t="s">
        <v>426</v>
      </c>
      <c r="C126" t="s">
        <v>427</v>
      </c>
      <c r="D126" t="s">
        <v>1133</v>
      </c>
      <c r="F126" s="1">
        <v>30516</v>
      </c>
      <c r="G126" s="2" t="s">
        <v>1040</v>
      </c>
      <c r="H126" s="2" t="s">
        <v>1036</v>
      </c>
      <c r="I126" s="2" t="s">
        <v>11</v>
      </c>
    </row>
    <row r="127" spans="1:9" x14ac:dyDescent="0.25">
      <c r="A127">
        <v>126</v>
      </c>
      <c r="B127" t="s">
        <v>408</v>
      </c>
      <c r="C127" t="s">
        <v>428</v>
      </c>
      <c r="D127" t="s">
        <v>429</v>
      </c>
      <c r="F127" s="1">
        <v>26055</v>
      </c>
      <c r="G127" s="2" t="s">
        <v>1040</v>
      </c>
      <c r="H127" s="2" t="s">
        <v>1036</v>
      </c>
      <c r="I127" s="2" t="s">
        <v>11</v>
      </c>
    </row>
    <row r="128" spans="1:9" x14ac:dyDescent="0.25">
      <c r="A128">
        <v>127</v>
      </c>
      <c r="B128" t="s">
        <v>430</v>
      </c>
      <c r="C128" t="s">
        <v>431</v>
      </c>
      <c r="D128" t="s">
        <v>432</v>
      </c>
      <c r="F128" s="1">
        <v>33476</v>
      </c>
      <c r="G128" s="2" t="s">
        <v>1040</v>
      </c>
      <c r="H128" s="2" t="s">
        <v>1036</v>
      </c>
      <c r="I128" s="2" t="s">
        <v>11</v>
      </c>
    </row>
    <row r="129" spans="1:9" x14ac:dyDescent="0.25">
      <c r="A129">
        <v>128</v>
      </c>
      <c r="B129" t="s">
        <v>433</v>
      </c>
      <c r="C129" t="s">
        <v>428</v>
      </c>
      <c r="D129" t="s">
        <v>434</v>
      </c>
      <c r="E129" t="s">
        <v>22</v>
      </c>
      <c r="F129" s="1">
        <v>33095</v>
      </c>
      <c r="G129" s="2" t="s">
        <v>1040</v>
      </c>
      <c r="H129" s="2" t="s">
        <v>1036</v>
      </c>
      <c r="I129" s="2" t="s">
        <v>11</v>
      </c>
    </row>
    <row r="130" spans="1:9" x14ac:dyDescent="0.25">
      <c r="A130">
        <v>129</v>
      </c>
      <c r="B130" t="s">
        <v>435</v>
      </c>
      <c r="C130" t="s">
        <v>436</v>
      </c>
      <c r="D130" t="s">
        <v>78</v>
      </c>
      <c r="F130" s="1">
        <v>34997</v>
      </c>
      <c r="G130" s="2" t="s">
        <v>1040</v>
      </c>
      <c r="H130" s="2" t="s">
        <v>1036</v>
      </c>
      <c r="I130" s="2" t="s">
        <v>11</v>
      </c>
    </row>
    <row r="131" spans="1:9" x14ac:dyDescent="0.25">
      <c r="A131">
        <v>130</v>
      </c>
      <c r="B131" t="s">
        <v>437</v>
      </c>
      <c r="C131" t="s">
        <v>387</v>
      </c>
      <c r="D131" t="s">
        <v>78</v>
      </c>
      <c r="F131" s="1">
        <v>25571</v>
      </c>
      <c r="G131" s="2" t="s">
        <v>1040</v>
      </c>
      <c r="H131" s="2" t="s">
        <v>1036</v>
      </c>
      <c r="I131" s="2" t="s">
        <v>11</v>
      </c>
    </row>
    <row r="132" spans="1:9" x14ac:dyDescent="0.25">
      <c r="A132">
        <v>131</v>
      </c>
      <c r="B132" t="s">
        <v>438</v>
      </c>
      <c r="C132" t="s">
        <v>439</v>
      </c>
      <c r="D132" t="s">
        <v>440</v>
      </c>
      <c r="F132" s="1">
        <v>23089</v>
      </c>
      <c r="G132" s="2" t="s">
        <v>1040</v>
      </c>
      <c r="H132" s="2" t="s">
        <v>1036</v>
      </c>
      <c r="I132" s="2" t="s">
        <v>11</v>
      </c>
    </row>
    <row r="133" spans="1:9" x14ac:dyDescent="0.25">
      <c r="A133">
        <v>132</v>
      </c>
      <c r="B133" t="s">
        <v>441</v>
      </c>
      <c r="C133" t="s">
        <v>442</v>
      </c>
      <c r="D133" t="s">
        <v>443</v>
      </c>
      <c r="F133" s="1">
        <v>21025</v>
      </c>
      <c r="G133" s="2" t="s">
        <v>1040</v>
      </c>
      <c r="H133" s="2" t="s">
        <v>1036</v>
      </c>
      <c r="I133" s="2" t="s">
        <v>11</v>
      </c>
    </row>
    <row r="134" spans="1:9" x14ac:dyDescent="0.25">
      <c r="A134">
        <v>133</v>
      </c>
      <c r="B134" t="s">
        <v>444</v>
      </c>
      <c r="C134" t="s">
        <v>445</v>
      </c>
      <c r="D134" t="s">
        <v>446</v>
      </c>
      <c r="F134" s="1">
        <v>31951</v>
      </c>
      <c r="G134" s="2" t="s">
        <v>1040</v>
      </c>
      <c r="H134" s="2" t="s">
        <v>1036</v>
      </c>
      <c r="I134" s="2" t="s">
        <v>11</v>
      </c>
    </row>
    <row r="135" spans="1:9" x14ac:dyDescent="0.25">
      <c r="A135">
        <v>134</v>
      </c>
      <c r="B135" t="s">
        <v>447</v>
      </c>
      <c r="C135" t="s">
        <v>448</v>
      </c>
      <c r="D135" t="s">
        <v>449</v>
      </c>
      <c r="F135" s="1">
        <v>30353</v>
      </c>
      <c r="G135" s="2" t="s">
        <v>1040</v>
      </c>
      <c r="H135" s="2" t="s">
        <v>1036</v>
      </c>
      <c r="I135" s="2" t="s">
        <v>11</v>
      </c>
    </row>
    <row r="136" spans="1:9" x14ac:dyDescent="0.25">
      <c r="A136">
        <v>135</v>
      </c>
      <c r="B136" t="s">
        <v>81</v>
      </c>
      <c r="C136" t="s">
        <v>127</v>
      </c>
      <c r="D136" t="s">
        <v>59</v>
      </c>
      <c r="F136" s="1">
        <v>31176</v>
      </c>
      <c r="G136" s="2" t="s">
        <v>1040</v>
      </c>
      <c r="H136" s="2" t="s">
        <v>1036</v>
      </c>
      <c r="I136" s="2" t="s">
        <v>11</v>
      </c>
    </row>
    <row r="137" spans="1:9" x14ac:dyDescent="0.25">
      <c r="A137">
        <v>136</v>
      </c>
      <c r="B137" t="s">
        <v>450</v>
      </c>
      <c r="C137" t="s">
        <v>451</v>
      </c>
      <c r="D137" t="s">
        <v>452</v>
      </c>
      <c r="F137" s="1">
        <v>31970</v>
      </c>
      <c r="G137" s="2" t="s">
        <v>1040</v>
      </c>
      <c r="H137" s="2" t="s">
        <v>1036</v>
      </c>
      <c r="I137" s="2" t="s">
        <v>11</v>
      </c>
    </row>
    <row r="138" spans="1:9" x14ac:dyDescent="0.25">
      <c r="A138">
        <v>137</v>
      </c>
      <c r="B138" t="s">
        <v>38</v>
      </c>
      <c r="C138" t="s">
        <v>453</v>
      </c>
      <c r="D138" t="s">
        <v>454</v>
      </c>
      <c r="F138" s="1">
        <v>31410</v>
      </c>
      <c r="G138" s="2" t="s">
        <v>1040</v>
      </c>
      <c r="H138" s="2" t="s">
        <v>1036</v>
      </c>
      <c r="I138" s="2" t="s">
        <v>11</v>
      </c>
    </row>
    <row r="139" spans="1:9" x14ac:dyDescent="0.25">
      <c r="A139">
        <v>138</v>
      </c>
      <c r="B139" t="s">
        <v>38</v>
      </c>
      <c r="C139" t="s">
        <v>455</v>
      </c>
      <c r="D139" t="s">
        <v>456</v>
      </c>
      <c r="F139" s="1">
        <v>34214</v>
      </c>
      <c r="G139" s="2" t="s">
        <v>1040</v>
      </c>
      <c r="H139" s="2" t="s">
        <v>1036</v>
      </c>
      <c r="I139" s="2" t="s">
        <v>11</v>
      </c>
    </row>
    <row r="140" spans="1:9" x14ac:dyDescent="0.25">
      <c r="A140">
        <v>139</v>
      </c>
      <c r="B140" t="s">
        <v>457</v>
      </c>
      <c r="C140" t="s">
        <v>166</v>
      </c>
      <c r="D140" t="s">
        <v>156</v>
      </c>
      <c r="F140" s="1">
        <v>27571</v>
      </c>
      <c r="G140" s="2" t="s">
        <v>1040</v>
      </c>
      <c r="H140" s="2" t="s">
        <v>1036</v>
      </c>
      <c r="I140" s="2" t="s">
        <v>11</v>
      </c>
    </row>
    <row r="141" spans="1:9" x14ac:dyDescent="0.25">
      <c r="A141">
        <v>140</v>
      </c>
      <c r="B141" t="s">
        <v>458</v>
      </c>
      <c r="C141" t="s">
        <v>459</v>
      </c>
      <c r="D141" t="s">
        <v>59</v>
      </c>
      <c r="F141" s="1">
        <v>22585</v>
      </c>
      <c r="G141" s="2" t="s">
        <v>1041</v>
      </c>
      <c r="H141" s="2" t="s">
        <v>1036</v>
      </c>
      <c r="I141" s="2" t="s">
        <v>11</v>
      </c>
    </row>
    <row r="142" spans="1:9" x14ac:dyDescent="0.25">
      <c r="A142">
        <v>141</v>
      </c>
      <c r="B142" t="s">
        <v>460</v>
      </c>
      <c r="C142" t="s">
        <v>461</v>
      </c>
      <c r="D142" t="s">
        <v>81</v>
      </c>
      <c r="F142" s="1">
        <v>23778</v>
      </c>
      <c r="G142" s="2" t="s">
        <v>1041</v>
      </c>
      <c r="H142" s="2" t="s">
        <v>1036</v>
      </c>
      <c r="I142" s="2" t="s">
        <v>11</v>
      </c>
    </row>
    <row r="143" spans="1:9" x14ac:dyDescent="0.25">
      <c r="A143">
        <v>142</v>
      </c>
      <c r="B143" t="s">
        <v>462</v>
      </c>
      <c r="C143" t="s">
        <v>463</v>
      </c>
      <c r="D143" t="s">
        <v>464</v>
      </c>
      <c r="F143" s="1">
        <v>28215</v>
      </c>
      <c r="G143" s="2" t="s">
        <v>1041</v>
      </c>
      <c r="H143" s="2" t="s">
        <v>1036</v>
      </c>
      <c r="I143" s="2" t="s">
        <v>11</v>
      </c>
    </row>
    <row r="144" spans="1:9" x14ac:dyDescent="0.25">
      <c r="A144">
        <v>143</v>
      </c>
      <c r="B144" t="s">
        <v>426</v>
      </c>
      <c r="C144" t="s">
        <v>465</v>
      </c>
      <c r="D144" t="s">
        <v>466</v>
      </c>
      <c r="F144" s="1">
        <v>21616</v>
      </c>
      <c r="G144" s="2" t="s">
        <v>1041</v>
      </c>
      <c r="H144" s="2" t="s">
        <v>1036</v>
      </c>
      <c r="I144" s="2" t="s">
        <v>11</v>
      </c>
    </row>
    <row r="145" spans="1:9" x14ac:dyDescent="0.25">
      <c r="A145">
        <v>144</v>
      </c>
      <c r="B145" t="s">
        <v>467</v>
      </c>
      <c r="C145" t="s">
        <v>84</v>
      </c>
      <c r="D145" t="s">
        <v>35</v>
      </c>
      <c r="F145" s="1">
        <v>23264</v>
      </c>
      <c r="G145" s="2" t="s">
        <v>1041</v>
      </c>
      <c r="H145" s="2" t="s">
        <v>1036</v>
      </c>
      <c r="I145" s="2" t="s">
        <v>11</v>
      </c>
    </row>
    <row r="146" spans="1:9" x14ac:dyDescent="0.25">
      <c r="A146">
        <v>145</v>
      </c>
      <c r="B146" t="s">
        <v>468</v>
      </c>
      <c r="C146" t="s">
        <v>469</v>
      </c>
      <c r="D146" t="s">
        <v>81</v>
      </c>
      <c r="F146" s="1">
        <v>23615</v>
      </c>
      <c r="G146" s="2" t="s">
        <v>1041</v>
      </c>
      <c r="H146" s="2" t="s">
        <v>1036</v>
      </c>
      <c r="I146" s="2" t="s">
        <v>11</v>
      </c>
    </row>
    <row r="147" spans="1:9" x14ac:dyDescent="0.25">
      <c r="A147">
        <v>146</v>
      </c>
      <c r="B147" t="s">
        <v>470</v>
      </c>
      <c r="C147" t="s">
        <v>471</v>
      </c>
      <c r="D147" t="s">
        <v>472</v>
      </c>
      <c r="F147" s="1">
        <v>30202</v>
      </c>
      <c r="G147" s="2" t="s">
        <v>1041</v>
      </c>
      <c r="H147" s="2" t="s">
        <v>1036</v>
      </c>
      <c r="I147" s="2" t="s">
        <v>11</v>
      </c>
    </row>
    <row r="148" spans="1:9" x14ac:dyDescent="0.25">
      <c r="A148">
        <v>147</v>
      </c>
      <c r="B148" t="s">
        <v>473</v>
      </c>
      <c r="C148" t="s">
        <v>474</v>
      </c>
      <c r="D148" t="s">
        <v>335</v>
      </c>
      <c r="F148" s="1">
        <v>35137</v>
      </c>
      <c r="G148" s="2" t="s">
        <v>1041</v>
      </c>
      <c r="H148" s="2" t="s">
        <v>1036</v>
      </c>
      <c r="I148" s="2" t="s">
        <v>11</v>
      </c>
    </row>
    <row r="149" spans="1:9" x14ac:dyDescent="0.25">
      <c r="A149">
        <v>148</v>
      </c>
      <c r="B149" t="s">
        <v>81</v>
      </c>
      <c r="C149" t="s">
        <v>475</v>
      </c>
      <c r="D149" t="s">
        <v>53</v>
      </c>
      <c r="F149" s="1">
        <v>21684</v>
      </c>
      <c r="G149" s="2" t="s">
        <v>1041</v>
      </c>
      <c r="H149" s="2" t="s">
        <v>1036</v>
      </c>
      <c r="I149" s="2" t="s">
        <v>11</v>
      </c>
    </row>
    <row r="150" spans="1:9" x14ac:dyDescent="0.25">
      <c r="A150">
        <v>149</v>
      </c>
      <c r="B150" t="s">
        <v>81</v>
      </c>
      <c r="C150" t="s">
        <v>476</v>
      </c>
      <c r="D150" t="s">
        <v>477</v>
      </c>
      <c r="F150" s="1">
        <v>33756</v>
      </c>
      <c r="G150" s="2" t="s">
        <v>1041</v>
      </c>
      <c r="H150" s="2" t="s">
        <v>1036</v>
      </c>
      <c r="I150" s="2" t="s">
        <v>11</v>
      </c>
    </row>
    <row r="151" spans="1:9" x14ac:dyDescent="0.25">
      <c r="A151">
        <v>150</v>
      </c>
      <c r="B151" t="s">
        <v>478</v>
      </c>
      <c r="C151" t="s">
        <v>479</v>
      </c>
      <c r="D151" t="s">
        <v>480</v>
      </c>
      <c r="F151" s="1">
        <v>27627</v>
      </c>
      <c r="G151" s="2" t="s">
        <v>1041</v>
      </c>
      <c r="H151" s="2" t="s">
        <v>1036</v>
      </c>
      <c r="I151" s="2" t="s">
        <v>11</v>
      </c>
    </row>
    <row r="152" spans="1:9" x14ac:dyDescent="0.25">
      <c r="A152">
        <v>151</v>
      </c>
      <c r="B152" t="s">
        <v>38</v>
      </c>
      <c r="C152" t="s">
        <v>481</v>
      </c>
      <c r="D152" t="s">
        <v>81</v>
      </c>
      <c r="F152" s="1">
        <v>28377</v>
      </c>
      <c r="G152" s="2" t="s">
        <v>1041</v>
      </c>
      <c r="H152" s="2" t="s">
        <v>1036</v>
      </c>
      <c r="I152" s="2" t="s">
        <v>11</v>
      </c>
    </row>
    <row r="153" spans="1:9" x14ac:dyDescent="0.25">
      <c r="A153">
        <v>152</v>
      </c>
      <c r="B153" t="s">
        <v>482</v>
      </c>
      <c r="C153" t="s">
        <v>483</v>
      </c>
      <c r="D153" t="s">
        <v>484</v>
      </c>
      <c r="F153" s="1">
        <v>31778</v>
      </c>
      <c r="G153" s="2" t="s">
        <v>1041</v>
      </c>
      <c r="H153" s="2" t="s">
        <v>1036</v>
      </c>
      <c r="I153" s="2" t="s">
        <v>11</v>
      </c>
    </row>
    <row r="154" spans="1:9" x14ac:dyDescent="0.25">
      <c r="A154">
        <v>153</v>
      </c>
      <c r="B154" t="s">
        <v>485</v>
      </c>
      <c r="C154" t="s">
        <v>486</v>
      </c>
      <c r="D154" t="s">
        <v>487</v>
      </c>
      <c r="F154" s="1">
        <v>20062</v>
      </c>
      <c r="G154" s="2" t="s">
        <v>1041</v>
      </c>
      <c r="H154" s="2" t="s">
        <v>1036</v>
      </c>
      <c r="I154" s="2" t="s">
        <v>11</v>
      </c>
    </row>
    <row r="155" spans="1:9" x14ac:dyDescent="0.25">
      <c r="A155">
        <v>154</v>
      </c>
      <c r="B155" t="s">
        <v>488</v>
      </c>
      <c r="C155" t="s">
        <v>489</v>
      </c>
      <c r="D155" t="s">
        <v>490</v>
      </c>
      <c r="F155" s="1">
        <v>20905</v>
      </c>
      <c r="G155" s="2" t="s">
        <v>1041</v>
      </c>
      <c r="H155" s="2" t="s">
        <v>1036</v>
      </c>
      <c r="I155" s="2" t="s">
        <v>11</v>
      </c>
    </row>
    <row r="156" spans="1:9" x14ac:dyDescent="0.25">
      <c r="A156">
        <v>155</v>
      </c>
      <c r="B156" t="s">
        <v>488</v>
      </c>
      <c r="C156" t="s">
        <v>491</v>
      </c>
      <c r="D156" t="s">
        <v>490</v>
      </c>
      <c r="F156" s="1">
        <v>29574</v>
      </c>
      <c r="G156" s="2" t="s">
        <v>1041</v>
      </c>
      <c r="H156" s="2" t="s">
        <v>1036</v>
      </c>
      <c r="I156" s="2" t="s">
        <v>11</v>
      </c>
    </row>
    <row r="157" spans="1:9" x14ac:dyDescent="0.25">
      <c r="A157">
        <v>156</v>
      </c>
      <c r="B157" t="s">
        <v>62</v>
      </c>
      <c r="C157" t="s">
        <v>492</v>
      </c>
      <c r="D157" t="s">
        <v>493</v>
      </c>
      <c r="F157" s="1">
        <v>34027</v>
      </c>
      <c r="G157" s="2" t="s">
        <v>1041</v>
      </c>
      <c r="H157" s="2" t="s">
        <v>1036</v>
      </c>
      <c r="I157" s="2" t="s">
        <v>11</v>
      </c>
    </row>
    <row r="158" spans="1:9" x14ac:dyDescent="0.25">
      <c r="A158">
        <v>157</v>
      </c>
      <c r="B158" t="s">
        <v>62</v>
      </c>
      <c r="C158" t="s">
        <v>134</v>
      </c>
      <c r="D158" t="s">
        <v>494</v>
      </c>
      <c r="F158" s="1">
        <v>27452</v>
      </c>
      <c r="G158" s="2" t="s">
        <v>1041</v>
      </c>
      <c r="H158" s="2" t="s">
        <v>1036</v>
      </c>
      <c r="I158" s="2" t="s">
        <v>11</v>
      </c>
    </row>
    <row r="159" spans="1:9" x14ac:dyDescent="0.25">
      <c r="A159">
        <v>158</v>
      </c>
      <c r="B159" t="s">
        <v>62</v>
      </c>
      <c r="C159" t="s">
        <v>495</v>
      </c>
      <c r="D159" t="s">
        <v>496</v>
      </c>
      <c r="F159" s="1">
        <v>30309</v>
      </c>
      <c r="G159" s="2" t="s">
        <v>1041</v>
      </c>
      <c r="H159" s="2" t="s">
        <v>1036</v>
      </c>
      <c r="I159" s="2" t="s">
        <v>11</v>
      </c>
    </row>
    <row r="160" spans="1:9" x14ac:dyDescent="0.25">
      <c r="A160">
        <v>159</v>
      </c>
      <c r="B160" t="s">
        <v>497</v>
      </c>
      <c r="C160" t="s">
        <v>498</v>
      </c>
      <c r="D160" t="s">
        <v>499</v>
      </c>
      <c r="F160" s="1">
        <v>31266</v>
      </c>
      <c r="G160" s="2" t="s">
        <v>1041</v>
      </c>
      <c r="H160" s="2" t="s">
        <v>1036</v>
      </c>
      <c r="I160" s="2" t="s">
        <v>11</v>
      </c>
    </row>
    <row r="161" spans="1:9" x14ac:dyDescent="0.25">
      <c r="A161">
        <v>160</v>
      </c>
      <c r="B161" t="s">
        <v>500</v>
      </c>
      <c r="C161" t="s">
        <v>501</v>
      </c>
      <c r="D161" t="s">
        <v>502</v>
      </c>
      <c r="F161" s="1">
        <v>36710</v>
      </c>
      <c r="G161" s="2" t="s">
        <v>1042</v>
      </c>
      <c r="H161" s="2" t="s">
        <v>1036</v>
      </c>
      <c r="I161" s="2" t="s">
        <v>11</v>
      </c>
    </row>
    <row r="162" spans="1:9" x14ac:dyDescent="0.25">
      <c r="A162">
        <v>161</v>
      </c>
      <c r="B162" t="s">
        <v>500</v>
      </c>
      <c r="C162" t="s">
        <v>503</v>
      </c>
      <c r="D162" t="s">
        <v>502</v>
      </c>
      <c r="F162" s="1">
        <v>35594</v>
      </c>
      <c r="G162" s="2" t="s">
        <v>1042</v>
      </c>
      <c r="H162" s="2" t="s">
        <v>1036</v>
      </c>
      <c r="I162" s="2" t="s">
        <v>11</v>
      </c>
    </row>
    <row r="163" spans="1:9" x14ac:dyDescent="0.25">
      <c r="A163">
        <v>162</v>
      </c>
      <c r="B163" t="s">
        <v>500</v>
      </c>
      <c r="C163" t="s">
        <v>80</v>
      </c>
      <c r="D163" t="s">
        <v>504</v>
      </c>
      <c r="F163" s="1">
        <v>32314</v>
      </c>
      <c r="G163" s="2" t="s">
        <v>1042</v>
      </c>
      <c r="H163" s="2" t="s">
        <v>1036</v>
      </c>
      <c r="I163" s="2" t="s">
        <v>11</v>
      </c>
    </row>
    <row r="164" spans="1:9" x14ac:dyDescent="0.25">
      <c r="A164">
        <v>163</v>
      </c>
      <c r="B164" t="s">
        <v>500</v>
      </c>
      <c r="C164" t="s">
        <v>505</v>
      </c>
      <c r="D164" t="s">
        <v>113</v>
      </c>
      <c r="F164" s="1">
        <v>34091</v>
      </c>
      <c r="G164" s="2" t="s">
        <v>1042</v>
      </c>
      <c r="H164" s="2" t="s">
        <v>1036</v>
      </c>
      <c r="I164" s="2" t="s">
        <v>11</v>
      </c>
    </row>
    <row r="165" spans="1:9" x14ac:dyDescent="0.25">
      <c r="A165">
        <v>164</v>
      </c>
      <c r="B165" t="s">
        <v>500</v>
      </c>
      <c r="C165" t="s">
        <v>251</v>
      </c>
      <c r="D165" t="s">
        <v>467</v>
      </c>
      <c r="F165" s="1">
        <v>25420</v>
      </c>
      <c r="G165" s="2" t="s">
        <v>1042</v>
      </c>
      <c r="H165" s="2" t="s">
        <v>1036</v>
      </c>
      <c r="I165" s="2" t="s">
        <v>11</v>
      </c>
    </row>
    <row r="166" spans="1:9" x14ac:dyDescent="0.25">
      <c r="A166">
        <v>165</v>
      </c>
      <c r="B166" t="s">
        <v>500</v>
      </c>
      <c r="C166" t="s">
        <v>506</v>
      </c>
      <c r="D166" t="s">
        <v>507</v>
      </c>
      <c r="F166" s="1">
        <v>25125</v>
      </c>
      <c r="G166" s="2" t="s">
        <v>1042</v>
      </c>
      <c r="H166" s="2" t="s">
        <v>1036</v>
      </c>
      <c r="I166" s="2" t="s">
        <v>11</v>
      </c>
    </row>
    <row r="167" spans="1:9" x14ac:dyDescent="0.25">
      <c r="A167">
        <v>166</v>
      </c>
      <c r="B167" t="s">
        <v>508</v>
      </c>
      <c r="C167" t="s">
        <v>509</v>
      </c>
      <c r="D167" t="s">
        <v>510</v>
      </c>
      <c r="F167" s="1">
        <v>34143</v>
      </c>
      <c r="G167" s="2" t="s">
        <v>1042</v>
      </c>
      <c r="H167" s="2" t="s">
        <v>1036</v>
      </c>
      <c r="I167" s="2" t="s">
        <v>11</v>
      </c>
    </row>
    <row r="168" spans="1:9" x14ac:dyDescent="0.25">
      <c r="A168">
        <v>167</v>
      </c>
      <c r="B168" t="s">
        <v>511</v>
      </c>
      <c r="C168" t="s">
        <v>89</v>
      </c>
      <c r="D168" t="s">
        <v>500</v>
      </c>
      <c r="F168" s="1">
        <v>26568</v>
      </c>
      <c r="G168" s="2" t="s">
        <v>1042</v>
      </c>
      <c r="H168" s="2" t="s">
        <v>1036</v>
      </c>
      <c r="I168" s="2" t="s">
        <v>11</v>
      </c>
    </row>
    <row r="169" spans="1:9" x14ac:dyDescent="0.25">
      <c r="A169">
        <v>168</v>
      </c>
      <c r="B169" t="s">
        <v>512</v>
      </c>
      <c r="C169" t="s">
        <v>513</v>
      </c>
      <c r="D169" t="s">
        <v>126</v>
      </c>
      <c r="F169" s="1">
        <v>28623</v>
      </c>
      <c r="G169" s="2" t="s">
        <v>1042</v>
      </c>
      <c r="H169" s="2" t="s">
        <v>1036</v>
      </c>
      <c r="I169" s="2" t="s">
        <v>11</v>
      </c>
    </row>
    <row r="170" spans="1:9" x14ac:dyDescent="0.25">
      <c r="A170">
        <v>169</v>
      </c>
      <c r="B170" t="s">
        <v>512</v>
      </c>
      <c r="C170" t="s">
        <v>514</v>
      </c>
      <c r="D170" t="s">
        <v>97</v>
      </c>
      <c r="F170" s="1">
        <v>19481</v>
      </c>
      <c r="G170" s="2" t="s">
        <v>1042</v>
      </c>
      <c r="H170" s="2" t="s">
        <v>1036</v>
      </c>
      <c r="I170" s="2" t="s">
        <v>11</v>
      </c>
    </row>
    <row r="171" spans="1:9" x14ac:dyDescent="0.25">
      <c r="A171">
        <v>170</v>
      </c>
      <c r="B171" t="s">
        <v>512</v>
      </c>
      <c r="C171" t="s">
        <v>515</v>
      </c>
      <c r="D171" t="s">
        <v>97</v>
      </c>
      <c r="F171" s="1">
        <v>30827</v>
      </c>
      <c r="G171" s="2" t="s">
        <v>1042</v>
      </c>
      <c r="H171" s="2" t="s">
        <v>1036</v>
      </c>
      <c r="I171" s="2" t="s">
        <v>11</v>
      </c>
    </row>
    <row r="172" spans="1:9" x14ac:dyDescent="0.25">
      <c r="A172">
        <v>171</v>
      </c>
      <c r="B172" t="s">
        <v>516</v>
      </c>
      <c r="C172" t="s">
        <v>517</v>
      </c>
      <c r="D172" t="s">
        <v>518</v>
      </c>
      <c r="F172" s="1">
        <v>27904</v>
      </c>
      <c r="G172" s="2" t="s">
        <v>1042</v>
      </c>
      <c r="H172" s="2" t="s">
        <v>1036</v>
      </c>
      <c r="I172" s="2" t="s">
        <v>11</v>
      </c>
    </row>
    <row r="173" spans="1:9" x14ac:dyDescent="0.25">
      <c r="A173">
        <v>172</v>
      </c>
      <c r="B173" t="s">
        <v>519</v>
      </c>
      <c r="C173" t="s">
        <v>520</v>
      </c>
      <c r="D173" t="s">
        <v>521</v>
      </c>
      <c r="F173" s="1">
        <v>31778</v>
      </c>
      <c r="G173" s="2" t="s">
        <v>1042</v>
      </c>
      <c r="H173" s="2" t="s">
        <v>1036</v>
      </c>
      <c r="I173" s="2" t="s">
        <v>11</v>
      </c>
    </row>
    <row r="174" spans="1:9" x14ac:dyDescent="0.25">
      <c r="A174">
        <v>173</v>
      </c>
      <c r="B174" t="s">
        <v>519</v>
      </c>
      <c r="C174" t="s">
        <v>522</v>
      </c>
      <c r="D174" t="s">
        <v>97</v>
      </c>
      <c r="F174" s="1">
        <v>31849</v>
      </c>
      <c r="G174" s="2" t="s">
        <v>1042</v>
      </c>
      <c r="H174" s="2" t="s">
        <v>1036</v>
      </c>
      <c r="I174" s="2" t="s">
        <v>11</v>
      </c>
    </row>
    <row r="175" spans="1:9" x14ac:dyDescent="0.25">
      <c r="A175">
        <v>174</v>
      </c>
      <c r="B175" t="s">
        <v>519</v>
      </c>
      <c r="C175" t="s">
        <v>523</v>
      </c>
      <c r="D175" t="s">
        <v>78</v>
      </c>
      <c r="F175" s="1">
        <v>33089</v>
      </c>
      <c r="G175" s="2" t="s">
        <v>1042</v>
      </c>
      <c r="H175" s="2" t="s">
        <v>1036</v>
      </c>
      <c r="I175" s="2" t="s">
        <v>11</v>
      </c>
    </row>
    <row r="176" spans="1:9" x14ac:dyDescent="0.25">
      <c r="A176">
        <v>175</v>
      </c>
      <c r="B176" t="s">
        <v>524</v>
      </c>
      <c r="C176" t="s">
        <v>525</v>
      </c>
      <c r="D176" t="s">
        <v>526</v>
      </c>
      <c r="F176" s="1">
        <v>33212</v>
      </c>
      <c r="G176" s="2" t="s">
        <v>1042</v>
      </c>
      <c r="H176" s="2" t="s">
        <v>1036</v>
      </c>
      <c r="I176" s="2" t="s">
        <v>11</v>
      </c>
    </row>
    <row r="177" spans="1:9" x14ac:dyDescent="0.25">
      <c r="A177">
        <v>176</v>
      </c>
      <c r="B177" t="s">
        <v>121</v>
      </c>
      <c r="C177" t="s">
        <v>527</v>
      </c>
      <c r="D177" t="s">
        <v>528</v>
      </c>
      <c r="F177" s="1">
        <v>36534</v>
      </c>
      <c r="G177" s="2" t="s">
        <v>1042</v>
      </c>
      <c r="H177" s="2" t="s">
        <v>1036</v>
      </c>
      <c r="I177" s="2" t="s">
        <v>11</v>
      </c>
    </row>
    <row r="178" spans="1:9" x14ac:dyDescent="0.25">
      <c r="A178">
        <v>177</v>
      </c>
      <c r="B178" t="s">
        <v>529</v>
      </c>
      <c r="C178" t="s">
        <v>530</v>
      </c>
      <c r="D178" t="s">
        <v>97</v>
      </c>
      <c r="E178" t="s">
        <v>67</v>
      </c>
      <c r="F178" s="1">
        <v>32060</v>
      </c>
      <c r="G178" s="2" t="s">
        <v>1042</v>
      </c>
      <c r="H178" s="2" t="s">
        <v>1036</v>
      </c>
      <c r="I178" s="2" t="s">
        <v>11</v>
      </c>
    </row>
    <row r="179" spans="1:9" x14ac:dyDescent="0.25">
      <c r="A179">
        <v>178</v>
      </c>
      <c r="B179" t="s">
        <v>529</v>
      </c>
      <c r="C179" t="s">
        <v>531</v>
      </c>
      <c r="D179" t="s">
        <v>532</v>
      </c>
      <c r="F179" s="1">
        <v>36111</v>
      </c>
      <c r="G179" s="2" t="s">
        <v>1042</v>
      </c>
      <c r="H179" s="2" t="s">
        <v>1036</v>
      </c>
      <c r="I179" s="2" t="s">
        <v>11</v>
      </c>
    </row>
    <row r="180" spans="1:9" x14ac:dyDescent="0.25">
      <c r="A180">
        <v>179</v>
      </c>
      <c r="B180" t="s">
        <v>529</v>
      </c>
      <c r="C180" t="s">
        <v>533</v>
      </c>
      <c r="D180" t="s">
        <v>97</v>
      </c>
      <c r="F180" s="1">
        <v>25647</v>
      </c>
      <c r="G180" s="2" t="s">
        <v>1042</v>
      </c>
      <c r="H180" s="2" t="s">
        <v>1036</v>
      </c>
      <c r="I180" s="2" t="s">
        <v>11</v>
      </c>
    </row>
    <row r="181" spans="1:9" x14ac:dyDescent="0.25">
      <c r="A181">
        <v>180</v>
      </c>
      <c r="B181" t="s">
        <v>529</v>
      </c>
      <c r="C181" t="s">
        <v>534</v>
      </c>
      <c r="D181" t="s">
        <v>535</v>
      </c>
      <c r="F181" s="1">
        <v>28932</v>
      </c>
      <c r="G181" s="2" t="s">
        <v>1042</v>
      </c>
      <c r="H181" s="2" t="s">
        <v>1036</v>
      </c>
      <c r="I181" s="2" t="s">
        <v>11</v>
      </c>
    </row>
    <row r="182" spans="1:9" x14ac:dyDescent="0.25">
      <c r="A182">
        <v>181</v>
      </c>
      <c r="B182" t="s">
        <v>529</v>
      </c>
      <c r="C182" t="s">
        <v>536</v>
      </c>
      <c r="D182" t="s">
        <v>537</v>
      </c>
      <c r="F182" s="1">
        <v>28630</v>
      </c>
      <c r="G182" s="2" t="s">
        <v>1042</v>
      </c>
      <c r="H182" s="2" t="s">
        <v>1036</v>
      </c>
      <c r="I182" s="2" t="s">
        <v>11</v>
      </c>
    </row>
    <row r="183" spans="1:9" x14ac:dyDescent="0.25">
      <c r="A183">
        <v>182</v>
      </c>
      <c r="B183" t="s">
        <v>180</v>
      </c>
      <c r="C183" t="s">
        <v>230</v>
      </c>
      <c r="D183" t="s">
        <v>538</v>
      </c>
      <c r="F183" s="1">
        <v>35895</v>
      </c>
      <c r="G183" s="2" t="s">
        <v>1042</v>
      </c>
      <c r="H183" s="2" t="s">
        <v>1036</v>
      </c>
      <c r="I183" s="2" t="s">
        <v>11</v>
      </c>
    </row>
    <row r="184" spans="1:9" x14ac:dyDescent="0.25">
      <c r="A184">
        <v>183</v>
      </c>
      <c r="B184" t="s">
        <v>464</v>
      </c>
      <c r="C184" t="s">
        <v>539</v>
      </c>
      <c r="D184" t="s">
        <v>512</v>
      </c>
      <c r="F184" s="1">
        <v>27320</v>
      </c>
      <c r="G184" s="2" t="s">
        <v>1042</v>
      </c>
      <c r="H184" s="2" t="s">
        <v>1036</v>
      </c>
      <c r="I184" s="2" t="s">
        <v>11</v>
      </c>
    </row>
    <row r="185" spans="1:9" x14ac:dyDescent="0.25">
      <c r="A185">
        <v>184</v>
      </c>
      <c r="B185" t="s">
        <v>540</v>
      </c>
      <c r="C185" t="s">
        <v>541</v>
      </c>
      <c r="D185" t="s">
        <v>542</v>
      </c>
      <c r="F185" s="1">
        <v>36049</v>
      </c>
      <c r="G185" s="2" t="s">
        <v>1042</v>
      </c>
      <c r="H185" s="2" t="s">
        <v>1036</v>
      </c>
      <c r="I185" s="2" t="s">
        <v>11</v>
      </c>
    </row>
    <row r="186" spans="1:9" x14ac:dyDescent="0.25">
      <c r="A186">
        <v>185</v>
      </c>
      <c r="B186" t="s">
        <v>543</v>
      </c>
      <c r="C186" t="s">
        <v>544</v>
      </c>
      <c r="D186" t="s">
        <v>306</v>
      </c>
      <c r="F186" s="1">
        <v>2139</v>
      </c>
      <c r="G186" s="2" t="s">
        <v>1042</v>
      </c>
      <c r="H186" s="2" t="s">
        <v>1036</v>
      </c>
      <c r="I186" s="2" t="s">
        <v>11</v>
      </c>
    </row>
    <row r="187" spans="1:9" x14ac:dyDescent="0.25">
      <c r="A187">
        <v>186</v>
      </c>
      <c r="B187" t="s">
        <v>78</v>
      </c>
      <c r="C187" t="s">
        <v>545</v>
      </c>
      <c r="D187" t="s">
        <v>512</v>
      </c>
      <c r="F187" s="1">
        <v>37300</v>
      </c>
      <c r="G187" s="2" t="s">
        <v>1042</v>
      </c>
      <c r="H187" s="2" t="s">
        <v>1036</v>
      </c>
      <c r="I187" s="2" t="s">
        <v>11</v>
      </c>
    </row>
    <row r="188" spans="1:9" x14ac:dyDescent="0.25">
      <c r="A188">
        <v>187</v>
      </c>
      <c r="B188" t="s">
        <v>546</v>
      </c>
      <c r="C188" t="s">
        <v>547</v>
      </c>
      <c r="D188" t="s">
        <v>548</v>
      </c>
      <c r="F188" s="1">
        <v>30960</v>
      </c>
      <c r="G188" s="2" t="s">
        <v>1042</v>
      </c>
      <c r="H188" s="2" t="s">
        <v>1036</v>
      </c>
      <c r="I188" s="2" t="s">
        <v>11</v>
      </c>
    </row>
    <row r="189" spans="1:9" x14ac:dyDescent="0.25">
      <c r="A189">
        <v>188</v>
      </c>
      <c r="B189" t="s">
        <v>549</v>
      </c>
      <c r="C189" t="s">
        <v>550</v>
      </c>
      <c r="D189" t="s">
        <v>464</v>
      </c>
      <c r="F189" s="1">
        <v>30532</v>
      </c>
      <c r="G189" s="2" t="s">
        <v>1042</v>
      </c>
      <c r="H189" s="2" t="s">
        <v>1036</v>
      </c>
      <c r="I189" s="2" t="s">
        <v>11</v>
      </c>
    </row>
    <row r="190" spans="1:9" x14ac:dyDescent="0.25">
      <c r="A190">
        <v>189</v>
      </c>
      <c r="B190" t="s">
        <v>551</v>
      </c>
      <c r="C190" t="s">
        <v>552</v>
      </c>
      <c r="D190" t="s">
        <v>553</v>
      </c>
      <c r="F190" s="1">
        <v>26134</v>
      </c>
      <c r="G190" s="2" t="s">
        <v>1042</v>
      </c>
      <c r="H190" s="2" t="s">
        <v>1036</v>
      </c>
      <c r="I190" s="2" t="s">
        <v>11</v>
      </c>
    </row>
    <row r="191" spans="1:9" x14ac:dyDescent="0.25">
      <c r="A191">
        <v>190</v>
      </c>
      <c r="B191" t="s">
        <v>97</v>
      </c>
      <c r="C191" t="s">
        <v>530</v>
      </c>
      <c r="D191" t="s">
        <v>535</v>
      </c>
      <c r="F191" s="1">
        <v>20412</v>
      </c>
      <c r="G191" s="2" t="s">
        <v>1042</v>
      </c>
      <c r="H191" s="2" t="s">
        <v>1036</v>
      </c>
      <c r="I191" s="2" t="s">
        <v>11</v>
      </c>
    </row>
    <row r="192" spans="1:9" x14ac:dyDescent="0.25">
      <c r="A192">
        <v>191</v>
      </c>
      <c r="B192" t="s">
        <v>215</v>
      </c>
      <c r="C192" t="s">
        <v>554</v>
      </c>
      <c r="D192" t="s">
        <v>376</v>
      </c>
      <c r="F192" s="1">
        <v>27369</v>
      </c>
      <c r="G192" s="2" t="s">
        <v>1042</v>
      </c>
      <c r="H192" s="2" t="s">
        <v>1036</v>
      </c>
      <c r="I192" s="2" t="s">
        <v>11</v>
      </c>
    </row>
    <row r="193" spans="1:9" x14ac:dyDescent="0.25">
      <c r="A193">
        <v>192</v>
      </c>
      <c r="B193" t="s">
        <v>1134</v>
      </c>
      <c r="C193" t="s">
        <v>75</v>
      </c>
      <c r="D193" t="s">
        <v>555</v>
      </c>
      <c r="F193" s="1">
        <v>31865</v>
      </c>
      <c r="G193" s="2" t="s">
        <v>1042</v>
      </c>
      <c r="H193" s="2" t="s">
        <v>1036</v>
      </c>
      <c r="I193" s="2" t="s">
        <v>11</v>
      </c>
    </row>
    <row r="194" spans="1:9" x14ac:dyDescent="0.25">
      <c r="A194">
        <v>193</v>
      </c>
      <c r="B194" t="s">
        <v>556</v>
      </c>
      <c r="C194" t="s">
        <v>557</v>
      </c>
      <c r="D194" t="s">
        <v>180</v>
      </c>
      <c r="F194" s="1">
        <v>26195</v>
      </c>
      <c r="G194" s="2" t="s">
        <v>1042</v>
      </c>
      <c r="H194" s="2" t="s">
        <v>1036</v>
      </c>
      <c r="I194" s="2" t="s">
        <v>11</v>
      </c>
    </row>
    <row r="195" spans="1:9" x14ac:dyDescent="0.25">
      <c r="A195">
        <v>194</v>
      </c>
      <c r="B195" t="s">
        <v>558</v>
      </c>
      <c r="C195" t="s">
        <v>559</v>
      </c>
      <c r="D195" t="s">
        <v>560</v>
      </c>
      <c r="F195" s="1">
        <v>33300</v>
      </c>
      <c r="G195" s="2" t="s">
        <v>1042</v>
      </c>
      <c r="H195" s="2" t="s">
        <v>1036</v>
      </c>
      <c r="I195" s="2" t="s">
        <v>11</v>
      </c>
    </row>
    <row r="196" spans="1:9" x14ac:dyDescent="0.25">
      <c r="A196">
        <v>195</v>
      </c>
      <c r="B196" t="s">
        <v>561</v>
      </c>
      <c r="C196" t="s">
        <v>562</v>
      </c>
      <c r="D196" t="s">
        <v>168</v>
      </c>
      <c r="F196" s="1">
        <v>32935</v>
      </c>
      <c r="G196" s="2" t="s">
        <v>1042</v>
      </c>
      <c r="H196" s="2" t="s">
        <v>1036</v>
      </c>
      <c r="I196" s="2" t="s">
        <v>11</v>
      </c>
    </row>
    <row r="197" spans="1:9" x14ac:dyDescent="0.25">
      <c r="A197">
        <v>196</v>
      </c>
      <c r="B197" t="s">
        <v>563</v>
      </c>
      <c r="C197" t="s">
        <v>235</v>
      </c>
      <c r="D197" t="s">
        <v>464</v>
      </c>
      <c r="F197" s="1">
        <v>29041</v>
      </c>
      <c r="G197" s="2" t="s">
        <v>1042</v>
      </c>
      <c r="H197" s="2" t="s">
        <v>1036</v>
      </c>
      <c r="I197" s="2" t="s">
        <v>11</v>
      </c>
    </row>
    <row r="198" spans="1:9" x14ac:dyDescent="0.25">
      <c r="A198">
        <v>197</v>
      </c>
      <c r="B198" t="s">
        <v>563</v>
      </c>
      <c r="C198" t="s">
        <v>396</v>
      </c>
      <c r="D198" t="s">
        <v>126</v>
      </c>
      <c r="F198" s="1">
        <v>36114</v>
      </c>
      <c r="G198" s="2" t="s">
        <v>1042</v>
      </c>
      <c r="H198" s="2" t="s">
        <v>1036</v>
      </c>
      <c r="I198" s="2" t="s">
        <v>11</v>
      </c>
    </row>
    <row r="199" spans="1:9" x14ac:dyDescent="0.25">
      <c r="A199">
        <v>198</v>
      </c>
      <c r="B199" t="s">
        <v>168</v>
      </c>
      <c r="C199" t="s">
        <v>166</v>
      </c>
      <c r="D199" t="s">
        <v>560</v>
      </c>
      <c r="F199" s="1">
        <v>36716</v>
      </c>
      <c r="G199" s="2" t="s">
        <v>1042</v>
      </c>
      <c r="H199" s="2" t="s">
        <v>1036</v>
      </c>
      <c r="I199" s="2" t="s">
        <v>11</v>
      </c>
    </row>
    <row r="200" spans="1:9" x14ac:dyDescent="0.25">
      <c r="A200">
        <v>199</v>
      </c>
      <c r="B200" t="s">
        <v>564</v>
      </c>
      <c r="C200" t="s">
        <v>565</v>
      </c>
      <c r="D200" t="s">
        <v>566</v>
      </c>
      <c r="F200" s="1">
        <v>34231</v>
      </c>
      <c r="G200" s="2" t="s">
        <v>1042</v>
      </c>
      <c r="H200" s="2" t="s">
        <v>1036</v>
      </c>
      <c r="I200" s="2" t="s">
        <v>11</v>
      </c>
    </row>
    <row r="201" spans="1:9" x14ac:dyDescent="0.25">
      <c r="A201">
        <v>200</v>
      </c>
      <c r="B201" t="s">
        <v>567</v>
      </c>
      <c r="C201" t="s">
        <v>72</v>
      </c>
      <c r="D201" t="s">
        <v>568</v>
      </c>
      <c r="F201" s="1">
        <v>27844</v>
      </c>
      <c r="G201" s="2" t="s">
        <v>1043</v>
      </c>
      <c r="H201" s="2" t="s">
        <v>1036</v>
      </c>
      <c r="I201" s="2" t="s">
        <v>11</v>
      </c>
    </row>
    <row r="202" spans="1:9" x14ac:dyDescent="0.25">
      <c r="A202">
        <v>201</v>
      </c>
      <c r="B202" t="s">
        <v>569</v>
      </c>
      <c r="C202" t="s">
        <v>570</v>
      </c>
      <c r="D202" t="s">
        <v>78</v>
      </c>
      <c r="F202" s="1">
        <v>24752</v>
      </c>
      <c r="G202" s="2" t="s">
        <v>1044</v>
      </c>
      <c r="H202" s="2" t="s">
        <v>1036</v>
      </c>
      <c r="I202" s="2" t="s">
        <v>11</v>
      </c>
    </row>
    <row r="203" spans="1:9" x14ac:dyDescent="0.25">
      <c r="A203">
        <v>202</v>
      </c>
      <c r="B203" t="s">
        <v>571</v>
      </c>
      <c r="C203" t="s">
        <v>572</v>
      </c>
      <c r="D203" t="s">
        <v>573</v>
      </c>
      <c r="F203" s="1">
        <v>34496</v>
      </c>
      <c r="G203" s="2" t="s">
        <v>1044</v>
      </c>
      <c r="H203" s="2" t="s">
        <v>1036</v>
      </c>
      <c r="I203" s="2" t="s">
        <v>11</v>
      </c>
    </row>
    <row r="204" spans="1:9" x14ac:dyDescent="0.25">
      <c r="A204">
        <v>203</v>
      </c>
      <c r="B204" t="s">
        <v>78</v>
      </c>
      <c r="C204" t="s">
        <v>574</v>
      </c>
      <c r="D204" t="s">
        <v>97</v>
      </c>
      <c r="F204" s="1">
        <v>15600</v>
      </c>
      <c r="G204" s="2" t="s">
        <v>1044</v>
      </c>
      <c r="H204" s="2" t="s">
        <v>1036</v>
      </c>
      <c r="I204" s="2" t="s">
        <v>11</v>
      </c>
    </row>
    <row r="205" spans="1:9" x14ac:dyDescent="0.25">
      <c r="A205">
        <v>204</v>
      </c>
      <c r="B205" t="s">
        <v>575</v>
      </c>
      <c r="C205" t="s">
        <v>576</v>
      </c>
      <c r="D205" t="s">
        <v>132</v>
      </c>
      <c r="F205" s="1">
        <v>24482</v>
      </c>
      <c r="G205" s="2" t="s">
        <v>1044</v>
      </c>
      <c r="H205" s="2" t="s">
        <v>1036</v>
      </c>
      <c r="I205" s="2" t="s">
        <v>11</v>
      </c>
    </row>
    <row r="206" spans="1:9" x14ac:dyDescent="0.25">
      <c r="A206">
        <v>205</v>
      </c>
      <c r="B206" t="s">
        <v>577</v>
      </c>
      <c r="C206" t="s">
        <v>578</v>
      </c>
      <c r="D206" t="s">
        <v>579</v>
      </c>
      <c r="F206" s="1">
        <v>27204</v>
      </c>
      <c r="G206" s="2" t="s">
        <v>1044</v>
      </c>
      <c r="H206" s="2" t="s">
        <v>1036</v>
      </c>
      <c r="I206" s="2" t="s">
        <v>11</v>
      </c>
    </row>
    <row r="207" spans="1:9" x14ac:dyDescent="0.25">
      <c r="A207">
        <v>206</v>
      </c>
      <c r="B207" t="s">
        <v>38</v>
      </c>
      <c r="C207" t="s">
        <v>580</v>
      </c>
      <c r="D207" t="s">
        <v>581</v>
      </c>
      <c r="F207" s="1">
        <v>19647</v>
      </c>
      <c r="G207" s="2" t="s">
        <v>1044</v>
      </c>
      <c r="H207" s="2" t="s">
        <v>1036</v>
      </c>
      <c r="I207" s="2" t="s">
        <v>11</v>
      </c>
    </row>
    <row r="208" spans="1:9" x14ac:dyDescent="0.25">
      <c r="A208">
        <v>207</v>
      </c>
      <c r="B208" t="s">
        <v>573</v>
      </c>
      <c r="C208" t="s">
        <v>167</v>
      </c>
      <c r="D208" t="s">
        <v>582</v>
      </c>
      <c r="F208" s="1">
        <v>35177</v>
      </c>
      <c r="G208" s="2" t="s">
        <v>1044</v>
      </c>
      <c r="H208" s="2" t="s">
        <v>1036</v>
      </c>
      <c r="I208" s="2" t="s">
        <v>11</v>
      </c>
    </row>
    <row r="209" spans="1:9" x14ac:dyDescent="0.25">
      <c r="A209">
        <v>208</v>
      </c>
      <c r="B209" t="s">
        <v>573</v>
      </c>
      <c r="C209" t="s">
        <v>583</v>
      </c>
      <c r="D209" t="s">
        <v>582</v>
      </c>
      <c r="F209" s="1">
        <v>32083</v>
      </c>
      <c r="G209" s="2" t="s">
        <v>1044</v>
      </c>
      <c r="H209" s="2" t="s">
        <v>1036</v>
      </c>
      <c r="I209" s="2" t="s">
        <v>11</v>
      </c>
    </row>
    <row r="210" spans="1:9" x14ac:dyDescent="0.25">
      <c r="A210">
        <v>209</v>
      </c>
      <c r="B210" t="s">
        <v>584</v>
      </c>
      <c r="C210" t="s">
        <v>562</v>
      </c>
      <c r="D210" t="s">
        <v>78</v>
      </c>
      <c r="F210" s="1">
        <v>29795</v>
      </c>
      <c r="G210" s="2" t="s">
        <v>1044</v>
      </c>
      <c r="H210" s="2" t="s">
        <v>1036</v>
      </c>
      <c r="I210" s="2" t="s">
        <v>11</v>
      </c>
    </row>
    <row r="211" spans="1:9" x14ac:dyDescent="0.25">
      <c r="A211">
        <v>210</v>
      </c>
      <c r="B211" t="s">
        <v>585</v>
      </c>
      <c r="C211" t="s">
        <v>586</v>
      </c>
      <c r="D211" t="s">
        <v>135</v>
      </c>
      <c r="F211" s="1">
        <v>18967</v>
      </c>
      <c r="G211" s="2" t="s">
        <v>1045</v>
      </c>
      <c r="H211" s="2" t="s">
        <v>1036</v>
      </c>
      <c r="I211" s="2" t="s">
        <v>11</v>
      </c>
    </row>
    <row r="212" spans="1:9" x14ac:dyDescent="0.25">
      <c r="A212">
        <v>211</v>
      </c>
      <c r="B212" t="s">
        <v>587</v>
      </c>
      <c r="C212" t="s">
        <v>138</v>
      </c>
      <c r="D212" t="s">
        <v>588</v>
      </c>
      <c r="F212" s="1">
        <v>30958</v>
      </c>
      <c r="G212" s="2" t="s">
        <v>1045</v>
      </c>
      <c r="H212" s="2" t="s">
        <v>1036</v>
      </c>
      <c r="I212" s="2" t="s">
        <v>11</v>
      </c>
    </row>
    <row r="213" spans="1:9" x14ac:dyDescent="0.25">
      <c r="A213">
        <v>212</v>
      </c>
      <c r="B213" t="s">
        <v>589</v>
      </c>
      <c r="C213" t="s">
        <v>590</v>
      </c>
      <c r="D213" t="s">
        <v>97</v>
      </c>
      <c r="F213" s="1">
        <v>18600</v>
      </c>
      <c r="G213" s="2" t="s">
        <v>1045</v>
      </c>
      <c r="H213" s="2" t="s">
        <v>1036</v>
      </c>
      <c r="I213" s="2" t="s">
        <v>11</v>
      </c>
    </row>
    <row r="214" spans="1:9" x14ac:dyDescent="0.25">
      <c r="A214">
        <v>213</v>
      </c>
      <c r="B214" t="s">
        <v>589</v>
      </c>
      <c r="C214" t="s">
        <v>161</v>
      </c>
      <c r="D214" t="s">
        <v>591</v>
      </c>
      <c r="F214" s="1">
        <v>27693</v>
      </c>
      <c r="G214" s="2" t="s">
        <v>1045</v>
      </c>
      <c r="H214" s="2" t="s">
        <v>1036</v>
      </c>
      <c r="I214" s="2" t="s">
        <v>11</v>
      </c>
    </row>
    <row r="215" spans="1:9" x14ac:dyDescent="0.25">
      <c r="A215">
        <v>214</v>
      </c>
      <c r="B215" t="s">
        <v>592</v>
      </c>
      <c r="C215" t="s">
        <v>533</v>
      </c>
      <c r="D215" t="s">
        <v>97</v>
      </c>
      <c r="F215" s="1">
        <v>31965</v>
      </c>
      <c r="G215" s="2" t="s">
        <v>1045</v>
      </c>
      <c r="H215" s="2" t="s">
        <v>1036</v>
      </c>
      <c r="I215" s="2" t="s">
        <v>11</v>
      </c>
    </row>
    <row r="216" spans="1:9" x14ac:dyDescent="0.25">
      <c r="A216">
        <v>215</v>
      </c>
      <c r="B216" t="s">
        <v>593</v>
      </c>
      <c r="C216" t="s">
        <v>36</v>
      </c>
      <c r="D216" t="s">
        <v>594</v>
      </c>
      <c r="F216" s="1">
        <v>32809</v>
      </c>
      <c r="G216" s="2" t="s">
        <v>1045</v>
      </c>
      <c r="H216" s="2" t="s">
        <v>1036</v>
      </c>
      <c r="I216" s="2" t="s">
        <v>11</v>
      </c>
    </row>
    <row r="217" spans="1:9" x14ac:dyDescent="0.25">
      <c r="A217">
        <v>216</v>
      </c>
      <c r="B217" t="s">
        <v>595</v>
      </c>
      <c r="C217" t="s">
        <v>31</v>
      </c>
      <c r="D217" t="s">
        <v>112</v>
      </c>
      <c r="F217" s="1">
        <v>25413</v>
      </c>
      <c r="G217" s="2" t="s">
        <v>1045</v>
      </c>
      <c r="H217" s="2" t="s">
        <v>1036</v>
      </c>
      <c r="I217" s="2" t="s">
        <v>11</v>
      </c>
    </row>
    <row r="218" spans="1:9" x14ac:dyDescent="0.25">
      <c r="A218">
        <v>217</v>
      </c>
      <c r="B218" t="s">
        <v>136</v>
      </c>
      <c r="C218" t="s">
        <v>596</v>
      </c>
      <c r="D218" t="s">
        <v>194</v>
      </c>
      <c r="F218" s="1">
        <v>29831</v>
      </c>
      <c r="G218" s="2" t="s">
        <v>1045</v>
      </c>
      <c r="H218" s="2" t="s">
        <v>1036</v>
      </c>
      <c r="I218" s="2" t="s">
        <v>11</v>
      </c>
    </row>
    <row r="219" spans="1:9" x14ac:dyDescent="0.25">
      <c r="A219">
        <v>218</v>
      </c>
      <c r="B219" t="s">
        <v>597</v>
      </c>
      <c r="C219" t="s">
        <v>598</v>
      </c>
      <c r="D219" t="s">
        <v>599</v>
      </c>
      <c r="F219" s="1">
        <v>30410</v>
      </c>
      <c r="G219" s="2" t="s">
        <v>1045</v>
      </c>
      <c r="H219" s="2" t="s">
        <v>1036</v>
      </c>
      <c r="I219" s="2" t="s">
        <v>11</v>
      </c>
    </row>
    <row r="220" spans="1:9" x14ac:dyDescent="0.25">
      <c r="A220">
        <v>219</v>
      </c>
      <c r="B220" t="s">
        <v>600</v>
      </c>
      <c r="C220" t="s">
        <v>149</v>
      </c>
      <c r="D220" t="s">
        <v>601</v>
      </c>
      <c r="F220" s="1">
        <v>33292</v>
      </c>
      <c r="G220" s="2" t="s">
        <v>1045</v>
      </c>
      <c r="H220" s="2" t="s">
        <v>1036</v>
      </c>
      <c r="I220" s="2" t="s">
        <v>11</v>
      </c>
    </row>
    <row r="221" spans="1:9" x14ac:dyDescent="0.25">
      <c r="A221">
        <v>220</v>
      </c>
      <c r="B221" t="s">
        <v>602</v>
      </c>
      <c r="C221" t="s">
        <v>603</v>
      </c>
      <c r="D221" t="s">
        <v>604</v>
      </c>
      <c r="F221" s="1">
        <v>25297</v>
      </c>
      <c r="G221" s="2" t="s">
        <v>1045</v>
      </c>
      <c r="H221" s="2" t="s">
        <v>1036</v>
      </c>
      <c r="I221" s="2" t="s">
        <v>11</v>
      </c>
    </row>
    <row r="222" spans="1:9" x14ac:dyDescent="0.25">
      <c r="A222">
        <v>221</v>
      </c>
      <c r="B222" t="s">
        <v>605</v>
      </c>
      <c r="C222" t="s">
        <v>165</v>
      </c>
      <c r="D222" t="s">
        <v>302</v>
      </c>
      <c r="F222" s="1">
        <v>27091</v>
      </c>
      <c r="G222" s="2" t="s">
        <v>1045</v>
      </c>
      <c r="H222" s="2" t="s">
        <v>1036</v>
      </c>
      <c r="I222" s="2" t="s">
        <v>11</v>
      </c>
    </row>
    <row r="223" spans="1:9" x14ac:dyDescent="0.25">
      <c r="A223">
        <v>222</v>
      </c>
      <c r="B223" t="s">
        <v>70</v>
      </c>
      <c r="C223" t="s">
        <v>396</v>
      </c>
      <c r="D223" t="s">
        <v>606</v>
      </c>
      <c r="F223" s="1">
        <v>30224</v>
      </c>
      <c r="G223" s="2" t="s">
        <v>1045</v>
      </c>
      <c r="H223" s="2" t="s">
        <v>1036</v>
      </c>
      <c r="I223" s="2" t="s">
        <v>11</v>
      </c>
    </row>
    <row r="224" spans="1:9" x14ac:dyDescent="0.25">
      <c r="A224">
        <v>223</v>
      </c>
      <c r="B224" t="s">
        <v>607</v>
      </c>
      <c r="C224" t="s">
        <v>608</v>
      </c>
      <c r="D224" t="s">
        <v>158</v>
      </c>
      <c r="F224" s="1">
        <v>19959</v>
      </c>
      <c r="G224" s="2" t="s">
        <v>1045</v>
      </c>
      <c r="H224" s="2" t="s">
        <v>1036</v>
      </c>
      <c r="I224" s="2" t="s">
        <v>11</v>
      </c>
    </row>
    <row r="225" spans="1:9" x14ac:dyDescent="0.25">
      <c r="A225">
        <v>224</v>
      </c>
      <c r="B225" t="s">
        <v>609</v>
      </c>
      <c r="C225" t="s">
        <v>610</v>
      </c>
      <c r="D225" t="s">
        <v>158</v>
      </c>
      <c r="F225" s="1">
        <v>30023</v>
      </c>
      <c r="G225" s="2" t="s">
        <v>1045</v>
      </c>
      <c r="H225" s="2" t="s">
        <v>1036</v>
      </c>
      <c r="I225" s="2" t="s">
        <v>11</v>
      </c>
    </row>
    <row r="226" spans="1:9" x14ac:dyDescent="0.25">
      <c r="A226">
        <v>225</v>
      </c>
      <c r="B226" t="s">
        <v>611</v>
      </c>
      <c r="C226" t="s">
        <v>428</v>
      </c>
      <c r="D226" t="s">
        <v>97</v>
      </c>
      <c r="E226" t="s">
        <v>612</v>
      </c>
      <c r="F226" s="1">
        <v>31001</v>
      </c>
      <c r="G226" s="2" t="s">
        <v>1045</v>
      </c>
      <c r="H226" s="2" t="s">
        <v>1036</v>
      </c>
      <c r="I226" s="2" t="s">
        <v>11</v>
      </c>
    </row>
    <row r="227" spans="1:9" x14ac:dyDescent="0.25">
      <c r="A227">
        <v>226</v>
      </c>
      <c r="B227" t="s">
        <v>88</v>
      </c>
      <c r="C227" t="s">
        <v>147</v>
      </c>
      <c r="D227" t="s">
        <v>613</v>
      </c>
      <c r="E227" t="s">
        <v>67</v>
      </c>
      <c r="F227" s="1">
        <v>30103</v>
      </c>
      <c r="G227" s="2" t="s">
        <v>1045</v>
      </c>
      <c r="H227" s="2" t="s">
        <v>1036</v>
      </c>
      <c r="I227" s="2" t="s">
        <v>11</v>
      </c>
    </row>
    <row r="228" spans="1:9" x14ac:dyDescent="0.25">
      <c r="A228">
        <v>227</v>
      </c>
      <c r="B228" t="s">
        <v>88</v>
      </c>
      <c r="C228" t="s">
        <v>174</v>
      </c>
      <c r="D228" t="s">
        <v>613</v>
      </c>
      <c r="F228" s="1">
        <v>31304</v>
      </c>
      <c r="G228" s="2" t="s">
        <v>1045</v>
      </c>
      <c r="H228" s="2" t="s">
        <v>1036</v>
      </c>
      <c r="I228" s="2" t="s">
        <v>11</v>
      </c>
    </row>
    <row r="229" spans="1:9" x14ac:dyDescent="0.25">
      <c r="A229">
        <v>228</v>
      </c>
      <c r="B229" t="s">
        <v>88</v>
      </c>
      <c r="C229" t="s">
        <v>614</v>
      </c>
      <c r="D229" t="s">
        <v>615</v>
      </c>
      <c r="F229" s="1">
        <v>28551</v>
      </c>
      <c r="G229" s="2" t="s">
        <v>1045</v>
      </c>
      <c r="H229" s="2" t="s">
        <v>1036</v>
      </c>
      <c r="I229" s="2" t="s">
        <v>11</v>
      </c>
    </row>
    <row r="230" spans="1:9" x14ac:dyDescent="0.25">
      <c r="A230">
        <v>229</v>
      </c>
      <c r="B230" t="s">
        <v>88</v>
      </c>
      <c r="C230" t="s">
        <v>616</v>
      </c>
      <c r="D230" t="s">
        <v>617</v>
      </c>
      <c r="F230" s="1">
        <v>17436</v>
      </c>
      <c r="G230" s="2" t="s">
        <v>1045</v>
      </c>
      <c r="H230" s="2" t="s">
        <v>1036</v>
      </c>
      <c r="I230" s="2" t="s">
        <v>11</v>
      </c>
    </row>
    <row r="231" spans="1:9" x14ac:dyDescent="0.25">
      <c r="A231">
        <v>230</v>
      </c>
      <c r="B231" t="s">
        <v>88</v>
      </c>
      <c r="C231" t="s">
        <v>618</v>
      </c>
      <c r="D231" t="s">
        <v>363</v>
      </c>
      <c r="E231" t="s">
        <v>67</v>
      </c>
      <c r="F231" s="1">
        <v>25260</v>
      </c>
      <c r="G231" s="2" t="s">
        <v>1045</v>
      </c>
      <c r="H231" s="2" t="s">
        <v>1036</v>
      </c>
      <c r="I231" s="2" t="s">
        <v>11</v>
      </c>
    </row>
    <row r="232" spans="1:9" x14ac:dyDescent="0.25">
      <c r="A232">
        <v>231</v>
      </c>
      <c r="B232" t="s">
        <v>619</v>
      </c>
      <c r="C232" t="s">
        <v>153</v>
      </c>
      <c r="D232" t="s">
        <v>620</v>
      </c>
      <c r="E232" t="s">
        <v>67</v>
      </c>
      <c r="F232" s="1">
        <v>29167</v>
      </c>
      <c r="G232" s="2" t="s">
        <v>1045</v>
      </c>
      <c r="H232" s="2" t="s">
        <v>1036</v>
      </c>
      <c r="I232" s="2" t="s">
        <v>11</v>
      </c>
    </row>
    <row r="233" spans="1:9" x14ac:dyDescent="0.25">
      <c r="A233">
        <v>232</v>
      </c>
      <c r="B233" t="s">
        <v>140</v>
      </c>
      <c r="C233" t="s">
        <v>96</v>
      </c>
      <c r="D233" t="s">
        <v>621</v>
      </c>
      <c r="F233" s="1">
        <v>25780</v>
      </c>
      <c r="G233" s="2" t="s">
        <v>1045</v>
      </c>
      <c r="H233" s="2" t="s">
        <v>1036</v>
      </c>
      <c r="I233" s="2" t="s">
        <v>11</v>
      </c>
    </row>
    <row r="234" spans="1:9" x14ac:dyDescent="0.25">
      <c r="A234">
        <v>233</v>
      </c>
      <c r="B234" t="s">
        <v>192</v>
      </c>
      <c r="C234" t="s">
        <v>622</v>
      </c>
      <c r="D234" t="s">
        <v>623</v>
      </c>
      <c r="F234" s="1">
        <v>27170</v>
      </c>
      <c r="G234" s="2" t="s">
        <v>1045</v>
      </c>
      <c r="H234" s="2" t="s">
        <v>1036</v>
      </c>
      <c r="I234" s="2" t="s">
        <v>11</v>
      </c>
    </row>
    <row r="235" spans="1:9" x14ac:dyDescent="0.25">
      <c r="A235">
        <v>234</v>
      </c>
      <c r="B235" t="s">
        <v>192</v>
      </c>
      <c r="C235" t="s">
        <v>287</v>
      </c>
      <c r="D235" t="s">
        <v>595</v>
      </c>
      <c r="F235" s="1">
        <v>24432</v>
      </c>
      <c r="G235" s="2" t="s">
        <v>1045</v>
      </c>
      <c r="H235" s="2" t="s">
        <v>1036</v>
      </c>
      <c r="I235" s="2" t="s">
        <v>11</v>
      </c>
    </row>
    <row r="236" spans="1:9" x14ac:dyDescent="0.25">
      <c r="A236">
        <v>235</v>
      </c>
      <c r="B236" t="s">
        <v>192</v>
      </c>
      <c r="C236" t="s">
        <v>624</v>
      </c>
      <c r="D236" t="s">
        <v>625</v>
      </c>
      <c r="E236" t="s">
        <v>76</v>
      </c>
      <c r="F236" s="1">
        <v>13571</v>
      </c>
      <c r="G236" s="2" t="s">
        <v>1045</v>
      </c>
      <c r="H236" s="2" t="s">
        <v>1036</v>
      </c>
      <c r="I236" s="2" t="s">
        <v>11</v>
      </c>
    </row>
    <row r="237" spans="1:9" x14ac:dyDescent="0.25">
      <c r="A237">
        <v>236</v>
      </c>
      <c r="B237" t="s">
        <v>626</v>
      </c>
      <c r="C237" t="s">
        <v>627</v>
      </c>
      <c r="D237" t="s">
        <v>628</v>
      </c>
      <c r="F237" s="1">
        <v>26307</v>
      </c>
      <c r="G237" s="2" t="s">
        <v>1045</v>
      </c>
      <c r="H237" s="2" t="s">
        <v>1036</v>
      </c>
      <c r="I237" s="2" t="s">
        <v>11</v>
      </c>
    </row>
    <row r="238" spans="1:9" x14ac:dyDescent="0.25">
      <c r="A238">
        <v>237</v>
      </c>
      <c r="B238" t="s">
        <v>126</v>
      </c>
      <c r="C238" t="s">
        <v>629</v>
      </c>
      <c r="D238" t="s">
        <v>630</v>
      </c>
      <c r="F238" s="1">
        <v>27177</v>
      </c>
      <c r="G238" s="2" t="s">
        <v>1045</v>
      </c>
      <c r="H238" s="2" t="s">
        <v>1036</v>
      </c>
      <c r="I238" s="2" t="s">
        <v>11</v>
      </c>
    </row>
    <row r="239" spans="1:9" x14ac:dyDescent="0.25">
      <c r="A239">
        <v>238</v>
      </c>
      <c r="B239" t="s">
        <v>631</v>
      </c>
      <c r="C239" t="s">
        <v>632</v>
      </c>
      <c r="D239" t="s">
        <v>97</v>
      </c>
      <c r="F239" s="1">
        <v>30388</v>
      </c>
      <c r="G239" s="2" t="s">
        <v>1045</v>
      </c>
      <c r="H239" s="2" t="s">
        <v>1036</v>
      </c>
      <c r="I239" s="2" t="s">
        <v>11</v>
      </c>
    </row>
    <row r="240" spans="1:9" x14ac:dyDescent="0.25">
      <c r="A240">
        <v>239</v>
      </c>
      <c r="B240" t="s">
        <v>633</v>
      </c>
      <c r="C240" t="s">
        <v>60</v>
      </c>
      <c r="D240" t="s">
        <v>634</v>
      </c>
      <c r="F240" s="1">
        <v>26529</v>
      </c>
      <c r="G240" s="2" t="s">
        <v>1045</v>
      </c>
      <c r="H240" s="2" t="s">
        <v>1036</v>
      </c>
      <c r="I240" s="2" t="s">
        <v>11</v>
      </c>
    </row>
    <row r="241" spans="1:9" x14ac:dyDescent="0.25">
      <c r="A241">
        <v>240</v>
      </c>
      <c r="B241" t="s">
        <v>635</v>
      </c>
      <c r="C241" t="s">
        <v>636</v>
      </c>
      <c r="D241" t="s">
        <v>637</v>
      </c>
      <c r="F241" s="1">
        <v>34448</v>
      </c>
      <c r="G241" s="2" t="s">
        <v>1045</v>
      </c>
      <c r="H241" s="2" t="s">
        <v>1036</v>
      </c>
      <c r="I241" s="2" t="s">
        <v>11</v>
      </c>
    </row>
    <row r="242" spans="1:9" x14ac:dyDescent="0.25">
      <c r="A242">
        <v>241</v>
      </c>
      <c r="B242" t="s">
        <v>638</v>
      </c>
      <c r="C242" t="s">
        <v>639</v>
      </c>
      <c r="D242" t="s">
        <v>88</v>
      </c>
      <c r="F242" s="1">
        <v>24328</v>
      </c>
      <c r="G242" s="2" t="s">
        <v>1045</v>
      </c>
      <c r="H242" s="2" t="s">
        <v>1036</v>
      </c>
      <c r="I242" s="2" t="s">
        <v>11</v>
      </c>
    </row>
    <row r="243" spans="1:9" x14ac:dyDescent="0.25">
      <c r="A243">
        <v>242</v>
      </c>
      <c r="B243" t="s">
        <v>16</v>
      </c>
      <c r="C243" t="s">
        <v>145</v>
      </c>
      <c r="D243" t="s">
        <v>640</v>
      </c>
      <c r="F243" s="1">
        <v>30282</v>
      </c>
      <c r="G243" s="2" t="s">
        <v>1045</v>
      </c>
      <c r="H243" s="2" t="s">
        <v>1036</v>
      </c>
      <c r="I243" s="2" t="s">
        <v>11</v>
      </c>
    </row>
    <row r="244" spans="1:9" x14ac:dyDescent="0.25">
      <c r="A244">
        <v>243</v>
      </c>
      <c r="B244" t="s">
        <v>16</v>
      </c>
      <c r="C244" t="s">
        <v>641</v>
      </c>
      <c r="D244" t="s">
        <v>28</v>
      </c>
      <c r="F244" s="1">
        <v>31092</v>
      </c>
      <c r="G244" s="2" t="s">
        <v>1045</v>
      </c>
      <c r="H244" s="2" t="s">
        <v>1036</v>
      </c>
      <c r="I244" s="2" t="s">
        <v>11</v>
      </c>
    </row>
    <row r="245" spans="1:9" x14ac:dyDescent="0.25">
      <c r="A245">
        <v>244</v>
      </c>
      <c r="B245" t="s">
        <v>642</v>
      </c>
      <c r="C245" t="s">
        <v>643</v>
      </c>
      <c r="D245" t="s">
        <v>180</v>
      </c>
      <c r="F245" s="1">
        <v>19003</v>
      </c>
      <c r="G245" s="2" t="s">
        <v>1045</v>
      </c>
      <c r="H245" s="2" t="s">
        <v>1036</v>
      </c>
      <c r="I245" s="2" t="s">
        <v>11</v>
      </c>
    </row>
    <row r="246" spans="1:9" x14ac:dyDescent="0.25">
      <c r="A246">
        <v>245</v>
      </c>
      <c r="B246" t="s">
        <v>642</v>
      </c>
      <c r="C246" t="s">
        <v>644</v>
      </c>
      <c r="D246" t="s">
        <v>18</v>
      </c>
      <c r="F246" s="1">
        <v>30999</v>
      </c>
      <c r="G246" s="2" t="s">
        <v>1045</v>
      </c>
      <c r="H246" s="2" t="s">
        <v>1036</v>
      </c>
      <c r="I246" s="2" t="s">
        <v>11</v>
      </c>
    </row>
    <row r="247" spans="1:9" x14ac:dyDescent="0.25">
      <c r="A247">
        <v>246</v>
      </c>
      <c r="B247" t="s">
        <v>78</v>
      </c>
      <c r="C247" t="s">
        <v>645</v>
      </c>
      <c r="D247" t="s">
        <v>646</v>
      </c>
      <c r="F247" s="1">
        <v>32094</v>
      </c>
      <c r="G247" s="2" t="s">
        <v>1045</v>
      </c>
      <c r="H247" s="2" t="s">
        <v>1036</v>
      </c>
      <c r="I247" s="2" t="s">
        <v>11</v>
      </c>
    </row>
    <row r="248" spans="1:9" x14ac:dyDescent="0.25">
      <c r="A248">
        <v>247</v>
      </c>
      <c r="B248" t="s">
        <v>78</v>
      </c>
      <c r="C248" t="s">
        <v>101</v>
      </c>
      <c r="D248" t="s">
        <v>588</v>
      </c>
      <c r="F248" s="1">
        <v>24030</v>
      </c>
      <c r="G248" s="2" t="s">
        <v>1045</v>
      </c>
      <c r="H248" s="2" t="s">
        <v>1036</v>
      </c>
      <c r="I248" s="2" t="s">
        <v>11</v>
      </c>
    </row>
    <row r="249" spans="1:9" x14ac:dyDescent="0.25">
      <c r="A249">
        <v>248</v>
      </c>
      <c r="B249" t="s">
        <v>54</v>
      </c>
      <c r="C249" t="s">
        <v>116</v>
      </c>
      <c r="D249" t="s">
        <v>647</v>
      </c>
      <c r="F249" s="1">
        <v>18113</v>
      </c>
      <c r="G249" s="2" t="s">
        <v>1045</v>
      </c>
      <c r="H249" s="2" t="s">
        <v>1036</v>
      </c>
      <c r="I249" s="2" t="s">
        <v>11</v>
      </c>
    </row>
    <row r="250" spans="1:9" x14ac:dyDescent="0.25">
      <c r="A250">
        <v>249</v>
      </c>
      <c r="B250" t="s">
        <v>81</v>
      </c>
      <c r="C250" t="s">
        <v>648</v>
      </c>
      <c r="D250" t="s">
        <v>649</v>
      </c>
      <c r="F250" s="1">
        <v>44863</v>
      </c>
      <c r="G250" s="2" t="s">
        <v>1045</v>
      </c>
      <c r="H250" s="2" t="s">
        <v>1036</v>
      </c>
      <c r="I250" s="2" t="s">
        <v>11</v>
      </c>
    </row>
    <row r="251" spans="1:9" x14ac:dyDescent="0.25">
      <c r="A251">
        <v>250</v>
      </c>
      <c r="B251" t="s">
        <v>650</v>
      </c>
      <c r="C251" t="s">
        <v>651</v>
      </c>
      <c r="D251" t="s">
        <v>88</v>
      </c>
      <c r="E251" t="s">
        <v>67</v>
      </c>
      <c r="F251" s="1">
        <v>27626</v>
      </c>
      <c r="G251" s="2" t="s">
        <v>1045</v>
      </c>
      <c r="H251" s="2" t="s">
        <v>1036</v>
      </c>
      <c r="I251" s="2" t="s">
        <v>11</v>
      </c>
    </row>
    <row r="252" spans="1:9" x14ac:dyDescent="0.25">
      <c r="A252">
        <v>251</v>
      </c>
      <c r="B252" t="s">
        <v>650</v>
      </c>
      <c r="C252" t="s">
        <v>652</v>
      </c>
      <c r="D252" t="s">
        <v>97</v>
      </c>
      <c r="E252" t="s">
        <v>67</v>
      </c>
      <c r="F252" s="1">
        <v>34938</v>
      </c>
      <c r="G252" s="2" t="s">
        <v>1045</v>
      </c>
      <c r="H252" s="2" t="s">
        <v>1036</v>
      </c>
      <c r="I252" s="2" t="s">
        <v>11</v>
      </c>
    </row>
    <row r="253" spans="1:9" x14ac:dyDescent="0.25">
      <c r="A253">
        <v>252</v>
      </c>
      <c r="B253" t="s">
        <v>650</v>
      </c>
      <c r="C253" t="s">
        <v>652</v>
      </c>
      <c r="D253" t="s">
        <v>88</v>
      </c>
      <c r="E253" t="s">
        <v>76</v>
      </c>
      <c r="F253" s="1">
        <v>24335</v>
      </c>
      <c r="G253" s="2" t="s">
        <v>1045</v>
      </c>
      <c r="H253" s="2" t="s">
        <v>1036</v>
      </c>
      <c r="I253" s="2" t="s">
        <v>11</v>
      </c>
    </row>
    <row r="254" spans="1:9" x14ac:dyDescent="0.25">
      <c r="A254">
        <v>253</v>
      </c>
      <c r="B254" t="s">
        <v>653</v>
      </c>
      <c r="C254" t="s">
        <v>21</v>
      </c>
      <c r="D254" t="s">
        <v>654</v>
      </c>
      <c r="F254" s="1">
        <v>20754</v>
      </c>
      <c r="G254" s="2" t="s">
        <v>1045</v>
      </c>
      <c r="H254" s="2" t="s">
        <v>1036</v>
      </c>
      <c r="I254" s="2" t="s">
        <v>11</v>
      </c>
    </row>
    <row r="255" spans="1:9" x14ac:dyDescent="0.25">
      <c r="A255">
        <v>254</v>
      </c>
      <c r="B255" t="s">
        <v>655</v>
      </c>
      <c r="C255" t="s">
        <v>656</v>
      </c>
      <c r="D255" t="s">
        <v>180</v>
      </c>
      <c r="F255" s="1">
        <v>26392</v>
      </c>
      <c r="G255" s="2" t="s">
        <v>1045</v>
      </c>
      <c r="H255" s="2" t="s">
        <v>1036</v>
      </c>
      <c r="I255" s="2" t="s">
        <v>11</v>
      </c>
    </row>
    <row r="256" spans="1:9" x14ac:dyDescent="0.25">
      <c r="A256">
        <v>255</v>
      </c>
      <c r="B256" t="s">
        <v>1135</v>
      </c>
      <c r="C256" t="s">
        <v>657</v>
      </c>
      <c r="D256" t="s">
        <v>658</v>
      </c>
      <c r="F256" s="1">
        <v>32045</v>
      </c>
      <c r="G256" s="2" t="s">
        <v>1045</v>
      </c>
      <c r="H256" s="2" t="s">
        <v>1036</v>
      </c>
      <c r="I256" s="2" t="s">
        <v>11</v>
      </c>
    </row>
    <row r="257" spans="1:9" x14ac:dyDescent="0.25">
      <c r="A257">
        <v>256</v>
      </c>
      <c r="B257" t="s">
        <v>97</v>
      </c>
      <c r="C257" t="s">
        <v>60</v>
      </c>
      <c r="D257" t="s">
        <v>659</v>
      </c>
      <c r="E257" t="s">
        <v>76</v>
      </c>
      <c r="F257" s="1">
        <v>25291</v>
      </c>
      <c r="G257" s="2" t="s">
        <v>1045</v>
      </c>
      <c r="H257" s="2" t="s">
        <v>1036</v>
      </c>
      <c r="I257" s="2" t="s">
        <v>11</v>
      </c>
    </row>
    <row r="258" spans="1:9" x14ac:dyDescent="0.25">
      <c r="A258">
        <v>257</v>
      </c>
      <c r="B258" t="s">
        <v>97</v>
      </c>
      <c r="C258" t="s">
        <v>660</v>
      </c>
      <c r="D258" t="s">
        <v>109</v>
      </c>
      <c r="F258" s="1">
        <v>34376</v>
      </c>
      <c r="G258" s="2" t="s">
        <v>1045</v>
      </c>
      <c r="H258" s="2" t="s">
        <v>1036</v>
      </c>
      <c r="I258" s="2" t="s">
        <v>11</v>
      </c>
    </row>
    <row r="259" spans="1:9" x14ac:dyDescent="0.25">
      <c r="A259">
        <v>258</v>
      </c>
      <c r="B259" t="s">
        <v>97</v>
      </c>
      <c r="C259" t="s">
        <v>171</v>
      </c>
      <c r="D259" t="s">
        <v>112</v>
      </c>
      <c r="F259" s="1">
        <v>23817</v>
      </c>
      <c r="G259" s="2" t="s">
        <v>1045</v>
      </c>
      <c r="H259" s="2" t="s">
        <v>1036</v>
      </c>
      <c r="I259" s="2" t="s">
        <v>11</v>
      </c>
    </row>
    <row r="260" spans="1:9" x14ac:dyDescent="0.25">
      <c r="A260">
        <v>259</v>
      </c>
      <c r="B260" t="s">
        <v>1136</v>
      </c>
      <c r="C260" t="s">
        <v>25</v>
      </c>
      <c r="D260" t="s">
        <v>661</v>
      </c>
      <c r="E260" t="s">
        <v>67</v>
      </c>
      <c r="F260" s="1">
        <v>31599</v>
      </c>
      <c r="G260" s="2" t="s">
        <v>1045</v>
      </c>
      <c r="H260" s="2" t="s">
        <v>1036</v>
      </c>
      <c r="I260" s="2" t="s">
        <v>11</v>
      </c>
    </row>
    <row r="261" spans="1:9" x14ac:dyDescent="0.25">
      <c r="A261">
        <v>260</v>
      </c>
      <c r="B261" t="s">
        <v>1136</v>
      </c>
      <c r="C261" t="s">
        <v>662</v>
      </c>
      <c r="D261" t="s">
        <v>178</v>
      </c>
      <c r="F261" s="1">
        <v>33863</v>
      </c>
      <c r="G261" s="2" t="s">
        <v>1045</v>
      </c>
      <c r="H261" s="2" t="s">
        <v>1036</v>
      </c>
      <c r="I261" s="2" t="s">
        <v>11</v>
      </c>
    </row>
    <row r="262" spans="1:9" x14ac:dyDescent="0.25">
      <c r="A262">
        <v>261</v>
      </c>
      <c r="B262" t="s">
        <v>1136</v>
      </c>
      <c r="C262" t="s">
        <v>663</v>
      </c>
      <c r="D262" t="s">
        <v>661</v>
      </c>
      <c r="F262" s="1">
        <v>22788</v>
      </c>
      <c r="G262" s="2" t="s">
        <v>1045</v>
      </c>
      <c r="H262" s="2" t="s">
        <v>1036</v>
      </c>
      <c r="I262" s="2" t="s">
        <v>11</v>
      </c>
    </row>
    <row r="263" spans="1:9" x14ac:dyDescent="0.25">
      <c r="A263">
        <v>262</v>
      </c>
      <c r="B263" t="s">
        <v>58</v>
      </c>
      <c r="C263" t="s">
        <v>664</v>
      </c>
      <c r="D263" t="s">
        <v>665</v>
      </c>
      <c r="E263" t="s">
        <v>67</v>
      </c>
      <c r="F263" s="1">
        <v>19918</v>
      </c>
      <c r="G263" s="2" t="s">
        <v>1045</v>
      </c>
      <c r="H263" s="2" t="s">
        <v>1036</v>
      </c>
      <c r="I263" s="2" t="s">
        <v>11</v>
      </c>
    </row>
    <row r="264" spans="1:9" x14ac:dyDescent="0.25">
      <c r="A264">
        <v>263</v>
      </c>
      <c r="B264" t="s">
        <v>666</v>
      </c>
      <c r="C264" t="s">
        <v>667</v>
      </c>
      <c r="D264" t="s">
        <v>668</v>
      </c>
      <c r="F264" s="1">
        <v>33066</v>
      </c>
      <c r="G264" s="2" t="s">
        <v>1045</v>
      </c>
      <c r="H264" s="2" t="s">
        <v>1036</v>
      </c>
      <c r="I264" s="2" t="s">
        <v>11</v>
      </c>
    </row>
    <row r="265" spans="1:9" x14ac:dyDescent="0.25">
      <c r="A265">
        <v>264</v>
      </c>
      <c r="B265" t="s">
        <v>538</v>
      </c>
      <c r="C265" t="s">
        <v>669</v>
      </c>
      <c r="D265" t="s">
        <v>670</v>
      </c>
      <c r="F265" s="1">
        <v>24373</v>
      </c>
      <c r="G265" s="2" t="s">
        <v>1045</v>
      </c>
      <c r="H265" s="2" t="s">
        <v>1036</v>
      </c>
      <c r="I265" s="2" t="s">
        <v>11</v>
      </c>
    </row>
    <row r="266" spans="1:9" x14ac:dyDescent="0.25">
      <c r="A266">
        <v>265</v>
      </c>
      <c r="B266" t="s">
        <v>158</v>
      </c>
      <c r="C266" t="s">
        <v>671</v>
      </c>
      <c r="D266" t="s">
        <v>88</v>
      </c>
      <c r="F266" s="1">
        <v>21130</v>
      </c>
      <c r="G266" s="2" t="s">
        <v>1045</v>
      </c>
      <c r="H266" s="2" t="s">
        <v>1036</v>
      </c>
      <c r="I266" s="2" t="s">
        <v>11</v>
      </c>
    </row>
    <row r="267" spans="1:9" x14ac:dyDescent="0.25">
      <c r="A267">
        <v>266</v>
      </c>
      <c r="B267" t="s">
        <v>88</v>
      </c>
      <c r="C267" t="s">
        <v>43</v>
      </c>
      <c r="D267" t="s">
        <v>363</v>
      </c>
      <c r="F267" s="1">
        <v>32140</v>
      </c>
      <c r="G267" s="2" t="s">
        <v>1045</v>
      </c>
      <c r="H267" s="2" t="s">
        <v>1036</v>
      </c>
      <c r="I267" s="2" t="s">
        <v>11</v>
      </c>
    </row>
    <row r="268" spans="1:9" x14ac:dyDescent="0.25">
      <c r="A268">
        <v>267</v>
      </c>
      <c r="B268" t="s">
        <v>192</v>
      </c>
      <c r="C268" t="s">
        <v>672</v>
      </c>
      <c r="D268" t="s">
        <v>595</v>
      </c>
      <c r="F268" s="1">
        <v>24432</v>
      </c>
      <c r="G268" s="2" t="s">
        <v>1045</v>
      </c>
      <c r="H268" s="2" t="s">
        <v>1036</v>
      </c>
      <c r="I268" s="2" t="s">
        <v>11</v>
      </c>
    </row>
    <row r="269" spans="1:9" x14ac:dyDescent="0.25">
      <c r="A269">
        <v>268</v>
      </c>
      <c r="B269" t="s">
        <v>673</v>
      </c>
      <c r="C269" t="s">
        <v>674</v>
      </c>
      <c r="D269" t="s">
        <v>675</v>
      </c>
      <c r="F269" s="1">
        <v>25688</v>
      </c>
      <c r="G269" s="2" t="s">
        <v>1046</v>
      </c>
      <c r="H269" s="2" t="s">
        <v>1036</v>
      </c>
      <c r="I269" s="2" t="s">
        <v>11</v>
      </c>
    </row>
    <row r="270" spans="1:9" x14ac:dyDescent="0.25">
      <c r="A270">
        <v>269</v>
      </c>
      <c r="B270" t="s">
        <v>676</v>
      </c>
      <c r="C270" t="s">
        <v>677</v>
      </c>
      <c r="D270" t="s">
        <v>678</v>
      </c>
      <c r="E270" t="s">
        <v>76</v>
      </c>
      <c r="F270" s="1">
        <v>23983</v>
      </c>
      <c r="G270" s="2" t="s">
        <v>1046</v>
      </c>
      <c r="H270" s="2" t="s">
        <v>1036</v>
      </c>
      <c r="I270" s="2" t="s">
        <v>11</v>
      </c>
    </row>
    <row r="271" spans="1:9" x14ac:dyDescent="0.25">
      <c r="A271">
        <v>270</v>
      </c>
      <c r="B271" t="s">
        <v>679</v>
      </c>
      <c r="C271" t="s">
        <v>680</v>
      </c>
      <c r="D271" t="s">
        <v>676</v>
      </c>
      <c r="F271" s="1">
        <v>34242</v>
      </c>
      <c r="G271" s="2" t="s">
        <v>1046</v>
      </c>
      <c r="H271" s="2" t="s">
        <v>1036</v>
      </c>
      <c r="I271" s="2" t="s">
        <v>11</v>
      </c>
    </row>
    <row r="272" spans="1:9" x14ac:dyDescent="0.25">
      <c r="A272">
        <v>271</v>
      </c>
      <c r="B272" t="s">
        <v>234</v>
      </c>
      <c r="C272" t="s">
        <v>681</v>
      </c>
      <c r="D272" t="s">
        <v>391</v>
      </c>
      <c r="F272" s="1">
        <v>31364</v>
      </c>
      <c r="G272" s="2" t="s">
        <v>1046</v>
      </c>
      <c r="H272" s="2" t="s">
        <v>1036</v>
      </c>
      <c r="I272" s="2" t="s">
        <v>11</v>
      </c>
    </row>
    <row r="273" spans="1:9" x14ac:dyDescent="0.25">
      <c r="A273">
        <v>272</v>
      </c>
      <c r="B273" t="s">
        <v>682</v>
      </c>
      <c r="C273" t="s">
        <v>34</v>
      </c>
      <c r="D273" t="s">
        <v>432</v>
      </c>
      <c r="F273" s="1">
        <v>28302</v>
      </c>
      <c r="G273" s="2" t="s">
        <v>1046</v>
      </c>
      <c r="H273" s="2" t="s">
        <v>1036</v>
      </c>
      <c r="I273" s="2" t="s">
        <v>11</v>
      </c>
    </row>
    <row r="274" spans="1:9" x14ac:dyDescent="0.25">
      <c r="A274">
        <v>273</v>
      </c>
      <c r="B274" t="s">
        <v>683</v>
      </c>
      <c r="C274" t="s">
        <v>57</v>
      </c>
      <c r="D274" t="s">
        <v>684</v>
      </c>
      <c r="F274" s="1">
        <v>28489</v>
      </c>
      <c r="G274" s="2" t="s">
        <v>1046</v>
      </c>
      <c r="H274" s="2" t="s">
        <v>1036</v>
      </c>
      <c r="I274" s="2" t="s">
        <v>11</v>
      </c>
    </row>
    <row r="275" spans="1:9" x14ac:dyDescent="0.25">
      <c r="A275">
        <v>274</v>
      </c>
      <c r="B275" t="s">
        <v>685</v>
      </c>
      <c r="C275" t="s">
        <v>686</v>
      </c>
      <c r="D275" t="s">
        <v>73</v>
      </c>
      <c r="F275" s="1">
        <v>28874</v>
      </c>
      <c r="G275" s="2" t="s">
        <v>1047</v>
      </c>
      <c r="H275" s="2" t="s">
        <v>1036</v>
      </c>
      <c r="I275" s="2" t="s">
        <v>11</v>
      </c>
    </row>
    <row r="276" spans="1:9" x14ac:dyDescent="0.25">
      <c r="A276">
        <v>275</v>
      </c>
      <c r="B276" t="s">
        <v>687</v>
      </c>
      <c r="C276" t="s">
        <v>552</v>
      </c>
      <c r="D276" t="s">
        <v>688</v>
      </c>
      <c r="F276" s="1">
        <v>34336</v>
      </c>
      <c r="G276" s="2" t="s">
        <v>1047</v>
      </c>
      <c r="H276" s="2" t="s">
        <v>1036</v>
      </c>
      <c r="I276" s="2" t="s">
        <v>11</v>
      </c>
    </row>
    <row r="277" spans="1:9" x14ac:dyDescent="0.25">
      <c r="A277">
        <v>276</v>
      </c>
      <c r="B277" t="s">
        <v>689</v>
      </c>
      <c r="C277" t="s">
        <v>690</v>
      </c>
      <c r="D277" t="s">
        <v>691</v>
      </c>
      <c r="F277" s="1">
        <v>20489</v>
      </c>
      <c r="G277" s="2" t="s">
        <v>1047</v>
      </c>
      <c r="H277" s="2" t="s">
        <v>1036</v>
      </c>
      <c r="I277" s="2" t="s">
        <v>11</v>
      </c>
    </row>
    <row r="278" spans="1:9" x14ac:dyDescent="0.25">
      <c r="A278">
        <v>277</v>
      </c>
      <c r="B278" t="s">
        <v>692</v>
      </c>
      <c r="C278" t="s">
        <v>693</v>
      </c>
      <c r="D278" t="s">
        <v>694</v>
      </c>
      <c r="F278" s="1">
        <v>33309</v>
      </c>
      <c r="G278" s="2" t="s">
        <v>1047</v>
      </c>
      <c r="H278" s="2" t="s">
        <v>1036</v>
      </c>
      <c r="I278" s="2" t="s">
        <v>11</v>
      </c>
    </row>
    <row r="279" spans="1:9" x14ac:dyDescent="0.25">
      <c r="A279">
        <v>278</v>
      </c>
      <c r="B279" t="s">
        <v>695</v>
      </c>
      <c r="C279" t="s">
        <v>696</v>
      </c>
      <c r="D279" t="s">
        <v>694</v>
      </c>
      <c r="F279" s="1">
        <v>25699</v>
      </c>
      <c r="G279" s="2" t="s">
        <v>1047</v>
      </c>
      <c r="H279" s="2" t="s">
        <v>1036</v>
      </c>
      <c r="I279" s="2" t="s">
        <v>11</v>
      </c>
    </row>
    <row r="280" spans="1:9" x14ac:dyDescent="0.25">
      <c r="A280">
        <v>279</v>
      </c>
      <c r="B280" t="s">
        <v>695</v>
      </c>
      <c r="C280" t="s">
        <v>697</v>
      </c>
      <c r="D280" t="s">
        <v>698</v>
      </c>
      <c r="F280" s="1">
        <v>21261</v>
      </c>
      <c r="G280" s="2" t="s">
        <v>1047</v>
      </c>
      <c r="H280" s="2" t="s">
        <v>1036</v>
      </c>
      <c r="I280" s="2" t="s">
        <v>11</v>
      </c>
    </row>
    <row r="281" spans="1:9" x14ac:dyDescent="0.25">
      <c r="A281">
        <v>280</v>
      </c>
      <c r="B281" t="s">
        <v>695</v>
      </c>
      <c r="C281" t="s">
        <v>699</v>
      </c>
      <c r="D281" t="s">
        <v>1137</v>
      </c>
      <c r="F281" s="1">
        <v>32837</v>
      </c>
      <c r="G281" s="2" t="s">
        <v>1047</v>
      </c>
      <c r="H281" s="2" t="s">
        <v>1036</v>
      </c>
      <c r="I281" s="2" t="s">
        <v>11</v>
      </c>
    </row>
    <row r="282" spans="1:9" x14ac:dyDescent="0.25">
      <c r="A282">
        <v>281</v>
      </c>
      <c r="B282" t="s">
        <v>700</v>
      </c>
      <c r="C282" t="s">
        <v>701</v>
      </c>
      <c r="D282" t="s">
        <v>41</v>
      </c>
      <c r="F282" s="1">
        <v>32609</v>
      </c>
      <c r="G282" s="2" t="s">
        <v>1047</v>
      </c>
      <c r="H282" s="2" t="s">
        <v>1036</v>
      </c>
      <c r="I282" s="2" t="s">
        <v>11</v>
      </c>
    </row>
    <row r="283" spans="1:9" x14ac:dyDescent="0.25">
      <c r="A283">
        <v>282</v>
      </c>
      <c r="B283" t="s">
        <v>702</v>
      </c>
      <c r="C283" t="s">
        <v>703</v>
      </c>
      <c r="D283" t="s">
        <v>12</v>
      </c>
      <c r="F283" s="1">
        <v>31482</v>
      </c>
      <c r="G283" s="2" t="s">
        <v>1047</v>
      </c>
      <c r="H283" s="2" t="s">
        <v>1036</v>
      </c>
      <c r="I283" s="2" t="s">
        <v>11</v>
      </c>
    </row>
    <row r="284" spans="1:9" x14ac:dyDescent="0.25">
      <c r="A284">
        <v>283</v>
      </c>
      <c r="B284" t="s">
        <v>225</v>
      </c>
      <c r="C284" t="s">
        <v>704</v>
      </c>
      <c r="D284" t="s">
        <v>705</v>
      </c>
      <c r="F284" s="1">
        <v>31906</v>
      </c>
      <c r="G284" s="2" t="s">
        <v>1047</v>
      </c>
      <c r="H284" s="2" t="s">
        <v>1036</v>
      </c>
      <c r="I284" s="2" t="s">
        <v>11</v>
      </c>
    </row>
    <row r="285" spans="1:9" x14ac:dyDescent="0.25">
      <c r="A285">
        <v>284</v>
      </c>
      <c r="B285" t="s">
        <v>23</v>
      </c>
      <c r="C285" t="s">
        <v>706</v>
      </c>
      <c r="D285" t="s">
        <v>707</v>
      </c>
      <c r="F285" s="1">
        <v>31116</v>
      </c>
      <c r="G285" s="2" t="s">
        <v>1047</v>
      </c>
      <c r="H285" s="2" t="s">
        <v>1036</v>
      </c>
      <c r="I285" s="2" t="s">
        <v>11</v>
      </c>
    </row>
    <row r="286" spans="1:9" x14ac:dyDescent="0.25">
      <c r="A286">
        <v>285</v>
      </c>
      <c r="B286" t="s">
        <v>23</v>
      </c>
      <c r="C286" t="s">
        <v>708</v>
      </c>
      <c r="D286" t="s">
        <v>709</v>
      </c>
      <c r="F286" s="1">
        <v>21718</v>
      </c>
      <c r="G286" s="2" t="s">
        <v>1047</v>
      </c>
      <c r="H286" s="2" t="s">
        <v>1036</v>
      </c>
      <c r="I286" s="2" t="s">
        <v>11</v>
      </c>
    </row>
    <row r="287" spans="1:9" x14ac:dyDescent="0.25">
      <c r="A287">
        <v>286</v>
      </c>
      <c r="B287" t="s">
        <v>23</v>
      </c>
      <c r="C287" t="s">
        <v>154</v>
      </c>
      <c r="D287" t="s">
        <v>710</v>
      </c>
      <c r="F287" s="1">
        <v>28594</v>
      </c>
      <c r="G287" s="2" t="s">
        <v>1047</v>
      </c>
      <c r="H287" s="2" t="s">
        <v>1036</v>
      </c>
      <c r="I287" s="2" t="s">
        <v>11</v>
      </c>
    </row>
    <row r="288" spans="1:9" x14ac:dyDescent="0.25">
      <c r="A288">
        <v>287</v>
      </c>
      <c r="B288" t="s">
        <v>23</v>
      </c>
      <c r="C288" t="s">
        <v>711</v>
      </c>
      <c r="D288" t="s">
        <v>712</v>
      </c>
      <c r="F288" s="1">
        <v>29737</v>
      </c>
      <c r="G288" s="2" t="s">
        <v>1047</v>
      </c>
      <c r="H288" s="2" t="s">
        <v>1036</v>
      </c>
      <c r="I288" s="2" t="s">
        <v>11</v>
      </c>
    </row>
    <row r="289" spans="1:9" x14ac:dyDescent="0.25">
      <c r="A289">
        <v>288</v>
      </c>
      <c r="B289" t="s">
        <v>23</v>
      </c>
      <c r="C289" t="s">
        <v>713</v>
      </c>
      <c r="D289" t="s">
        <v>341</v>
      </c>
      <c r="F289" s="1">
        <v>33274</v>
      </c>
      <c r="G289" s="2" t="s">
        <v>1047</v>
      </c>
      <c r="H289" s="2" t="s">
        <v>1036</v>
      </c>
      <c r="I289" s="2" t="s">
        <v>11</v>
      </c>
    </row>
    <row r="290" spans="1:9" x14ac:dyDescent="0.25">
      <c r="A290">
        <v>289</v>
      </c>
      <c r="B290" t="s">
        <v>714</v>
      </c>
      <c r="C290" t="s">
        <v>71</v>
      </c>
      <c r="D290" t="s">
        <v>715</v>
      </c>
      <c r="F290" s="1">
        <v>28737</v>
      </c>
      <c r="G290" s="2" t="s">
        <v>1047</v>
      </c>
      <c r="H290" s="2" t="s">
        <v>1036</v>
      </c>
      <c r="I290" s="2" t="s">
        <v>11</v>
      </c>
    </row>
    <row r="291" spans="1:9" x14ac:dyDescent="0.25">
      <c r="A291">
        <v>290</v>
      </c>
      <c r="B291" t="s">
        <v>714</v>
      </c>
      <c r="C291" t="s">
        <v>83</v>
      </c>
      <c r="D291" t="s">
        <v>716</v>
      </c>
      <c r="F291" s="1">
        <v>19088</v>
      </c>
      <c r="G291" s="2" t="s">
        <v>1047</v>
      </c>
      <c r="H291" s="2" t="s">
        <v>1036</v>
      </c>
      <c r="I291" s="2" t="s">
        <v>11</v>
      </c>
    </row>
    <row r="292" spans="1:9" x14ac:dyDescent="0.25">
      <c r="A292">
        <v>291</v>
      </c>
      <c r="B292" t="s">
        <v>717</v>
      </c>
      <c r="C292" t="s">
        <v>718</v>
      </c>
      <c r="D292" t="s">
        <v>307</v>
      </c>
      <c r="F292" s="1">
        <v>23444</v>
      </c>
      <c r="G292" s="2" t="s">
        <v>1047</v>
      </c>
      <c r="H292" s="2" t="s">
        <v>1036</v>
      </c>
      <c r="I292" s="2" t="s">
        <v>11</v>
      </c>
    </row>
    <row r="293" spans="1:9" x14ac:dyDescent="0.25">
      <c r="A293">
        <v>292</v>
      </c>
      <c r="B293" t="s">
        <v>719</v>
      </c>
      <c r="C293" t="s">
        <v>720</v>
      </c>
      <c r="D293" t="s">
        <v>721</v>
      </c>
      <c r="F293" s="1">
        <v>36556</v>
      </c>
      <c r="G293" s="2" t="s">
        <v>1047</v>
      </c>
      <c r="H293" s="2" t="s">
        <v>1036</v>
      </c>
      <c r="I293" s="2" t="s">
        <v>11</v>
      </c>
    </row>
    <row r="294" spans="1:9" x14ac:dyDescent="0.25">
      <c r="A294">
        <v>293</v>
      </c>
      <c r="B294" t="s">
        <v>722</v>
      </c>
      <c r="C294" t="s">
        <v>723</v>
      </c>
      <c r="D294" t="s">
        <v>232</v>
      </c>
      <c r="F294" s="1">
        <v>35738</v>
      </c>
      <c r="G294" s="2" t="s">
        <v>1047</v>
      </c>
      <c r="H294" s="2" t="s">
        <v>1036</v>
      </c>
      <c r="I294" s="2" t="s">
        <v>11</v>
      </c>
    </row>
    <row r="295" spans="1:9" x14ac:dyDescent="0.25">
      <c r="A295">
        <v>294</v>
      </c>
      <c r="B295" t="s">
        <v>232</v>
      </c>
      <c r="C295" t="s">
        <v>724</v>
      </c>
      <c r="D295" t="s">
        <v>172</v>
      </c>
      <c r="F295" s="1">
        <v>32905</v>
      </c>
      <c r="G295" s="2" t="s">
        <v>1047</v>
      </c>
      <c r="H295" s="2" t="s">
        <v>1036</v>
      </c>
      <c r="I295" s="2" t="s">
        <v>11</v>
      </c>
    </row>
    <row r="296" spans="1:9" x14ac:dyDescent="0.25">
      <c r="A296">
        <v>295</v>
      </c>
      <c r="B296" t="s">
        <v>725</v>
      </c>
      <c r="C296" t="s">
        <v>726</v>
      </c>
      <c r="D296" t="s">
        <v>727</v>
      </c>
      <c r="F296" s="1">
        <v>28707</v>
      </c>
      <c r="G296" s="2" t="s">
        <v>1047</v>
      </c>
      <c r="H296" s="2" t="s">
        <v>1036</v>
      </c>
      <c r="I296" s="2" t="s">
        <v>11</v>
      </c>
    </row>
    <row r="297" spans="1:9" x14ac:dyDescent="0.25">
      <c r="A297">
        <v>296</v>
      </c>
      <c r="B297" t="s">
        <v>725</v>
      </c>
      <c r="C297" t="s">
        <v>147</v>
      </c>
      <c r="D297" t="s">
        <v>728</v>
      </c>
      <c r="E297" t="s">
        <v>22</v>
      </c>
      <c r="F297" s="1">
        <v>21378</v>
      </c>
      <c r="G297" s="2" t="s">
        <v>1047</v>
      </c>
      <c r="H297" s="2" t="s">
        <v>1036</v>
      </c>
      <c r="I297" s="2" t="s">
        <v>11</v>
      </c>
    </row>
    <row r="298" spans="1:9" x14ac:dyDescent="0.25">
      <c r="A298">
        <v>297</v>
      </c>
      <c r="B298" t="s">
        <v>542</v>
      </c>
      <c r="C298" t="s">
        <v>729</v>
      </c>
      <c r="D298" t="s">
        <v>620</v>
      </c>
      <c r="F298" s="1">
        <v>29119</v>
      </c>
      <c r="G298" s="2" t="s">
        <v>1047</v>
      </c>
      <c r="H298" s="2" t="s">
        <v>1036</v>
      </c>
      <c r="I298" s="2" t="s">
        <v>11</v>
      </c>
    </row>
    <row r="299" spans="1:9" x14ac:dyDescent="0.25">
      <c r="A299">
        <v>298</v>
      </c>
      <c r="B299" t="s">
        <v>542</v>
      </c>
      <c r="C299" t="s">
        <v>730</v>
      </c>
      <c r="D299" t="s">
        <v>620</v>
      </c>
      <c r="F299" s="1">
        <v>18107</v>
      </c>
      <c r="G299" s="2" t="s">
        <v>1047</v>
      </c>
      <c r="H299" s="2" t="s">
        <v>1036</v>
      </c>
      <c r="I299" s="2" t="s">
        <v>11</v>
      </c>
    </row>
    <row r="300" spans="1:9" x14ac:dyDescent="0.25">
      <c r="A300">
        <v>299</v>
      </c>
      <c r="B300" t="s">
        <v>542</v>
      </c>
      <c r="C300" t="s">
        <v>731</v>
      </c>
      <c r="D300" t="s">
        <v>98</v>
      </c>
      <c r="F300" s="1">
        <v>30578</v>
      </c>
      <c r="G300" s="2" t="s">
        <v>1047</v>
      </c>
      <c r="H300" s="2" t="s">
        <v>1036</v>
      </c>
      <c r="I300" s="2" t="s">
        <v>11</v>
      </c>
    </row>
    <row r="301" spans="1:9" x14ac:dyDescent="0.25">
      <c r="A301">
        <v>300</v>
      </c>
      <c r="B301" t="s">
        <v>732</v>
      </c>
      <c r="C301" t="s">
        <v>137</v>
      </c>
      <c r="D301" t="s">
        <v>733</v>
      </c>
      <c r="F301" s="1">
        <v>32086</v>
      </c>
      <c r="G301" s="2" t="s">
        <v>1047</v>
      </c>
      <c r="H301" s="2" t="s">
        <v>1036</v>
      </c>
      <c r="I301" s="2" t="s">
        <v>11</v>
      </c>
    </row>
    <row r="302" spans="1:9" x14ac:dyDescent="0.25">
      <c r="A302">
        <v>301</v>
      </c>
      <c r="B302" t="s">
        <v>734</v>
      </c>
      <c r="C302" t="s">
        <v>361</v>
      </c>
      <c r="D302" t="s">
        <v>98</v>
      </c>
      <c r="F302" s="1">
        <v>28613</v>
      </c>
      <c r="G302" s="2" t="s">
        <v>1047</v>
      </c>
      <c r="H302" s="2" t="s">
        <v>1036</v>
      </c>
      <c r="I302" s="2" t="s">
        <v>11</v>
      </c>
    </row>
    <row r="303" spans="1:9" x14ac:dyDescent="0.25">
      <c r="A303">
        <v>302</v>
      </c>
      <c r="B303" t="s">
        <v>735</v>
      </c>
      <c r="C303" t="s">
        <v>82</v>
      </c>
      <c r="D303" t="s">
        <v>521</v>
      </c>
      <c r="F303" s="1">
        <v>32198</v>
      </c>
      <c r="G303" s="2" t="s">
        <v>1047</v>
      </c>
      <c r="H303" s="2" t="s">
        <v>1036</v>
      </c>
      <c r="I303" s="2" t="s">
        <v>11</v>
      </c>
    </row>
    <row r="304" spans="1:9" x14ac:dyDescent="0.25">
      <c r="A304">
        <v>303</v>
      </c>
      <c r="B304" t="s">
        <v>66</v>
      </c>
      <c r="C304" t="s">
        <v>736</v>
      </c>
      <c r="D304" t="s">
        <v>85</v>
      </c>
      <c r="F304" s="1">
        <v>35513</v>
      </c>
      <c r="G304" s="2" t="s">
        <v>1047</v>
      </c>
      <c r="H304" s="2" t="s">
        <v>1036</v>
      </c>
      <c r="I304" s="2" t="s">
        <v>11</v>
      </c>
    </row>
    <row r="305" spans="1:9" x14ac:dyDescent="0.25">
      <c r="A305">
        <v>304</v>
      </c>
      <c r="B305" t="s">
        <v>46</v>
      </c>
      <c r="C305" t="s">
        <v>737</v>
      </c>
      <c r="D305" t="s">
        <v>738</v>
      </c>
      <c r="F305" s="1">
        <v>28741</v>
      </c>
      <c r="G305" s="2" t="s">
        <v>1047</v>
      </c>
      <c r="H305" s="2" t="s">
        <v>1036</v>
      </c>
      <c r="I305" s="2" t="s">
        <v>11</v>
      </c>
    </row>
    <row r="306" spans="1:9" x14ac:dyDescent="0.25">
      <c r="A306">
        <v>305</v>
      </c>
      <c r="B306" t="s">
        <v>739</v>
      </c>
      <c r="C306" t="s">
        <v>740</v>
      </c>
      <c r="D306" t="s">
        <v>741</v>
      </c>
      <c r="F306" s="1">
        <v>25879</v>
      </c>
      <c r="G306" s="2" t="s">
        <v>1047</v>
      </c>
      <c r="H306" s="2" t="s">
        <v>1036</v>
      </c>
      <c r="I306" s="2" t="s">
        <v>11</v>
      </c>
    </row>
    <row r="307" spans="1:9" x14ac:dyDescent="0.25">
      <c r="A307">
        <v>306</v>
      </c>
      <c r="B307" t="s">
        <v>742</v>
      </c>
      <c r="C307" t="s">
        <v>14</v>
      </c>
      <c r="D307" t="s">
        <v>41</v>
      </c>
      <c r="F307" s="1">
        <v>27988</v>
      </c>
      <c r="G307" s="2" t="s">
        <v>1047</v>
      </c>
      <c r="H307" s="2" t="s">
        <v>1036</v>
      </c>
      <c r="I307" s="2" t="s">
        <v>11</v>
      </c>
    </row>
    <row r="308" spans="1:9" x14ac:dyDescent="0.25">
      <c r="A308">
        <v>307</v>
      </c>
      <c r="B308" t="s">
        <v>743</v>
      </c>
      <c r="C308" t="s">
        <v>552</v>
      </c>
      <c r="D308" t="s">
        <v>744</v>
      </c>
      <c r="F308" s="1">
        <v>33726</v>
      </c>
      <c r="G308" s="2" t="s">
        <v>1047</v>
      </c>
      <c r="H308" s="2" t="s">
        <v>1036</v>
      </c>
      <c r="I308" s="2" t="s">
        <v>11</v>
      </c>
    </row>
    <row r="309" spans="1:9" x14ac:dyDescent="0.25">
      <c r="A309">
        <v>308</v>
      </c>
      <c r="B309" t="s">
        <v>79</v>
      </c>
      <c r="C309" t="s">
        <v>745</v>
      </c>
      <c r="D309" t="s">
        <v>746</v>
      </c>
      <c r="F309" s="1">
        <v>28501</v>
      </c>
      <c r="G309" s="2" t="s">
        <v>1047</v>
      </c>
      <c r="H309" s="2" t="s">
        <v>1036</v>
      </c>
      <c r="I309" s="2" t="s">
        <v>11</v>
      </c>
    </row>
    <row r="310" spans="1:9" x14ac:dyDescent="0.25">
      <c r="A310">
        <v>309</v>
      </c>
      <c r="B310" t="s">
        <v>747</v>
      </c>
      <c r="C310" t="s">
        <v>748</v>
      </c>
      <c r="D310" t="s">
        <v>749</v>
      </c>
      <c r="F310" s="1">
        <v>32139</v>
      </c>
      <c r="G310" s="2" t="s">
        <v>1047</v>
      </c>
      <c r="H310" s="2" t="s">
        <v>1036</v>
      </c>
      <c r="I310" s="2" t="s">
        <v>11</v>
      </c>
    </row>
    <row r="311" spans="1:9" x14ac:dyDescent="0.25">
      <c r="A311">
        <v>310</v>
      </c>
      <c r="B311" t="s">
        <v>750</v>
      </c>
      <c r="C311" t="s">
        <v>751</v>
      </c>
      <c r="D311" t="s">
        <v>286</v>
      </c>
      <c r="F311" s="1">
        <v>32600</v>
      </c>
      <c r="G311" s="2" t="s">
        <v>1047</v>
      </c>
      <c r="H311" s="2" t="s">
        <v>1036</v>
      </c>
      <c r="I311" s="2" t="s">
        <v>11</v>
      </c>
    </row>
    <row r="312" spans="1:9" x14ac:dyDescent="0.25">
      <c r="A312">
        <v>311</v>
      </c>
      <c r="B312" t="s">
        <v>752</v>
      </c>
      <c r="C312" t="s">
        <v>753</v>
      </c>
      <c r="D312" t="s">
        <v>23</v>
      </c>
      <c r="F312" s="1">
        <v>34925</v>
      </c>
      <c r="G312" s="2" t="s">
        <v>1047</v>
      </c>
      <c r="H312" s="2" t="s">
        <v>1036</v>
      </c>
      <c r="I312" s="2" t="s">
        <v>11</v>
      </c>
    </row>
    <row r="313" spans="1:9" x14ac:dyDescent="0.25">
      <c r="A313">
        <v>312</v>
      </c>
      <c r="B313" t="s">
        <v>754</v>
      </c>
      <c r="C313" t="s">
        <v>755</v>
      </c>
      <c r="D313" t="s">
        <v>41</v>
      </c>
      <c r="F313" s="1">
        <v>27171</v>
      </c>
      <c r="G313" s="2" t="s">
        <v>1047</v>
      </c>
      <c r="H313" s="2" t="s">
        <v>1036</v>
      </c>
      <c r="I313" s="2" t="s">
        <v>11</v>
      </c>
    </row>
    <row r="314" spans="1:9" x14ac:dyDescent="0.25">
      <c r="A314">
        <v>313</v>
      </c>
      <c r="B314" t="s">
        <v>756</v>
      </c>
      <c r="C314" t="s">
        <v>310</v>
      </c>
      <c r="D314" t="s">
        <v>1136</v>
      </c>
      <c r="F314" s="1">
        <v>22222</v>
      </c>
      <c r="G314" s="2" t="s">
        <v>1047</v>
      </c>
      <c r="H314" s="2" t="s">
        <v>1036</v>
      </c>
      <c r="I314" s="2" t="s">
        <v>11</v>
      </c>
    </row>
    <row r="315" spans="1:9" x14ac:dyDescent="0.25">
      <c r="A315">
        <v>314</v>
      </c>
      <c r="B315" t="s">
        <v>757</v>
      </c>
      <c r="C315" t="s">
        <v>758</v>
      </c>
      <c r="D315" t="s">
        <v>59</v>
      </c>
      <c r="F315" s="1">
        <v>31707</v>
      </c>
      <c r="G315" s="2" t="s">
        <v>1047</v>
      </c>
      <c r="H315" s="2" t="s">
        <v>1036</v>
      </c>
      <c r="I315" s="2" t="s">
        <v>11</v>
      </c>
    </row>
    <row r="316" spans="1:9" x14ac:dyDescent="0.25">
      <c r="A316">
        <v>315</v>
      </c>
      <c r="B316" t="s">
        <v>759</v>
      </c>
      <c r="C316" t="s">
        <v>760</v>
      </c>
      <c r="D316" t="s">
        <v>761</v>
      </c>
      <c r="F316" s="1">
        <v>23949</v>
      </c>
      <c r="G316" s="2" t="s">
        <v>1047</v>
      </c>
      <c r="H316" s="2" t="s">
        <v>1036</v>
      </c>
      <c r="I316" s="2" t="s">
        <v>11</v>
      </c>
    </row>
    <row r="317" spans="1:9" x14ac:dyDescent="0.25">
      <c r="A317">
        <v>316</v>
      </c>
      <c r="B317" t="s">
        <v>762</v>
      </c>
      <c r="C317" t="s">
        <v>211</v>
      </c>
      <c r="D317" t="s">
        <v>763</v>
      </c>
      <c r="F317" s="1">
        <v>36544</v>
      </c>
      <c r="G317" s="2" t="s">
        <v>1047</v>
      </c>
      <c r="H317" s="2" t="s">
        <v>1036</v>
      </c>
      <c r="I317" s="2" t="s">
        <v>11</v>
      </c>
    </row>
    <row r="318" spans="1:9" x14ac:dyDescent="0.25">
      <c r="A318">
        <v>317</v>
      </c>
      <c r="B318" t="s">
        <v>180</v>
      </c>
      <c r="C318" t="s">
        <v>764</v>
      </c>
      <c r="D318" t="s">
        <v>765</v>
      </c>
      <c r="F318" s="1">
        <v>25077</v>
      </c>
      <c r="G318" s="2" t="s">
        <v>1047</v>
      </c>
      <c r="H318" s="2" t="s">
        <v>1036</v>
      </c>
      <c r="I318" s="2" t="s">
        <v>11</v>
      </c>
    </row>
    <row r="319" spans="1:9" x14ac:dyDescent="0.25">
      <c r="A319">
        <v>318</v>
      </c>
      <c r="B319" t="s">
        <v>180</v>
      </c>
      <c r="C319" t="s">
        <v>47</v>
      </c>
      <c r="D319" t="s">
        <v>79</v>
      </c>
      <c r="F319" s="1">
        <v>22434</v>
      </c>
      <c r="G319" s="2" t="s">
        <v>1047</v>
      </c>
      <c r="H319" s="2" t="s">
        <v>1036</v>
      </c>
      <c r="I319" s="2" t="s">
        <v>11</v>
      </c>
    </row>
    <row r="320" spans="1:9" x14ac:dyDescent="0.25">
      <c r="A320">
        <v>319</v>
      </c>
      <c r="B320" t="s">
        <v>766</v>
      </c>
      <c r="C320" t="s">
        <v>767</v>
      </c>
      <c r="D320" t="s">
        <v>81</v>
      </c>
      <c r="F320" s="1">
        <v>26319</v>
      </c>
      <c r="G320" s="2" t="s">
        <v>1047</v>
      </c>
      <c r="H320" s="2" t="s">
        <v>1036</v>
      </c>
      <c r="I320" s="2" t="s">
        <v>11</v>
      </c>
    </row>
    <row r="321" spans="1:9" x14ac:dyDescent="0.25">
      <c r="A321">
        <v>320</v>
      </c>
      <c r="B321" t="s">
        <v>768</v>
      </c>
      <c r="C321" t="s">
        <v>769</v>
      </c>
      <c r="D321" t="s">
        <v>30</v>
      </c>
      <c r="F321" s="1">
        <v>26595</v>
      </c>
      <c r="G321" s="2" t="s">
        <v>1047</v>
      </c>
      <c r="H321" s="2" t="s">
        <v>1036</v>
      </c>
      <c r="I321" s="2" t="s">
        <v>11</v>
      </c>
    </row>
    <row r="322" spans="1:9" x14ac:dyDescent="0.25">
      <c r="A322">
        <v>321</v>
      </c>
      <c r="B322" t="s">
        <v>770</v>
      </c>
      <c r="C322" t="s">
        <v>214</v>
      </c>
      <c r="D322" t="s">
        <v>771</v>
      </c>
      <c r="F322" s="1">
        <v>31765</v>
      </c>
      <c r="G322" s="2" t="s">
        <v>1047</v>
      </c>
      <c r="H322" s="2" t="s">
        <v>1036</v>
      </c>
      <c r="I322" s="2" t="s">
        <v>11</v>
      </c>
    </row>
    <row r="323" spans="1:9" x14ac:dyDescent="0.25">
      <c r="A323">
        <v>322</v>
      </c>
      <c r="B323" t="s">
        <v>132</v>
      </c>
      <c r="C323" t="s">
        <v>42</v>
      </c>
      <c r="D323" t="s">
        <v>302</v>
      </c>
      <c r="E323" t="s">
        <v>67</v>
      </c>
      <c r="F323" s="1">
        <v>34783</v>
      </c>
      <c r="G323" s="2" t="s">
        <v>1047</v>
      </c>
      <c r="H323" s="2" t="s">
        <v>1036</v>
      </c>
      <c r="I323" s="2" t="s">
        <v>11</v>
      </c>
    </row>
    <row r="324" spans="1:9" x14ac:dyDescent="0.25">
      <c r="A324">
        <v>323</v>
      </c>
      <c r="B324" t="s">
        <v>132</v>
      </c>
      <c r="C324" t="s">
        <v>43</v>
      </c>
      <c r="D324" t="s">
        <v>772</v>
      </c>
      <c r="F324" s="1">
        <v>25873</v>
      </c>
      <c r="G324" s="2" t="s">
        <v>1047</v>
      </c>
      <c r="H324" s="2" t="s">
        <v>1036</v>
      </c>
      <c r="I324" s="2" t="s">
        <v>11</v>
      </c>
    </row>
    <row r="325" spans="1:9" x14ac:dyDescent="0.25">
      <c r="A325">
        <v>324</v>
      </c>
      <c r="B325" t="s">
        <v>132</v>
      </c>
      <c r="C325" t="s">
        <v>42</v>
      </c>
      <c r="D325" t="s">
        <v>772</v>
      </c>
      <c r="F325" s="1">
        <v>23017</v>
      </c>
      <c r="G325" s="2" t="s">
        <v>1047</v>
      </c>
      <c r="H325" s="2" t="s">
        <v>1036</v>
      </c>
      <c r="I325" s="2" t="s">
        <v>11</v>
      </c>
    </row>
    <row r="326" spans="1:9" x14ac:dyDescent="0.25">
      <c r="A326">
        <v>325</v>
      </c>
      <c r="B326" t="s">
        <v>773</v>
      </c>
      <c r="C326" t="s">
        <v>774</v>
      </c>
      <c r="D326" t="s">
        <v>775</v>
      </c>
      <c r="F326" s="1">
        <v>38644</v>
      </c>
      <c r="G326" s="2" t="s">
        <v>1047</v>
      </c>
      <c r="H326" s="2" t="s">
        <v>1036</v>
      </c>
      <c r="I326" s="2" t="s">
        <v>11</v>
      </c>
    </row>
    <row r="327" spans="1:9" x14ac:dyDescent="0.25">
      <c r="A327">
        <v>326</v>
      </c>
      <c r="B327" t="s">
        <v>776</v>
      </c>
      <c r="C327" t="s">
        <v>777</v>
      </c>
      <c r="D327" t="s">
        <v>778</v>
      </c>
      <c r="F327" s="1">
        <v>24699</v>
      </c>
      <c r="G327" s="2" t="s">
        <v>1047</v>
      </c>
      <c r="H327" s="2" t="s">
        <v>1036</v>
      </c>
      <c r="I327" s="2" t="s">
        <v>11</v>
      </c>
    </row>
    <row r="328" spans="1:9" x14ac:dyDescent="0.25">
      <c r="A328">
        <v>327</v>
      </c>
      <c r="B328" t="s">
        <v>779</v>
      </c>
      <c r="C328" t="s">
        <v>780</v>
      </c>
      <c r="D328" t="s">
        <v>781</v>
      </c>
      <c r="E328" t="s">
        <v>22</v>
      </c>
      <c r="F328" s="1">
        <v>28880</v>
      </c>
      <c r="G328" s="2" t="s">
        <v>1047</v>
      </c>
      <c r="H328" s="2" t="s">
        <v>1036</v>
      </c>
      <c r="I328" s="2" t="s">
        <v>11</v>
      </c>
    </row>
    <row r="329" spans="1:9" x14ac:dyDescent="0.25">
      <c r="A329">
        <v>328</v>
      </c>
      <c r="B329" t="s">
        <v>782</v>
      </c>
      <c r="C329" t="s">
        <v>783</v>
      </c>
      <c r="D329" t="s">
        <v>784</v>
      </c>
      <c r="F329" s="1" t="s">
        <v>1141</v>
      </c>
      <c r="G329" s="2" t="s">
        <v>1047</v>
      </c>
      <c r="H329" s="2" t="s">
        <v>1036</v>
      </c>
      <c r="I329" s="2" t="s">
        <v>11</v>
      </c>
    </row>
    <row r="330" spans="1:9" x14ac:dyDescent="0.25">
      <c r="A330">
        <v>329</v>
      </c>
      <c r="B330" t="s">
        <v>785</v>
      </c>
      <c r="C330" t="s">
        <v>61</v>
      </c>
      <c r="D330" t="s">
        <v>786</v>
      </c>
      <c r="F330" s="1" t="s">
        <v>1142</v>
      </c>
      <c r="G330" s="2" t="s">
        <v>1047</v>
      </c>
      <c r="H330" s="2" t="s">
        <v>1036</v>
      </c>
      <c r="I330" s="2" t="s">
        <v>11</v>
      </c>
    </row>
    <row r="331" spans="1:9" x14ac:dyDescent="0.25">
      <c r="A331">
        <v>330</v>
      </c>
      <c r="B331" t="s">
        <v>785</v>
      </c>
      <c r="C331" t="s">
        <v>787</v>
      </c>
      <c r="D331" t="s">
        <v>788</v>
      </c>
      <c r="F331" s="1">
        <v>34999</v>
      </c>
      <c r="G331" s="2" t="s">
        <v>1047</v>
      </c>
      <c r="H331" s="2" t="s">
        <v>1036</v>
      </c>
      <c r="I331" s="2" t="s">
        <v>11</v>
      </c>
    </row>
    <row r="332" spans="1:9" x14ac:dyDescent="0.25">
      <c r="A332">
        <v>331</v>
      </c>
      <c r="B332" t="s">
        <v>688</v>
      </c>
      <c r="C332" t="s">
        <v>789</v>
      </c>
      <c r="D332" t="s">
        <v>790</v>
      </c>
      <c r="F332" s="1">
        <v>13846</v>
      </c>
      <c r="G332" s="2" t="s">
        <v>1047</v>
      </c>
      <c r="H332" s="2" t="s">
        <v>1036</v>
      </c>
      <c r="I332" s="2" t="s">
        <v>11</v>
      </c>
    </row>
    <row r="333" spans="1:9" x14ac:dyDescent="0.25">
      <c r="A333">
        <v>332</v>
      </c>
      <c r="B333" t="s">
        <v>791</v>
      </c>
      <c r="C333" t="s">
        <v>792</v>
      </c>
      <c r="D333" t="s">
        <v>119</v>
      </c>
      <c r="F333" s="1">
        <v>36909</v>
      </c>
      <c r="G333" s="2" t="s">
        <v>1047</v>
      </c>
      <c r="H333" s="2" t="s">
        <v>1036</v>
      </c>
      <c r="I333" s="2" t="s">
        <v>11</v>
      </c>
    </row>
    <row r="334" spans="1:9" x14ac:dyDescent="0.25">
      <c r="A334">
        <v>333</v>
      </c>
      <c r="B334" t="s">
        <v>793</v>
      </c>
      <c r="C334" t="s">
        <v>787</v>
      </c>
      <c r="F334" s="1">
        <v>37292</v>
      </c>
      <c r="G334" s="2" t="s">
        <v>1047</v>
      </c>
      <c r="H334" s="2" t="s">
        <v>1036</v>
      </c>
      <c r="I334" s="2" t="s">
        <v>11</v>
      </c>
    </row>
    <row r="335" spans="1:9" x14ac:dyDescent="0.25">
      <c r="A335">
        <v>334</v>
      </c>
      <c r="B335" t="s">
        <v>794</v>
      </c>
      <c r="C335" t="s">
        <v>795</v>
      </c>
      <c r="D335" t="s">
        <v>74</v>
      </c>
      <c r="F335" s="1">
        <v>24074</v>
      </c>
      <c r="G335" s="2" t="s">
        <v>1047</v>
      </c>
      <c r="H335" s="2" t="s">
        <v>1036</v>
      </c>
      <c r="I335" s="2" t="s">
        <v>11</v>
      </c>
    </row>
    <row r="336" spans="1:9" x14ac:dyDescent="0.25">
      <c r="A336">
        <v>335</v>
      </c>
      <c r="B336" t="s">
        <v>794</v>
      </c>
      <c r="C336" t="s">
        <v>614</v>
      </c>
      <c r="D336" t="s">
        <v>796</v>
      </c>
      <c r="E336" t="s">
        <v>67</v>
      </c>
      <c r="F336" s="1">
        <v>33764</v>
      </c>
      <c r="G336" s="2" t="s">
        <v>1047</v>
      </c>
      <c r="H336" s="2" t="s">
        <v>1036</v>
      </c>
      <c r="I336" s="2" t="s">
        <v>11</v>
      </c>
    </row>
    <row r="337" spans="1:9" x14ac:dyDescent="0.25">
      <c r="A337">
        <v>336</v>
      </c>
      <c r="B337" t="s">
        <v>797</v>
      </c>
      <c r="C337" t="s">
        <v>798</v>
      </c>
      <c r="D337" t="s">
        <v>799</v>
      </c>
      <c r="F337" s="1">
        <v>32076</v>
      </c>
      <c r="G337" s="2" t="s">
        <v>1047</v>
      </c>
      <c r="H337" s="2" t="s">
        <v>1036</v>
      </c>
      <c r="I337" s="2" t="s">
        <v>11</v>
      </c>
    </row>
    <row r="338" spans="1:9" x14ac:dyDescent="0.25">
      <c r="A338">
        <v>337</v>
      </c>
      <c r="B338" t="s">
        <v>800</v>
      </c>
      <c r="C338" t="s">
        <v>316</v>
      </c>
      <c r="D338" t="s">
        <v>33</v>
      </c>
      <c r="F338" s="1">
        <v>26040</v>
      </c>
      <c r="G338" s="2" t="s">
        <v>1047</v>
      </c>
      <c r="H338" s="2" t="s">
        <v>1036</v>
      </c>
      <c r="I338" s="2" t="s">
        <v>11</v>
      </c>
    </row>
    <row r="339" spans="1:9" x14ac:dyDescent="0.25">
      <c r="A339">
        <v>338</v>
      </c>
      <c r="B339" t="s">
        <v>801</v>
      </c>
      <c r="C339" t="s">
        <v>802</v>
      </c>
      <c r="D339" t="s">
        <v>803</v>
      </c>
      <c r="F339" s="1">
        <v>24856</v>
      </c>
      <c r="G339" s="2" t="s">
        <v>1047</v>
      </c>
      <c r="H339" s="2" t="s">
        <v>1036</v>
      </c>
      <c r="I339" s="2" t="s">
        <v>11</v>
      </c>
    </row>
    <row r="340" spans="1:9" x14ac:dyDescent="0.25">
      <c r="A340">
        <v>339</v>
      </c>
      <c r="B340" t="s">
        <v>801</v>
      </c>
      <c r="C340" t="s">
        <v>804</v>
      </c>
      <c r="D340" t="s">
        <v>803</v>
      </c>
      <c r="F340" s="1">
        <v>35004</v>
      </c>
      <c r="G340" s="2" t="s">
        <v>1047</v>
      </c>
      <c r="H340" s="2" t="s">
        <v>1036</v>
      </c>
      <c r="I340" s="2" t="s">
        <v>11</v>
      </c>
    </row>
    <row r="341" spans="1:9" x14ac:dyDescent="0.25">
      <c r="A341">
        <v>340</v>
      </c>
      <c r="B341" t="s">
        <v>115</v>
      </c>
      <c r="C341" t="s">
        <v>805</v>
      </c>
      <c r="D341" t="s">
        <v>806</v>
      </c>
      <c r="F341" s="1">
        <v>37997</v>
      </c>
      <c r="G341" s="2" t="s">
        <v>1047</v>
      </c>
      <c r="H341" s="2" t="s">
        <v>1036</v>
      </c>
      <c r="I341" s="2" t="s">
        <v>11</v>
      </c>
    </row>
    <row r="342" spans="1:9" x14ac:dyDescent="0.25">
      <c r="A342">
        <v>341</v>
      </c>
      <c r="B342" t="s">
        <v>807</v>
      </c>
      <c r="C342" t="s">
        <v>808</v>
      </c>
      <c r="D342" t="s">
        <v>809</v>
      </c>
      <c r="F342" s="1">
        <v>18299</v>
      </c>
      <c r="G342" s="2" t="s">
        <v>1047</v>
      </c>
      <c r="H342" s="2" t="s">
        <v>1036</v>
      </c>
      <c r="I342" s="2" t="s">
        <v>11</v>
      </c>
    </row>
    <row r="343" spans="1:9" x14ac:dyDescent="0.25">
      <c r="A343">
        <v>342</v>
      </c>
      <c r="B343" t="s">
        <v>807</v>
      </c>
      <c r="C343" t="s">
        <v>810</v>
      </c>
      <c r="D343" t="s">
        <v>811</v>
      </c>
      <c r="F343" s="1">
        <v>31031</v>
      </c>
      <c r="G343" s="2" t="s">
        <v>1047</v>
      </c>
      <c r="H343" s="2" t="s">
        <v>1036</v>
      </c>
      <c r="I343" s="2" t="s">
        <v>11</v>
      </c>
    </row>
    <row r="344" spans="1:9" x14ac:dyDescent="0.25">
      <c r="A344">
        <v>343</v>
      </c>
      <c r="B344" t="s">
        <v>812</v>
      </c>
      <c r="C344" t="s">
        <v>813</v>
      </c>
      <c r="D344" t="s">
        <v>814</v>
      </c>
      <c r="F344" s="1">
        <v>35007</v>
      </c>
      <c r="G344" s="2" t="s">
        <v>1047</v>
      </c>
      <c r="H344" s="2" t="s">
        <v>1036</v>
      </c>
      <c r="I344" s="2" t="s">
        <v>11</v>
      </c>
    </row>
    <row r="345" spans="1:9" x14ac:dyDescent="0.25">
      <c r="A345">
        <v>344</v>
      </c>
      <c r="B345" t="s">
        <v>815</v>
      </c>
      <c r="C345" t="s">
        <v>816</v>
      </c>
      <c r="D345" t="s">
        <v>817</v>
      </c>
      <c r="F345" s="1">
        <v>33425</v>
      </c>
      <c r="G345" s="2" t="s">
        <v>1047</v>
      </c>
      <c r="H345" s="2" t="s">
        <v>1036</v>
      </c>
      <c r="I345" s="2" t="s">
        <v>11</v>
      </c>
    </row>
    <row r="346" spans="1:9" x14ac:dyDescent="0.25">
      <c r="A346">
        <v>345</v>
      </c>
      <c r="B346" t="s">
        <v>818</v>
      </c>
      <c r="C346" t="s">
        <v>819</v>
      </c>
      <c r="D346" t="s">
        <v>820</v>
      </c>
      <c r="F346" s="1">
        <v>36448</v>
      </c>
      <c r="G346" s="2" t="s">
        <v>1047</v>
      </c>
      <c r="H346" s="2" t="s">
        <v>1036</v>
      </c>
      <c r="I346" s="2" t="s">
        <v>11</v>
      </c>
    </row>
    <row r="347" spans="1:9" x14ac:dyDescent="0.25">
      <c r="A347">
        <v>346</v>
      </c>
      <c r="B347" t="s">
        <v>820</v>
      </c>
      <c r="C347" t="s">
        <v>48</v>
      </c>
      <c r="D347" t="s">
        <v>821</v>
      </c>
      <c r="F347" s="1">
        <v>23772</v>
      </c>
      <c r="G347" s="2" t="s">
        <v>1047</v>
      </c>
      <c r="H347" s="2" t="s">
        <v>1036</v>
      </c>
      <c r="I347" s="2" t="s">
        <v>11</v>
      </c>
    </row>
    <row r="348" spans="1:9" x14ac:dyDescent="0.25">
      <c r="A348">
        <v>347</v>
      </c>
      <c r="B348" t="s">
        <v>796</v>
      </c>
      <c r="C348" t="s">
        <v>822</v>
      </c>
      <c r="D348" t="s">
        <v>823</v>
      </c>
      <c r="F348" s="1">
        <v>36072</v>
      </c>
      <c r="G348" s="2" t="s">
        <v>1047</v>
      </c>
      <c r="H348" s="2" t="s">
        <v>1036</v>
      </c>
      <c r="I348" s="2" t="s">
        <v>11</v>
      </c>
    </row>
    <row r="349" spans="1:9" x14ac:dyDescent="0.25">
      <c r="A349">
        <v>348</v>
      </c>
      <c r="B349" t="s">
        <v>824</v>
      </c>
      <c r="C349" t="s">
        <v>825</v>
      </c>
      <c r="D349" t="s">
        <v>741</v>
      </c>
      <c r="F349" s="1">
        <v>27497</v>
      </c>
      <c r="G349" s="2" t="s">
        <v>1047</v>
      </c>
      <c r="H349" s="2" t="s">
        <v>1036</v>
      </c>
      <c r="I349" s="2" t="s">
        <v>11</v>
      </c>
    </row>
    <row r="350" spans="1:9" x14ac:dyDescent="0.25">
      <c r="A350">
        <v>349</v>
      </c>
      <c r="B350" t="s">
        <v>826</v>
      </c>
      <c r="C350" t="s">
        <v>827</v>
      </c>
      <c r="D350" t="s">
        <v>232</v>
      </c>
      <c r="F350" s="1">
        <v>33116</v>
      </c>
      <c r="G350" s="2" t="s">
        <v>1047</v>
      </c>
      <c r="H350" s="2" t="s">
        <v>1036</v>
      </c>
      <c r="I350" s="2" t="s">
        <v>11</v>
      </c>
    </row>
    <row r="351" spans="1:9" x14ac:dyDescent="0.25">
      <c r="A351">
        <v>350</v>
      </c>
      <c r="B351" t="s">
        <v>828</v>
      </c>
      <c r="C351" t="s">
        <v>829</v>
      </c>
      <c r="D351" t="s">
        <v>830</v>
      </c>
      <c r="F351" s="1">
        <v>28926</v>
      </c>
      <c r="G351" s="2" t="s">
        <v>1047</v>
      </c>
      <c r="H351" s="2" t="s">
        <v>1036</v>
      </c>
      <c r="I351" s="2" t="s">
        <v>11</v>
      </c>
    </row>
    <row r="352" spans="1:9" x14ac:dyDescent="0.25">
      <c r="A352">
        <v>351</v>
      </c>
      <c r="B352" t="s">
        <v>831</v>
      </c>
      <c r="C352" t="s">
        <v>832</v>
      </c>
      <c r="D352" t="s">
        <v>833</v>
      </c>
      <c r="F352" s="1">
        <v>33283</v>
      </c>
      <c r="G352" s="2" t="s">
        <v>1047</v>
      </c>
      <c r="H352" s="2" t="s">
        <v>1036</v>
      </c>
      <c r="I352" s="2" t="s">
        <v>11</v>
      </c>
    </row>
    <row r="353" spans="1:9" x14ac:dyDescent="0.25">
      <c r="A353">
        <v>352</v>
      </c>
      <c r="B353" t="s">
        <v>834</v>
      </c>
      <c r="C353" t="s">
        <v>143</v>
      </c>
      <c r="D353" t="s">
        <v>835</v>
      </c>
      <c r="F353" s="1">
        <v>21480</v>
      </c>
      <c r="G353" s="2" t="s">
        <v>1047</v>
      </c>
      <c r="H353" s="2" t="s">
        <v>1036</v>
      </c>
      <c r="I353" s="2" t="s">
        <v>11</v>
      </c>
    </row>
    <row r="354" spans="1:9" x14ac:dyDescent="0.25">
      <c r="A354">
        <v>353</v>
      </c>
      <c r="B354" t="s">
        <v>836</v>
      </c>
      <c r="C354" t="s">
        <v>837</v>
      </c>
      <c r="D354" t="s">
        <v>838</v>
      </c>
      <c r="F354" s="1">
        <v>32831</v>
      </c>
      <c r="G354" s="2" t="s">
        <v>1047</v>
      </c>
      <c r="H354" s="2" t="s">
        <v>1036</v>
      </c>
      <c r="I354" s="2" t="s">
        <v>11</v>
      </c>
    </row>
    <row r="355" spans="1:9" x14ac:dyDescent="0.25">
      <c r="A355">
        <v>354</v>
      </c>
      <c r="B355" t="s">
        <v>839</v>
      </c>
      <c r="C355" t="s">
        <v>840</v>
      </c>
      <c r="D355" t="s">
        <v>302</v>
      </c>
      <c r="F355" s="1">
        <v>32432</v>
      </c>
      <c r="G355" s="2" t="s">
        <v>1047</v>
      </c>
      <c r="H355" s="2" t="s">
        <v>1036</v>
      </c>
      <c r="I355" s="2" t="s">
        <v>11</v>
      </c>
    </row>
    <row r="356" spans="1:9" x14ac:dyDescent="0.25">
      <c r="A356">
        <v>355</v>
      </c>
      <c r="B356" t="s">
        <v>841</v>
      </c>
      <c r="C356" t="s">
        <v>842</v>
      </c>
      <c r="D356" t="s">
        <v>843</v>
      </c>
      <c r="F356" s="1">
        <v>35120</v>
      </c>
      <c r="G356" s="2" t="s">
        <v>1047</v>
      </c>
      <c r="H356" s="2" t="s">
        <v>1036</v>
      </c>
      <c r="I356" s="2" t="s">
        <v>11</v>
      </c>
    </row>
    <row r="357" spans="1:9" x14ac:dyDescent="0.25">
      <c r="A357">
        <v>356</v>
      </c>
      <c r="B357" t="s">
        <v>844</v>
      </c>
      <c r="C357" t="s">
        <v>845</v>
      </c>
      <c r="D357" t="s">
        <v>846</v>
      </c>
      <c r="F357" s="1">
        <v>36389</v>
      </c>
      <c r="G357" s="2" t="s">
        <v>1047</v>
      </c>
      <c r="H357" s="2" t="s">
        <v>1036</v>
      </c>
      <c r="I357" s="2" t="s">
        <v>11</v>
      </c>
    </row>
    <row r="358" spans="1:9" x14ac:dyDescent="0.25">
      <c r="A358">
        <v>357</v>
      </c>
      <c r="B358" t="s">
        <v>97</v>
      </c>
      <c r="C358" t="s">
        <v>847</v>
      </c>
      <c r="D358" t="s">
        <v>848</v>
      </c>
      <c r="F358" s="1">
        <v>25495</v>
      </c>
      <c r="G358" s="2" t="s">
        <v>1047</v>
      </c>
      <c r="H358" s="2" t="s">
        <v>1036</v>
      </c>
      <c r="I358" s="2" t="s">
        <v>11</v>
      </c>
    </row>
    <row r="359" spans="1:9" x14ac:dyDescent="0.25">
      <c r="A359">
        <v>358</v>
      </c>
      <c r="B359" t="s">
        <v>215</v>
      </c>
      <c r="C359" t="s">
        <v>123</v>
      </c>
      <c r="D359" t="s">
        <v>849</v>
      </c>
      <c r="F359" s="1">
        <v>31152</v>
      </c>
      <c r="G359" s="2" t="s">
        <v>1047</v>
      </c>
      <c r="H359" s="2" t="s">
        <v>1036</v>
      </c>
      <c r="I359" s="2" t="s">
        <v>11</v>
      </c>
    </row>
    <row r="360" spans="1:9" x14ac:dyDescent="0.25">
      <c r="A360">
        <v>359</v>
      </c>
      <c r="B360" t="s">
        <v>215</v>
      </c>
      <c r="C360" t="s">
        <v>850</v>
      </c>
      <c r="D360" t="s">
        <v>849</v>
      </c>
      <c r="F360" s="1">
        <v>30429</v>
      </c>
      <c r="G360" s="2" t="s">
        <v>1047</v>
      </c>
      <c r="H360" s="2" t="s">
        <v>1036</v>
      </c>
      <c r="I360" s="2" t="s">
        <v>11</v>
      </c>
    </row>
    <row r="361" spans="1:9" x14ac:dyDescent="0.25">
      <c r="A361">
        <v>360</v>
      </c>
      <c r="B361" t="s">
        <v>215</v>
      </c>
      <c r="C361" t="s">
        <v>851</v>
      </c>
      <c r="D361" t="s">
        <v>849</v>
      </c>
      <c r="F361" s="1">
        <v>33519</v>
      </c>
      <c r="G361" s="2" t="s">
        <v>1047</v>
      </c>
      <c r="H361" s="2" t="s">
        <v>1036</v>
      </c>
      <c r="I361" s="2" t="s">
        <v>11</v>
      </c>
    </row>
    <row r="362" spans="1:9" x14ac:dyDescent="0.25">
      <c r="A362">
        <v>361</v>
      </c>
      <c r="B362" t="s">
        <v>215</v>
      </c>
      <c r="C362" t="s">
        <v>852</v>
      </c>
      <c r="D362" t="s">
        <v>90</v>
      </c>
      <c r="F362" s="1">
        <v>30635</v>
      </c>
      <c r="G362" s="2" t="s">
        <v>1047</v>
      </c>
      <c r="H362" s="2" t="s">
        <v>1036</v>
      </c>
      <c r="I362" s="2" t="s">
        <v>11</v>
      </c>
    </row>
    <row r="363" spans="1:9" x14ac:dyDescent="0.25">
      <c r="A363">
        <v>362</v>
      </c>
      <c r="B363" t="s">
        <v>853</v>
      </c>
      <c r="C363" t="s">
        <v>854</v>
      </c>
      <c r="D363" t="s">
        <v>855</v>
      </c>
      <c r="F363" s="1">
        <v>30525</v>
      </c>
      <c r="G363" s="2" t="s">
        <v>1047</v>
      </c>
      <c r="H363" s="2" t="s">
        <v>1036</v>
      </c>
      <c r="I363" s="2" t="s">
        <v>11</v>
      </c>
    </row>
    <row r="364" spans="1:9" x14ac:dyDescent="0.25">
      <c r="A364">
        <v>363</v>
      </c>
      <c r="B364" t="s">
        <v>856</v>
      </c>
      <c r="C364" t="s">
        <v>713</v>
      </c>
      <c r="D364" t="s">
        <v>129</v>
      </c>
      <c r="F364" s="1">
        <v>28426</v>
      </c>
      <c r="G364" s="2" t="s">
        <v>1047</v>
      </c>
      <c r="H364" s="2" t="s">
        <v>1036</v>
      </c>
      <c r="I364" s="2" t="s">
        <v>11</v>
      </c>
    </row>
    <row r="365" spans="1:9" x14ac:dyDescent="0.25">
      <c r="A365">
        <v>364</v>
      </c>
      <c r="B365" t="s">
        <v>857</v>
      </c>
      <c r="C365" t="s">
        <v>570</v>
      </c>
      <c r="D365" t="s">
        <v>23</v>
      </c>
      <c r="F365" s="1">
        <v>30495</v>
      </c>
      <c r="G365" s="2" t="s">
        <v>1047</v>
      </c>
      <c r="H365" s="2" t="s">
        <v>1036</v>
      </c>
      <c r="I365" s="2" t="s">
        <v>11</v>
      </c>
    </row>
    <row r="366" spans="1:9" x14ac:dyDescent="0.25">
      <c r="A366">
        <v>365</v>
      </c>
      <c r="B366" t="s">
        <v>858</v>
      </c>
      <c r="C366" t="s">
        <v>859</v>
      </c>
      <c r="D366" t="s">
        <v>132</v>
      </c>
      <c r="F366" s="1">
        <v>17194</v>
      </c>
      <c r="G366" s="2" t="s">
        <v>1047</v>
      </c>
      <c r="H366" s="2" t="s">
        <v>1036</v>
      </c>
      <c r="I366" s="2" t="s">
        <v>11</v>
      </c>
    </row>
    <row r="367" spans="1:9" x14ac:dyDescent="0.25">
      <c r="A367">
        <v>366</v>
      </c>
      <c r="B367" t="s">
        <v>858</v>
      </c>
      <c r="C367" t="s">
        <v>860</v>
      </c>
      <c r="D367" t="s">
        <v>861</v>
      </c>
      <c r="F367" s="1">
        <v>28521</v>
      </c>
      <c r="G367" s="2" t="s">
        <v>1047</v>
      </c>
      <c r="H367" s="2" t="s">
        <v>1036</v>
      </c>
      <c r="I367" s="2" t="s">
        <v>11</v>
      </c>
    </row>
    <row r="368" spans="1:9" x14ac:dyDescent="0.25">
      <c r="A368">
        <v>367</v>
      </c>
      <c r="B368" t="s">
        <v>862</v>
      </c>
      <c r="C368" t="s">
        <v>863</v>
      </c>
      <c r="D368" t="s">
        <v>864</v>
      </c>
      <c r="F368" s="1">
        <v>35161</v>
      </c>
      <c r="G368" s="2" t="s">
        <v>1047</v>
      </c>
      <c r="H368" s="2" t="s">
        <v>1036</v>
      </c>
      <c r="I368" s="2" t="s">
        <v>11</v>
      </c>
    </row>
    <row r="369" spans="1:9" x14ac:dyDescent="0.25">
      <c r="A369">
        <v>368</v>
      </c>
      <c r="B369" t="s">
        <v>862</v>
      </c>
      <c r="C369" t="s">
        <v>157</v>
      </c>
      <c r="D369" t="s">
        <v>865</v>
      </c>
      <c r="F369" s="1">
        <v>22412</v>
      </c>
      <c r="G369" s="2" t="s">
        <v>1047</v>
      </c>
      <c r="H369" s="2" t="s">
        <v>1036</v>
      </c>
      <c r="I369" s="2" t="s">
        <v>11</v>
      </c>
    </row>
    <row r="370" spans="1:9" x14ac:dyDescent="0.25">
      <c r="A370">
        <v>369</v>
      </c>
      <c r="B370" t="s">
        <v>1138</v>
      </c>
      <c r="C370" t="s">
        <v>866</v>
      </c>
      <c r="D370" t="s">
        <v>858</v>
      </c>
      <c r="F370" s="1">
        <v>28627</v>
      </c>
      <c r="G370" s="2" t="s">
        <v>1047</v>
      </c>
      <c r="H370" s="2" t="s">
        <v>1036</v>
      </c>
      <c r="I370" s="2" t="s">
        <v>11</v>
      </c>
    </row>
    <row r="371" spans="1:9" x14ac:dyDescent="0.25">
      <c r="A371">
        <v>370</v>
      </c>
      <c r="B371" t="s">
        <v>867</v>
      </c>
      <c r="C371" t="s">
        <v>310</v>
      </c>
      <c r="D371" t="s">
        <v>9</v>
      </c>
      <c r="F371" s="1">
        <v>29025</v>
      </c>
      <c r="G371" s="2" t="s">
        <v>1047</v>
      </c>
      <c r="H371" s="2" t="s">
        <v>1036</v>
      </c>
      <c r="I371" s="2" t="s">
        <v>11</v>
      </c>
    </row>
    <row r="372" spans="1:9" x14ac:dyDescent="0.25">
      <c r="A372">
        <v>371</v>
      </c>
      <c r="B372" t="s">
        <v>868</v>
      </c>
      <c r="C372" t="s">
        <v>869</v>
      </c>
      <c r="D372" t="s">
        <v>236</v>
      </c>
      <c r="F372" s="1">
        <v>28856</v>
      </c>
      <c r="G372" s="2" t="s">
        <v>1047</v>
      </c>
      <c r="H372" s="2" t="s">
        <v>1036</v>
      </c>
      <c r="I372" s="2" t="s">
        <v>11</v>
      </c>
    </row>
    <row r="373" spans="1:9" x14ac:dyDescent="0.25">
      <c r="A373">
        <v>372</v>
      </c>
      <c r="B373" t="s">
        <v>870</v>
      </c>
      <c r="C373" t="s">
        <v>871</v>
      </c>
      <c r="D373" t="s">
        <v>872</v>
      </c>
      <c r="F373" s="1">
        <v>39486</v>
      </c>
      <c r="G373" s="2" t="s">
        <v>1047</v>
      </c>
      <c r="H373" s="2" t="s">
        <v>1036</v>
      </c>
      <c r="I373" s="2" t="s">
        <v>11</v>
      </c>
    </row>
    <row r="374" spans="1:9" x14ac:dyDescent="0.25">
      <c r="A374">
        <v>373</v>
      </c>
      <c r="B374" t="s">
        <v>814</v>
      </c>
      <c r="C374" t="s">
        <v>873</v>
      </c>
      <c r="D374" t="s">
        <v>874</v>
      </c>
      <c r="F374" s="1">
        <v>24872</v>
      </c>
      <c r="G374" s="2" t="s">
        <v>1047</v>
      </c>
      <c r="H374" s="2" t="s">
        <v>1036</v>
      </c>
      <c r="I374" s="2" t="s">
        <v>11</v>
      </c>
    </row>
    <row r="375" spans="1:9" x14ac:dyDescent="0.25">
      <c r="A375">
        <v>374</v>
      </c>
      <c r="B375" t="s">
        <v>814</v>
      </c>
      <c r="C375" t="s">
        <v>875</v>
      </c>
      <c r="D375" t="s">
        <v>876</v>
      </c>
      <c r="F375" s="1">
        <v>23849</v>
      </c>
      <c r="G375" s="2" t="s">
        <v>1047</v>
      </c>
      <c r="H375" s="2" t="s">
        <v>1036</v>
      </c>
      <c r="I375" s="2" t="s">
        <v>11</v>
      </c>
    </row>
    <row r="376" spans="1:9" x14ac:dyDescent="0.25">
      <c r="A376">
        <v>375</v>
      </c>
      <c r="B376" t="s">
        <v>877</v>
      </c>
      <c r="C376" t="s">
        <v>878</v>
      </c>
      <c r="D376" t="s">
        <v>879</v>
      </c>
      <c r="F376" s="1">
        <v>35738</v>
      </c>
      <c r="G376" s="2" t="s">
        <v>1047</v>
      </c>
      <c r="H376" s="2" t="s">
        <v>1036</v>
      </c>
      <c r="I376" s="2" t="s">
        <v>11</v>
      </c>
    </row>
    <row r="377" spans="1:9" x14ac:dyDescent="0.25">
      <c r="A377">
        <v>376</v>
      </c>
      <c r="B377" t="s">
        <v>877</v>
      </c>
      <c r="C377" t="s">
        <v>880</v>
      </c>
      <c r="D377" t="s">
        <v>881</v>
      </c>
      <c r="F377" s="1">
        <v>25247</v>
      </c>
      <c r="G377" s="2" t="s">
        <v>1047</v>
      </c>
      <c r="H377" s="2" t="s">
        <v>1036</v>
      </c>
      <c r="I377" s="2" t="s">
        <v>11</v>
      </c>
    </row>
    <row r="378" spans="1:9" x14ac:dyDescent="0.25">
      <c r="A378">
        <v>377</v>
      </c>
      <c r="B378" t="s">
        <v>882</v>
      </c>
      <c r="C378" t="s">
        <v>883</v>
      </c>
      <c r="D378" t="s">
        <v>812</v>
      </c>
      <c r="F378" s="1">
        <v>34246</v>
      </c>
      <c r="G378" s="2" t="s">
        <v>1047</v>
      </c>
      <c r="H378" s="2" t="s">
        <v>1036</v>
      </c>
      <c r="I378" s="2" t="s">
        <v>11</v>
      </c>
    </row>
    <row r="379" spans="1:9" x14ac:dyDescent="0.25">
      <c r="A379">
        <v>378</v>
      </c>
      <c r="B379" t="s">
        <v>884</v>
      </c>
      <c r="C379" t="s">
        <v>851</v>
      </c>
      <c r="D379" t="s">
        <v>90</v>
      </c>
      <c r="F379" s="1">
        <v>31717</v>
      </c>
      <c r="G379" s="2" t="s">
        <v>1047</v>
      </c>
      <c r="H379" s="2" t="s">
        <v>1036</v>
      </c>
      <c r="I379" s="2" t="s">
        <v>11</v>
      </c>
    </row>
    <row r="380" spans="1:9" x14ac:dyDescent="0.25">
      <c r="A380">
        <v>379</v>
      </c>
      <c r="B380" t="s">
        <v>884</v>
      </c>
      <c r="C380" t="s">
        <v>885</v>
      </c>
      <c r="D380" t="s">
        <v>886</v>
      </c>
      <c r="F380" s="1">
        <v>27423</v>
      </c>
      <c r="G380" s="2" t="s">
        <v>1047</v>
      </c>
      <c r="H380" s="2" t="s">
        <v>1036</v>
      </c>
      <c r="I380" s="2" t="s">
        <v>11</v>
      </c>
    </row>
    <row r="381" spans="1:9" x14ac:dyDescent="0.25">
      <c r="A381">
        <v>380</v>
      </c>
      <c r="B381" t="s">
        <v>425</v>
      </c>
      <c r="C381" t="s">
        <v>887</v>
      </c>
      <c r="D381" t="s">
        <v>888</v>
      </c>
      <c r="F381" s="1">
        <v>34492</v>
      </c>
      <c r="G381" s="2" t="s">
        <v>1047</v>
      </c>
      <c r="H381" s="2" t="s">
        <v>1036</v>
      </c>
      <c r="I381" s="2" t="s">
        <v>11</v>
      </c>
    </row>
    <row r="382" spans="1:9" x14ac:dyDescent="0.25">
      <c r="A382">
        <v>381</v>
      </c>
      <c r="B382" t="s">
        <v>889</v>
      </c>
      <c r="C382" t="s">
        <v>890</v>
      </c>
      <c r="D382" t="s">
        <v>542</v>
      </c>
      <c r="F382" s="1">
        <v>29303</v>
      </c>
      <c r="G382" s="2" t="s">
        <v>1047</v>
      </c>
      <c r="H382" s="2" t="s">
        <v>1036</v>
      </c>
      <c r="I382" s="2" t="s">
        <v>11</v>
      </c>
    </row>
    <row r="383" spans="1:9" x14ac:dyDescent="0.25">
      <c r="A383">
        <v>382</v>
      </c>
      <c r="B383" t="s">
        <v>891</v>
      </c>
      <c r="C383" t="s">
        <v>892</v>
      </c>
      <c r="D383" t="s">
        <v>717</v>
      </c>
      <c r="F383" s="1">
        <v>33688</v>
      </c>
      <c r="G383" s="2" t="s">
        <v>1047</v>
      </c>
      <c r="H383" s="2" t="s">
        <v>1036</v>
      </c>
      <c r="I383" s="2" t="s">
        <v>11</v>
      </c>
    </row>
    <row r="384" spans="1:9" x14ac:dyDescent="0.25">
      <c r="A384">
        <v>383</v>
      </c>
      <c r="B384" t="s">
        <v>41</v>
      </c>
      <c r="C384" t="s">
        <v>893</v>
      </c>
      <c r="D384" t="s">
        <v>894</v>
      </c>
      <c r="F384" s="1">
        <v>38021</v>
      </c>
      <c r="G384" s="2" t="s">
        <v>1047</v>
      </c>
      <c r="H384" s="2" t="s">
        <v>1036</v>
      </c>
      <c r="I384" s="2" t="s">
        <v>11</v>
      </c>
    </row>
    <row r="385" spans="1:9" x14ac:dyDescent="0.25">
      <c r="A385">
        <v>384</v>
      </c>
      <c r="B385" t="s">
        <v>41</v>
      </c>
      <c r="C385" t="s">
        <v>895</v>
      </c>
      <c r="D385" t="s">
        <v>104</v>
      </c>
      <c r="F385" s="1">
        <v>28788</v>
      </c>
      <c r="G385" s="2" t="s">
        <v>1047</v>
      </c>
      <c r="H385" s="2" t="s">
        <v>1036</v>
      </c>
      <c r="I385" s="2" t="s">
        <v>11</v>
      </c>
    </row>
    <row r="386" spans="1:9" x14ac:dyDescent="0.25">
      <c r="A386">
        <v>385</v>
      </c>
      <c r="B386" t="s">
        <v>41</v>
      </c>
      <c r="C386" t="s">
        <v>896</v>
      </c>
      <c r="D386" t="s">
        <v>897</v>
      </c>
      <c r="F386" s="1">
        <v>35436</v>
      </c>
      <c r="G386" s="2" t="s">
        <v>1047</v>
      </c>
      <c r="H386" s="2" t="s">
        <v>1036</v>
      </c>
      <c r="I386" s="2" t="s">
        <v>11</v>
      </c>
    </row>
    <row r="387" spans="1:9" x14ac:dyDescent="0.25">
      <c r="A387">
        <v>386</v>
      </c>
      <c r="B387" t="s">
        <v>164</v>
      </c>
      <c r="C387" t="s">
        <v>26</v>
      </c>
      <c r="D387" t="s">
        <v>898</v>
      </c>
      <c r="F387" s="1">
        <v>21632</v>
      </c>
      <c r="G387" s="2" t="s">
        <v>1047</v>
      </c>
      <c r="H387" s="2" t="s">
        <v>1036</v>
      </c>
      <c r="I387" s="2" t="s">
        <v>11</v>
      </c>
    </row>
    <row r="388" spans="1:9" x14ac:dyDescent="0.25">
      <c r="A388">
        <v>387</v>
      </c>
      <c r="B388" t="s">
        <v>62</v>
      </c>
      <c r="C388" t="s">
        <v>899</v>
      </c>
      <c r="D388" t="s">
        <v>41</v>
      </c>
      <c r="F388" s="1">
        <v>30523</v>
      </c>
      <c r="G388" s="2" t="s">
        <v>1047</v>
      </c>
      <c r="H388" s="2" t="s">
        <v>1036</v>
      </c>
      <c r="I388" s="2" t="s">
        <v>11</v>
      </c>
    </row>
    <row r="389" spans="1:9" x14ac:dyDescent="0.25">
      <c r="A389">
        <v>388</v>
      </c>
      <c r="B389" t="s">
        <v>900</v>
      </c>
      <c r="C389" t="s">
        <v>901</v>
      </c>
      <c r="D389" t="s">
        <v>128</v>
      </c>
      <c r="F389" s="1">
        <v>36007</v>
      </c>
      <c r="G389" s="2" t="s">
        <v>1047</v>
      </c>
      <c r="H389" s="2" t="s">
        <v>1036</v>
      </c>
      <c r="I389" s="2" t="s">
        <v>11</v>
      </c>
    </row>
    <row r="390" spans="1:9" x14ac:dyDescent="0.25">
      <c r="A390">
        <v>389</v>
      </c>
      <c r="B390" t="s">
        <v>902</v>
      </c>
      <c r="C390" t="s">
        <v>903</v>
      </c>
      <c r="D390" t="s">
        <v>94</v>
      </c>
      <c r="F390" s="1">
        <v>31855</v>
      </c>
      <c r="G390" s="2" t="s">
        <v>1047</v>
      </c>
      <c r="H390" s="2" t="s">
        <v>1036</v>
      </c>
      <c r="I390" s="2" t="s">
        <v>11</v>
      </c>
    </row>
    <row r="391" spans="1:9" x14ac:dyDescent="0.25">
      <c r="A391">
        <v>390</v>
      </c>
      <c r="B391" t="s">
        <v>904</v>
      </c>
      <c r="C391" t="s">
        <v>505</v>
      </c>
      <c r="D391" t="s">
        <v>1139</v>
      </c>
      <c r="F391" s="1">
        <v>34486</v>
      </c>
      <c r="G391" s="2" t="s">
        <v>1047</v>
      </c>
      <c r="H391" s="2" t="s">
        <v>1036</v>
      </c>
      <c r="I391" s="2" t="s">
        <v>11</v>
      </c>
    </row>
    <row r="392" spans="1:9" x14ac:dyDescent="0.25">
      <c r="A392">
        <v>391</v>
      </c>
      <c r="B392" t="s">
        <v>538</v>
      </c>
      <c r="C392" t="s">
        <v>905</v>
      </c>
      <c r="D392" t="s">
        <v>906</v>
      </c>
      <c r="F392" s="1">
        <v>23547</v>
      </c>
      <c r="G392" s="2" t="s">
        <v>1047</v>
      </c>
      <c r="H392" s="2" t="s">
        <v>1036</v>
      </c>
      <c r="I392" s="2" t="s">
        <v>11</v>
      </c>
    </row>
    <row r="393" spans="1:9" x14ac:dyDescent="0.25">
      <c r="A393">
        <v>392</v>
      </c>
      <c r="B393" t="s">
        <v>152</v>
      </c>
      <c r="C393" t="s">
        <v>813</v>
      </c>
      <c r="D393" t="s">
        <v>132</v>
      </c>
      <c r="F393" s="1">
        <v>32460</v>
      </c>
      <c r="G393" s="2" t="s">
        <v>1047</v>
      </c>
      <c r="H393" s="2" t="s">
        <v>1036</v>
      </c>
      <c r="I393" s="2" t="s">
        <v>11</v>
      </c>
    </row>
    <row r="394" spans="1:9" x14ac:dyDescent="0.25">
      <c r="A394">
        <v>393</v>
      </c>
      <c r="B394" t="s">
        <v>158</v>
      </c>
      <c r="C394" t="s">
        <v>907</v>
      </c>
      <c r="D394" t="s">
        <v>908</v>
      </c>
      <c r="F394" s="1">
        <v>33248</v>
      </c>
      <c r="G394" s="2" t="s">
        <v>1047</v>
      </c>
      <c r="H394" s="2" t="s">
        <v>1036</v>
      </c>
      <c r="I394" s="2" t="s">
        <v>11</v>
      </c>
    </row>
    <row r="395" spans="1:9" x14ac:dyDescent="0.25">
      <c r="A395">
        <v>394</v>
      </c>
      <c r="B395" t="s">
        <v>224</v>
      </c>
      <c r="C395" t="s">
        <v>909</v>
      </c>
      <c r="D395" t="s">
        <v>910</v>
      </c>
      <c r="F395" s="1">
        <v>38616</v>
      </c>
      <c r="G395" s="2" t="s">
        <v>1047</v>
      </c>
      <c r="H395" s="2" t="s">
        <v>1036</v>
      </c>
      <c r="I395" s="2" t="s">
        <v>11</v>
      </c>
    </row>
    <row r="396" spans="1:9" x14ac:dyDescent="0.25">
      <c r="A396">
        <v>395</v>
      </c>
      <c r="B396" t="s">
        <v>911</v>
      </c>
      <c r="C396" t="s">
        <v>912</v>
      </c>
      <c r="D396" t="s">
        <v>913</v>
      </c>
      <c r="F396" s="1">
        <v>30361</v>
      </c>
      <c r="G396" s="2" t="s">
        <v>1047</v>
      </c>
      <c r="H396" s="2" t="s">
        <v>1036</v>
      </c>
      <c r="I396" s="2" t="s">
        <v>11</v>
      </c>
    </row>
    <row r="397" spans="1:9" x14ac:dyDescent="0.25">
      <c r="A397">
        <v>396</v>
      </c>
      <c r="B397" t="s">
        <v>108</v>
      </c>
      <c r="C397" t="s">
        <v>914</v>
      </c>
      <c r="D397" t="s">
        <v>716</v>
      </c>
      <c r="F397" s="1">
        <v>35503</v>
      </c>
      <c r="G397" s="2" t="s">
        <v>1047</v>
      </c>
      <c r="H397" s="2" t="s">
        <v>1036</v>
      </c>
      <c r="I397" s="2" t="s">
        <v>11</v>
      </c>
    </row>
    <row r="398" spans="1:9" x14ac:dyDescent="0.25">
      <c r="A398">
        <v>397</v>
      </c>
      <c r="B398" t="s">
        <v>915</v>
      </c>
      <c r="C398" t="s">
        <v>916</v>
      </c>
      <c r="D398" t="s">
        <v>224</v>
      </c>
      <c r="F398" s="1">
        <v>29828</v>
      </c>
      <c r="G398" s="2" t="s">
        <v>1047</v>
      </c>
      <c r="H398" s="2" t="s">
        <v>1036</v>
      </c>
      <c r="I398" s="2" t="s">
        <v>11</v>
      </c>
    </row>
    <row r="399" spans="1:9" x14ac:dyDescent="0.25">
      <c r="A399">
        <v>398</v>
      </c>
      <c r="B399" t="s">
        <v>917</v>
      </c>
      <c r="C399" t="s">
        <v>138</v>
      </c>
      <c r="D399" t="s">
        <v>51</v>
      </c>
      <c r="F399" s="1">
        <v>34054</v>
      </c>
      <c r="G399" s="2" t="s">
        <v>1047</v>
      </c>
      <c r="H399" s="2" t="s">
        <v>1036</v>
      </c>
      <c r="I399" s="2" t="s">
        <v>11</v>
      </c>
    </row>
    <row r="400" spans="1:9" x14ac:dyDescent="0.25">
      <c r="A400">
        <v>399</v>
      </c>
      <c r="B400" t="s">
        <v>918</v>
      </c>
      <c r="C400" t="s">
        <v>919</v>
      </c>
      <c r="D400" t="s">
        <v>920</v>
      </c>
      <c r="F400" s="1">
        <v>35340</v>
      </c>
      <c r="G400" s="2" t="s">
        <v>1047</v>
      </c>
      <c r="H400" s="2" t="s">
        <v>1036</v>
      </c>
      <c r="I400" s="2" t="s">
        <v>11</v>
      </c>
    </row>
    <row r="401" spans="1:9" x14ac:dyDescent="0.25">
      <c r="A401">
        <v>400</v>
      </c>
      <c r="B401" t="s">
        <v>59</v>
      </c>
      <c r="C401" t="s">
        <v>921</v>
      </c>
      <c r="D401" t="s">
        <v>922</v>
      </c>
      <c r="F401" s="1">
        <v>28820</v>
      </c>
      <c r="G401" s="2" t="s">
        <v>1047</v>
      </c>
      <c r="H401" s="2" t="s">
        <v>1036</v>
      </c>
      <c r="I401" s="2" t="s">
        <v>11</v>
      </c>
    </row>
    <row r="402" spans="1:9" x14ac:dyDescent="0.25">
      <c r="A402">
        <v>401</v>
      </c>
      <c r="B402" t="s">
        <v>923</v>
      </c>
      <c r="C402" t="s">
        <v>924</v>
      </c>
      <c r="D402" t="s">
        <v>925</v>
      </c>
      <c r="F402" s="1">
        <v>14939</v>
      </c>
      <c r="G402" s="2" t="s">
        <v>10</v>
      </c>
      <c r="H402" s="2" t="s">
        <v>1036</v>
      </c>
      <c r="I402" s="2" t="s">
        <v>11</v>
      </c>
    </row>
    <row r="403" spans="1:9" x14ac:dyDescent="0.25">
      <c r="A403">
        <v>402</v>
      </c>
      <c r="B403" t="s">
        <v>38</v>
      </c>
      <c r="C403" t="s">
        <v>926</v>
      </c>
      <c r="D403" t="s">
        <v>927</v>
      </c>
      <c r="E403" t="s">
        <v>22</v>
      </c>
      <c r="F403" s="1">
        <v>25352</v>
      </c>
      <c r="G403" s="2" t="s">
        <v>10</v>
      </c>
      <c r="H403" s="2" t="s">
        <v>1036</v>
      </c>
      <c r="I403" s="2" t="s">
        <v>11</v>
      </c>
    </row>
    <row r="404" spans="1:9" x14ac:dyDescent="0.25">
      <c r="A404">
        <v>403</v>
      </c>
      <c r="B404" t="s">
        <v>928</v>
      </c>
      <c r="C404" t="s">
        <v>929</v>
      </c>
      <c r="D404" t="s">
        <v>172</v>
      </c>
      <c r="F404" s="1">
        <v>31138</v>
      </c>
      <c r="G404" s="2" t="s">
        <v>10</v>
      </c>
      <c r="H404" s="2" t="s">
        <v>1036</v>
      </c>
      <c r="I404" s="2" t="s">
        <v>11</v>
      </c>
    </row>
    <row r="405" spans="1:9" x14ac:dyDescent="0.25">
      <c r="A405">
        <v>404</v>
      </c>
      <c r="B405" t="s">
        <v>930</v>
      </c>
      <c r="C405" t="s">
        <v>931</v>
      </c>
      <c r="D405" t="s">
        <v>77</v>
      </c>
      <c r="F405" s="1">
        <v>30767</v>
      </c>
      <c r="G405" s="2" t="s">
        <v>1048</v>
      </c>
      <c r="H405" s="2" t="s">
        <v>1036</v>
      </c>
      <c r="I405" s="2" t="s">
        <v>11</v>
      </c>
    </row>
    <row r="406" spans="1:9" x14ac:dyDescent="0.25">
      <c r="A406">
        <v>405</v>
      </c>
      <c r="B406" t="s">
        <v>932</v>
      </c>
      <c r="C406" t="s">
        <v>933</v>
      </c>
      <c r="D406" t="s">
        <v>934</v>
      </c>
      <c r="F406" s="1">
        <v>28225</v>
      </c>
      <c r="G406" s="2" t="s">
        <v>1048</v>
      </c>
      <c r="H406" s="2" t="s">
        <v>1036</v>
      </c>
      <c r="I406" s="2" t="s">
        <v>11</v>
      </c>
    </row>
    <row r="407" spans="1:9" x14ac:dyDescent="0.25">
      <c r="A407">
        <v>406</v>
      </c>
      <c r="B407" t="s">
        <v>609</v>
      </c>
      <c r="C407" t="s">
        <v>301</v>
      </c>
      <c r="D407" t="s">
        <v>78</v>
      </c>
      <c r="F407" s="1">
        <v>35043</v>
      </c>
      <c r="G407" s="2" t="s">
        <v>1048</v>
      </c>
      <c r="H407" s="2" t="s">
        <v>1036</v>
      </c>
      <c r="I407" s="2" t="s">
        <v>11</v>
      </c>
    </row>
    <row r="408" spans="1:9" x14ac:dyDescent="0.25">
      <c r="A408">
        <v>407</v>
      </c>
      <c r="B408" t="s">
        <v>122</v>
      </c>
      <c r="C408" t="s">
        <v>570</v>
      </c>
      <c r="D408" t="s">
        <v>935</v>
      </c>
      <c r="F408" s="1">
        <v>24896</v>
      </c>
      <c r="G408" s="2" t="s">
        <v>1048</v>
      </c>
      <c r="H408" s="2" t="s">
        <v>1036</v>
      </c>
      <c r="I408" s="2" t="s">
        <v>11</v>
      </c>
    </row>
    <row r="409" spans="1:9" x14ac:dyDescent="0.25">
      <c r="A409">
        <v>408</v>
      </c>
      <c r="B409" t="s">
        <v>49</v>
      </c>
      <c r="C409" t="s">
        <v>936</v>
      </c>
      <c r="D409" t="s">
        <v>935</v>
      </c>
      <c r="E409" t="s">
        <v>67</v>
      </c>
      <c r="F409" s="1">
        <v>30390</v>
      </c>
      <c r="G409" s="2" t="s">
        <v>1048</v>
      </c>
      <c r="H409" s="2" t="s">
        <v>1036</v>
      </c>
      <c r="I409" s="2" t="s">
        <v>11</v>
      </c>
    </row>
    <row r="410" spans="1:9" x14ac:dyDescent="0.25">
      <c r="A410">
        <v>409</v>
      </c>
      <c r="B410" t="s">
        <v>937</v>
      </c>
      <c r="C410" t="s">
        <v>875</v>
      </c>
      <c r="D410" t="s">
        <v>938</v>
      </c>
      <c r="F410" s="1">
        <v>18662</v>
      </c>
      <c r="G410" s="2" t="s">
        <v>1048</v>
      </c>
      <c r="H410" s="2" t="s">
        <v>1036</v>
      </c>
      <c r="I410" s="2" t="s">
        <v>11</v>
      </c>
    </row>
    <row r="411" spans="1:9" x14ac:dyDescent="0.25">
      <c r="A411">
        <v>410</v>
      </c>
      <c r="B411" t="s">
        <v>52</v>
      </c>
      <c r="C411" t="s">
        <v>45</v>
      </c>
      <c r="D411" t="s">
        <v>939</v>
      </c>
      <c r="F411" s="1">
        <v>33283</v>
      </c>
      <c r="G411" s="2" t="s">
        <v>1048</v>
      </c>
      <c r="H411" s="2" t="s">
        <v>1036</v>
      </c>
      <c r="I411" s="2" t="s">
        <v>11</v>
      </c>
    </row>
    <row r="412" spans="1:9" x14ac:dyDescent="0.25">
      <c r="A412">
        <v>411</v>
      </c>
      <c r="B412" t="s">
        <v>940</v>
      </c>
      <c r="C412" t="s">
        <v>63</v>
      </c>
      <c r="D412" t="s">
        <v>114</v>
      </c>
      <c r="F412" s="1">
        <v>19775</v>
      </c>
      <c r="G412" s="2" t="s">
        <v>1048</v>
      </c>
      <c r="H412" s="2" t="s">
        <v>1036</v>
      </c>
      <c r="I412" s="2" t="s">
        <v>11</v>
      </c>
    </row>
    <row r="413" spans="1:9" x14ac:dyDescent="0.25">
      <c r="A413">
        <v>412</v>
      </c>
      <c r="B413" t="s">
        <v>93</v>
      </c>
      <c r="C413" t="s">
        <v>941</v>
      </c>
      <c r="D413" t="s">
        <v>33</v>
      </c>
      <c r="F413" s="1">
        <v>24768</v>
      </c>
      <c r="G413" s="2" t="s">
        <v>1048</v>
      </c>
      <c r="H413" s="2" t="s">
        <v>1036</v>
      </c>
      <c r="I413" s="2" t="s">
        <v>11</v>
      </c>
    </row>
    <row r="414" spans="1:9" x14ac:dyDescent="0.25">
      <c r="A414">
        <v>413</v>
      </c>
      <c r="B414" t="s">
        <v>13</v>
      </c>
      <c r="C414" t="s">
        <v>942</v>
      </c>
      <c r="D414" t="s">
        <v>943</v>
      </c>
      <c r="F414" s="1">
        <v>28092</v>
      </c>
      <c r="G414" s="2" t="s">
        <v>1048</v>
      </c>
      <c r="H414" s="2" t="s">
        <v>1036</v>
      </c>
      <c r="I414" s="2" t="s">
        <v>11</v>
      </c>
    </row>
    <row r="415" spans="1:9" x14ac:dyDescent="0.25">
      <c r="A415">
        <v>414</v>
      </c>
      <c r="B415" t="s">
        <v>95</v>
      </c>
      <c r="C415" t="s">
        <v>944</v>
      </c>
      <c r="D415" t="s">
        <v>945</v>
      </c>
      <c r="F415" s="1">
        <v>28003</v>
      </c>
      <c r="G415" s="2" t="s">
        <v>1048</v>
      </c>
      <c r="H415" s="2" t="s">
        <v>1036</v>
      </c>
      <c r="I415" s="2" t="s">
        <v>11</v>
      </c>
    </row>
    <row r="416" spans="1:9" x14ac:dyDescent="0.25">
      <c r="A416">
        <v>415</v>
      </c>
      <c r="B416" t="s">
        <v>946</v>
      </c>
      <c r="C416" t="s">
        <v>522</v>
      </c>
      <c r="D416" t="s">
        <v>947</v>
      </c>
      <c r="F416" s="1">
        <v>32411</v>
      </c>
      <c r="G416" s="2" t="s">
        <v>1048</v>
      </c>
      <c r="H416" s="2" t="s">
        <v>1036</v>
      </c>
      <c r="I416" s="2" t="s">
        <v>11</v>
      </c>
    </row>
    <row r="417" spans="1:9" x14ac:dyDescent="0.25">
      <c r="A417">
        <v>416</v>
      </c>
      <c r="B417" t="s">
        <v>948</v>
      </c>
      <c r="C417" t="s">
        <v>141</v>
      </c>
      <c r="D417" t="s">
        <v>949</v>
      </c>
      <c r="F417" s="1">
        <v>34459</v>
      </c>
      <c r="G417" s="2" t="s">
        <v>1048</v>
      </c>
      <c r="H417" s="2" t="s">
        <v>1036</v>
      </c>
      <c r="I417" s="2" t="s">
        <v>11</v>
      </c>
    </row>
    <row r="418" spans="1:9" x14ac:dyDescent="0.25">
      <c r="A418">
        <v>417</v>
      </c>
      <c r="B418" t="s">
        <v>92</v>
      </c>
      <c r="C418" t="s">
        <v>950</v>
      </c>
      <c r="D418" t="s">
        <v>560</v>
      </c>
      <c r="F418" s="1">
        <v>22579</v>
      </c>
      <c r="G418" s="2" t="s">
        <v>1037</v>
      </c>
      <c r="H418" s="2" t="s">
        <v>1036</v>
      </c>
      <c r="I418" s="2" t="s">
        <v>11</v>
      </c>
    </row>
    <row r="419" spans="1:9" x14ac:dyDescent="0.25">
      <c r="A419">
        <v>418</v>
      </c>
      <c r="B419" t="s">
        <v>951</v>
      </c>
      <c r="C419" t="s">
        <v>220</v>
      </c>
      <c r="D419" t="s">
        <v>952</v>
      </c>
      <c r="F419" s="1">
        <v>33549</v>
      </c>
      <c r="G419" s="2" t="s">
        <v>1049</v>
      </c>
      <c r="H419" s="2" t="s">
        <v>1036</v>
      </c>
      <c r="I419" s="2" t="s">
        <v>11</v>
      </c>
    </row>
    <row r="420" spans="1:9" x14ac:dyDescent="0.25">
      <c r="A420">
        <v>419</v>
      </c>
      <c r="B420" t="s">
        <v>646</v>
      </c>
      <c r="C420" t="s">
        <v>251</v>
      </c>
      <c r="D420" t="s">
        <v>90</v>
      </c>
      <c r="F420" s="1">
        <v>25514</v>
      </c>
      <c r="G420" s="2" t="s">
        <v>1049</v>
      </c>
      <c r="H420" s="2" t="s">
        <v>1036</v>
      </c>
      <c r="I420" s="2" t="s">
        <v>11</v>
      </c>
    </row>
    <row r="421" spans="1:9" x14ac:dyDescent="0.25">
      <c r="A421">
        <v>420</v>
      </c>
      <c r="B421" t="s">
        <v>953</v>
      </c>
      <c r="C421" t="s">
        <v>954</v>
      </c>
      <c r="D421" t="s">
        <v>955</v>
      </c>
      <c r="F421" s="1">
        <v>34447</v>
      </c>
      <c r="G421" s="2" t="s">
        <v>1049</v>
      </c>
      <c r="H421" s="2" t="s">
        <v>1036</v>
      </c>
      <c r="I421" s="2" t="s">
        <v>11</v>
      </c>
    </row>
    <row r="422" spans="1:9" x14ac:dyDescent="0.25">
      <c r="A422">
        <v>421</v>
      </c>
      <c r="B422" t="s">
        <v>360</v>
      </c>
      <c r="C422" t="s">
        <v>139</v>
      </c>
      <c r="D422" t="s">
        <v>538</v>
      </c>
      <c r="F422" s="1">
        <v>29070</v>
      </c>
      <c r="G422" s="2" t="s">
        <v>1049</v>
      </c>
      <c r="H422" s="2" t="s">
        <v>1036</v>
      </c>
      <c r="I422" s="2" t="s">
        <v>11</v>
      </c>
    </row>
    <row r="423" spans="1:9" x14ac:dyDescent="0.25">
      <c r="A423">
        <v>422</v>
      </c>
      <c r="B423" t="s">
        <v>18</v>
      </c>
      <c r="C423" t="s">
        <v>26</v>
      </c>
      <c r="D423" t="s">
        <v>956</v>
      </c>
      <c r="E423" t="s">
        <v>22</v>
      </c>
      <c r="F423" s="1">
        <v>27894</v>
      </c>
      <c r="G423" s="2" t="s">
        <v>1049</v>
      </c>
      <c r="H423" s="2" t="s">
        <v>1036</v>
      </c>
      <c r="I423" s="2" t="s">
        <v>11</v>
      </c>
    </row>
    <row r="424" spans="1:9" x14ac:dyDescent="0.25">
      <c r="A424">
        <v>423</v>
      </c>
      <c r="B424" t="s">
        <v>957</v>
      </c>
      <c r="C424" t="s">
        <v>958</v>
      </c>
      <c r="D424" t="s">
        <v>959</v>
      </c>
      <c r="F424" s="1">
        <v>25552</v>
      </c>
      <c r="G424" s="2" t="s">
        <v>1035</v>
      </c>
      <c r="H424" s="2" t="s">
        <v>1036</v>
      </c>
      <c r="I424" s="2" t="s">
        <v>11</v>
      </c>
    </row>
    <row r="425" spans="1:9" x14ac:dyDescent="0.25">
      <c r="A425">
        <v>424</v>
      </c>
      <c r="B425" t="s">
        <v>960</v>
      </c>
      <c r="C425" t="s">
        <v>68</v>
      </c>
      <c r="D425" t="s">
        <v>646</v>
      </c>
      <c r="F425" s="1">
        <v>26393</v>
      </c>
      <c r="G425" s="2" t="s">
        <v>1049</v>
      </c>
      <c r="H425" s="2" t="s">
        <v>1036</v>
      </c>
      <c r="I425" s="2" t="s">
        <v>11</v>
      </c>
    </row>
    <row r="426" spans="1:9" x14ac:dyDescent="0.25">
      <c r="A426">
        <v>425</v>
      </c>
      <c r="B426" t="s">
        <v>528</v>
      </c>
      <c r="C426" t="s">
        <v>107</v>
      </c>
      <c r="D426" t="s">
        <v>960</v>
      </c>
      <c r="F426" s="1">
        <v>28447</v>
      </c>
      <c r="G426" s="2" t="s">
        <v>1049</v>
      </c>
      <c r="H426" s="2" t="s">
        <v>1036</v>
      </c>
      <c r="I426" s="2" t="s">
        <v>11</v>
      </c>
    </row>
    <row r="427" spans="1:9" x14ac:dyDescent="0.25">
      <c r="A427">
        <v>426</v>
      </c>
      <c r="B427" t="s">
        <v>961</v>
      </c>
      <c r="C427" t="s">
        <v>962</v>
      </c>
      <c r="D427" t="s">
        <v>963</v>
      </c>
      <c r="F427" s="1">
        <v>32790</v>
      </c>
      <c r="G427" s="2" t="s">
        <v>1049</v>
      </c>
      <c r="H427" s="2" t="s">
        <v>1036</v>
      </c>
      <c r="I427" s="2" t="s">
        <v>11</v>
      </c>
    </row>
    <row r="428" spans="1:9" x14ac:dyDescent="0.25">
      <c r="A428">
        <v>427</v>
      </c>
      <c r="B428" t="s">
        <v>360</v>
      </c>
      <c r="C428" t="s">
        <v>57</v>
      </c>
      <c r="D428" t="s">
        <v>555</v>
      </c>
      <c r="F428" s="1">
        <v>25059</v>
      </c>
      <c r="G428" s="2" t="s">
        <v>1049</v>
      </c>
      <c r="H428" s="2" t="s">
        <v>1036</v>
      </c>
      <c r="I428" s="2" t="s">
        <v>11</v>
      </c>
    </row>
    <row r="429" spans="1:9" x14ac:dyDescent="0.25">
      <c r="A429">
        <v>428</v>
      </c>
      <c r="B429" t="s">
        <v>964</v>
      </c>
      <c r="C429" t="s">
        <v>166</v>
      </c>
      <c r="D429" t="s">
        <v>965</v>
      </c>
      <c r="F429" s="1">
        <v>34399</v>
      </c>
      <c r="G429" s="2" t="s">
        <v>1050</v>
      </c>
      <c r="H429" s="2" t="s">
        <v>1036</v>
      </c>
      <c r="I429" s="2" t="s">
        <v>11</v>
      </c>
    </row>
    <row r="430" spans="1:9" x14ac:dyDescent="0.25">
      <c r="A430">
        <v>429</v>
      </c>
      <c r="B430" t="s">
        <v>430</v>
      </c>
      <c r="C430" t="s">
        <v>966</v>
      </c>
      <c r="D430" t="s">
        <v>41</v>
      </c>
      <c r="F430" s="1">
        <v>28853</v>
      </c>
      <c r="G430" s="2" t="s">
        <v>1049</v>
      </c>
      <c r="H430" s="2" t="s">
        <v>1036</v>
      </c>
      <c r="I430" s="2" t="s">
        <v>11</v>
      </c>
    </row>
    <row r="431" spans="1:9" x14ac:dyDescent="0.25">
      <c r="A431">
        <v>430</v>
      </c>
      <c r="B431" t="s">
        <v>967</v>
      </c>
      <c r="C431" t="s">
        <v>968</v>
      </c>
      <c r="D431" t="s">
        <v>969</v>
      </c>
      <c r="F431" s="1">
        <v>31527</v>
      </c>
      <c r="G431" s="2" t="s">
        <v>1050</v>
      </c>
      <c r="H431" s="2" t="s">
        <v>1036</v>
      </c>
      <c r="I431" s="2" t="s">
        <v>11</v>
      </c>
    </row>
    <row r="432" spans="1:9" x14ac:dyDescent="0.25">
      <c r="A432">
        <v>431</v>
      </c>
      <c r="B432" t="s">
        <v>970</v>
      </c>
      <c r="C432" t="s">
        <v>971</v>
      </c>
      <c r="F432" s="1">
        <v>33140</v>
      </c>
      <c r="G432" s="2" t="s">
        <v>1049</v>
      </c>
      <c r="H432" s="2" t="s">
        <v>1036</v>
      </c>
      <c r="I432" s="2" t="s">
        <v>11</v>
      </c>
    </row>
    <row r="433" spans="1:9" x14ac:dyDescent="0.25">
      <c r="A433">
        <v>432</v>
      </c>
      <c r="B433" t="s">
        <v>865</v>
      </c>
      <c r="C433" t="s">
        <v>736</v>
      </c>
      <c r="D433" t="s">
        <v>972</v>
      </c>
      <c r="F433" s="1">
        <v>28850</v>
      </c>
      <c r="G433" s="2" t="s">
        <v>1050</v>
      </c>
      <c r="H433" s="2" t="s">
        <v>1036</v>
      </c>
      <c r="I433" s="2" t="s">
        <v>11</v>
      </c>
    </row>
    <row r="434" spans="1:9" x14ac:dyDescent="0.25">
      <c r="A434">
        <v>433</v>
      </c>
      <c r="B434" t="s">
        <v>538</v>
      </c>
      <c r="C434" t="s">
        <v>973</v>
      </c>
      <c r="D434" t="s">
        <v>172</v>
      </c>
      <c r="F434" s="1">
        <v>26610</v>
      </c>
      <c r="G434" s="2" t="s">
        <v>1049</v>
      </c>
      <c r="H434" s="2" t="s">
        <v>1036</v>
      </c>
      <c r="I434" s="2" t="s">
        <v>11</v>
      </c>
    </row>
    <row r="435" spans="1:9" x14ac:dyDescent="0.25">
      <c r="A435">
        <v>434</v>
      </c>
      <c r="B435" t="s">
        <v>974</v>
      </c>
      <c r="C435" t="s">
        <v>975</v>
      </c>
      <c r="D435" t="s">
        <v>976</v>
      </c>
      <c r="F435" s="1">
        <v>24743</v>
      </c>
      <c r="G435" s="2" t="s">
        <v>1050</v>
      </c>
      <c r="H435" s="2" t="s">
        <v>1036</v>
      </c>
      <c r="I435" s="2" t="s">
        <v>11</v>
      </c>
    </row>
    <row r="436" spans="1:9" x14ac:dyDescent="0.25">
      <c r="A436">
        <v>435</v>
      </c>
      <c r="B436" t="s">
        <v>977</v>
      </c>
      <c r="C436" t="s">
        <v>978</v>
      </c>
      <c r="D436" t="s">
        <v>979</v>
      </c>
      <c r="F436" s="1">
        <v>32507</v>
      </c>
      <c r="G436" s="2" t="s">
        <v>1050</v>
      </c>
      <c r="H436" s="2" t="s">
        <v>1036</v>
      </c>
      <c r="I436" s="2" t="s">
        <v>11</v>
      </c>
    </row>
    <row r="437" spans="1:9" x14ac:dyDescent="0.25">
      <c r="A437">
        <v>436</v>
      </c>
      <c r="B437" t="s">
        <v>980</v>
      </c>
      <c r="C437" t="s">
        <v>981</v>
      </c>
      <c r="D437" t="s">
        <v>105</v>
      </c>
      <c r="F437" s="1">
        <v>20120</v>
      </c>
      <c r="G437" s="2" t="s">
        <v>1050</v>
      </c>
      <c r="H437" s="2" t="s">
        <v>1036</v>
      </c>
      <c r="I437" s="2" t="s">
        <v>11</v>
      </c>
    </row>
    <row r="438" spans="1:9" x14ac:dyDescent="0.25">
      <c r="A438">
        <v>437</v>
      </c>
      <c r="B438" t="s">
        <v>982</v>
      </c>
      <c r="C438" t="s">
        <v>983</v>
      </c>
      <c r="D438" t="s">
        <v>820</v>
      </c>
      <c r="F438" s="1">
        <v>31219</v>
      </c>
      <c r="G438" s="2" t="s">
        <v>1050</v>
      </c>
      <c r="H438" s="2" t="s">
        <v>1036</v>
      </c>
      <c r="I438" s="2" t="s">
        <v>11</v>
      </c>
    </row>
    <row r="439" spans="1:9" x14ac:dyDescent="0.25">
      <c r="A439">
        <v>438</v>
      </c>
      <c r="B439" t="s">
        <v>984</v>
      </c>
      <c r="C439" t="s">
        <v>166</v>
      </c>
      <c r="D439" t="s">
        <v>965</v>
      </c>
      <c r="F439" s="1">
        <v>34399</v>
      </c>
      <c r="G439" s="2" t="s">
        <v>1050</v>
      </c>
      <c r="H439" s="2" t="s">
        <v>1036</v>
      </c>
      <c r="I439" s="2" t="s">
        <v>11</v>
      </c>
    </row>
    <row r="440" spans="1:9" x14ac:dyDescent="0.25">
      <c r="A440">
        <v>439</v>
      </c>
      <c r="B440" t="s">
        <v>790</v>
      </c>
      <c r="C440" t="s">
        <v>985</v>
      </c>
      <c r="D440" t="s">
        <v>529</v>
      </c>
      <c r="F440" s="1">
        <v>23470</v>
      </c>
      <c r="G440" s="2" t="s">
        <v>1050</v>
      </c>
      <c r="H440" s="2" t="s">
        <v>1036</v>
      </c>
      <c r="I440" s="2" t="s">
        <v>11</v>
      </c>
    </row>
    <row r="441" spans="1:9" x14ac:dyDescent="0.25">
      <c r="A441">
        <v>440</v>
      </c>
      <c r="B441" t="s">
        <v>78</v>
      </c>
      <c r="C441" t="s">
        <v>986</v>
      </c>
      <c r="D441" t="s">
        <v>987</v>
      </c>
      <c r="F441" s="1">
        <v>34235</v>
      </c>
      <c r="G441" s="2" t="s">
        <v>1050</v>
      </c>
      <c r="H441" s="2" t="s">
        <v>1036</v>
      </c>
      <c r="I441" s="2" t="s">
        <v>11</v>
      </c>
    </row>
    <row r="442" spans="1:9" x14ac:dyDescent="0.25">
      <c r="A442">
        <v>441</v>
      </c>
      <c r="B442" t="s">
        <v>38</v>
      </c>
      <c r="C442" t="s">
        <v>68</v>
      </c>
      <c r="D442" t="s">
        <v>988</v>
      </c>
      <c r="F442" s="1">
        <v>22318</v>
      </c>
      <c r="G442" s="2" t="s">
        <v>1050</v>
      </c>
      <c r="H442" s="2" t="s">
        <v>1036</v>
      </c>
      <c r="I442" s="2" t="s">
        <v>11</v>
      </c>
    </row>
    <row r="443" spans="1:9" x14ac:dyDescent="0.25">
      <c r="A443">
        <v>442</v>
      </c>
      <c r="B443" t="s">
        <v>790</v>
      </c>
      <c r="C443" t="s">
        <v>989</v>
      </c>
      <c r="D443" t="s">
        <v>990</v>
      </c>
      <c r="F443" s="1">
        <v>32791</v>
      </c>
      <c r="G443" s="2" t="s">
        <v>1050</v>
      </c>
      <c r="H443" s="2" t="s">
        <v>1036</v>
      </c>
      <c r="I443" s="2" t="s">
        <v>11</v>
      </c>
    </row>
    <row r="444" spans="1:9" x14ac:dyDescent="0.25">
      <c r="A444">
        <v>443</v>
      </c>
      <c r="B444" t="s">
        <v>78</v>
      </c>
      <c r="C444" t="s">
        <v>991</v>
      </c>
      <c r="D444" t="s">
        <v>992</v>
      </c>
      <c r="F444" s="1">
        <v>33097</v>
      </c>
      <c r="G444" s="2" t="s">
        <v>1050</v>
      </c>
      <c r="H444" s="2" t="s">
        <v>1036</v>
      </c>
      <c r="I444" s="2" t="s">
        <v>11</v>
      </c>
    </row>
    <row r="445" spans="1:9" x14ac:dyDescent="0.25">
      <c r="A445">
        <v>444</v>
      </c>
      <c r="B445" t="s">
        <v>993</v>
      </c>
      <c r="C445" t="s">
        <v>36</v>
      </c>
      <c r="F445" s="1">
        <v>27739</v>
      </c>
      <c r="G445" s="2" t="s">
        <v>1050</v>
      </c>
      <c r="H445" s="2" t="s">
        <v>1036</v>
      </c>
      <c r="I445" s="2" t="s">
        <v>11</v>
      </c>
    </row>
    <row r="446" spans="1:9" x14ac:dyDescent="0.25">
      <c r="A446">
        <v>445</v>
      </c>
      <c r="B446" t="s">
        <v>994</v>
      </c>
      <c r="C446" t="s">
        <v>69</v>
      </c>
      <c r="F446" s="1">
        <v>32949</v>
      </c>
      <c r="G446" s="2" t="s">
        <v>1050</v>
      </c>
      <c r="H446" s="2" t="s">
        <v>1036</v>
      </c>
      <c r="I446" s="2" t="s">
        <v>11</v>
      </c>
    </row>
    <row r="447" spans="1:9" x14ac:dyDescent="0.25">
      <c r="A447">
        <v>446</v>
      </c>
      <c r="B447" t="s">
        <v>100</v>
      </c>
      <c r="C447" t="s">
        <v>159</v>
      </c>
      <c r="D447" t="s">
        <v>995</v>
      </c>
      <c r="F447" s="1">
        <v>30579</v>
      </c>
      <c r="G447" s="2" t="s">
        <v>1050</v>
      </c>
      <c r="H447" s="2" t="s">
        <v>1036</v>
      </c>
      <c r="I447" s="2" t="s">
        <v>11</v>
      </c>
    </row>
    <row r="448" spans="1:9" x14ac:dyDescent="0.25">
      <c r="A448">
        <v>447</v>
      </c>
      <c r="B448" t="s">
        <v>78</v>
      </c>
      <c r="C448" t="s">
        <v>996</v>
      </c>
      <c r="D448" t="s">
        <v>997</v>
      </c>
      <c r="F448" s="1">
        <v>17735</v>
      </c>
      <c r="G448" s="2" t="s">
        <v>1050</v>
      </c>
      <c r="H448" s="2" t="s">
        <v>1036</v>
      </c>
      <c r="I448" s="2" t="s">
        <v>11</v>
      </c>
    </row>
    <row r="449" spans="1:9" x14ac:dyDescent="0.25">
      <c r="A449">
        <v>448</v>
      </c>
      <c r="B449" t="s">
        <v>216</v>
      </c>
      <c r="C449" t="s">
        <v>998</v>
      </c>
      <c r="D449" t="s">
        <v>164</v>
      </c>
      <c r="F449" s="1">
        <v>36336</v>
      </c>
      <c r="G449" s="2" t="s">
        <v>1035</v>
      </c>
      <c r="H449" s="2" t="s">
        <v>1036</v>
      </c>
      <c r="I449" s="2" t="s">
        <v>11</v>
      </c>
    </row>
    <row r="450" spans="1:9" x14ac:dyDescent="0.25">
      <c r="A450">
        <v>449</v>
      </c>
      <c r="B450" t="s">
        <v>88</v>
      </c>
      <c r="C450" t="s">
        <v>15</v>
      </c>
      <c r="D450" t="s">
        <v>363</v>
      </c>
      <c r="F450" s="1">
        <v>28623</v>
      </c>
      <c r="G450" s="2" t="s">
        <v>1047</v>
      </c>
      <c r="H450" s="2" t="s">
        <v>1036</v>
      </c>
      <c r="I450" s="2" t="s">
        <v>11</v>
      </c>
    </row>
    <row r="451" spans="1:9" x14ac:dyDescent="0.25">
      <c r="A451">
        <v>450</v>
      </c>
      <c r="B451" t="s">
        <v>999</v>
      </c>
      <c r="C451" t="s">
        <v>1000</v>
      </c>
      <c r="D451" t="s">
        <v>130</v>
      </c>
      <c r="F451" s="1">
        <v>22839</v>
      </c>
      <c r="G451" s="2" t="s">
        <v>1050</v>
      </c>
      <c r="H451" s="2" t="s">
        <v>1036</v>
      </c>
      <c r="I451" s="2" t="s">
        <v>11</v>
      </c>
    </row>
    <row r="452" spans="1:9" x14ac:dyDescent="0.25">
      <c r="A452">
        <v>451</v>
      </c>
      <c r="B452" t="s">
        <v>579</v>
      </c>
      <c r="C452" t="s">
        <v>1001</v>
      </c>
      <c r="D452" t="s">
        <v>1002</v>
      </c>
      <c r="F452" s="1">
        <v>33913</v>
      </c>
      <c r="G452" s="2" t="s">
        <v>128</v>
      </c>
      <c r="H452" s="2" t="s">
        <v>1036</v>
      </c>
      <c r="I452" s="2" t="s">
        <v>11</v>
      </c>
    </row>
    <row r="453" spans="1:9" x14ac:dyDescent="0.25">
      <c r="A453">
        <v>452</v>
      </c>
      <c r="B453" t="s">
        <v>1003</v>
      </c>
      <c r="C453" t="s">
        <v>1004</v>
      </c>
      <c r="D453" t="s">
        <v>1005</v>
      </c>
      <c r="F453" s="1">
        <v>29365</v>
      </c>
      <c r="G453" s="2" t="s">
        <v>1051</v>
      </c>
      <c r="H453" s="2" t="s">
        <v>1036</v>
      </c>
      <c r="I453" s="2" t="s">
        <v>11</v>
      </c>
    </row>
    <row r="454" spans="1:9" x14ac:dyDescent="0.25">
      <c r="A454">
        <v>453</v>
      </c>
      <c r="B454" t="s">
        <v>646</v>
      </c>
      <c r="C454" t="s">
        <v>251</v>
      </c>
      <c r="D454" t="s">
        <v>90</v>
      </c>
      <c r="F454" s="1">
        <v>25514</v>
      </c>
      <c r="G454" s="2" t="s">
        <v>1049</v>
      </c>
      <c r="H454" s="2" t="s">
        <v>1036</v>
      </c>
      <c r="I454" s="2" t="s">
        <v>11</v>
      </c>
    </row>
    <row r="455" spans="1:9" x14ac:dyDescent="0.25">
      <c r="A455">
        <v>454</v>
      </c>
      <c r="B455" t="s">
        <v>951</v>
      </c>
      <c r="C455" t="s">
        <v>220</v>
      </c>
      <c r="D455" t="s">
        <v>952</v>
      </c>
      <c r="F455" s="1">
        <v>33549</v>
      </c>
      <c r="G455" s="2" t="s">
        <v>1049</v>
      </c>
      <c r="H455" s="2" t="s">
        <v>1036</v>
      </c>
      <c r="I455" s="2" t="s">
        <v>11</v>
      </c>
    </row>
    <row r="456" spans="1:9" x14ac:dyDescent="0.25">
      <c r="A456">
        <v>455</v>
      </c>
      <c r="B456" t="s">
        <v>1006</v>
      </c>
      <c r="C456" t="s">
        <v>853</v>
      </c>
      <c r="D456" t="s">
        <v>1007</v>
      </c>
      <c r="F456" s="1">
        <v>32741</v>
      </c>
      <c r="G456" s="2" t="s">
        <v>1045</v>
      </c>
      <c r="H456" s="2" t="s">
        <v>1036</v>
      </c>
      <c r="I456" s="2" t="s">
        <v>11</v>
      </c>
    </row>
    <row r="457" spans="1:9" x14ac:dyDescent="0.25">
      <c r="A457">
        <v>456</v>
      </c>
      <c r="B457" t="s">
        <v>1008</v>
      </c>
      <c r="C457" t="s">
        <v>1009</v>
      </c>
      <c r="F457" s="1">
        <v>31189</v>
      </c>
      <c r="G457" s="2" t="s">
        <v>1045</v>
      </c>
      <c r="H457" s="2" t="s">
        <v>1036</v>
      </c>
      <c r="I457" s="2" t="s">
        <v>11</v>
      </c>
    </row>
    <row r="458" spans="1:9" x14ac:dyDescent="0.25">
      <c r="A458">
        <v>457</v>
      </c>
      <c r="B458" t="s">
        <v>646</v>
      </c>
      <c r="C458" t="s">
        <v>40</v>
      </c>
      <c r="D458" t="s">
        <v>1010</v>
      </c>
      <c r="F458" s="1">
        <v>34197</v>
      </c>
      <c r="G458" s="2" t="s">
        <v>1045</v>
      </c>
      <c r="H458" s="2" t="s">
        <v>1036</v>
      </c>
      <c r="I458" s="2" t="s">
        <v>11</v>
      </c>
    </row>
    <row r="459" spans="1:9" x14ac:dyDescent="0.25">
      <c r="A459">
        <v>458</v>
      </c>
      <c r="B459" t="s">
        <v>207</v>
      </c>
      <c r="C459" t="s">
        <v>1011</v>
      </c>
      <c r="D459" t="s">
        <v>209</v>
      </c>
      <c r="F459" s="1">
        <v>21572</v>
      </c>
      <c r="G459" s="2" t="s">
        <v>1035</v>
      </c>
      <c r="H459" s="2" t="s">
        <v>1036</v>
      </c>
      <c r="I459" s="2" t="s">
        <v>11</v>
      </c>
    </row>
    <row r="460" spans="1:9" x14ac:dyDescent="0.25">
      <c r="A460">
        <v>459</v>
      </c>
      <c r="B460" t="s">
        <v>78</v>
      </c>
      <c r="C460" t="s">
        <v>25</v>
      </c>
      <c r="D460" t="s">
        <v>218</v>
      </c>
      <c r="F460" s="1">
        <v>37386</v>
      </c>
      <c r="G460" s="2" t="s">
        <v>1052</v>
      </c>
      <c r="H460" s="2" t="s">
        <v>1036</v>
      </c>
      <c r="I460" s="2" t="s">
        <v>11</v>
      </c>
    </row>
    <row r="461" spans="1:9" x14ac:dyDescent="0.25">
      <c r="A461">
        <v>460</v>
      </c>
      <c r="B461" t="s">
        <v>1012</v>
      </c>
      <c r="C461" t="s">
        <v>1013</v>
      </c>
      <c r="D461" t="s">
        <v>1014</v>
      </c>
      <c r="F461" s="1">
        <v>25147</v>
      </c>
      <c r="G461" s="2" t="s">
        <v>1052</v>
      </c>
      <c r="H461" s="2" t="s">
        <v>1036</v>
      </c>
      <c r="I461" s="2" t="s">
        <v>11</v>
      </c>
    </row>
    <row r="462" spans="1:9" x14ac:dyDescent="0.25">
      <c r="A462">
        <v>461</v>
      </c>
      <c r="B462" t="s">
        <v>1015</v>
      </c>
      <c r="C462" t="s">
        <v>1016</v>
      </c>
      <c r="D462" t="s">
        <v>1017</v>
      </c>
      <c r="F462" s="1">
        <v>31137</v>
      </c>
      <c r="G462" s="2" t="s">
        <v>1052</v>
      </c>
      <c r="H462" s="2" t="s">
        <v>1036</v>
      </c>
      <c r="I462" s="2" t="s">
        <v>11</v>
      </c>
    </row>
    <row r="463" spans="1:9" x14ac:dyDescent="0.25">
      <c r="A463">
        <v>462</v>
      </c>
      <c r="B463" t="s">
        <v>935</v>
      </c>
      <c r="C463" t="s">
        <v>1018</v>
      </c>
      <c r="D463" t="s">
        <v>1019</v>
      </c>
      <c r="F463" s="1">
        <v>27183</v>
      </c>
      <c r="G463" s="2" t="s">
        <v>1052</v>
      </c>
      <c r="H463" s="2" t="s">
        <v>1036</v>
      </c>
      <c r="I463" s="2" t="s">
        <v>11</v>
      </c>
    </row>
    <row r="464" spans="1:9" x14ac:dyDescent="0.25">
      <c r="A464">
        <v>463</v>
      </c>
      <c r="B464" t="s">
        <v>1020</v>
      </c>
      <c r="C464" t="s">
        <v>975</v>
      </c>
      <c r="D464" t="s">
        <v>1021</v>
      </c>
      <c r="F464" s="1">
        <v>32037</v>
      </c>
      <c r="G464" s="2" t="s">
        <v>1052</v>
      </c>
      <c r="H464" s="2" t="s">
        <v>1036</v>
      </c>
      <c r="I464" s="2" t="s">
        <v>11</v>
      </c>
    </row>
    <row r="465" spans="1:9" x14ac:dyDescent="0.25">
      <c r="A465">
        <v>464</v>
      </c>
      <c r="B465" t="s">
        <v>46</v>
      </c>
      <c r="C465" t="s">
        <v>1022</v>
      </c>
      <c r="D465" t="s">
        <v>1023</v>
      </c>
      <c r="F465" s="1">
        <v>34098</v>
      </c>
      <c r="G465" s="2" t="s">
        <v>1035</v>
      </c>
      <c r="H465" s="2" t="s">
        <v>1036</v>
      </c>
      <c r="I465" s="2" t="s">
        <v>11</v>
      </c>
    </row>
    <row r="466" spans="1:9" x14ac:dyDescent="0.25">
      <c r="A466">
        <v>465</v>
      </c>
      <c r="B466" t="s">
        <v>1024</v>
      </c>
      <c r="C466" t="s">
        <v>1025</v>
      </c>
      <c r="D466" t="s">
        <v>32</v>
      </c>
      <c r="F466" s="1">
        <v>23004</v>
      </c>
      <c r="G466" s="2" t="s">
        <v>1052</v>
      </c>
      <c r="H466" s="2" t="s">
        <v>1036</v>
      </c>
      <c r="I466" s="2" t="s">
        <v>11</v>
      </c>
    </row>
    <row r="467" spans="1:9" x14ac:dyDescent="0.25">
      <c r="A467">
        <v>466</v>
      </c>
      <c r="B467" t="s">
        <v>1026</v>
      </c>
      <c r="C467" t="s">
        <v>1027</v>
      </c>
      <c r="D467" t="s">
        <v>538</v>
      </c>
      <c r="F467" s="1">
        <v>34458</v>
      </c>
      <c r="G467" s="2" t="s">
        <v>1047</v>
      </c>
      <c r="H467" s="2" t="s">
        <v>1036</v>
      </c>
      <c r="I467" s="2" t="s">
        <v>11</v>
      </c>
    </row>
    <row r="468" spans="1:9" x14ac:dyDescent="0.25">
      <c r="A468">
        <v>467</v>
      </c>
      <c r="B468" t="s">
        <v>132</v>
      </c>
      <c r="C468" t="s">
        <v>1028</v>
      </c>
      <c r="D468" t="s">
        <v>133</v>
      </c>
      <c r="F468" s="1">
        <v>28733</v>
      </c>
      <c r="G468" s="2" t="s">
        <v>1035</v>
      </c>
      <c r="H468" s="2" t="s">
        <v>1036</v>
      </c>
      <c r="I468" s="2" t="s">
        <v>11</v>
      </c>
    </row>
    <row r="469" spans="1:9" x14ac:dyDescent="0.25">
      <c r="A469">
        <v>468</v>
      </c>
      <c r="B469" t="s">
        <v>1029</v>
      </c>
      <c r="C469" t="s">
        <v>975</v>
      </c>
      <c r="F469" s="1">
        <v>36173</v>
      </c>
      <c r="G469" s="2" t="s">
        <v>1046</v>
      </c>
      <c r="H469" s="2" t="s">
        <v>1036</v>
      </c>
      <c r="I469" s="2" t="s">
        <v>11</v>
      </c>
    </row>
    <row r="470" spans="1:9" x14ac:dyDescent="0.25">
      <c r="A470">
        <v>469</v>
      </c>
      <c r="B470" t="s">
        <v>1030</v>
      </c>
      <c r="C470" t="s">
        <v>576</v>
      </c>
      <c r="D470" t="s">
        <v>601</v>
      </c>
      <c r="F470" s="1">
        <v>24946</v>
      </c>
      <c r="G470" s="2" t="s">
        <v>1052</v>
      </c>
      <c r="H470" s="2" t="s">
        <v>1036</v>
      </c>
      <c r="I470" s="2" t="s">
        <v>11</v>
      </c>
    </row>
    <row r="471" spans="1:9" x14ac:dyDescent="0.25">
      <c r="A471">
        <v>470</v>
      </c>
      <c r="B471" t="s">
        <v>1031</v>
      </c>
      <c r="C471" t="s">
        <v>245</v>
      </c>
      <c r="D471" t="s">
        <v>86</v>
      </c>
      <c r="F471" s="1">
        <v>26478</v>
      </c>
      <c r="G471" s="2" t="s">
        <v>1052</v>
      </c>
      <c r="H471" s="2" t="s">
        <v>1036</v>
      </c>
      <c r="I471" s="2" t="s">
        <v>11</v>
      </c>
    </row>
    <row r="472" spans="1:9" x14ac:dyDescent="0.25">
      <c r="A472">
        <v>471</v>
      </c>
      <c r="B472" t="s">
        <v>362</v>
      </c>
      <c r="C472" t="s">
        <v>1032</v>
      </c>
      <c r="D472" t="s">
        <v>1033</v>
      </c>
      <c r="F472" s="1">
        <v>29858</v>
      </c>
      <c r="G472" s="2" t="s">
        <v>1052</v>
      </c>
      <c r="H472" s="2" t="s">
        <v>1036</v>
      </c>
      <c r="I472" s="2" t="s">
        <v>11</v>
      </c>
    </row>
    <row r="473" spans="1:9" x14ac:dyDescent="0.25">
      <c r="A473">
        <v>472</v>
      </c>
      <c r="B473" t="s">
        <v>609</v>
      </c>
      <c r="C473" t="s">
        <v>91</v>
      </c>
      <c r="D473" t="s">
        <v>1034</v>
      </c>
      <c r="F473" s="1">
        <v>28957</v>
      </c>
      <c r="G473" s="2" t="s">
        <v>1035</v>
      </c>
      <c r="H473" s="2" t="s">
        <v>1036</v>
      </c>
      <c r="I473" s="2" t="s">
        <v>11</v>
      </c>
    </row>
    <row r="474" spans="1:9" x14ac:dyDescent="0.25">
      <c r="A474">
        <v>473</v>
      </c>
      <c r="B474" t="s">
        <v>528</v>
      </c>
      <c r="C474" t="s">
        <v>795</v>
      </c>
      <c r="D474" t="s">
        <v>960</v>
      </c>
      <c r="F474" s="1">
        <v>24946</v>
      </c>
      <c r="G474" t="s">
        <v>1049</v>
      </c>
      <c r="H474" t="s">
        <v>1036</v>
      </c>
      <c r="I474" t="s">
        <v>11</v>
      </c>
    </row>
    <row r="475" spans="1:9" x14ac:dyDescent="0.25">
      <c r="A475">
        <v>474</v>
      </c>
      <c r="B475" t="s">
        <v>1053</v>
      </c>
      <c r="C475" t="s">
        <v>412</v>
      </c>
      <c r="D475" t="s">
        <v>1054</v>
      </c>
      <c r="F475" s="1">
        <v>35783</v>
      </c>
      <c r="G475" t="s">
        <v>1047</v>
      </c>
      <c r="H475" t="s">
        <v>1036</v>
      </c>
      <c r="I475" t="s">
        <v>11</v>
      </c>
    </row>
    <row r="476" spans="1:9" x14ac:dyDescent="0.25">
      <c r="A476">
        <v>475</v>
      </c>
      <c r="B476" t="s">
        <v>92</v>
      </c>
      <c r="C476" t="s">
        <v>43</v>
      </c>
      <c r="D476" t="s">
        <v>190</v>
      </c>
      <c r="F476" s="1">
        <v>22827</v>
      </c>
      <c r="G476" t="s">
        <v>1037</v>
      </c>
      <c r="H476" t="s">
        <v>1036</v>
      </c>
      <c r="I476" t="s">
        <v>11</v>
      </c>
    </row>
    <row r="477" spans="1:9" x14ac:dyDescent="0.25">
      <c r="A477">
        <v>476</v>
      </c>
      <c r="B477" t="s">
        <v>180</v>
      </c>
      <c r="C477" t="s">
        <v>150</v>
      </c>
      <c r="D477" t="s">
        <v>290</v>
      </c>
      <c r="F477" s="1">
        <v>33092</v>
      </c>
      <c r="G477" t="s">
        <v>1049</v>
      </c>
      <c r="H477" t="s">
        <v>1036</v>
      </c>
      <c r="I477" t="s">
        <v>11</v>
      </c>
    </row>
    <row r="478" spans="1:9" x14ac:dyDescent="0.25">
      <c r="A478">
        <v>477</v>
      </c>
      <c r="B478" t="s">
        <v>646</v>
      </c>
      <c r="C478" t="s">
        <v>1055</v>
      </c>
      <c r="D478" t="s">
        <v>87</v>
      </c>
      <c r="F478" s="1">
        <v>23342</v>
      </c>
      <c r="G478" t="s">
        <v>1049</v>
      </c>
      <c r="H478" t="s">
        <v>1036</v>
      </c>
      <c r="I478" t="s">
        <v>11</v>
      </c>
    </row>
    <row r="479" spans="1:9" x14ac:dyDescent="0.25">
      <c r="A479">
        <v>478</v>
      </c>
      <c r="B479" t="s">
        <v>1056</v>
      </c>
      <c r="C479" t="s">
        <v>1057</v>
      </c>
      <c r="D479" t="s">
        <v>1058</v>
      </c>
      <c r="F479" s="1">
        <v>35002</v>
      </c>
      <c r="G479" t="s">
        <v>1049</v>
      </c>
      <c r="H479" t="s">
        <v>1036</v>
      </c>
      <c r="I479" t="s">
        <v>11</v>
      </c>
    </row>
    <row r="480" spans="1:9" x14ac:dyDescent="0.25">
      <c r="A480">
        <v>479</v>
      </c>
      <c r="B480" t="s">
        <v>360</v>
      </c>
      <c r="C480" t="s">
        <v>1059</v>
      </c>
      <c r="D480" t="s">
        <v>1060</v>
      </c>
      <c r="F480" s="1">
        <v>27513</v>
      </c>
      <c r="G480" t="s">
        <v>1049</v>
      </c>
      <c r="H480" t="s">
        <v>1036</v>
      </c>
      <c r="I480" t="s">
        <v>11</v>
      </c>
    </row>
    <row r="481" spans="1:9" x14ac:dyDescent="0.25">
      <c r="A481">
        <v>480</v>
      </c>
      <c r="B481" t="s">
        <v>18</v>
      </c>
      <c r="C481" t="s">
        <v>1061</v>
      </c>
      <c r="D481" t="s">
        <v>1010</v>
      </c>
      <c r="F481" s="1">
        <v>30303</v>
      </c>
      <c r="G481" t="s">
        <v>1049</v>
      </c>
      <c r="H481" t="s">
        <v>1036</v>
      </c>
      <c r="I481" t="s">
        <v>11</v>
      </c>
    </row>
    <row r="482" spans="1:9" x14ac:dyDescent="0.25">
      <c r="A482">
        <v>481</v>
      </c>
      <c r="B482" t="s">
        <v>1062</v>
      </c>
      <c r="C482" t="s">
        <v>957</v>
      </c>
      <c r="F482" s="1">
        <v>24456</v>
      </c>
      <c r="G482" t="s">
        <v>1035</v>
      </c>
      <c r="H482" t="s">
        <v>1036</v>
      </c>
      <c r="I482" t="s">
        <v>11</v>
      </c>
    </row>
    <row r="483" spans="1:9" x14ac:dyDescent="0.25">
      <c r="A483">
        <v>482</v>
      </c>
      <c r="B483" t="s">
        <v>960</v>
      </c>
      <c r="C483" t="s">
        <v>145</v>
      </c>
      <c r="D483" t="s">
        <v>772</v>
      </c>
      <c r="F483" s="1">
        <v>27634</v>
      </c>
      <c r="G483" t="s">
        <v>1049</v>
      </c>
      <c r="H483" t="s">
        <v>1036</v>
      </c>
      <c r="I483" t="s">
        <v>11</v>
      </c>
    </row>
    <row r="484" spans="1:9" x14ac:dyDescent="0.25">
      <c r="A484">
        <v>483</v>
      </c>
      <c r="B484" t="s">
        <v>1063</v>
      </c>
      <c r="C484" t="s">
        <v>173</v>
      </c>
      <c r="D484" t="s">
        <v>1064</v>
      </c>
      <c r="F484" s="1">
        <v>35877</v>
      </c>
      <c r="G484" t="s">
        <v>1049</v>
      </c>
      <c r="H484" t="s">
        <v>1036</v>
      </c>
      <c r="I484" t="s">
        <v>11</v>
      </c>
    </row>
    <row r="485" spans="1:9" x14ac:dyDescent="0.25">
      <c r="A485">
        <v>484</v>
      </c>
      <c r="B485" t="s">
        <v>967</v>
      </c>
      <c r="C485" t="s">
        <v>598</v>
      </c>
      <c r="F485" s="1">
        <v>30733</v>
      </c>
      <c r="G485" t="s">
        <v>1050</v>
      </c>
      <c r="H485" t="s">
        <v>1036</v>
      </c>
      <c r="I485" t="s">
        <v>11</v>
      </c>
    </row>
    <row r="486" spans="1:9" x14ac:dyDescent="0.25">
      <c r="A486">
        <v>485</v>
      </c>
      <c r="B486" t="s">
        <v>646</v>
      </c>
      <c r="C486" t="s">
        <v>155</v>
      </c>
      <c r="D486" t="s">
        <v>90</v>
      </c>
      <c r="F486" s="1">
        <v>36375</v>
      </c>
      <c r="G486" t="s">
        <v>1049</v>
      </c>
      <c r="H486" t="s">
        <v>1036</v>
      </c>
      <c r="I486" t="s">
        <v>11</v>
      </c>
    </row>
    <row r="487" spans="1:9" x14ac:dyDescent="0.25">
      <c r="A487">
        <v>486</v>
      </c>
      <c r="B487" t="s">
        <v>865</v>
      </c>
      <c r="C487" t="s">
        <v>147</v>
      </c>
      <c r="F487" s="1">
        <v>26994</v>
      </c>
      <c r="G487" t="s">
        <v>1050</v>
      </c>
      <c r="H487" t="s">
        <v>1036</v>
      </c>
      <c r="I487" t="s">
        <v>11</v>
      </c>
    </row>
    <row r="488" spans="1:9" x14ac:dyDescent="0.25">
      <c r="A488">
        <v>487</v>
      </c>
      <c r="B488" t="s">
        <v>1065</v>
      </c>
      <c r="C488" t="s">
        <v>538</v>
      </c>
      <c r="D488" t="s">
        <v>1066</v>
      </c>
      <c r="F488" s="1">
        <v>29597</v>
      </c>
      <c r="G488" t="s">
        <v>1049</v>
      </c>
      <c r="H488" t="s">
        <v>1036</v>
      </c>
      <c r="I488" t="s">
        <v>11</v>
      </c>
    </row>
    <row r="489" spans="1:9" x14ac:dyDescent="0.25">
      <c r="A489">
        <v>488</v>
      </c>
      <c r="B489" t="s">
        <v>974</v>
      </c>
      <c r="C489" t="s">
        <v>1067</v>
      </c>
      <c r="F489" s="1">
        <v>26727</v>
      </c>
      <c r="G489" t="s">
        <v>1050</v>
      </c>
      <c r="H489" t="s">
        <v>1036</v>
      </c>
      <c r="I489" t="s">
        <v>11</v>
      </c>
    </row>
    <row r="490" spans="1:9" x14ac:dyDescent="0.25">
      <c r="A490">
        <v>489</v>
      </c>
      <c r="B490" t="s">
        <v>1068</v>
      </c>
      <c r="C490" t="s">
        <v>1069</v>
      </c>
      <c r="D490" t="s">
        <v>1070</v>
      </c>
      <c r="F490" s="1">
        <v>32906</v>
      </c>
      <c r="G490" t="s">
        <v>1050</v>
      </c>
      <c r="H490" t="s">
        <v>1036</v>
      </c>
      <c r="I490" t="s">
        <v>11</v>
      </c>
    </row>
    <row r="491" spans="1:9" x14ac:dyDescent="0.25">
      <c r="A491">
        <v>490</v>
      </c>
      <c r="B491" t="s">
        <v>982</v>
      </c>
      <c r="C491" t="s">
        <v>1071</v>
      </c>
      <c r="F491" s="1">
        <v>31219</v>
      </c>
      <c r="G491" t="s">
        <v>1050</v>
      </c>
      <c r="H491" t="s">
        <v>1036</v>
      </c>
      <c r="I491" t="s">
        <v>11</v>
      </c>
    </row>
    <row r="492" spans="1:9" x14ac:dyDescent="0.25">
      <c r="A492">
        <v>491</v>
      </c>
      <c r="B492" t="s">
        <v>1072</v>
      </c>
      <c r="C492" t="s">
        <v>1073</v>
      </c>
      <c r="D492" t="s">
        <v>1074</v>
      </c>
      <c r="F492" s="1">
        <v>33934</v>
      </c>
      <c r="G492" t="s">
        <v>1050</v>
      </c>
      <c r="H492" t="s">
        <v>1036</v>
      </c>
      <c r="I492" t="s">
        <v>11</v>
      </c>
    </row>
    <row r="493" spans="1:9" x14ac:dyDescent="0.25">
      <c r="A493">
        <v>492</v>
      </c>
      <c r="B493" t="s">
        <v>790</v>
      </c>
      <c r="C493" t="s">
        <v>1075</v>
      </c>
      <c r="F493" s="1">
        <v>36404</v>
      </c>
      <c r="G493" t="s">
        <v>1050</v>
      </c>
      <c r="H493" t="s">
        <v>1036</v>
      </c>
      <c r="I493" t="s">
        <v>11</v>
      </c>
    </row>
    <row r="494" spans="1:9" x14ac:dyDescent="0.25">
      <c r="A494">
        <v>493</v>
      </c>
      <c r="B494" t="s">
        <v>38</v>
      </c>
      <c r="C494" t="s">
        <v>570</v>
      </c>
      <c r="F494" s="1">
        <v>23324</v>
      </c>
      <c r="G494" t="s">
        <v>1050</v>
      </c>
      <c r="H494" t="s">
        <v>1036</v>
      </c>
      <c r="I494" t="s">
        <v>11</v>
      </c>
    </row>
    <row r="495" spans="1:9" x14ac:dyDescent="0.25">
      <c r="A495">
        <v>494</v>
      </c>
      <c r="B495" t="s">
        <v>790</v>
      </c>
      <c r="C495" t="s">
        <v>1076</v>
      </c>
      <c r="F495" s="1">
        <v>33873</v>
      </c>
      <c r="G495" t="s">
        <v>1050</v>
      </c>
      <c r="H495" t="s">
        <v>1036</v>
      </c>
      <c r="I495" t="s">
        <v>11</v>
      </c>
    </row>
    <row r="496" spans="1:9" x14ac:dyDescent="0.25">
      <c r="A496">
        <v>495</v>
      </c>
      <c r="B496" t="s">
        <v>790</v>
      </c>
      <c r="C496" t="s">
        <v>125</v>
      </c>
      <c r="F496" s="1">
        <v>33209</v>
      </c>
      <c r="G496" t="s">
        <v>1050</v>
      </c>
      <c r="H496" t="s">
        <v>1036</v>
      </c>
      <c r="I496" t="s">
        <v>11</v>
      </c>
    </row>
    <row r="497" spans="1:9" x14ac:dyDescent="0.25">
      <c r="A497">
        <v>496</v>
      </c>
      <c r="B497" t="s">
        <v>78</v>
      </c>
      <c r="C497" t="s">
        <v>1077</v>
      </c>
      <c r="F497" s="1">
        <v>26854</v>
      </c>
      <c r="G497" t="s">
        <v>1050</v>
      </c>
      <c r="H497" t="s">
        <v>1036</v>
      </c>
      <c r="I497" t="s">
        <v>11</v>
      </c>
    </row>
    <row r="498" spans="1:9" x14ac:dyDescent="0.25">
      <c r="A498">
        <v>497</v>
      </c>
      <c r="B498" t="s">
        <v>1078</v>
      </c>
      <c r="C498" t="s">
        <v>138</v>
      </c>
      <c r="F498" s="1">
        <v>30756</v>
      </c>
      <c r="G498" t="s">
        <v>1050</v>
      </c>
      <c r="H498" t="s">
        <v>1036</v>
      </c>
      <c r="I498" t="s">
        <v>11</v>
      </c>
    </row>
    <row r="499" spans="1:9" x14ac:dyDescent="0.25">
      <c r="A499">
        <v>498</v>
      </c>
      <c r="B499" t="s">
        <v>100</v>
      </c>
      <c r="C499" t="s">
        <v>1079</v>
      </c>
      <c r="F499" s="1">
        <v>36360</v>
      </c>
      <c r="G499" t="s">
        <v>1050</v>
      </c>
      <c r="H499" t="s">
        <v>1036</v>
      </c>
      <c r="I499" t="s">
        <v>11</v>
      </c>
    </row>
    <row r="500" spans="1:9" x14ac:dyDescent="0.25">
      <c r="A500">
        <v>499</v>
      </c>
      <c r="B500" t="s">
        <v>1080</v>
      </c>
      <c r="C500" t="s">
        <v>1081</v>
      </c>
      <c r="D500" t="s">
        <v>529</v>
      </c>
      <c r="F500" s="1">
        <v>33844</v>
      </c>
      <c r="G500" t="s">
        <v>1035</v>
      </c>
      <c r="H500" t="s">
        <v>1036</v>
      </c>
      <c r="I500" t="s">
        <v>11</v>
      </c>
    </row>
    <row r="501" spans="1:9" x14ac:dyDescent="0.25">
      <c r="A501">
        <v>500</v>
      </c>
      <c r="B501" t="s">
        <v>1082</v>
      </c>
      <c r="C501" t="s">
        <v>1083</v>
      </c>
      <c r="F501" s="1">
        <v>28623</v>
      </c>
      <c r="G501" t="s">
        <v>1047</v>
      </c>
      <c r="H501" t="s">
        <v>1036</v>
      </c>
      <c r="I501" t="s">
        <v>11</v>
      </c>
    </row>
    <row r="502" spans="1:9" x14ac:dyDescent="0.25">
      <c r="A502">
        <v>501</v>
      </c>
      <c r="B502" t="s">
        <v>27</v>
      </c>
      <c r="C502" t="s">
        <v>1084</v>
      </c>
      <c r="F502" s="1">
        <v>25561</v>
      </c>
      <c r="G502" t="s">
        <v>1050</v>
      </c>
      <c r="H502" t="s">
        <v>1036</v>
      </c>
      <c r="I502" t="s">
        <v>11</v>
      </c>
    </row>
    <row r="503" spans="1:9" x14ac:dyDescent="0.25">
      <c r="A503">
        <v>502</v>
      </c>
      <c r="B503" t="s">
        <v>579</v>
      </c>
      <c r="C503" t="s">
        <v>1085</v>
      </c>
      <c r="F503" s="1">
        <v>32590</v>
      </c>
      <c r="G503" t="s">
        <v>128</v>
      </c>
      <c r="H503" t="s">
        <v>1036</v>
      </c>
      <c r="I503" t="s">
        <v>11</v>
      </c>
    </row>
    <row r="504" spans="1:9" x14ac:dyDescent="0.25">
      <c r="A504">
        <v>503</v>
      </c>
      <c r="B504" t="s">
        <v>1003</v>
      </c>
      <c r="C504" t="s">
        <v>1086</v>
      </c>
      <c r="F504" s="1">
        <v>28418</v>
      </c>
      <c r="G504" t="s">
        <v>1051</v>
      </c>
      <c r="H504" t="s">
        <v>1036</v>
      </c>
      <c r="I504" t="s">
        <v>11</v>
      </c>
    </row>
    <row r="505" spans="1:9" x14ac:dyDescent="0.25">
      <c r="A505">
        <v>504</v>
      </c>
      <c r="B505" t="s">
        <v>646</v>
      </c>
      <c r="C505" t="s">
        <v>1055</v>
      </c>
      <c r="E505" t="s">
        <v>106</v>
      </c>
      <c r="F505" s="1">
        <v>23342</v>
      </c>
      <c r="G505" t="s">
        <v>1049</v>
      </c>
      <c r="H505" t="s">
        <v>1036</v>
      </c>
      <c r="I505" t="s">
        <v>11</v>
      </c>
    </row>
    <row r="506" spans="1:9" x14ac:dyDescent="0.25">
      <c r="A506">
        <v>505</v>
      </c>
      <c r="B506" t="s">
        <v>180</v>
      </c>
      <c r="C506" t="s">
        <v>150</v>
      </c>
      <c r="F506" s="1">
        <v>33092</v>
      </c>
      <c r="G506" t="s">
        <v>1049</v>
      </c>
      <c r="H506" t="s">
        <v>1036</v>
      </c>
      <c r="I506" t="s">
        <v>11</v>
      </c>
    </row>
    <row r="507" spans="1:9" x14ac:dyDescent="0.25">
      <c r="A507">
        <v>506</v>
      </c>
      <c r="B507" t="s">
        <v>1087</v>
      </c>
      <c r="C507" t="s">
        <v>1088</v>
      </c>
      <c r="F507" s="1">
        <v>33745</v>
      </c>
      <c r="G507" t="s">
        <v>1045</v>
      </c>
      <c r="H507" t="s">
        <v>1036</v>
      </c>
      <c r="I507" t="s">
        <v>11</v>
      </c>
    </row>
    <row r="508" spans="1:9" x14ac:dyDescent="0.25">
      <c r="A508">
        <v>507</v>
      </c>
      <c r="B508" t="s">
        <v>1008</v>
      </c>
      <c r="C508" t="s">
        <v>1089</v>
      </c>
      <c r="F508" s="1">
        <v>32557</v>
      </c>
      <c r="G508" t="s">
        <v>1045</v>
      </c>
      <c r="H508" t="s">
        <v>1036</v>
      </c>
      <c r="I508" t="s">
        <v>11</v>
      </c>
    </row>
    <row r="509" spans="1:9" x14ac:dyDescent="0.25">
      <c r="A509">
        <v>508</v>
      </c>
      <c r="B509" t="s">
        <v>646</v>
      </c>
      <c r="C509" t="s">
        <v>769</v>
      </c>
      <c r="F509" s="1">
        <v>34743</v>
      </c>
      <c r="G509" t="s">
        <v>1045</v>
      </c>
      <c r="H509" t="s">
        <v>1036</v>
      </c>
      <c r="I509" t="s">
        <v>11</v>
      </c>
    </row>
    <row r="510" spans="1:9" x14ac:dyDescent="0.25">
      <c r="A510">
        <v>509</v>
      </c>
      <c r="B510" t="s">
        <v>218</v>
      </c>
      <c r="C510" t="s">
        <v>1090</v>
      </c>
      <c r="F510" s="1">
        <v>37548</v>
      </c>
      <c r="G510" t="s">
        <v>1052</v>
      </c>
      <c r="H510" t="s">
        <v>1036</v>
      </c>
      <c r="I510" t="s">
        <v>11</v>
      </c>
    </row>
    <row r="511" spans="1:9" x14ac:dyDescent="0.25">
      <c r="A511">
        <v>510</v>
      </c>
      <c r="B511" t="s">
        <v>1014</v>
      </c>
      <c r="C511" t="s">
        <v>1091</v>
      </c>
      <c r="F511" s="1">
        <v>33518</v>
      </c>
      <c r="G511" t="s">
        <v>1052</v>
      </c>
      <c r="H511" t="s">
        <v>1036</v>
      </c>
      <c r="I511" t="s">
        <v>11</v>
      </c>
    </row>
    <row r="512" spans="1:9" x14ac:dyDescent="0.25">
      <c r="A512">
        <v>511</v>
      </c>
      <c r="B512" t="s">
        <v>1017</v>
      </c>
      <c r="C512" t="s">
        <v>155</v>
      </c>
      <c r="F512" s="1">
        <v>33131</v>
      </c>
      <c r="G512" t="s">
        <v>1052</v>
      </c>
      <c r="H512" t="s">
        <v>1036</v>
      </c>
      <c r="I512" t="s">
        <v>11</v>
      </c>
    </row>
    <row r="513" spans="1:9" x14ac:dyDescent="0.25">
      <c r="A513">
        <v>512</v>
      </c>
      <c r="B513" t="s">
        <v>935</v>
      </c>
      <c r="C513" t="s">
        <v>1092</v>
      </c>
      <c r="F513" s="1">
        <v>35055</v>
      </c>
      <c r="G513" t="s">
        <v>1052</v>
      </c>
      <c r="H513" t="s">
        <v>1036</v>
      </c>
      <c r="I513" t="s">
        <v>11</v>
      </c>
    </row>
    <row r="514" spans="1:9" x14ac:dyDescent="0.25">
      <c r="A514">
        <v>513</v>
      </c>
      <c r="B514" t="s">
        <v>1020</v>
      </c>
      <c r="C514" t="s">
        <v>1093</v>
      </c>
      <c r="F514" s="1">
        <v>31516</v>
      </c>
      <c r="G514" t="s">
        <v>1052</v>
      </c>
      <c r="H514" t="s">
        <v>1036</v>
      </c>
      <c r="I514" t="s">
        <v>11</v>
      </c>
    </row>
    <row r="515" spans="1:9" x14ac:dyDescent="0.25">
      <c r="A515">
        <v>514</v>
      </c>
      <c r="B515" t="s">
        <v>999</v>
      </c>
      <c r="C515" t="s">
        <v>1094</v>
      </c>
      <c r="D515" t="s">
        <v>1095</v>
      </c>
      <c r="F515" s="1">
        <v>34401</v>
      </c>
      <c r="G515" t="s">
        <v>1035</v>
      </c>
      <c r="H515" t="s">
        <v>1036</v>
      </c>
      <c r="I515" t="s">
        <v>11</v>
      </c>
    </row>
    <row r="516" spans="1:9" x14ac:dyDescent="0.25">
      <c r="A516">
        <v>515</v>
      </c>
      <c r="B516" t="s">
        <v>132</v>
      </c>
      <c r="C516" t="s">
        <v>1096</v>
      </c>
      <c r="D516" t="s">
        <v>1097</v>
      </c>
      <c r="F516" s="1">
        <v>24467</v>
      </c>
      <c r="G516" t="s">
        <v>1035</v>
      </c>
      <c r="H516" t="s">
        <v>1036</v>
      </c>
      <c r="I516" t="s">
        <v>11</v>
      </c>
    </row>
    <row r="517" spans="1:9" x14ac:dyDescent="0.25">
      <c r="A517">
        <v>516</v>
      </c>
      <c r="B517" t="s">
        <v>1029</v>
      </c>
      <c r="C517" t="s">
        <v>1098</v>
      </c>
      <c r="F517" s="1">
        <v>35253</v>
      </c>
      <c r="G517" t="s">
        <v>1046</v>
      </c>
      <c r="H517" t="s">
        <v>1036</v>
      </c>
      <c r="I517" t="s">
        <v>11</v>
      </c>
    </row>
    <row r="518" spans="1:9" x14ac:dyDescent="0.25">
      <c r="A518">
        <v>517</v>
      </c>
      <c r="B518" t="s">
        <v>1030</v>
      </c>
      <c r="C518" t="s">
        <v>1099</v>
      </c>
      <c r="F518" s="1">
        <v>25676</v>
      </c>
      <c r="G518" t="s">
        <v>1052</v>
      </c>
      <c r="H518" t="s">
        <v>1036</v>
      </c>
      <c r="I518" t="s">
        <v>11</v>
      </c>
    </row>
    <row r="519" spans="1:9" x14ac:dyDescent="0.25">
      <c r="A519">
        <v>518</v>
      </c>
      <c r="B519" t="s">
        <v>362</v>
      </c>
      <c r="C519" t="s">
        <v>1100</v>
      </c>
      <c r="D519" t="s">
        <v>190</v>
      </c>
      <c r="F519" s="1">
        <v>29722</v>
      </c>
      <c r="G519" t="s">
        <v>1052</v>
      </c>
      <c r="H519" t="s">
        <v>1036</v>
      </c>
      <c r="I519" t="s">
        <v>11</v>
      </c>
    </row>
    <row r="520" spans="1:9" x14ac:dyDescent="0.25">
      <c r="A520">
        <v>519</v>
      </c>
      <c r="B520" t="s">
        <v>92</v>
      </c>
      <c r="C520" t="s">
        <v>1101</v>
      </c>
      <c r="D520" t="s">
        <v>560</v>
      </c>
      <c r="F520" s="1">
        <v>32191</v>
      </c>
      <c r="G520" t="s">
        <v>1037</v>
      </c>
      <c r="H520" t="s">
        <v>1036</v>
      </c>
      <c r="I520" t="s">
        <v>11</v>
      </c>
    </row>
    <row r="521" spans="1:9" x14ac:dyDescent="0.25">
      <c r="A521">
        <v>520</v>
      </c>
      <c r="B521" t="s">
        <v>92</v>
      </c>
      <c r="C521" t="s">
        <v>1102</v>
      </c>
      <c r="D521" t="s">
        <v>560</v>
      </c>
      <c r="F521" s="1">
        <v>35139</v>
      </c>
      <c r="G521" t="s">
        <v>1037</v>
      </c>
      <c r="H521" t="s">
        <v>1036</v>
      </c>
      <c r="I521" t="s">
        <v>11</v>
      </c>
    </row>
    <row r="522" spans="1:9" x14ac:dyDescent="0.25">
      <c r="A522">
        <v>521</v>
      </c>
      <c r="B522" t="s">
        <v>1103</v>
      </c>
      <c r="C522" t="s">
        <v>1104</v>
      </c>
      <c r="D522" t="s">
        <v>90</v>
      </c>
      <c r="F522" s="1">
        <v>34277</v>
      </c>
      <c r="G522" t="s">
        <v>1049</v>
      </c>
      <c r="H522" t="s">
        <v>1036</v>
      </c>
      <c r="I522" t="s">
        <v>11</v>
      </c>
    </row>
    <row r="523" spans="1:9" x14ac:dyDescent="0.25">
      <c r="A523">
        <v>522</v>
      </c>
      <c r="B523" t="s">
        <v>1103</v>
      </c>
      <c r="C523" t="s">
        <v>1055</v>
      </c>
      <c r="D523" t="s">
        <v>90</v>
      </c>
      <c r="E523" t="s">
        <v>22</v>
      </c>
      <c r="F523" s="1">
        <v>37577</v>
      </c>
      <c r="G523" t="s">
        <v>1049</v>
      </c>
      <c r="H523" t="s">
        <v>1036</v>
      </c>
      <c r="I523" t="s">
        <v>11</v>
      </c>
    </row>
    <row r="524" spans="1:9" x14ac:dyDescent="0.25">
      <c r="A524">
        <v>523</v>
      </c>
      <c r="B524" t="s">
        <v>360</v>
      </c>
      <c r="C524" t="s">
        <v>1105</v>
      </c>
      <c r="D524" t="s">
        <v>1060</v>
      </c>
      <c r="F524" s="1">
        <v>36532</v>
      </c>
      <c r="G524" t="s">
        <v>1049</v>
      </c>
      <c r="H524" t="s">
        <v>1036</v>
      </c>
      <c r="I524" t="s">
        <v>11</v>
      </c>
    </row>
    <row r="525" spans="1:9" x14ac:dyDescent="0.25">
      <c r="A525">
        <v>524</v>
      </c>
      <c r="B525" t="s">
        <v>360</v>
      </c>
      <c r="C525" t="s">
        <v>1106</v>
      </c>
      <c r="D525" t="s">
        <v>1060</v>
      </c>
      <c r="F525" s="1">
        <v>44491</v>
      </c>
      <c r="G525" t="s">
        <v>1049</v>
      </c>
      <c r="H525" t="s">
        <v>1036</v>
      </c>
      <c r="I525" t="s">
        <v>11</v>
      </c>
    </row>
    <row r="526" spans="1:9" x14ac:dyDescent="0.25">
      <c r="A526">
        <v>525</v>
      </c>
      <c r="B526" t="s">
        <v>360</v>
      </c>
      <c r="C526" t="s">
        <v>1107</v>
      </c>
      <c r="D526" t="s">
        <v>1060</v>
      </c>
      <c r="F526" s="1">
        <v>38316</v>
      </c>
      <c r="G526" t="s">
        <v>1049</v>
      </c>
      <c r="H526" t="s">
        <v>1036</v>
      </c>
      <c r="I526" t="s">
        <v>11</v>
      </c>
    </row>
    <row r="527" spans="1:9" x14ac:dyDescent="0.25">
      <c r="A527">
        <v>526</v>
      </c>
      <c r="B527" t="s">
        <v>18</v>
      </c>
      <c r="C527" t="s">
        <v>1108</v>
      </c>
      <c r="D527" t="s">
        <v>90</v>
      </c>
      <c r="F527" s="1">
        <v>38612</v>
      </c>
      <c r="G527" t="s">
        <v>1049</v>
      </c>
      <c r="H527" t="s">
        <v>1036</v>
      </c>
      <c r="I527" t="s">
        <v>11</v>
      </c>
    </row>
    <row r="528" spans="1:9" x14ac:dyDescent="0.25">
      <c r="A528">
        <v>527</v>
      </c>
      <c r="B528" t="s">
        <v>18</v>
      </c>
      <c r="C528" t="s">
        <v>1109</v>
      </c>
      <c r="D528" t="s">
        <v>90</v>
      </c>
      <c r="F528" s="1">
        <v>39380</v>
      </c>
      <c r="G528" t="s">
        <v>1049</v>
      </c>
      <c r="H528" t="s">
        <v>1036</v>
      </c>
      <c r="I528" t="s">
        <v>11</v>
      </c>
    </row>
    <row r="529" spans="1:9" x14ac:dyDescent="0.25">
      <c r="A529">
        <v>528</v>
      </c>
      <c r="B529" t="s">
        <v>440</v>
      </c>
      <c r="C529" t="s">
        <v>1110</v>
      </c>
      <c r="D529" t="s">
        <v>960</v>
      </c>
      <c r="F529" s="1">
        <v>35535</v>
      </c>
      <c r="G529" t="s">
        <v>1049</v>
      </c>
      <c r="H529" t="s">
        <v>1036</v>
      </c>
      <c r="I529" t="s">
        <v>11</v>
      </c>
    </row>
    <row r="530" spans="1:9" x14ac:dyDescent="0.25">
      <c r="A530">
        <v>529</v>
      </c>
      <c r="B530" t="s">
        <v>960</v>
      </c>
      <c r="C530" t="s">
        <v>1111</v>
      </c>
      <c r="D530" t="s">
        <v>772</v>
      </c>
      <c r="F530" s="1">
        <v>38450</v>
      </c>
      <c r="G530" t="s">
        <v>1049</v>
      </c>
      <c r="H530" t="s">
        <v>1036</v>
      </c>
      <c r="I530" t="s">
        <v>11</v>
      </c>
    </row>
    <row r="531" spans="1:9" x14ac:dyDescent="0.25">
      <c r="A531">
        <v>530</v>
      </c>
      <c r="B531" t="s">
        <v>967</v>
      </c>
      <c r="C531" t="s">
        <v>1112</v>
      </c>
      <c r="D531" t="s">
        <v>969</v>
      </c>
      <c r="F531" s="1">
        <v>39307</v>
      </c>
      <c r="G531" t="s">
        <v>1050</v>
      </c>
      <c r="H531" t="s">
        <v>1036</v>
      </c>
      <c r="I531" t="s">
        <v>11</v>
      </c>
    </row>
    <row r="532" spans="1:9" x14ac:dyDescent="0.25">
      <c r="A532">
        <v>531</v>
      </c>
      <c r="B532" t="s">
        <v>865</v>
      </c>
      <c r="C532" t="s">
        <v>1113</v>
      </c>
      <c r="F532" s="1">
        <v>36875</v>
      </c>
      <c r="G532" t="s">
        <v>1050</v>
      </c>
      <c r="H532" t="s">
        <v>1036</v>
      </c>
      <c r="I532" t="s">
        <v>11</v>
      </c>
    </row>
    <row r="533" spans="1:9" x14ac:dyDescent="0.25">
      <c r="A533">
        <v>532</v>
      </c>
      <c r="B533" t="s">
        <v>538</v>
      </c>
      <c r="C533" t="s">
        <v>1114</v>
      </c>
      <c r="D533" t="s">
        <v>1066</v>
      </c>
      <c r="F533" s="1">
        <v>36651</v>
      </c>
      <c r="G533" t="s">
        <v>1049</v>
      </c>
      <c r="H533" t="s">
        <v>1036</v>
      </c>
      <c r="I533" t="s">
        <v>11</v>
      </c>
    </row>
    <row r="534" spans="1:9" x14ac:dyDescent="0.25">
      <c r="A534">
        <v>533</v>
      </c>
      <c r="B534" t="s">
        <v>538</v>
      </c>
      <c r="C534" t="s">
        <v>169</v>
      </c>
      <c r="D534" t="s">
        <v>1066</v>
      </c>
      <c r="F534" s="1">
        <v>37152</v>
      </c>
      <c r="G534" t="s">
        <v>1049</v>
      </c>
      <c r="H534" t="s">
        <v>1036</v>
      </c>
      <c r="I534" t="s">
        <v>11</v>
      </c>
    </row>
    <row r="535" spans="1:9" x14ac:dyDescent="0.25">
      <c r="A535">
        <v>534</v>
      </c>
      <c r="B535" t="s">
        <v>538</v>
      </c>
      <c r="C535" t="s">
        <v>110</v>
      </c>
      <c r="D535" t="s">
        <v>1066</v>
      </c>
      <c r="F535" s="1">
        <v>37916</v>
      </c>
      <c r="G535" t="s">
        <v>1049</v>
      </c>
      <c r="H535" t="s">
        <v>1036</v>
      </c>
      <c r="I535" t="s">
        <v>11</v>
      </c>
    </row>
    <row r="536" spans="1:9" x14ac:dyDescent="0.25">
      <c r="A536">
        <v>535</v>
      </c>
      <c r="B536" t="s">
        <v>538</v>
      </c>
      <c r="C536" t="s">
        <v>1115</v>
      </c>
      <c r="D536" t="s">
        <v>1066</v>
      </c>
      <c r="F536" s="1">
        <v>39860</v>
      </c>
      <c r="G536" t="s">
        <v>1049</v>
      </c>
      <c r="H536" t="s">
        <v>1036</v>
      </c>
      <c r="I536" t="s">
        <v>11</v>
      </c>
    </row>
    <row r="537" spans="1:9" x14ac:dyDescent="0.25">
      <c r="A537">
        <v>536</v>
      </c>
      <c r="B537" t="s">
        <v>974</v>
      </c>
      <c r="C537" t="s">
        <v>636</v>
      </c>
      <c r="F537" s="1">
        <v>35522</v>
      </c>
      <c r="G537" t="s">
        <v>1050</v>
      </c>
      <c r="H537" t="s">
        <v>1036</v>
      </c>
      <c r="I537" t="s">
        <v>11</v>
      </c>
    </row>
    <row r="538" spans="1:9" x14ac:dyDescent="0.25">
      <c r="A538">
        <v>537</v>
      </c>
      <c r="B538" t="s">
        <v>980</v>
      </c>
      <c r="C538" t="s">
        <v>1116</v>
      </c>
      <c r="D538" t="s">
        <v>105</v>
      </c>
      <c r="F538" s="1">
        <v>37297</v>
      </c>
      <c r="G538" t="s">
        <v>1050</v>
      </c>
      <c r="H538" t="s">
        <v>1036</v>
      </c>
      <c r="I538" t="s">
        <v>11</v>
      </c>
    </row>
    <row r="539" spans="1:9" x14ac:dyDescent="0.25">
      <c r="A539">
        <v>538</v>
      </c>
      <c r="B539" t="s">
        <v>982</v>
      </c>
      <c r="C539" t="s">
        <v>1117</v>
      </c>
      <c r="D539" t="s">
        <v>820</v>
      </c>
      <c r="F539" s="1">
        <v>37241</v>
      </c>
      <c r="G539" t="s">
        <v>1050</v>
      </c>
      <c r="H539" t="s">
        <v>1036</v>
      </c>
      <c r="I539" t="s">
        <v>11</v>
      </c>
    </row>
    <row r="540" spans="1:9" x14ac:dyDescent="0.25">
      <c r="A540">
        <v>539</v>
      </c>
      <c r="B540" t="s">
        <v>1118</v>
      </c>
      <c r="C540" t="s">
        <v>1119</v>
      </c>
      <c r="D540" t="s">
        <v>529</v>
      </c>
      <c r="F540" s="1">
        <v>30973</v>
      </c>
      <c r="G540" t="s">
        <v>1050</v>
      </c>
      <c r="H540" t="s">
        <v>1036</v>
      </c>
      <c r="I540" t="s">
        <v>11</v>
      </c>
    </row>
    <row r="541" spans="1:9" x14ac:dyDescent="0.25">
      <c r="A541">
        <v>540</v>
      </c>
      <c r="B541" t="s">
        <v>38</v>
      </c>
      <c r="C541" t="s">
        <v>1120</v>
      </c>
      <c r="F541" s="1">
        <v>33379</v>
      </c>
      <c r="G541" t="s">
        <v>1050</v>
      </c>
      <c r="H541" t="s">
        <v>1036</v>
      </c>
      <c r="I541" t="s">
        <v>11</v>
      </c>
    </row>
    <row r="542" spans="1:9" x14ac:dyDescent="0.25">
      <c r="A542">
        <v>541</v>
      </c>
      <c r="B542" t="s">
        <v>993</v>
      </c>
      <c r="C542" t="s">
        <v>954</v>
      </c>
      <c r="F542" s="1">
        <v>39323</v>
      </c>
      <c r="G542" t="s">
        <v>1050</v>
      </c>
      <c r="H542" t="s">
        <v>1036</v>
      </c>
      <c r="I542" t="s">
        <v>11</v>
      </c>
    </row>
    <row r="543" spans="1:9" x14ac:dyDescent="0.25">
      <c r="A543">
        <v>542</v>
      </c>
      <c r="B543" t="s">
        <v>1078</v>
      </c>
      <c r="C543" t="s">
        <v>1121</v>
      </c>
      <c r="D543" t="s">
        <v>994</v>
      </c>
      <c r="F543" s="1">
        <v>38268</v>
      </c>
      <c r="G543" t="s">
        <v>1050</v>
      </c>
      <c r="H543" t="s">
        <v>1036</v>
      </c>
      <c r="I543" t="s">
        <v>11</v>
      </c>
    </row>
    <row r="544" spans="1:9" x14ac:dyDescent="0.25">
      <c r="A544">
        <v>543</v>
      </c>
      <c r="B544" t="s">
        <v>78</v>
      </c>
      <c r="C544" t="s">
        <v>1122</v>
      </c>
      <c r="D544" t="s">
        <v>997</v>
      </c>
      <c r="F544" s="1">
        <v>38539</v>
      </c>
      <c r="G544" t="s">
        <v>1050</v>
      </c>
      <c r="H544" t="s">
        <v>1036</v>
      </c>
      <c r="I544" t="s">
        <v>11</v>
      </c>
    </row>
    <row r="545" spans="1:9" x14ac:dyDescent="0.25">
      <c r="A545">
        <v>544</v>
      </c>
      <c r="B545" t="s">
        <v>88</v>
      </c>
      <c r="C545" t="s">
        <v>163</v>
      </c>
      <c r="F545" s="1">
        <v>38790</v>
      </c>
      <c r="G545" t="s">
        <v>1047</v>
      </c>
      <c r="H545" t="s">
        <v>1036</v>
      </c>
      <c r="I545" t="s">
        <v>11</v>
      </c>
    </row>
    <row r="546" spans="1:9" x14ac:dyDescent="0.25">
      <c r="A546">
        <v>545</v>
      </c>
      <c r="B546" t="s">
        <v>1003</v>
      </c>
      <c r="C546" t="s">
        <v>1123</v>
      </c>
      <c r="F546" s="1">
        <v>36264</v>
      </c>
      <c r="G546" t="s">
        <v>1051</v>
      </c>
      <c r="H546" t="s">
        <v>1036</v>
      </c>
      <c r="I546" t="s">
        <v>11</v>
      </c>
    </row>
    <row r="547" spans="1:9" x14ac:dyDescent="0.25">
      <c r="A547">
        <v>546</v>
      </c>
      <c r="B547" t="s">
        <v>1003</v>
      </c>
      <c r="C547" t="s">
        <v>20</v>
      </c>
      <c r="F547" s="1">
        <v>37215</v>
      </c>
      <c r="G547" t="s">
        <v>1051</v>
      </c>
      <c r="H547" t="s">
        <v>1036</v>
      </c>
      <c r="I547" t="s">
        <v>11</v>
      </c>
    </row>
    <row r="548" spans="1:9" x14ac:dyDescent="0.25">
      <c r="A548">
        <v>547</v>
      </c>
      <c r="B548" t="s">
        <v>646</v>
      </c>
      <c r="C548" t="s">
        <v>1055</v>
      </c>
      <c r="D548" t="s">
        <v>90</v>
      </c>
      <c r="E548" t="s">
        <v>22</v>
      </c>
      <c r="F548" s="1">
        <v>37216</v>
      </c>
      <c r="G548" t="s">
        <v>1049</v>
      </c>
      <c r="H548" t="s">
        <v>1036</v>
      </c>
      <c r="I548" t="s">
        <v>11</v>
      </c>
    </row>
    <row r="549" spans="1:9" x14ac:dyDescent="0.25">
      <c r="A549">
        <v>548</v>
      </c>
      <c r="B549" t="s">
        <v>207</v>
      </c>
      <c r="C549" t="s">
        <v>1124</v>
      </c>
      <c r="D549" t="s">
        <v>209</v>
      </c>
      <c r="F549" s="1">
        <v>30685</v>
      </c>
      <c r="G549" t="s">
        <v>1035</v>
      </c>
      <c r="H549" t="s">
        <v>1036</v>
      </c>
      <c r="I549" t="s">
        <v>11</v>
      </c>
    </row>
    <row r="550" spans="1:9" x14ac:dyDescent="0.25">
      <c r="A550">
        <v>549</v>
      </c>
      <c r="B550" t="s">
        <v>1030</v>
      </c>
      <c r="C550" t="s">
        <v>1125</v>
      </c>
      <c r="D550" t="s">
        <v>601</v>
      </c>
      <c r="F550" s="1">
        <v>35889</v>
      </c>
      <c r="G550" t="s">
        <v>1052</v>
      </c>
      <c r="H550" t="s">
        <v>1036</v>
      </c>
      <c r="I550" t="s">
        <v>11</v>
      </c>
    </row>
    <row r="551" spans="1:9" x14ac:dyDescent="0.25">
      <c r="A551">
        <v>550</v>
      </c>
      <c r="B551" t="s">
        <v>1030</v>
      </c>
      <c r="C551" t="s">
        <v>1126</v>
      </c>
      <c r="D551" t="s">
        <v>601</v>
      </c>
      <c r="F551" s="1">
        <v>38715</v>
      </c>
      <c r="G551" t="s">
        <v>1052</v>
      </c>
      <c r="H551" t="s">
        <v>1036</v>
      </c>
      <c r="I551" t="s">
        <v>11</v>
      </c>
    </row>
    <row r="552" spans="1:9" x14ac:dyDescent="0.25">
      <c r="A552">
        <v>551</v>
      </c>
      <c r="B552" t="s">
        <v>1031</v>
      </c>
      <c r="C552" t="s">
        <v>1127</v>
      </c>
      <c r="D552" t="s">
        <v>86</v>
      </c>
      <c r="F552" s="1">
        <v>39011</v>
      </c>
      <c r="G552" t="s">
        <v>1052</v>
      </c>
      <c r="H552" t="s">
        <v>1036</v>
      </c>
      <c r="I552" t="s">
        <v>11</v>
      </c>
    </row>
    <row r="553" spans="1:9" x14ac:dyDescent="0.25">
      <c r="A553">
        <v>552</v>
      </c>
      <c r="B553" t="s">
        <v>1031</v>
      </c>
      <c r="C553" t="s">
        <v>1128</v>
      </c>
      <c r="D553" t="s">
        <v>86</v>
      </c>
      <c r="F553" s="1">
        <v>39222</v>
      </c>
      <c r="G553" t="s">
        <v>1052</v>
      </c>
      <c r="H553" t="s">
        <v>1036</v>
      </c>
      <c r="I553" t="s">
        <v>11</v>
      </c>
    </row>
    <row r="554" spans="1:9" x14ac:dyDescent="0.25">
      <c r="A554">
        <v>553</v>
      </c>
      <c r="B554" t="s">
        <v>362</v>
      </c>
      <c r="C554" t="s">
        <v>1129</v>
      </c>
      <c r="D554" t="s">
        <v>190</v>
      </c>
      <c r="F554" s="1">
        <v>38588</v>
      </c>
      <c r="G554" t="s">
        <v>1052</v>
      </c>
      <c r="H554" t="s">
        <v>1036</v>
      </c>
      <c r="I554" t="s">
        <v>11</v>
      </c>
    </row>
    <row r="555" spans="1:9" x14ac:dyDescent="0.25">
      <c r="A555">
        <v>554</v>
      </c>
      <c r="B555" t="s">
        <v>362</v>
      </c>
      <c r="C555" t="s">
        <v>1130</v>
      </c>
      <c r="D555" t="s">
        <v>190</v>
      </c>
      <c r="F555" s="1">
        <v>39446</v>
      </c>
      <c r="G555" t="s">
        <v>1052</v>
      </c>
      <c r="H555" t="s">
        <v>1036</v>
      </c>
      <c r="I555" t="s">
        <v>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5A1B-9626-46B5-9264-37CC8E086E3B}">
  <dimension ref="A1:AD805"/>
  <sheetViews>
    <sheetView zoomScale="70" zoomScaleNormal="70" workbookViewId="0"/>
  </sheetViews>
  <sheetFormatPr defaultColWidth="14.42578125" defaultRowHeight="15" customHeight="1" x14ac:dyDescent="0.25"/>
  <cols>
    <col min="1" max="1" width="8.85546875" customWidth="1"/>
    <col min="2" max="2" width="5.7109375" customWidth="1"/>
    <col min="3" max="3" width="15.42578125" customWidth="1"/>
    <col min="4" max="4" width="17.42578125" customWidth="1"/>
    <col min="5" max="5" width="18.42578125" bestFit="1" customWidth="1"/>
    <col min="6" max="6" width="6.85546875" customWidth="1"/>
    <col min="7" max="7" width="23.85546875" customWidth="1"/>
    <col min="8" max="8" width="21" bestFit="1" customWidth="1"/>
    <col min="9" max="9" width="14.140625" customWidth="1"/>
    <col min="10" max="10" width="8.85546875" customWidth="1"/>
    <col min="11" max="11" width="11.42578125" customWidth="1"/>
    <col min="12" max="12" width="25" bestFit="1" customWidth="1"/>
    <col min="13" max="28" width="8.85546875" customWidth="1"/>
    <col min="29" max="29" width="11" customWidth="1"/>
    <col min="30" max="30" width="8.85546875" customWidth="1"/>
  </cols>
  <sheetData>
    <row r="1" spans="1:29" x14ac:dyDescent="0.25">
      <c r="B1" s="3" t="s">
        <v>1143</v>
      </c>
      <c r="C1" s="4"/>
      <c r="D1" s="4"/>
      <c r="E1" s="4"/>
      <c r="F1" s="4"/>
      <c r="G1" s="4"/>
      <c r="H1" s="4"/>
      <c r="I1" s="4"/>
      <c r="J1" s="4"/>
      <c r="K1" s="4"/>
      <c r="L1" s="4"/>
      <c r="M1" s="4"/>
      <c r="N1" s="4"/>
      <c r="O1" s="4"/>
      <c r="P1" s="4"/>
      <c r="Q1" s="4"/>
      <c r="R1" s="4"/>
      <c r="S1" s="4"/>
      <c r="T1" s="4"/>
      <c r="U1" s="4"/>
      <c r="V1" s="4"/>
      <c r="W1" s="4"/>
      <c r="X1" s="4"/>
      <c r="Y1" s="4"/>
      <c r="Z1" s="4"/>
      <c r="AA1" s="4"/>
      <c r="AB1" s="4"/>
      <c r="AC1" s="4"/>
    </row>
    <row r="2" spans="1:29" x14ac:dyDescent="0.25">
      <c r="B2" s="3" t="s">
        <v>1144</v>
      </c>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25">
      <c r="B3" s="3" t="s">
        <v>1145</v>
      </c>
      <c r="C3" s="4"/>
      <c r="D3" s="4"/>
      <c r="E3" s="4"/>
      <c r="F3" s="4"/>
      <c r="G3" s="4"/>
      <c r="H3" s="4"/>
      <c r="I3" s="4"/>
      <c r="J3" s="4"/>
      <c r="K3" s="4"/>
      <c r="L3" s="4"/>
      <c r="M3" s="4"/>
      <c r="N3" s="4"/>
      <c r="O3" s="4"/>
      <c r="P3" s="4"/>
      <c r="Q3" s="4"/>
      <c r="R3" s="4"/>
      <c r="S3" s="4"/>
      <c r="T3" s="4"/>
      <c r="U3" s="4"/>
      <c r="V3" s="4"/>
      <c r="W3" s="4"/>
      <c r="X3" s="4"/>
      <c r="Y3" s="4"/>
      <c r="Z3" s="4"/>
      <c r="AA3" s="4"/>
      <c r="AB3" s="4"/>
      <c r="AC3" s="4"/>
    </row>
    <row r="4" spans="1:29" ht="15.75" x14ac:dyDescent="0.25">
      <c r="B4" s="5" t="s">
        <v>1227</v>
      </c>
      <c r="C4" s="4"/>
      <c r="D4" s="4"/>
      <c r="E4" s="4"/>
      <c r="F4" s="4"/>
      <c r="G4" s="4"/>
      <c r="H4" s="4"/>
      <c r="I4" s="4"/>
      <c r="J4" s="4"/>
      <c r="K4" s="4"/>
      <c r="L4" s="4"/>
      <c r="M4" s="4"/>
      <c r="N4" s="4"/>
      <c r="O4" s="4"/>
      <c r="P4" s="4"/>
      <c r="Q4" s="4"/>
      <c r="R4" s="4"/>
      <c r="S4" s="4"/>
      <c r="T4" s="4"/>
      <c r="U4" s="4"/>
      <c r="V4" s="4"/>
      <c r="W4" s="4"/>
      <c r="X4" s="4"/>
      <c r="Y4" s="4"/>
      <c r="Z4" s="4"/>
      <c r="AA4" s="4"/>
      <c r="AB4" s="4"/>
      <c r="AC4" s="4"/>
    </row>
    <row r="5" spans="1:29" ht="18" x14ac:dyDescent="0.25">
      <c r="B5" s="6" t="s">
        <v>1146</v>
      </c>
      <c r="C5" s="4"/>
      <c r="D5" s="4"/>
      <c r="E5" s="4"/>
      <c r="F5" s="4"/>
      <c r="G5" s="4"/>
      <c r="H5" s="4"/>
      <c r="I5" s="4"/>
      <c r="J5" s="4"/>
      <c r="K5" s="4"/>
      <c r="L5" s="4"/>
      <c r="M5" s="4"/>
      <c r="N5" s="4"/>
      <c r="O5" s="4"/>
      <c r="P5" s="4"/>
      <c r="Q5" s="4"/>
      <c r="R5" s="4"/>
      <c r="S5" s="4"/>
      <c r="T5" s="4"/>
      <c r="U5" s="4"/>
      <c r="V5" s="4"/>
      <c r="W5" s="4"/>
      <c r="X5" s="4"/>
      <c r="Y5" s="4"/>
      <c r="Z5" s="4"/>
      <c r="AA5" s="4"/>
      <c r="AB5" s="4"/>
      <c r="AC5" s="4"/>
    </row>
    <row r="6" spans="1:29" ht="15.75" x14ac:dyDescent="0.25">
      <c r="B6" s="7"/>
      <c r="C6" s="7"/>
      <c r="D6" s="7"/>
      <c r="E6" s="7"/>
      <c r="F6" s="7"/>
      <c r="G6" s="7"/>
      <c r="H6" s="7"/>
      <c r="I6" s="7"/>
      <c r="J6" s="7"/>
      <c r="K6" s="7"/>
      <c r="L6" s="7"/>
      <c r="M6" s="7"/>
      <c r="N6" s="7"/>
      <c r="O6" s="7"/>
      <c r="P6" s="7"/>
      <c r="Q6" s="7"/>
      <c r="R6" s="7"/>
      <c r="S6" s="7"/>
      <c r="T6" s="7"/>
      <c r="U6" s="7"/>
      <c r="V6" s="7"/>
      <c r="W6" s="7"/>
      <c r="X6" s="7"/>
      <c r="Y6" s="7"/>
      <c r="Z6" s="7"/>
      <c r="AA6" s="7"/>
      <c r="AB6" s="7"/>
      <c r="AC6" s="7"/>
    </row>
    <row r="7" spans="1:29" ht="18" x14ac:dyDescent="0.25">
      <c r="B7" s="8" t="s">
        <v>1147</v>
      </c>
      <c r="C7" s="4"/>
      <c r="D7" s="4"/>
      <c r="E7" s="4"/>
      <c r="F7" s="4"/>
      <c r="G7" s="4"/>
      <c r="H7" s="4"/>
      <c r="I7" s="4"/>
      <c r="J7" s="4"/>
      <c r="K7" s="4"/>
      <c r="L7" s="4"/>
      <c r="M7" s="4"/>
      <c r="N7" s="4"/>
      <c r="O7" s="4"/>
      <c r="P7" s="4"/>
      <c r="Q7" s="4"/>
      <c r="R7" s="4"/>
      <c r="S7" s="4"/>
      <c r="T7" s="4"/>
      <c r="U7" s="4"/>
      <c r="V7" s="4"/>
      <c r="W7" s="4"/>
      <c r="X7" s="4"/>
      <c r="Y7" s="4"/>
      <c r="Z7" s="4"/>
      <c r="AA7" s="4"/>
      <c r="AB7" s="4"/>
      <c r="AC7" s="4"/>
    </row>
    <row r="8" spans="1:29" ht="16.5" thickBot="1" x14ac:dyDescent="0.3">
      <c r="B8" s="9" t="s">
        <v>1148</v>
      </c>
      <c r="C8" s="4"/>
      <c r="D8" s="4"/>
      <c r="E8" s="4"/>
      <c r="F8" s="4"/>
      <c r="G8" s="4"/>
      <c r="H8" s="4"/>
      <c r="I8" s="4"/>
      <c r="J8" s="4"/>
      <c r="K8" s="4"/>
      <c r="L8" s="4"/>
      <c r="M8" s="4"/>
      <c r="N8" s="4"/>
      <c r="O8" s="4"/>
      <c r="P8" s="4"/>
      <c r="Q8" s="4"/>
      <c r="R8" s="4"/>
      <c r="S8" s="4"/>
      <c r="T8" s="4"/>
      <c r="U8" s="4"/>
      <c r="V8" s="4"/>
      <c r="W8" s="4"/>
      <c r="X8" s="4"/>
      <c r="Y8" s="4"/>
      <c r="Z8" s="4"/>
      <c r="AA8" s="4"/>
      <c r="AB8" s="4"/>
      <c r="AC8" s="4"/>
    </row>
    <row r="9" spans="1:29" ht="16.5" thickBot="1" x14ac:dyDescent="0.3">
      <c r="B9" s="10" t="s">
        <v>1149</v>
      </c>
      <c r="C9" s="11" t="s">
        <v>1150</v>
      </c>
      <c r="D9" s="12"/>
      <c r="E9" s="12"/>
      <c r="F9" s="13"/>
      <c r="G9" s="14" t="s">
        <v>1151</v>
      </c>
      <c r="H9" s="14" t="s">
        <v>1152</v>
      </c>
      <c r="I9" s="15" t="s">
        <v>1153</v>
      </c>
      <c r="J9" s="14" t="s">
        <v>1154</v>
      </c>
      <c r="K9" s="14" t="s">
        <v>1155</v>
      </c>
      <c r="L9" s="16" t="s">
        <v>1156</v>
      </c>
      <c r="M9" s="17" t="s">
        <v>1157</v>
      </c>
      <c r="N9" s="18"/>
      <c r="O9" s="18"/>
      <c r="P9" s="18"/>
      <c r="Q9" s="18"/>
      <c r="R9" s="18"/>
      <c r="S9" s="18"/>
      <c r="T9" s="18"/>
      <c r="U9" s="18"/>
      <c r="V9" s="18"/>
      <c r="W9" s="18"/>
      <c r="X9" s="18"/>
      <c r="Y9" s="18"/>
      <c r="Z9" s="18"/>
      <c r="AA9" s="18"/>
      <c r="AB9" s="18"/>
      <c r="AC9" s="18"/>
    </row>
    <row r="10" spans="1:29" ht="15.75" thickBot="1" x14ac:dyDescent="0.3">
      <c r="B10" s="19"/>
      <c r="C10" s="20"/>
      <c r="D10" s="21"/>
      <c r="E10" s="21"/>
      <c r="F10" s="22"/>
      <c r="G10" s="23"/>
      <c r="H10" s="23"/>
      <c r="I10" s="23"/>
      <c r="J10" s="23"/>
      <c r="K10" s="23"/>
      <c r="L10" s="24"/>
      <c r="M10" s="25" t="s">
        <v>1158</v>
      </c>
      <c r="N10" s="26" t="s">
        <v>1159</v>
      </c>
      <c r="O10" s="27" t="s">
        <v>1160</v>
      </c>
      <c r="P10" s="18"/>
      <c r="Q10" s="18"/>
      <c r="R10" s="18"/>
      <c r="S10" s="18"/>
      <c r="T10" s="18"/>
      <c r="U10" s="18"/>
      <c r="V10" s="18"/>
      <c r="W10" s="18"/>
      <c r="X10" s="18"/>
      <c r="Y10" s="18"/>
      <c r="Z10" s="18"/>
      <c r="AA10" s="18"/>
      <c r="AB10" s="18"/>
      <c r="AC10" s="18"/>
    </row>
    <row r="11" spans="1:29" ht="79.5" thickBot="1" x14ac:dyDescent="0.3">
      <c r="B11" s="28"/>
      <c r="C11" s="29" t="s">
        <v>1161</v>
      </c>
      <c r="D11" s="30" t="s">
        <v>1162</v>
      </c>
      <c r="E11" s="30" t="s">
        <v>1163</v>
      </c>
      <c r="F11" s="30" t="s">
        <v>1164</v>
      </c>
      <c r="G11" s="31"/>
      <c r="H11" s="31"/>
      <c r="I11" s="31"/>
      <c r="J11" s="31"/>
      <c r="K11" s="23"/>
      <c r="L11" s="24"/>
      <c r="M11" s="32"/>
      <c r="N11" s="32"/>
      <c r="O11" s="33" t="s">
        <v>1165</v>
      </c>
      <c r="P11" s="34" t="s">
        <v>1166</v>
      </c>
      <c r="Q11" s="35" t="s">
        <v>1167</v>
      </c>
      <c r="R11" s="35" t="s">
        <v>1168</v>
      </c>
      <c r="S11" s="35" t="s">
        <v>1169</v>
      </c>
      <c r="T11" s="35" t="s">
        <v>1170</v>
      </c>
      <c r="U11" s="35" t="s">
        <v>1171</v>
      </c>
      <c r="V11" s="35" t="s">
        <v>1172</v>
      </c>
      <c r="W11" s="35" t="s">
        <v>1173</v>
      </c>
      <c r="X11" s="35" t="s">
        <v>1174</v>
      </c>
      <c r="Y11" s="35" t="s">
        <v>1175</v>
      </c>
      <c r="Z11" s="35" t="s">
        <v>1176</v>
      </c>
      <c r="AA11" s="36" t="s">
        <v>1177</v>
      </c>
      <c r="AB11" s="36" t="s">
        <v>1178</v>
      </c>
      <c r="AC11" s="37" t="s">
        <v>1179</v>
      </c>
    </row>
    <row r="12" spans="1:29" ht="15.75" x14ac:dyDescent="0.25">
      <c r="A12" s="38"/>
      <c r="B12" s="39"/>
      <c r="C12" s="40"/>
      <c r="D12" s="40"/>
      <c r="E12" s="40"/>
      <c r="F12" s="39"/>
      <c r="G12" s="41"/>
      <c r="H12" s="41"/>
      <c r="I12" s="42"/>
      <c r="J12" s="43"/>
      <c r="K12" s="44"/>
      <c r="L12" s="44"/>
      <c r="M12" s="45"/>
      <c r="N12" s="46"/>
      <c r="O12" s="47"/>
      <c r="P12" s="47"/>
      <c r="Q12" s="41"/>
      <c r="R12" s="39"/>
      <c r="S12" s="39"/>
      <c r="T12" s="41" t="str">
        <f t="shared" ref="T12:T75" si="0">IF(J12&gt;59,"/","")</f>
        <v/>
      </c>
      <c r="U12" s="39"/>
      <c r="V12" s="39"/>
      <c r="W12" s="39"/>
      <c r="X12" s="39"/>
      <c r="Y12" s="39"/>
      <c r="Z12" s="39"/>
      <c r="AA12" s="39"/>
      <c r="AB12" s="39"/>
      <c r="AC12" s="48"/>
    </row>
    <row r="13" spans="1:29" ht="15.75" x14ac:dyDescent="0.25">
      <c r="B13" s="39"/>
      <c r="C13" s="40"/>
      <c r="D13" s="40"/>
      <c r="E13" s="40"/>
      <c r="F13" s="39"/>
      <c r="G13" s="41"/>
      <c r="H13" s="41"/>
      <c r="I13" s="49"/>
      <c r="J13" s="43"/>
      <c r="K13" s="44"/>
      <c r="L13" s="44"/>
      <c r="M13" s="50"/>
      <c r="N13" s="51"/>
      <c r="O13" s="47"/>
      <c r="P13" s="47"/>
      <c r="Q13" s="41"/>
      <c r="R13" s="39"/>
      <c r="S13" s="39"/>
      <c r="T13" s="41" t="str">
        <f t="shared" si="0"/>
        <v/>
      </c>
      <c r="U13" s="39"/>
      <c r="V13" s="39"/>
      <c r="W13" s="39"/>
      <c r="X13" s="39"/>
      <c r="Y13" s="39"/>
      <c r="Z13" s="39"/>
      <c r="AA13" s="39"/>
      <c r="AB13" s="39"/>
      <c r="AC13" s="48"/>
    </row>
    <row r="14" spans="1:29" ht="15.75" x14ac:dyDescent="0.25">
      <c r="B14" s="39"/>
      <c r="C14" s="40"/>
      <c r="D14" s="40"/>
      <c r="E14" s="40"/>
      <c r="F14" s="39"/>
      <c r="G14" s="41"/>
      <c r="H14" s="41"/>
      <c r="I14" s="49"/>
      <c r="J14" s="43"/>
      <c r="K14" s="44"/>
      <c r="L14" s="44"/>
      <c r="M14" s="50"/>
      <c r="N14" s="51"/>
      <c r="O14" s="47"/>
      <c r="P14" s="47"/>
      <c r="Q14" s="41"/>
      <c r="R14" s="39"/>
      <c r="S14" s="39"/>
      <c r="T14" s="41" t="str">
        <f t="shared" si="0"/>
        <v/>
      </c>
      <c r="U14" s="39"/>
      <c r="V14" s="39"/>
      <c r="W14" s="39"/>
      <c r="X14" s="39"/>
      <c r="Y14" s="39"/>
      <c r="Z14" s="39"/>
      <c r="AA14" s="39"/>
      <c r="AB14" s="39"/>
      <c r="AC14" s="48"/>
    </row>
    <row r="15" spans="1:29" ht="15.75" x14ac:dyDescent="0.25">
      <c r="B15" s="39"/>
      <c r="C15" s="40"/>
      <c r="D15" s="40"/>
      <c r="E15" s="40"/>
      <c r="F15" s="39"/>
      <c r="G15" s="41"/>
      <c r="H15" s="41"/>
      <c r="I15" s="49"/>
      <c r="J15" s="43"/>
      <c r="K15" s="44"/>
      <c r="L15" s="44"/>
      <c r="M15" s="50"/>
      <c r="N15" s="51"/>
      <c r="O15" s="47"/>
      <c r="P15" s="47"/>
      <c r="Q15" s="41"/>
      <c r="R15" s="39"/>
      <c r="S15" s="39"/>
      <c r="T15" s="41" t="str">
        <f t="shared" si="0"/>
        <v/>
      </c>
      <c r="U15" s="39"/>
      <c r="V15" s="39"/>
      <c r="W15" s="39"/>
      <c r="X15" s="39"/>
      <c r="Y15" s="39"/>
      <c r="Z15" s="39"/>
      <c r="AA15" s="39"/>
      <c r="AB15" s="39"/>
      <c r="AC15" s="48"/>
    </row>
    <row r="16" spans="1:29" ht="15.75" x14ac:dyDescent="0.25">
      <c r="B16" s="39"/>
      <c r="C16" s="40"/>
      <c r="D16" s="40"/>
      <c r="E16" s="40"/>
      <c r="F16" s="39"/>
      <c r="G16" s="41"/>
      <c r="H16" s="41"/>
      <c r="I16" s="49"/>
      <c r="J16" s="43"/>
      <c r="K16" s="44"/>
      <c r="L16" s="44"/>
      <c r="M16" s="50"/>
      <c r="N16" s="51"/>
      <c r="O16" s="47"/>
      <c r="P16" s="47"/>
      <c r="Q16" s="41"/>
      <c r="R16" s="39"/>
      <c r="S16" s="39"/>
      <c r="T16" s="41" t="str">
        <f t="shared" si="0"/>
        <v/>
      </c>
      <c r="U16" s="39"/>
      <c r="V16" s="39"/>
      <c r="W16" s="39"/>
      <c r="X16" s="39"/>
      <c r="Y16" s="39"/>
      <c r="Z16" s="39"/>
      <c r="AA16" s="39"/>
      <c r="AB16" s="39"/>
      <c r="AC16" s="48"/>
    </row>
    <row r="17" spans="2:29" ht="15.75" x14ac:dyDescent="0.25">
      <c r="B17" s="39"/>
      <c r="C17" s="40"/>
      <c r="D17" s="40"/>
      <c r="E17" s="40"/>
      <c r="F17" s="39"/>
      <c r="G17" s="41"/>
      <c r="H17" s="41"/>
      <c r="I17" s="49"/>
      <c r="J17" s="43"/>
      <c r="K17" s="44"/>
      <c r="L17" s="44"/>
      <c r="M17" s="50"/>
      <c r="N17" s="51"/>
      <c r="O17" s="47"/>
      <c r="P17" s="47"/>
      <c r="Q17" s="41"/>
      <c r="R17" s="39"/>
      <c r="S17" s="39"/>
      <c r="T17" s="41" t="str">
        <f t="shared" si="0"/>
        <v/>
      </c>
      <c r="U17" s="39"/>
      <c r="V17" s="39"/>
      <c r="W17" s="39"/>
      <c r="X17" s="39"/>
      <c r="Y17" s="39"/>
      <c r="Z17" s="39"/>
      <c r="AA17" s="39"/>
      <c r="AB17" s="39"/>
      <c r="AC17" s="48"/>
    </row>
    <row r="18" spans="2:29" ht="15.75" x14ac:dyDescent="0.25">
      <c r="B18" s="39"/>
      <c r="C18" s="40"/>
      <c r="D18" s="40"/>
      <c r="E18" s="40"/>
      <c r="F18" s="39"/>
      <c r="G18" s="41"/>
      <c r="H18" s="41"/>
      <c r="I18" s="49"/>
      <c r="J18" s="43"/>
      <c r="K18" s="44"/>
      <c r="L18" s="44"/>
      <c r="M18" s="50"/>
      <c r="N18" s="51"/>
      <c r="O18" s="47"/>
      <c r="P18" s="47"/>
      <c r="Q18" s="41"/>
      <c r="R18" s="39"/>
      <c r="S18" s="39"/>
      <c r="T18" s="41" t="str">
        <f t="shared" si="0"/>
        <v/>
      </c>
      <c r="U18" s="39"/>
      <c r="V18" s="39"/>
      <c r="W18" s="39"/>
      <c r="X18" s="39"/>
      <c r="Y18" s="39"/>
      <c r="Z18" s="39"/>
      <c r="AA18" s="39"/>
      <c r="AB18" s="39"/>
      <c r="AC18" s="48"/>
    </row>
    <row r="19" spans="2:29" ht="15.75" x14ac:dyDescent="0.25">
      <c r="B19" s="39"/>
      <c r="C19" s="40"/>
      <c r="D19" s="40"/>
      <c r="E19" s="40"/>
      <c r="F19" s="39"/>
      <c r="G19" s="41"/>
      <c r="H19" s="41"/>
      <c r="I19" s="49"/>
      <c r="J19" s="43"/>
      <c r="K19" s="44"/>
      <c r="L19" s="44"/>
      <c r="M19" s="50"/>
      <c r="N19" s="51"/>
      <c r="O19" s="47"/>
      <c r="P19" s="47"/>
      <c r="Q19" s="41"/>
      <c r="R19" s="39"/>
      <c r="S19" s="39"/>
      <c r="T19" s="41" t="str">
        <f t="shared" si="0"/>
        <v/>
      </c>
      <c r="U19" s="39"/>
      <c r="V19" s="39"/>
      <c r="W19" s="39"/>
      <c r="X19" s="39"/>
      <c r="Y19" s="39"/>
      <c r="Z19" s="39"/>
      <c r="AA19" s="39"/>
      <c r="AB19" s="39"/>
      <c r="AC19" s="48"/>
    </row>
    <row r="20" spans="2:29" ht="15.75" x14ac:dyDescent="0.25">
      <c r="B20" s="39"/>
      <c r="C20" s="40"/>
      <c r="D20" s="40"/>
      <c r="E20" s="40"/>
      <c r="F20" s="39"/>
      <c r="G20" s="41"/>
      <c r="H20" s="41"/>
      <c r="I20" s="49"/>
      <c r="J20" s="43"/>
      <c r="K20" s="44"/>
      <c r="L20" s="44"/>
      <c r="M20" s="50"/>
      <c r="N20" s="51"/>
      <c r="O20" s="47"/>
      <c r="P20" s="47"/>
      <c r="Q20" s="41"/>
      <c r="R20" s="39"/>
      <c r="S20" s="39"/>
      <c r="T20" s="41" t="str">
        <f t="shared" si="0"/>
        <v/>
      </c>
      <c r="U20" s="39"/>
      <c r="V20" s="39"/>
      <c r="W20" s="39"/>
      <c r="X20" s="39"/>
      <c r="Y20" s="39"/>
      <c r="Z20" s="39"/>
      <c r="AA20" s="39"/>
      <c r="AB20" s="39"/>
      <c r="AC20" s="48"/>
    </row>
    <row r="21" spans="2:29" ht="15.75" x14ac:dyDescent="0.25">
      <c r="B21" s="39"/>
      <c r="C21" s="40"/>
      <c r="D21" s="40"/>
      <c r="E21" s="40"/>
      <c r="F21" s="39"/>
      <c r="G21" s="41"/>
      <c r="H21" s="41"/>
      <c r="I21" s="49"/>
      <c r="J21" s="43"/>
      <c r="K21" s="44"/>
      <c r="L21" s="44"/>
      <c r="M21" s="50"/>
      <c r="N21" s="51"/>
      <c r="O21" s="47"/>
      <c r="P21" s="47"/>
      <c r="Q21" s="41"/>
      <c r="R21" s="39"/>
      <c r="S21" s="39"/>
      <c r="T21" s="41" t="str">
        <f t="shared" si="0"/>
        <v/>
      </c>
      <c r="U21" s="39"/>
      <c r="V21" s="39"/>
      <c r="W21" s="39"/>
      <c r="X21" s="39"/>
      <c r="Y21" s="39"/>
      <c r="Z21" s="39"/>
      <c r="AA21" s="39"/>
      <c r="AB21" s="39"/>
      <c r="AC21" s="48"/>
    </row>
    <row r="22" spans="2:29" ht="15.75" x14ac:dyDescent="0.25">
      <c r="B22" s="39"/>
      <c r="C22" s="40"/>
      <c r="D22" s="40"/>
      <c r="E22" s="40"/>
      <c r="F22" s="39"/>
      <c r="G22" s="41"/>
      <c r="H22" s="41"/>
      <c r="I22" s="49"/>
      <c r="J22" s="43"/>
      <c r="K22" s="44"/>
      <c r="L22" s="44"/>
      <c r="M22" s="50"/>
      <c r="N22" s="51"/>
      <c r="O22" s="47"/>
      <c r="P22" s="47"/>
      <c r="Q22" s="41"/>
      <c r="R22" s="39"/>
      <c r="S22" s="39"/>
      <c r="T22" s="41" t="str">
        <f t="shared" si="0"/>
        <v/>
      </c>
      <c r="U22" s="39"/>
      <c r="V22" s="39"/>
      <c r="W22" s="39"/>
      <c r="X22" s="39"/>
      <c r="Y22" s="39"/>
      <c r="Z22" s="39"/>
      <c r="AA22" s="39"/>
      <c r="AB22" s="39"/>
      <c r="AC22" s="48"/>
    </row>
    <row r="23" spans="2:29" ht="15.75" x14ac:dyDescent="0.25">
      <c r="B23" s="39"/>
      <c r="C23" s="40"/>
      <c r="D23" s="40"/>
      <c r="E23" s="40"/>
      <c r="F23" s="39"/>
      <c r="G23" s="41"/>
      <c r="H23" s="41"/>
      <c r="I23" s="49"/>
      <c r="J23" s="43"/>
      <c r="K23" s="44"/>
      <c r="L23" s="44"/>
      <c r="M23" s="50"/>
      <c r="N23" s="51"/>
      <c r="O23" s="47"/>
      <c r="P23" s="47"/>
      <c r="Q23" s="41"/>
      <c r="R23" s="39"/>
      <c r="S23" s="39"/>
      <c r="T23" s="41" t="str">
        <f t="shared" si="0"/>
        <v/>
      </c>
      <c r="U23" s="39"/>
      <c r="V23" s="39"/>
      <c r="W23" s="39"/>
      <c r="X23" s="39"/>
      <c r="Y23" s="39"/>
      <c r="Z23" s="39"/>
      <c r="AA23" s="39"/>
      <c r="AB23" s="39"/>
      <c r="AC23" s="48"/>
    </row>
    <row r="24" spans="2:29" ht="15.75" x14ac:dyDescent="0.25">
      <c r="B24" s="39"/>
      <c r="C24" s="40"/>
      <c r="D24" s="40"/>
      <c r="E24" s="40"/>
      <c r="F24" s="39"/>
      <c r="G24" s="41"/>
      <c r="H24" s="41"/>
      <c r="I24" s="49"/>
      <c r="J24" s="43"/>
      <c r="K24" s="44"/>
      <c r="L24" s="44"/>
      <c r="M24" s="50"/>
      <c r="N24" s="51"/>
      <c r="O24" s="47"/>
      <c r="P24" s="47"/>
      <c r="Q24" s="41"/>
      <c r="R24" s="39"/>
      <c r="S24" s="39"/>
      <c r="T24" s="41" t="str">
        <f t="shared" si="0"/>
        <v/>
      </c>
      <c r="U24" s="39"/>
      <c r="V24" s="39"/>
      <c r="W24" s="39"/>
      <c r="X24" s="39"/>
      <c r="Y24" s="39"/>
      <c r="Z24" s="39"/>
      <c r="AA24" s="39"/>
      <c r="AB24" s="39"/>
      <c r="AC24" s="48"/>
    </row>
    <row r="25" spans="2:29" ht="15.75" x14ac:dyDescent="0.25">
      <c r="B25" s="39"/>
      <c r="C25" s="40"/>
      <c r="D25" s="40"/>
      <c r="E25" s="40"/>
      <c r="F25" s="39"/>
      <c r="G25" s="41"/>
      <c r="H25" s="41"/>
      <c r="I25" s="49"/>
      <c r="J25" s="43"/>
      <c r="K25" s="44"/>
      <c r="L25" s="44"/>
      <c r="M25" s="50"/>
      <c r="N25" s="51"/>
      <c r="O25" s="47"/>
      <c r="P25" s="47"/>
      <c r="Q25" s="41"/>
      <c r="R25" s="39"/>
      <c r="S25" s="39"/>
      <c r="T25" s="41" t="str">
        <f t="shared" si="0"/>
        <v/>
      </c>
      <c r="U25" s="39"/>
      <c r="V25" s="39"/>
      <c r="W25" s="39"/>
      <c r="X25" s="39"/>
      <c r="Y25" s="39"/>
      <c r="Z25" s="39"/>
      <c r="AA25" s="39"/>
      <c r="AB25" s="39"/>
      <c r="AC25" s="48"/>
    </row>
    <row r="26" spans="2:29" ht="15.75" x14ac:dyDescent="0.25">
      <c r="B26" s="39"/>
      <c r="C26" s="40"/>
      <c r="D26" s="40"/>
      <c r="E26" s="40"/>
      <c r="F26" s="39"/>
      <c r="G26" s="41"/>
      <c r="H26" s="41"/>
      <c r="I26" s="49"/>
      <c r="J26" s="43"/>
      <c r="K26" s="44"/>
      <c r="L26" s="44"/>
      <c r="M26" s="50"/>
      <c r="N26" s="51"/>
      <c r="O26" s="47"/>
      <c r="P26" s="47"/>
      <c r="Q26" s="41"/>
      <c r="R26" s="39"/>
      <c r="S26" s="39"/>
      <c r="T26" s="41" t="str">
        <f t="shared" si="0"/>
        <v/>
      </c>
      <c r="U26" s="39"/>
      <c r="V26" s="39"/>
      <c r="W26" s="39"/>
      <c r="X26" s="39"/>
      <c r="Y26" s="39"/>
      <c r="Z26" s="39"/>
      <c r="AA26" s="39"/>
      <c r="AB26" s="39"/>
      <c r="AC26" s="48"/>
    </row>
    <row r="27" spans="2:29" ht="15.75" x14ac:dyDescent="0.25">
      <c r="B27" s="39"/>
      <c r="C27" s="40"/>
      <c r="D27" s="40"/>
      <c r="E27" s="40"/>
      <c r="F27" s="39"/>
      <c r="G27" s="41"/>
      <c r="H27" s="41"/>
      <c r="I27" s="49"/>
      <c r="J27" s="43"/>
      <c r="K27" s="44"/>
      <c r="L27" s="44"/>
      <c r="M27" s="50"/>
      <c r="N27" s="51"/>
      <c r="O27" s="47"/>
      <c r="P27" s="47"/>
      <c r="Q27" s="41"/>
      <c r="R27" s="39"/>
      <c r="S27" s="39"/>
      <c r="T27" s="41" t="str">
        <f t="shared" si="0"/>
        <v/>
      </c>
      <c r="U27" s="39"/>
      <c r="V27" s="39"/>
      <c r="W27" s="39"/>
      <c r="X27" s="39"/>
      <c r="Y27" s="39"/>
      <c r="Z27" s="39"/>
      <c r="AA27" s="39"/>
      <c r="AB27" s="39"/>
      <c r="AC27" s="48"/>
    </row>
    <row r="28" spans="2:29" ht="15.75" x14ac:dyDescent="0.25">
      <c r="B28" s="39"/>
      <c r="C28" s="40"/>
      <c r="D28" s="40"/>
      <c r="E28" s="40"/>
      <c r="F28" s="39"/>
      <c r="G28" s="41"/>
      <c r="H28" s="41"/>
      <c r="I28" s="49"/>
      <c r="J28" s="43"/>
      <c r="K28" s="44"/>
      <c r="L28" s="44"/>
      <c r="M28" s="50"/>
      <c r="N28" s="51"/>
      <c r="O28" s="47"/>
      <c r="P28" s="47"/>
      <c r="Q28" s="41"/>
      <c r="R28" s="39"/>
      <c r="S28" s="39"/>
      <c r="T28" s="41" t="str">
        <f t="shared" si="0"/>
        <v/>
      </c>
      <c r="U28" s="39"/>
      <c r="V28" s="39"/>
      <c r="W28" s="39"/>
      <c r="X28" s="39"/>
      <c r="Y28" s="39"/>
      <c r="Z28" s="39"/>
      <c r="AA28" s="39"/>
      <c r="AB28" s="39"/>
      <c r="AC28" s="48"/>
    </row>
    <row r="29" spans="2:29" ht="15.75" x14ac:dyDescent="0.25">
      <c r="B29" s="39"/>
      <c r="C29" s="40"/>
      <c r="D29" s="40"/>
      <c r="E29" s="40"/>
      <c r="F29" s="39"/>
      <c r="G29" s="41"/>
      <c r="H29" s="41"/>
      <c r="I29" s="49"/>
      <c r="J29" s="43"/>
      <c r="K29" s="44"/>
      <c r="L29" s="44"/>
      <c r="M29" s="50"/>
      <c r="N29" s="51"/>
      <c r="O29" s="47"/>
      <c r="P29" s="47"/>
      <c r="Q29" s="41"/>
      <c r="R29" s="39"/>
      <c r="S29" s="39"/>
      <c r="T29" s="41" t="str">
        <f t="shared" si="0"/>
        <v/>
      </c>
      <c r="U29" s="39"/>
      <c r="V29" s="39"/>
      <c r="W29" s="39"/>
      <c r="X29" s="39"/>
      <c r="Y29" s="39"/>
      <c r="Z29" s="39"/>
      <c r="AA29" s="39"/>
      <c r="AB29" s="39"/>
      <c r="AC29" s="48"/>
    </row>
    <row r="30" spans="2:29" ht="15.75" x14ac:dyDescent="0.25">
      <c r="B30" s="39"/>
      <c r="C30" s="40"/>
      <c r="D30" s="40"/>
      <c r="E30" s="40"/>
      <c r="F30" s="39"/>
      <c r="G30" s="41"/>
      <c r="H30" s="41"/>
      <c r="I30" s="49"/>
      <c r="J30" s="43"/>
      <c r="K30" s="44"/>
      <c r="L30" s="44"/>
      <c r="M30" s="50"/>
      <c r="N30" s="51"/>
      <c r="O30" s="47"/>
      <c r="P30" s="47"/>
      <c r="Q30" s="41"/>
      <c r="R30" s="39"/>
      <c r="S30" s="39"/>
      <c r="T30" s="41" t="str">
        <f t="shared" si="0"/>
        <v/>
      </c>
      <c r="U30" s="39"/>
      <c r="V30" s="39"/>
      <c r="W30" s="39"/>
      <c r="X30" s="39"/>
      <c r="Y30" s="39"/>
      <c r="Z30" s="39"/>
      <c r="AA30" s="39"/>
      <c r="AB30" s="39"/>
      <c r="AC30" s="48"/>
    </row>
    <row r="31" spans="2:29" ht="15.75" x14ac:dyDescent="0.25">
      <c r="B31" s="39"/>
      <c r="C31" s="40"/>
      <c r="D31" s="40"/>
      <c r="E31" s="40"/>
      <c r="F31" s="39"/>
      <c r="G31" s="41"/>
      <c r="H31" s="41"/>
      <c r="I31" s="49"/>
      <c r="J31" s="43"/>
      <c r="K31" s="44"/>
      <c r="L31" s="44"/>
      <c r="M31" s="50"/>
      <c r="N31" s="51"/>
      <c r="O31" s="47"/>
      <c r="P31" s="47"/>
      <c r="Q31" s="41"/>
      <c r="R31" s="39"/>
      <c r="S31" s="39"/>
      <c r="T31" s="41" t="str">
        <f t="shared" si="0"/>
        <v/>
      </c>
      <c r="U31" s="39"/>
      <c r="V31" s="39"/>
      <c r="W31" s="39"/>
      <c r="X31" s="39"/>
      <c r="Y31" s="39"/>
      <c r="Z31" s="39"/>
      <c r="AA31" s="39"/>
      <c r="AB31" s="39"/>
      <c r="AC31" s="48"/>
    </row>
    <row r="32" spans="2:29" ht="15.75" x14ac:dyDescent="0.25">
      <c r="B32" s="39"/>
      <c r="C32" s="40"/>
      <c r="D32" s="40"/>
      <c r="E32" s="40"/>
      <c r="F32" s="39"/>
      <c r="G32" s="41"/>
      <c r="H32" s="41"/>
      <c r="I32" s="49"/>
      <c r="J32" s="43"/>
      <c r="K32" s="44"/>
      <c r="L32" s="44"/>
      <c r="M32" s="50"/>
      <c r="N32" s="51"/>
      <c r="O32" s="47"/>
      <c r="P32" s="47"/>
      <c r="Q32" s="41"/>
      <c r="R32" s="39"/>
      <c r="S32" s="39"/>
      <c r="T32" s="41" t="str">
        <f t="shared" si="0"/>
        <v/>
      </c>
      <c r="U32" s="39"/>
      <c r="V32" s="39"/>
      <c r="W32" s="39"/>
      <c r="X32" s="39"/>
      <c r="Y32" s="39"/>
      <c r="Z32" s="39"/>
      <c r="AA32" s="39"/>
      <c r="AB32" s="39"/>
      <c r="AC32" s="48"/>
    </row>
    <row r="33" spans="2:29" ht="15.75" x14ac:dyDescent="0.25">
      <c r="B33" s="39"/>
      <c r="C33" s="40"/>
      <c r="D33" s="40"/>
      <c r="E33" s="40"/>
      <c r="F33" s="39"/>
      <c r="G33" s="41"/>
      <c r="H33" s="41"/>
      <c r="I33" s="49"/>
      <c r="J33" s="43"/>
      <c r="K33" s="44"/>
      <c r="L33" s="44"/>
      <c r="M33" s="50"/>
      <c r="N33" s="51"/>
      <c r="O33" s="47"/>
      <c r="P33" s="47"/>
      <c r="Q33" s="41"/>
      <c r="R33" s="39"/>
      <c r="S33" s="39"/>
      <c r="T33" s="41" t="str">
        <f t="shared" si="0"/>
        <v/>
      </c>
      <c r="U33" s="39"/>
      <c r="V33" s="39"/>
      <c r="W33" s="39"/>
      <c r="X33" s="39"/>
      <c r="Y33" s="39"/>
      <c r="Z33" s="39"/>
      <c r="AA33" s="39"/>
      <c r="AB33" s="39"/>
      <c r="AC33" s="48"/>
    </row>
    <row r="34" spans="2:29" ht="15.75" x14ac:dyDescent="0.25">
      <c r="B34" s="39"/>
      <c r="C34" s="40"/>
      <c r="D34" s="40"/>
      <c r="E34" s="40"/>
      <c r="F34" s="39"/>
      <c r="G34" s="41"/>
      <c r="H34" s="41"/>
      <c r="I34" s="49"/>
      <c r="J34" s="43"/>
      <c r="K34" s="44"/>
      <c r="L34" s="44"/>
      <c r="M34" s="50"/>
      <c r="N34" s="51"/>
      <c r="O34" s="47"/>
      <c r="P34" s="47"/>
      <c r="Q34" s="41"/>
      <c r="R34" s="39"/>
      <c r="S34" s="39"/>
      <c r="T34" s="41" t="str">
        <f t="shared" si="0"/>
        <v/>
      </c>
      <c r="U34" s="39"/>
      <c r="V34" s="39"/>
      <c r="W34" s="39"/>
      <c r="X34" s="39"/>
      <c r="Y34" s="39"/>
      <c r="Z34" s="39"/>
      <c r="AA34" s="39"/>
      <c r="AB34" s="39"/>
      <c r="AC34" s="48"/>
    </row>
    <row r="35" spans="2:29" ht="15.75" x14ac:dyDescent="0.25">
      <c r="B35" s="39"/>
      <c r="C35" s="40"/>
      <c r="D35" s="40"/>
      <c r="E35" s="40"/>
      <c r="F35" s="39"/>
      <c r="G35" s="41"/>
      <c r="H35" s="41"/>
      <c r="I35" s="49"/>
      <c r="J35" s="43"/>
      <c r="K35" s="44"/>
      <c r="L35" s="44"/>
      <c r="M35" s="50"/>
      <c r="N35" s="51"/>
      <c r="O35" s="47"/>
      <c r="P35" s="47"/>
      <c r="Q35" s="41"/>
      <c r="R35" s="39"/>
      <c r="S35" s="39"/>
      <c r="T35" s="41" t="str">
        <f t="shared" si="0"/>
        <v/>
      </c>
      <c r="U35" s="39"/>
      <c r="V35" s="39"/>
      <c r="W35" s="39"/>
      <c r="X35" s="39"/>
      <c r="Y35" s="39"/>
      <c r="Z35" s="39"/>
      <c r="AA35" s="39"/>
      <c r="AB35" s="39"/>
      <c r="AC35" s="48"/>
    </row>
    <row r="36" spans="2:29" ht="15.75" x14ac:dyDescent="0.25">
      <c r="B36" s="39"/>
      <c r="C36" s="40"/>
      <c r="D36" s="40"/>
      <c r="E36" s="40"/>
      <c r="F36" s="39"/>
      <c r="G36" s="41"/>
      <c r="H36" s="41"/>
      <c r="I36" s="49"/>
      <c r="J36" s="43"/>
      <c r="K36" s="44"/>
      <c r="L36" s="44"/>
      <c r="M36" s="50"/>
      <c r="N36" s="51"/>
      <c r="O36" s="47"/>
      <c r="P36" s="47"/>
      <c r="Q36" s="41"/>
      <c r="R36" s="39"/>
      <c r="S36" s="39"/>
      <c r="T36" s="41" t="str">
        <f t="shared" si="0"/>
        <v/>
      </c>
      <c r="U36" s="39"/>
      <c r="V36" s="39"/>
      <c r="W36" s="39"/>
      <c r="X36" s="39"/>
      <c r="Y36" s="39"/>
      <c r="Z36" s="39"/>
      <c r="AA36" s="39"/>
      <c r="AB36" s="39"/>
      <c r="AC36" s="48"/>
    </row>
    <row r="37" spans="2:29" ht="15.75" x14ac:dyDescent="0.25">
      <c r="B37" s="39"/>
      <c r="C37" s="40"/>
      <c r="D37" s="40"/>
      <c r="E37" s="40"/>
      <c r="F37" s="39"/>
      <c r="G37" s="41"/>
      <c r="H37" s="41"/>
      <c r="I37" s="49"/>
      <c r="J37" s="43"/>
      <c r="K37" s="44"/>
      <c r="L37" s="44"/>
      <c r="M37" s="50"/>
      <c r="N37" s="51"/>
      <c r="O37" s="47"/>
      <c r="P37" s="47"/>
      <c r="Q37" s="41"/>
      <c r="R37" s="39"/>
      <c r="S37" s="39"/>
      <c r="T37" s="41" t="str">
        <f t="shared" si="0"/>
        <v/>
      </c>
      <c r="U37" s="39"/>
      <c r="V37" s="39"/>
      <c r="W37" s="39"/>
      <c r="X37" s="39"/>
      <c r="Y37" s="39"/>
      <c r="Z37" s="39"/>
      <c r="AA37" s="39"/>
      <c r="AB37" s="39"/>
      <c r="AC37" s="48"/>
    </row>
    <row r="38" spans="2:29" ht="15.75" x14ac:dyDescent="0.25">
      <c r="B38" s="39"/>
      <c r="C38" s="40"/>
      <c r="D38" s="40"/>
      <c r="E38" s="40"/>
      <c r="F38" s="39"/>
      <c r="G38" s="41"/>
      <c r="H38" s="41"/>
      <c r="I38" s="49"/>
      <c r="J38" s="43"/>
      <c r="K38" s="44"/>
      <c r="L38" s="44"/>
      <c r="M38" s="50"/>
      <c r="N38" s="51"/>
      <c r="O38" s="47"/>
      <c r="P38" s="47"/>
      <c r="Q38" s="41"/>
      <c r="R38" s="39"/>
      <c r="S38" s="39"/>
      <c r="T38" s="41" t="str">
        <f t="shared" si="0"/>
        <v/>
      </c>
      <c r="U38" s="39"/>
      <c r="V38" s="39"/>
      <c r="W38" s="39"/>
      <c r="X38" s="39"/>
      <c r="Y38" s="39"/>
      <c r="Z38" s="39"/>
      <c r="AA38" s="39"/>
      <c r="AB38" s="39"/>
      <c r="AC38" s="48"/>
    </row>
    <row r="39" spans="2:29" ht="15.75" x14ac:dyDescent="0.25">
      <c r="B39" s="39"/>
      <c r="C39" s="40"/>
      <c r="D39" s="40"/>
      <c r="E39" s="40"/>
      <c r="F39" s="39"/>
      <c r="G39" s="41"/>
      <c r="H39" s="41"/>
      <c r="I39" s="49"/>
      <c r="J39" s="43"/>
      <c r="K39" s="44"/>
      <c r="L39" s="44"/>
      <c r="M39" s="50"/>
      <c r="N39" s="51"/>
      <c r="O39" s="47"/>
      <c r="P39" s="47"/>
      <c r="Q39" s="41"/>
      <c r="R39" s="39"/>
      <c r="S39" s="39"/>
      <c r="T39" s="41" t="str">
        <f t="shared" si="0"/>
        <v/>
      </c>
      <c r="U39" s="39"/>
      <c r="V39" s="39"/>
      <c r="W39" s="39"/>
      <c r="X39" s="39"/>
      <c r="Y39" s="39"/>
      <c r="Z39" s="39"/>
      <c r="AA39" s="39"/>
      <c r="AB39" s="39"/>
      <c r="AC39" s="48"/>
    </row>
    <row r="40" spans="2:29" ht="15.75" x14ac:dyDescent="0.25">
      <c r="B40" s="39"/>
      <c r="C40" s="40"/>
      <c r="D40" s="40"/>
      <c r="E40" s="40"/>
      <c r="F40" s="39"/>
      <c r="G40" s="41"/>
      <c r="H40" s="41"/>
      <c r="I40" s="49"/>
      <c r="J40" s="43"/>
      <c r="K40" s="44"/>
      <c r="L40" s="44"/>
      <c r="M40" s="50"/>
      <c r="N40" s="51"/>
      <c r="O40" s="47"/>
      <c r="P40" s="47"/>
      <c r="Q40" s="41"/>
      <c r="R40" s="39"/>
      <c r="S40" s="39"/>
      <c r="T40" s="41" t="str">
        <f t="shared" si="0"/>
        <v/>
      </c>
      <c r="U40" s="39"/>
      <c r="V40" s="39"/>
      <c r="W40" s="39"/>
      <c r="X40" s="39"/>
      <c r="Y40" s="39"/>
      <c r="Z40" s="39"/>
      <c r="AA40" s="39"/>
      <c r="AB40" s="39"/>
      <c r="AC40" s="48"/>
    </row>
    <row r="41" spans="2:29" ht="15.75" x14ac:dyDescent="0.25">
      <c r="B41" s="39"/>
      <c r="C41" s="40"/>
      <c r="D41" s="40"/>
      <c r="E41" s="40"/>
      <c r="F41" s="39"/>
      <c r="G41" s="41"/>
      <c r="H41" s="41"/>
      <c r="I41" s="49"/>
      <c r="J41" s="43"/>
      <c r="K41" s="44"/>
      <c r="L41" s="44"/>
      <c r="M41" s="50"/>
      <c r="N41" s="51"/>
      <c r="O41" s="47"/>
      <c r="P41" s="47"/>
      <c r="Q41" s="41"/>
      <c r="R41" s="39"/>
      <c r="S41" s="39"/>
      <c r="T41" s="41" t="str">
        <f t="shared" si="0"/>
        <v/>
      </c>
      <c r="U41" s="39"/>
      <c r="V41" s="39"/>
      <c r="W41" s="39"/>
      <c r="X41" s="39"/>
      <c r="Y41" s="39"/>
      <c r="Z41" s="39"/>
      <c r="AA41" s="39"/>
      <c r="AB41" s="39"/>
      <c r="AC41" s="48"/>
    </row>
    <row r="42" spans="2:29" ht="15.75" x14ac:dyDescent="0.25">
      <c r="B42" s="39"/>
      <c r="C42" s="40"/>
      <c r="D42" s="40"/>
      <c r="E42" s="40"/>
      <c r="F42" s="39"/>
      <c r="G42" s="41"/>
      <c r="H42" s="41"/>
      <c r="I42" s="49"/>
      <c r="J42" s="43"/>
      <c r="K42" s="44"/>
      <c r="L42" s="44"/>
      <c r="M42" s="50"/>
      <c r="N42" s="51"/>
      <c r="O42" s="47"/>
      <c r="P42" s="47"/>
      <c r="Q42" s="41"/>
      <c r="R42" s="39"/>
      <c r="S42" s="39"/>
      <c r="T42" s="41" t="str">
        <f t="shared" si="0"/>
        <v/>
      </c>
      <c r="U42" s="39"/>
      <c r="V42" s="39"/>
      <c r="W42" s="39"/>
      <c r="X42" s="39"/>
      <c r="Y42" s="39"/>
      <c r="Z42" s="39"/>
      <c r="AA42" s="39"/>
      <c r="AB42" s="39"/>
      <c r="AC42" s="48"/>
    </row>
    <row r="43" spans="2:29" ht="15.75" x14ac:dyDescent="0.25">
      <c r="B43" s="39"/>
      <c r="C43" s="40"/>
      <c r="D43" s="40"/>
      <c r="E43" s="40"/>
      <c r="F43" s="39"/>
      <c r="G43" s="41"/>
      <c r="H43" s="41"/>
      <c r="I43" s="49"/>
      <c r="J43" s="43"/>
      <c r="K43" s="44"/>
      <c r="L43" s="44"/>
      <c r="M43" s="50"/>
      <c r="N43" s="51"/>
      <c r="O43" s="47"/>
      <c r="P43" s="47"/>
      <c r="Q43" s="41"/>
      <c r="R43" s="39"/>
      <c r="S43" s="39"/>
      <c r="T43" s="41" t="str">
        <f t="shared" si="0"/>
        <v/>
      </c>
      <c r="U43" s="39"/>
      <c r="V43" s="39"/>
      <c r="W43" s="39"/>
      <c r="X43" s="39"/>
      <c r="Y43" s="39"/>
      <c r="Z43" s="39"/>
      <c r="AA43" s="39"/>
      <c r="AB43" s="39"/>
      <c r="AC43" s="48"/>
    </row>
    <row r="44" spans="2:29" ht="15.75" x14ac:dyDescent="0.25">
      <c r="B44" s="39"/>
      <c r="C44" s="40"/>
      <c r="D44" s="40"/>
      <c r="E44" s="40"/>
      <c r="F44" s="39"/>
      <c r="G44" s="41"/>
      <c r="H44" s="41"/>
      <c r="I44" s="49"/>
      <c r="J44" s="43"/>
      <c r="K44" s="44"/>
      <c r="L44" s="44"/>
      <c r="M44" s="50"/>
      <c r="N44" s="51"/>
      <c r="O44" s="47"/>
      <c r="P44" s="47"/>
      <c r="Q44" s="41"/>
      <c r="R44" s="39"/>
      <c r="S44" s="39"/>
      <c r="T44" s="41" t="str">
        <f t="shared" si="0"/>
        <v/>
      </c>
      <c r="U44" s="39"/>
      <c r="V44" s="39"/>
      <c r="W44" s="39"/>
      <c r="X44" s="39"/>
      <c r="Y44" s="39"/>
      <c r="Z44" s="39"/>
      <c r="AA44" s="39"/>
      <c r="AB44" s="39"/>
      <c r="AC44" s="48"/>
    </row>
    <row r="45" spans="2:29" ht="15.75" x14ac:dyDescent="0.25">
      <c r="B45" s="39"/>
      <c r="C45" s="40"/>
      <c r="D45" s="40"/>
      <c r="E45" s="40"/>
      <c r="F45" s="39"/>
      <c r="G45" s="41"/>
      <c r="H45" s="41"/>
      <c r="I45" s="49"/>
      <c r="J45" s="43"/>
      <c r="K45" s="44"/>
      <c r="L45" s="44"/>
      <c r="M45" s="50"/>
      <c r="N45" s="51"/>
      <c r="O45" s="47"/>
      <c r="P45" s="47"/>
      <c r="Q45" s="41"/>
      <c r="R45" s="39"/>
      <c r="S45" s="39"/>
      <c r="T45" s="41" t="str">
        <f t="shared" si="0"/>
        <v/>
      </c>
      <c r="U45" s="39"/>
      <c r="V45" s="39"/>
      <c r="W45" s="39"/>
      <c r="X45" s="39"/>
      <c r="Y45" s="39"/>
      <c r="Z45" s="39"/>
      <c r="AA45" s="39"/>
      <c r="AB45" s="39"/>
      <c r="AC45" s="48"/>
    </row>
    <row r="46" spans="2:29" ht="15.75" x14ac:dyDescent="0.25">
      <c r="B46" s="39"/>
      <c r="C46" s="40"/>
      <c r="D46" s="40"/>
      <c r="E46" s="40"/>
      <c r="F46" s="39"/>
      <c r="G46" s="41"/>
      <c r="H46" s="41"/>
      <c r="I46" s="49"/>
      <c r="J46" s="43"/>
      <c r="K46" s="44"/>
      <c r="L46" s="44"/>
      <c r="M46" s="50"/>
      <c r="N46" s="51"/>
      <c r="O46" s="47"/>
      <c r="P46" s="47"/>
      <c r="Q46" s="41"/>
      <c r="R46" s="39"/>
      <c r="S46" s="39"/>
      <c r="T46" s="41" t="str">
        <f t="shared" si="0"/>
        <v/>
      </c>
      <c r="U46" s="39"/>
      <c r="V46" s="39"/>
      <c r="W46" s="39"/>
      <c r="X46" s="39"/>
      <c r="Y46" s="39"/>
      <c r="Z46" s="39"/>
      <c r="AA46" s="39"/>
      <c r="AB46" s="39"/>
      <c r="AC46" s="48"/>
    </row>
    <row r="47" spans="2:29" ht="15.75" x14ac:dyDescent="0.25">
      <c r="B47" s="39"/>
      <c r="C47" s="40"/>
      <c r="D47" s="40"/>
      <c r="E47" s="40"/>
      <c r="F47" s="39"/>
      <c r="G47" s="41"/>
      <c r="H47" s="41"/>
      <c r="I47" s="49"/>
      <c r="J47" s="43"/>
      <c r="K47" s="44"/>
      <c r="L47" s="44"/>
      <c r="M47" s="50"/>
      <c r="N47" s="51"/>
      <c r="O47" s="47"/>
      <c r="P47" s="47"/>
      <c r="Q47" s="41"/>
      <c r="R47" s="39"/>
      <c r="S47" s="39"/>
      <c r="T47" s="41" t="str">
        <f t="shared" si="0"/>
        <v/>
      </c>
      <c r="U47" s="39"/>
      <c r="V47" s="39"/>
      <c r="W47" s="39"/>
      <c r="X47" s="39"/>
      <c r="Y47" s="39"/>
      <c r="Z47" s="39"/>
      <c r="AA47" s="39"/>
      <c r="AB47" s="39"/>
      <c r="AC47" s="48"/>
    </row>
    <row r="48" spans="2:29" ht="15.75" x14ac:dyDescent="0.25">
      <c r="B48" s="39"/>
      <c r="C48" s="40"/>
      <c r="D48" s="40"/>
      <c r="E48" s="40"/>
      <c r="F48" s="39"/>
      <c r="G48" s="41"/>
      <c r="H48" s="41"/>
      <c r="I48" s="49"/>
      <c r="J48" s="43"/>
      <c r="K48" s="44"/>
      <c r="L48" s="44"/>
      <c r="M48" s="50"/>
      <c r="N48" s="51"/>
      <c r="O48" s="47"/>
      <c r="P48" s="47"/>
      <c r="Q48" s="41"/>
      <c r="R48" s="39"/>
      <c r="S48" s="39"/>
      <c r="T48" s="41" t="str">
        <f t="shared" si="0"/>
        <v/>
      </c>
      <c r="U48" s="39"/>
      <c r="V48" s="39"/>
      <c r="W48" s="39"/>
      <c r="X48" s="39"/>
      <c r="Y48" s="39"/>
      <c r="Z48" s="39"/>
      <c r="AA48" s="39"/>
      <c r="AB48" s="39"/>
      <c r="AC48" s="48"/>
    </row>
    <row r="49" spans="2:29" ht="15.75" x14ac:dyDescent="0.25">
      <c r="B49" s="39"/>
      <c r="C49" s="40"/>
      <c r="D49" s="40"/>
      <c r="E49" s="40"/>
      <c r="F49" s="39"/>
      <c r="G49" s="41"/>
      <c r="H49" s="41"/>
      <c r="I49" s="49"/>
      <c r="J49" s="43"/>
      <c r="K49" s="44"/>
      <c r="L49" s="44"/>
      <c r="M49" s="50"/>
      <c r="N49" s="51"/>
      <c r="O49" s="47"/>
      <c r="P49" s="47"/>
      <c r="Q49" s="41"/>
      <c r="R49" s="39"/>
      <c r="S49" s="39"/>
      <c r="T49" s="41" t="str">
        <f t="shared" si="0"/>
        <v/>
      </c>
      <c r="U49" s="39"/>
      <c r="V49" s="39"/>
      <c r="W49" s="39"/>
      <c r="X49" s="39"/>
      <c r="Y49" s="39"/>
      <c r="Z49" s="39"/>
      <c r="AA49" s="39"/>
      <c r="AB49" s="39"/>
      <c r="AC49" s="48"/>
    </row>
    <row r="50" spans="2:29" ht="15.75" x14ac:dyDescent="0.25">
      <c r="B50" s="39"/>
      <c r="C50" s="40"/>
      <c r="D50" s="40"/>
      <c r="E50" s="40"/>
      <c r="F50" s="39"/>
      <c r="G50" s="41"/>
      <c r="H50" s="41"/>
      <c r="I50" s="49"/>
      <c r="J50" s="43"/>
      <c r="K50" s="44"/>
      <c r="L50" s="44"/>
      <c r="M50" s="50"/>
      <c r="N50" s="51"/>
      <c r="O50" s="47"/>
      <c r="P50" s="47"/>
      <c r="Q50" s="41"/>
      <c r="R50" s="39"/>
      <c r="S50" s="39"/>
      <c r="T50" s="41" t="str">
        <f t="shared" si="0"/>
        <v/>
      </c>
      <c r="U50" s="39"/>
      <c r="V50" s="39"/>
      <c r="W50" s="39"/>
      <c r="X50" s="39"/>
      <c r="Y50" s="39"/>
      <c r="Z50" s="39"/>
      <c r="AA50" s="39"/>
      <c r="AB50" s="39"/>
      <c r="AC50" s="48"/>
    </row>
    <row r="51" spans="2:29" ht="15.75" x14ac:dyDescent="0.25">
      <c r="B51" s="39"/>
      <c r="C51" s="40"/>
      <c r="D51" s="40"/>
      <c r="E51" s="40"/>
      <c r="F51" s="39"/>
      <c r="G51" s="41"/>
      <c r="H51" s="41"/>
      <c r="I51" s="49"/>
      <c r="J51" s="43"/>
      <c r="K51" s="44"/>
      <c r="L51" s="44"/>
      <c r="M51" s="50"/>
      <c r="N51" s="51"/>
      <c r="O51" s="47"/>
      <c r="P51" s="47"/>
      <c r="Q51" s="41"/>
      <c r="R51" s="39"/>
      <c r="S51" s="39"/>
      <c r="T51" s="41" t="str">
        <f t="shared" si="0"/>
        <v/>
      </c>
      <c r="U51" s="39"/>
      <c r="V51" s="39"/>
      <c r="W51" s="39"/>
      <c r="X51" s="39"/>
      <c r="Y51" s="39"/>
      <c r="Z51" s="39"/>
      <c r="AA51" s="39"/>
      <c r="AB51" s="39"/>
      <c r="AC51" s="48"/>
    </row>
    <row r="52" spans="2:29" ht="15.75" x14ac:dyDescent="0.25">
      <c r="B52" s="39"/>
      <c r="C52" s="40"/>
      <c r="D52" s="40"/>
      <c r="E52" s="40"/>
      <c r="F52" s="39"/>
      <c r="G52" s="41"/>
      <c r="H52" s="41"/>
      <c r="I52" s="49"/>
      <c r="J52" s="43"/>
      <c r="K52" s="44"/>
      <c r="L52" s="44"/>
      <c r="M52" s="50"/>
      <c r="N52" s="51"/>
      <c r="O52" s="47"/>
      <c r="P52" s="47"/>
      <c r="Q52" s="41"/>
      <c r="R52" s="39"/>
      <c r="S52" s="39"/>
      <c r="T52" s="41" t="str">
        <f t="shared" si="0"/>
        <v/>
      </c>
      <c r="U52" s="39"/>
      <c r="V52" s="39"/>
      <c r="W52" s="39"/>
      <c r="X52" s="39"/>
      <c r="Y52" s="39"/>
      <c r="Z52" s="39"/>
      <c r="AA52" s="39"/>
      <c r="AB52" s="39"/>
      <c r="AC52" s="48"/>
    </row>
    <row r="53" spans="2:29" ht="15.75" x14ac:dyDescent="0.25">
      <c r="B53" s="39"/>
      <c r="C53" s="40"/>
      <c r="D53" s="40"/>
      <c r="E53" s="40"/>
      <c r="F53" s="39"/>
      <c r="G53" s="41"/>
      <c r="H53" s="41"/>
      <c r="I53" s="49"/>
      <c r="J53" s="43"/>
      <c r="K53" s="44"/>
      <c r="L53" s="44"/>
      <c r="M53" s="50"/>
      <c r="N53" s="51"/>
      <c r="O53" s="47"/>
      <c r="P53" s="47"/>
      <c r="Q53" s="41"/>
      <c r="R53" s="39"/>
      <c r="S53" s="39"/>
      <c r="T53" s="41" t="str">
        <f t="shared" si="0"/>
        <v/>
      </c>
      <c r="U53" s="39"/>
      <c r="V53" s="39"/>
      <c r="W53" s="39"/>
      <c r="X53" s="39"/>
      <c r="Y53" s="39"/>
      <c r="Z53" s="39"/>
      <c r="AA53" s="39"/>
      <c r="AB53" s="39"/>
      <c r="AC53" s="48"/>
    </row>
    <row r="54" spans="2:29" ht="15.75" x14ac:dyDescent="0.25">
      <c r="B54" s="39"/>
      <c r="C54" s="40"/>
      <c r="D54" s="40"/>
      <c r="E54" s="40"/>
      <c r="F54" s="39"/>
      <c r="G54" s="41"/>
      <c r="H54" s="41"/>
      <c r="I54" s="49"/>
      <c r="J54" s="43"/>
      <c r="K54" s="44"/>
      <c r="L54" s="44"/>
      <c r="M54" s="50"/>
      <c r="N54" s="51"/>
      <c r="O54" s="47"/>
      <c r="P54" s="47"/>
      <c r="Q54" s="41"/>
      <c r="R54" s="39"/>
      <c r="S54" s="39"/>
      <c r="T54" s="41" t="str">
        <f t="shared" si="0"/>
        <v/>
      </c>
      <c r="U54" s="39"/>
      <c r="V54" s="39"/>
      <c r="W54" s="39"/>
      <c r="X54" s="39"/>
      <c r="Y54" s="39"/>
      <c r="Z54" s="39"/>
      <c r="AA54" s="39"/>
      <c r="AB54" s="39"/>
      <c r="AC54" s="48"/>
    </row>
    <row r="55" spans="2:29" ht="15.75" x14ac:dyDescent="0.25">
      <c r="B55" s="39"/>
      <c r="C55" s="40"/>
      <c r="D55" s="40"/>
      <c r="E55" s="40"/>
      <c r="F55" s="39"/>
      <c r="G55" s="41"/>
      <c r="H55" s="41"/>
      <c r="I55" s="49"/>
      <c r="J55" s="43"/>
      <c r="K55" s="44"/>
      <c r="L55" s="44"/>
      <c r="M55" s="50"/>
      <c r="N55" s="51"/>
      <c r="O55" s="47"/>
      <c r="P55" s="47"/>
      <c r="Q55" s="41"/>
      <c r="R55" s="39"/>
      <c r="S55" s="39"/>
      <c r="T55" s="41" t="str">
        <f t="shared" si="0"/>
        <v/>
      </c>
      <c r="U55" s="39"/>
      <c r="V55" s="39"/>
      <c r="W55" s="39"/>
      <c r="X55" s="39"/>
      <c r="Y55" s="39"/>
      <c r="Z55" s="39"/>
      <c r="AA55" s="39"/>
      <c r="AB55" s="39"/>
      <c r="AC55" s="48"/>
    </row>
    <row r="56" spans="2:29" ht="15.75" x14ac:dyDescent="0.25">
      <c r="B56" s="39"/>
      <c r="C56" s="40"/>
      <c r="D56" s="40"/>
      <c r="E56" s="40"/>
      <c r="F56" s="39"/>
      <c r="G56" s="41"/>
      <c r="H56" s="41"/>
      <c r="I56" s="49"/>
      <c r="J56" s="43"/>
      <c r="K56" s="44"/>
      <c r="L56" s="44"/>
      <c r="M56" s="50"/>
      <c r="N56" s="51"/>
      <c r="O56" s="47"/>
      <c r="P56" s="47"/>
      <c r="Q56" s="41"/>
      <c r="R56" s="39"/>
      <c r="S56" s="39"/>
      <c r="T56" s="41" t="str">
        <f t="shared" si="0"/>
        <v/>
      </c>
      <c r="U56" s="39"/>
      <c r="V56" s="39"/>
      <c r="W56" s="39"/>
      <c r="X56" s="39"/>
      <c r="Y56" s="39"/>
      <c r="Z56" s="39"/>
      <c r="AA56" s="39"/>
      <c r="AB56" s="39"/>
      <c r="AC56" s="48"/>
    </row>
    <row r="57" spans="2:29" ht="15.75" x14ac:dyDescent="0.25">
      <c r="B57" s="39"/>
      <c r="C57" s="40"/>
      <c r="D57" s="40"/>
      <c r="E57" s="40"/>
      <c r="F57" s="39"/>
      <c r="G57" s="41"/>
      <c r="H57" s="41"/>
      <c r="I57" s="49"/>
      <c r="J57" s="43"/>
      <c r="K57" s="44"/>
      <c r="L57" s="44"/>
      <c r="M57" s="50"/>
      <c r="N57" s="51"/>
      <c r="O57" s="47"/>
      <c r="P57" s="47"/>
      <c r="Q57" s="41"/>
      <c r="R57" s="39"/>
      <c r="S57" s="39"/>
      <c r="T57" s="41" t="str">
        <f t="shared" si="0"/>
        <v/>
      </c>
      <c r="U57" s="39"/>
      <c r="V57" s="39"/>
      <c r="W57" s="39"/>
      <c r="X57" s="39"/>
      <c r="Y57" s="39"/>
      <c r="Z57" s="39"/>
      <c r="AA57" s="39"/>
      <c r="AB57" s="39"/>
      <c r="AC57" s="48"/>
    </row>
    <row r="58" spans="2:29" ht="15.75" x14ac:dyDescent="0.25">
      <c r="B58" s="39"/>
      <c r="C58" s="40"/>
      <c r="D58" s="40"/>
      <c r="E58" s="40"/>
      <c r="F58" s="39"/>
      <c r="G58" s="41"/>
      <c r="H58" s="41"/>
      <c r="I58" s="49"/>
      <c r="J58" s="43"/>
      <c r="K58" s="44"/>
      <c r="L58" s="44"/>
      <c r="M58" s="50"/>
      <c r="N58" s="51"/>
      <c r="O58" s="47"/>
      <c r="P58" s="47"/>
      <c r="Q58" s="41"/>
      <c r="R58" s="39"/>
      <c r="S58" s="39"/>
      <c r="T58" s="41" t="str">
        <f t="shared" si="0"/>
        <v/>
      </c>
      <c r="U58" s="39"/>
      <c r="V58" s="39"/>
      <c r="W58" s="39"/>
      <c r="X58" s="39"/>
      <c r="Y58" s="39"/>
      <c r="Z58" s="39"/>
      <c r="AA58" s="39"/>
      <c r="AB58" s="39"/>
      <c r="AC58" s="48"/>
    </row>
    <row r="59" spans="2:29" ht="15.75" x14ac:dyDescent="0.25">
      <c r="B59" s="39"/>
      <c r="C59" s="40"/>
      <c r="D59" s="40"/>
      <c r="E59" s="40"/>
      <c r="F59" s="39"/>
      <c r="G59" s="41"/>
      <c r="H59" s="41"/>
      <c r="I59" s="49"/>
      <c r="J59" s="43"/>
      <c r="K59" s="44"/>
      <c r="L59" s="44"/>
      <c r="M59" s="50"/>
      <c r="N59" s="51"/>
      <c r="O59" s="47"/>
      <c r="P59" s="47"/>
      <c r="Q59" s="41"/>
      <c r="R59" s="39"/>
      <c r="S59" s="39"/>
      <c r="T59" s="41" t="str">
        <f t="shared" si="0"/>
        <v/>
      </c>
      <c r="U59" s="39"/>
      <c r="V59" s="39"/>
      <c r="W59" s="39"/>
      <c r="X59" s="39"/>
      <c r="Y59" s="39"/>
      <c r="Z59" s="39"/>
      <c r="AA59" s="39"/>
      <c r="AB59" s="39"/>
      <c r="AC59" s="48"/>
    </row>
    <row r="60" spans="2:29" ht="15.75" x14ac:dyDescent="0.25">
      <c r="B60" s="39"/>
      <c r="C60" s="40"/>
      <c r="D60" s="40"/>
      <c r="E60" s="40"/>
      <c r="F60" s="39"/>
      <c r="G60" s="41"/>
      <c r="H60" s="41"/>
      <c r="I60" s="49"/>
      <c r="J60" s="43"/>
      <c r="K60" s="44"/>
      <c r="L60" s="44"/>
      <c r="M60" s="50"/>
      <c r="N60" s="51"/>
      <c r="O60" s="47"/>
      <c r="P60" s="47"/>
      <c r="Q60" s="41"/>
      <c r="R60" s="39"/>
      <c r="S60" s="39"/>
      <c r="T60" s="41" t="str">
        <f t="shared" si="0"/>
        <v/>
      </c>
      <c r="U60" s="39"/>
      <c r="V60" s="39"/>
      <c r="W60" s="39"/>
      <c r="X60" s="39"/>
      <c r="Y60" s="39"/>
      <c r="Z60" s="39"/>
      <c r="AA60" s="39"/>
      <c r="AB60" s="39"/>
      <c r="AC60" s="48"/>
    </row>
    <row r="61" spans="2:29" ht="15.75" x14ac:dyDescent="0.25">
      <c r="B61" s="39"/>
      <c r="C61" s="40"/>
      <c r="D61" s="40"/>
      <c r="E61" s="40"/>
      <c r="F61" s="39"/>
      <c r="G61" s="41"/>
      <c r="H61" s="41"/>
      <c r="I61" s="49"/>
      <c r="J61" s="43"/>
      <c r="K61" s="44"/>
      <c r="L61" s="44"/>
      <c r="M61" s="50"/>
      <c r="N61" s="51"/>
      <c r="O61" s="47"/>
      <c r="P61" s="47"/>
      <c r="Q61" s="41"/>
      <c r="R61" s="39"/>
      <c r="S61" s="39"/>
      <c r="T61" s="41" t="str">
        <f t="shared" si="0"/>
        <v/>
      </c>
      <c r="U61" s="39"/>
      <c r="V61" s="39"/>
      <c r="W61" s="39"/>
      <c r="X61" s="39"/>
      <c r="Y61" s="39"/>
      <c r="Z61" s="39"/>
      <c r="AA61" s="39"/>
      <c r="AB61" s="39"/>
      <c r="AC61" s="48"/>
    </row>
    <row r="62" spans="2:29" ht="15.75" x14ac:dyDescent="0.25">
      <c r="B62" s="39"/>
      <c r="C62" s="40"/>
      <c r="D62" s="40"/>
      <c r="E62" s="40"/>
      <c r="F62" s="39"/>
      <c r="G62" s="41"/>
      <c r="H62" s="41"/>
      <c r="I62" s="49"/>
      <c r="J62" s="43"/>
      <c r="K62" s="44"/>
      <c r="L62" s="44"/>
      <c r="M62" s="50"/>
      <c r="N62" s="51"/>
      <c r="O62" s="47"/>
      <c r="P62" s="47"/>
      <c r="Q62" s="41"/>
      <c r="R62" s="39"/>
      <c r="S62" s="39"/>
      <c r="T62" s="41" t="str">
        <f t="shared" si="0"/>
        <v/>
      </c>
      <c r="U62" s="39"/>
      <c r="V62" s="39"/>
      <c r="W62" s="39"/>
      <c r="X62" s="39"/>
      <c r="Y62" s="39"/>
      <c r="Z62" s="39"/>
      <c r="AA62" s="39"/>
      <c r="AB62" s="39"/>
      <c r="AC62" s="48"/>
    </row>
    <row r="63" spans="2:29" ht="15.75" x14ac:dyDescent="0.25">
      <c r="B63" s="39"/>
      <c r="C63" s="40"/>
      <c r="D63" s="40"/>
      <c r="E63" s="40"/>
      <c r="F63" s="39"/>
      <c r="G63" s="41"/>
      <c r="H63" s="41"/>
      <c r="I63" s="49"/>
      <c r="J63" s="43"/>
      <c r="K63" s="44"/>
      <c r="L63" s="44"/>
      <c r="M63" s="50"/>
      <c r="N63" s="51"/>
      <c r="O63" s="47"/>
      <c r="P63" s="47"/>
      <c r="Q63" s="41"/>
      <c r="R63" s="39"/>
      <c r="S63" s="39"/>
      <c r="T63" s="41" t="str">
        <f t="shared" si="0"/>
        <v/>
      </c>
      <c r="U63" s="39"/>
      <c r="V63" s="39"/>
      <c r="W63" s="39"/>
      <c r="X63" s="39"/>
      <c r="Y63" s="39"/>
      <c r="Z63" s="39"/>
      <c r="AA63" s="39"/>
      <c r="AB63" s="39"/>
      <c r="AC63" s="48"/>
    </row>
    <row r="64" spans="2:29" ht="15.75" x14ac:dyDescent="0.25">
      <c r="B64" s="39"/>
      <c r="C64" s="40"/>
      <c r="D64" s="40"/>
      <c r="E64" s="40"/>
      <c r="F64" s="39"/>
      <c r="G64" s="41"/>
      <c r="H64" s="41"/>
      <c r="I64" s="49"/>
      <c r="J64" s="43"/>
      <c r="K64" s="44"/>
      <c r="L64" s="44"/>
      <c r="M64" s="50"/>
      <c r="N64" s="51"/>
      <c r="O64" s="47"/>
      <c r="P64" s="47"/>
      <c r="Q64" s="41"/>
      <c r="R64" s="39"/>
      <c r="S64" s="39"/>
      <c r="T64" s="41" t="str">
        <f t="shared" si="0"/>
        <v/>
      </c>
      <c r="U64" s="39"/>
      <c r="V64" s="39"/>
      <c r="W64" s="39"/>
      <c r="X64" s="39"/>
      <c r="Y64" s="39"/>
      <c r="Z64" s="39"/>
      <c r="AA64" s="39"/>
      <c r="AB64" s="39"/>
      <c r="AC64" s="48"/>
    </row>
    <row r="65" spans="2:29" ht="15.75" x14ac:dyDescent="0.25">
      <c r="B65" s="39"/>
      <c r="C65" s="40"/>
      <c r="D65" s="40"/>
      <c r="E65" s="40"/>
      <c r="F65" s="39"/>
      <c r="G65" s="41"/>
      <c r="H65" s="41"/>
      <c r="I65" s="49"/>
      <c r="J65" s="43"/>
      <c r="K65" s="44"/>
      <c r="L65" s="44"/>
      <c r="M65" s="50"/>
      <c r="N65" s="51"/>
      <c r="O65" s="47"/>
      <c r="P65" s="47"/>
      <c r="Q65" s="41"/>
      <c r="R65" s="39"/>
      <c r="S65" s="39"/>
      <c r="T65" s="41" t="str">
        <f t="shared" si="0"/>
        <v/>
      </c>
      <c r="U65" s="39"/>
      <c r="V65" s="39"/>
      <c r="W65" s="39"/>
      <c r="X65" s="39"/>
      <c r="Y65" s="39"/>
      <c r="Z65" s="39"/>
      <c r="AA65" s="39"/>
      <c r="AB65" s="39"/>
      <c r="AC65" s="48"/>
    </row>
    <row r="66" spans="2:29" ht="15.75" x14ac:dyDescent="0.25">
      <c r="B66" s="39"/>
      <c r="C66" s="40"/>
      <c r="D66" s="40"/>
      <c r="E66" s="40"/>
      <c r="F66" s="39"/>
      <c r="G66" s="41"/>
      <c r="H66" s="41"/>
      <c r="I66" s="49"/>
      <c r="J66" s="43"/>
      <c r="K66" s="44"/>
      <c r="L66" s="44"/>
      <c r="M66" s="50"/>
      <c r="N66" s="51"/>
      <c r="O66" s="47"/>
      <c r="P66" s="47"/>
      <c r="Q66" s="41"/>
      <c r="R66" s="39"/>
      <c r="S66" s="39"/>
      <c r="T66" s="41" t="str">
        <f t="shared" si="0"/>
        <v/>
      </c>
      <c r="U66" s="39"/>
      <c r="V66" s="39"/>
      <c r="W66" s="39"/>
      <c r="X66" s="39"/>
      <c r="Y66" s="39"/>
      <c r="Z66" s="39"/>
      <c r="AA66" s="39"/>
      <c r="AB66" s="39"/>
      <c r="AC66" s="48"/>
    </row>
    <row r="67" spans="2:29" ht="15.75" x14ac:dyDescent="0.25">
      <c r="B67" s="39"/>
      <c r="C67" s="40"/>
      <c r="D67" s="40"/>
      <c r="E67" s="40"/>
      <c r="F67" s="39"/>
      <c r="G67" s="41"/>
      <c r="H67" s="41"/>
      <c r="I67" s="49"/>
      <c r="J67" s="43"/>
      <c r="K67" s="44"/>
      <c r="L67" s="44"/>
      <c r="M67" s="50"/>
      <c r="N67" s="51"/>
      <c r="O67" s="47"/>
      <c r="P67" s="47"/>
      <c r="Q67" s="41"/>
      <c r="R67" s="39"/>
      <c r="S67" s="39"/>
      <c r="T67" s="41" t="str">
        <f t="shared" si="0"/>
        <v/>
      </c>
      <c r="U67" s="39"/>
      <c r="V67" s="39"/>
      <c r="W67" s="39"/>
      <c r="X67" s="39"/>
      <c r="Y67" s="39"/>
      <c r="Z67" s="39"/>
      <c r="AA67" s="39"/>
      <c r="AB67" s="39"/>
      <c r="AC67" s="48"/>
    </row>
    <row r="68" spans="2:29" ht="15.75" x14ac:dyDescent="0.25">
      <c r="B68" s="39"/>
      <c r="C68" s="40"/>
      <c r="D68" s="40"/>
      <c r="E68" s="40"/>
      <c r="F68" s="39"/>
      <c r="G68" s="41"/>
      <c r="H68" s="41"/>
      <c r="I68" s="49"/>
      <c r="J68" s="43"/>
      <c r="K68" s="44"/>
      <c r="L68" s="44"/>
      <c r="M68" s="50"/>
      <c r="N68" s="51"/>
      <c r="O68" s="47"/>
      <c r="P68" s="47"/>
      <c r="Q68" s="41"/>
      <c r="R68" s="39"/>
      <c r="S68" s="39"/>
      <c r="T68" s="41" t="str">
        <f t="shared" si="0"/>
        <v/>
      </c>
      <c r="U68" s="39"/>
      <c r="V68" s="39"/>
      <c r="W68" s="39"/>
      <c r="X68" s="39"/>
      <c r="Y68" s="39"/>
      <c r="Z68" s="39"/>
      <c r="AA68" s="39"/>
      <c r="AB68" s="39"/>
      <c r="AC68" s="48"/>
    </row>
    <row r="69" spans="2:29" ht="15.75" x14ac:dyDescent="0.25">
      <c r="B69" s="39"/>
      <c r="C69" s="40"/>
      <c r="D69" s="40"/>
      <c r="E69" s="40"/>
      <c r="F69" s="39"/>
      <c r="G69" s="41"/>
      <c r="H69" s="41"/>
      <c r="I69" s="49"/>
      <c r="J69" s="43"/>
      <c r="K69" s="44"/>
      <c r="L69" s="44"/>
      <c r="M69" s="50"/>
      <c r="N69" s="51"/>
      <c r="O69" s="47"/>
      <c r="P69" s="47"/>
      <c r="Q69" s="41"/>
      <c r="R69" s="39"/>
      <c r="S69" s="39"/>
      <c r="T69" s="41" t="str">
        <f t="shared" si="0"/>
        <v/>
      </c>
      <c r="U69" s="39"/>
      <c r="V69" s="39"/>
      <c r="W69" s="39"/>
      <c r="X69" s="39"/>
      <c r="Y69" s="39"/>
      <c r="Z69" s="39"/>
      <c r="AA69" s="39"/>
      <c r="AB69" s="39"/>
      <c r="AC69" s="48"/>
    </row>
    <row r="70" spans="2:29" ht="15.75" x14ac:dyDescent="0.25">
      <c r="B70" s="39"/>
      <c r="C70" s="40"/>
      <c r="D70" s="40"/>
      <c r="E70" s="40"/>
      <c r="F70" s="39"/>
      <c r="G70" s="41"/>
      <c r="H70" s="41"/>
      <c r="I70" s="49"/>
      <c r="J70" s="43"/>
      <c r="K70" s="44"/>
      <c r="L70" s="44"/>
      <c r="M70" s="50"/>
      <c r="N70" s="51"/>
      <c r="O70" s="47"/>
      <c r="P70" s="47"/>
      <c r="Q70" s="41"/>
      <c r="R70" s="39"/>
      <c r="S70" s="39"/>
      <c r="T70" s="41" t="str">
        <f t="shared" si="0"/>
        <v/>
      </c>
      <c r="U70" s="39"/>
      <c r="V70" s="39"/>
      <c r="W70" s="39"/>
      <c r="X70" s="39"/>
      <c r="Y70" s="39"/>
      <c r="Z70" s="39"/>
      <c r="AA70" s="39"/>
      <c r="AB70" s="39"/>
      <c r="AC70" s="48"/>
    </row>
    <row r="71" spans="2:29" ht="15.75" x14ac:dyDescent="0.25">
      <c r="B71" s="39"/>
      <c r="C71" s="40"/>
      <c r="D71" s="40"/>
      <c r="E71" s="40"/>
      <c r="F71" s="39"/>
      <c r="G71" s="41"/>
      <c r="H71" s="41"/>
      <c r="I71" s="49"/>
      <c r="J71" s="43"/>
      <c r="K71" s="44"/>
      <c r="L71" s="44"/>
      <c r="M71" s="50"/>
      <c r="N71" s="51"/>
      <c r="O71" s="47"/>
      <c r="P71" s="47"/>
      <c r="Q71" s="41"/>
      <c r="R71" s="39"/>
      <c r="S71" s="39"/>
      <c r="T71" s="41" t="str">
        <f t="shared" si="0"/>
        <v/>
      </c>
      <c r="U71" s="39"/>
      <c r="V71" s="39"/>
      <c r="W71" s="39"/>
      <c r="X71" s="39"/>
      <c r="Y71" s="39"/>
      <c r="Z71" s="39"/>
      <c r="AA71" s="39"/>
      <c r="AB71" s="39"/>
      <c r="AC71" s="48"/>
    </row>
    <row r="72" spans="2:29" ht="15.75" x14ac:dyDescent="0.25">
      <c r="B72" s="39"/>
      <c r="C72" s="40"/>
      <c r="D72" s="40"/>
      <c r="E72" s="40"/>
      <c r="F72" s="39"/>
      <c r="G72" s="41"/>
      <c r="H72" s="41"/>
      <c r="I72" s="49"/>
      <c r="J72" s="43"/>
      <c r="K72" s="44"/>
      <c r="L72" s="44"/>
      <c r="M72" s="50"/>
      <c r="N72" s="51"/>
      <c r="O72" s="47"/>
      <c r="P72" s="47"/>
      <c r="Q72" s="41"/>
      <c r="R72" s="39"/>
      <c r="S72" s="39"/>
      <c r="T72" s="41" t="str">
        <f t="shared" si="0"/>
        <v/>
      </c>
      <c r="U72" s="39"/>
      <c r="V72" s="39"/>
      <c r="W72" s="39"/>
      <c r="X72" s="39"/>
      <c r="Y72" s="39"/>
      <c r="Z72" s="39"/>
      <c r="AA72" s="39"/>
      <c r="AB72" s="39"/>
      <c r="AC72" s="48"/>
    </row>
    <row r="73" spans="2:29" ht="15.75" x14ac:dyDescent="0.25">
      <c r="B73" s="39"/>
      <c r="C73" s="40"/>
      <c r="D73" s="40"/>
      <c r="E73" s="40"/>
      <c r="F73" s="39"/>
      <c r="G73" s="41"/>
      <c r="H73" s="41"/>
      <c r="I73" s="49"/>
      <c r="J73" s="43"/>
      <c r="K73" s="44"/>
      <c r="L73" s="44"/>
      <c r="M73" s="50"/>
      <c r="N73" s="51"/>
      <c r="O73" s="47"/>
      <c r="P73" s="47"/>
      <c r="Q73" s="41"/>
      <c r="R73" s="39"/>
      <c r="S73" s="39"/>
      <c r="T73" s="41" t="str">
        <f t="shared" si="0"/>
        <v/>
      </c>
      <c r="U73" s="39"/>
      <c r="V73" s="39"/>
      <c r="W73" s="39"/>
      <c r="X73" s="39"/>
      <c r="Y73" s="39"/>
      <c r="Z73" s="39"/>
      <c r="AA73" s="39"/>
      <c r="AB73" s="39"/>
      <c r="AC73" s="48"/>
    </row>
    <row r="74" spans="2:29" ht="15.75" x14ac:dyDescent="0.25">
      <c r="B74" s="39"/>
      <c r="C74" s="40"/>
      <c r="D74" s="40"/>
      <c r="E74" s="40"/>
      <c r="F74" s="39"/>
      <c r="G74" s="41"/>
      <c r="H74" s="41"/>
      <c r="I74" s="49"/>
      <c r="J74" s="43"/>
      <c r="K74" s="44"/>
      <c r="L74" s="44"/>
      <c r="M74" s="50"/>
      <c r="N74" s="51"/>
      <c r="O74" s="47"/>
      <c r="P74" s="47"/>
      <c r="Q74" s="41"/>
      <c r="R74" s="39"/>
      <c r="S74" s="39"/>
      <c r="T74" s="41" t="str">
        <f t="shared" si="0"/>
        <v/>
      </c>
      <c r="U74" s="39"/>
      <c r="V74" s="39"/>
      <c r="W74" s="39"/>
      <c r="X74" s="39"/>
      <c r="Y74" s="39"/>
      <c r="Z74" s="39"/>
      <c r="AA74" s="39"/>
      <c r="AB74" s="39"/>
      <c r="AC74" s="48"/>
    </row>
    <row r="75" spans="2:29" ht="15.75" x14ac:dyDescent="0.25">
      <c r="B75" s="39"/>
      <c r="C75" s="40"/>
      <c r="D75" s="40"/>
      <c r="E75" s="40"/>
      <c r="F75" s="39"/>
      <c r="G75" s="41"/>
      <c r="H75" s="41"/>
      <c r="I75" s="49"/>
      <c r="J75" s="43"/>
      <c r="K75" s="44"/>
      <c r="L75" s="44"/>
      <c r="M75" s="50"/>
      <c r="N75" s="51"/>
      <c r="O75" s="47"/>
      <c r="P75" s="47"/>
      <c r="Q75" s="41"/>
      <c r="R75" s="39"/>
      <c r="S75" s="39"/>
      <c r="T75" s="41" t="str">
        <f t="shared" si="0"/>
        <v/>
      </c>
      <c r="U75" s="39"/>
      <c r="V75" s="39"/>
      <c r="W75" s="39"/>
      <c r="X75" s="39"/>
      <c r="Y75" s="39"/>
      <c r="Z75" s="39"/>
      <c r="AA75" s="39"/>
      <c r="AB75" s="39"/>
      <c r="AC75" s="48"/>
    </row>
    <row r="76" spans="2:29" ht="15.75" x14ac:dyDescent="0.25">
      <c r="B76" s="39"/>
      <c r="C76" s="40"/>
      <c r="D76" s="40"/>
      <c r="E76" s="40"/>
      <c r="F76" s="39"/>
      <c r="G76" s="41"/>
      <c r="H76" s="41"/>
      <c r="I76" s="49"/>
      <c r="J76" s="43"/>
      <c r="K76" s="44"/>
      <c r="L76" s="44"/>
      <c r="M76" s="50"/>
      <c r="N76" s="51"/>
      <c r="O76" s="47"/>
      <c r="P76" s="47"/>
      <c r="Q76" s="41"/>
      <c r="R76" s="39"/>
      <c r="S76" s="39"/>
      <c r="T76" s="41" t="str">
        <f t="shared" ref="T76:T139" si="1">IF(J76&gt;59,"/","")</f>
        <v/>
      </c>
      <c r="U76" s="39"/>
      <c r="V76" s="39"/>
      <c r="W76" s="39"/>
      <c r="X76" s="39"/>
      <c r="Y76" s="39"/>
      <c r="Z76" s="39"/>
      <c r="AA76" s="39"/>
      <c r="AB76" s="39"/>
      <c r="AC76" s="48"/>
    </row>
    <row r="77" spans="2:29" ht="15.75" x14ac:dyDescent="0.25">
      <c r="B77" s="39"/>
      <c r="C77" s="40"/>
      <c r="D77" s="40"/>
      <c r="E77" s="40"/>
      <c r="F77" s="39"/>
      <c r="G77" s="41"/>
      <c r="H77" s="41"/>
      <c r="I77" s="49"/>
      <c r="J77" s="43"/>
      <c r="K77" s="44"/>
      <c r="L77" s="44"/>
      <c r="M77" s="50"/>
      <c r="N77" s="51"/>
      <c r="O77" s="47"/>
      <c r="P77" s="47"/>
      <c r="Q77" s="41"/>
      <c r="R77" s="39"/>
      <c r="S77" s="39"/>
      <c r="T77" s="41" t="str">
        <f t="shared" si="1"/>
        <v/>
      </c>
      <c r="U77" s="39"/>
      <c r="V77" s="39"/>
      <c r="W77" s="39"/>
      <c r="X77" s="39"/>
      <c r="Y77" s="39"/>
      <c r="Z77" s="39"/>
      <c r="AA77" s="39"/>
      <c r="AB77" s="39"/>
      <c r="AC77" s="48"/>
    </row>
    <row r="78" spans="2:29" ht="15.75" x14ac:dyDescent="0.25">
      <c r="B78" s="39"/>
      <c r="C78" s="40"/>
      <c r="D78" s="40"/>
      <c r="E78" s="40"/>
      <c r="F78" s="39"/>
      <c r="G78" s="41"/>
      <c r="H78" s="41"/>
      <c r="I78" s="49"/>
      <c r="J78" s="43"/>
      <c r="K78" s="44"/>
      <c r="L78" s="44"/>
      <c r="M78" s="50"/>
      <c r="N78" s="51"/>
      <c r="O78" s="47"/>
      <c r="P78" s="47"/>
      <c r="Q78" s="41"/>
      <c r="R78" s="39"/>
      <c r="S78" s="39"/>
      <c r="T78" s="41" t="str">
        <f t="shared" si="1"/>
        <v/>
      </c>
      <c r="U78" s="39"/>
      <c r="V78" s="39"/>
      <c r="W78" s="39"/>
      <c r="X78" s="39"/>
      <c r="Y78" s="39"/>
      <c r="Z78" s="39"/>
      <c r="AA78" s="39"/>
      <c r="AB78" s="39"/>
      <c r="AC78" s="48"/>
    </row>
    <row r="79" spans="2:29" ht="15.75" x14ac:dyDescent="0.25">
      <c r="B79" s="39"/>
      <c r="C79" s="40"/>
      <c r="D79" s="40"/>
      <c r="E79" s="40"/>
      <c r="F79" s="39"/>
      <c r="G79" s="41"/>
      <c r="H79" s="41"/>
      <c r="I79" s="49"/>
      <c r="J79" s="43"/>
      <c r="K79" s="44"/>
      <c r="L79" s="44"/>
      <c r="M79" s="50"/>
      <c r="N79" s="51"/>
      <c r="O79" s="47"/>
      <c r="P79" s="47"/>
      <c r="Q79" s="41"/>
      <c r="R79" s="39"/>
      <c r="S79" s="39"/>
      <c r="T79" s="41" t="str">
        <f t="shared" si="1"/>
        <v/>
      </c>
      <c r="U79" s="39"/>
      <c r="V79" s="39"/>
      <c r="W79" s="39"/>
      <c r="X79" s="39"/>
      <c r="Y79" s="39"/>
      <c r="Z79" s="39"/>
      <c r="AA79" s="39"/>
      <c r="AB79" s="39"/>
      <c r="AC79" s="48"/>
    </row>
    <row r="80" spans="2:29" ht="15.75" x14ac:dyDescent="0.25">
      <c r="B80" s="39"/>
      <c r="C80" s="40"/>
      <c r="D80" s="40"/>
      <c r="E80" s="40"/>
      <c r="F80" s="39"/>
      <c r="G80" s="41"/>
      <c r="H80" s="41"/>
      <c r="I80" s="49"/>
      <c r="J80" s="43"/>
      <c r="K80" s="44"/>
      <c r="L80" s="44"/>
      <c r="M80" s="50"/>
      <c r="N80" s="51"/>
      <c r="O80" s="47"/>
      <c r="P80" s="47"/>
      <c r="Q80" s="41"/>
      <c r="R80" s="39"/>
      <c r="S80" s="39"/>
      <c r="T80" s="41" t="str">
        <f t="shared" si="1"/>
        <v/>
      </c>
      <c r="U80" s="39"/>
      <c r="V80" s="39"/>
      <c r="W80" s="39"/>
      <c r="X80" s="39"/>
      <c r="Y80" s="39"/>
      <c r="Z80" s="39"/>
      <c r="AA80" s="39"/>
      <c r="AB80" s="39"/>
      <c r="AC80" s="48"/>
    </row>
    <row r="81" spans="2:29" ht="15.75" x14ac:dyDescent="0.25">
      <c r="B81" s="39"/>
      <c r="C81" s="40"/>
      <c r="D81" s="40"/>
      <c r="E81" s="40"/>
      <c r="F81" s="39"/>
      <c r="G81" s="41"/>
      <c r="H81" s="41"/>
      <c r="I81" s="49"/>
      <c r="J81" s="43"/>
      <c r="K81" s="44"/>
      <c r="L81" s="44"/>
      <c r="M81" s="50"/>
      <c r="N81" s="51"/>
      <c r="O81" s="47"/>
      <c r="P81" s="47"/>
      <c r="Q81" s="41"/>
      <c r="R81" s="39"/>
      <c r="S81" s="39"/>
      <c r="T81" s="41" t="str">
        <f t="shared" si="1"/>
        <v/>
      </c>
      <c r="U81" s="39"/>
      <c r="V81" s="39"/>
      <c r="W81" s="39"/>
      <c r="X81" s="39"/>
      <c r="Y81" s="39"/>
      <c r="Z81" s="39"/>
      <c r="AA81" s="39"/>
      <c r="AB81" s="39"/>
      <c r="AC81" s="48"/>
    </row>
    <row r="82" spans="2:29" ht="15.75" x14ac:dyDescent="0.25">
      <c r="B82" s="39"/>
      <c r="C82" s="40"/>
      <c r="D82" s="40"/>
      <c r="E82" s="40"/>
      <c r="F82" s="39"/>
      <c r="G82" s="41"/>
      <c r="H82" s="41"/>
      <c r="I82" s="49"/>
      <c r="J82" s="43"/>
      <c r="K82" s="44"/>
      <c r="L82" s="44"/>
      <c r="M82" s="50"/>
      <c r="N82" s="51"/>
      <c r="O82" s="47"/>
      <c r="P82" s="47"/>
      <c r="Q82" s="41"/>
      <c r="R82" s="39"/>
      <c r="S82" s="39"/>
      <c r="T82" s="41" t="str">
        <f t="shared" si="1"/>
        <v/>
      </c>
      <c r="U82" s="39"/>
      <c r="V82" s="39"/>
      <c r="W82" s="39"/>
      <c r="X82" s="39"/>
      <c r="Y82" s="39"/>
      <c r="Z82" s="39"/>
      <c r="AA82" s="39"/>
      <c r="AB82" s="39"/>
      <c r="AC82" s="48"/>
    </row>
    <row r="83" spans="2:29" ht="15.75" x14ac:dyDescent="0.25">
      <c r="B83" s="39"/>
      <c r="C83" s="40"/>
      <c r="D83" s="40"/>
      <c r="E83" s="40"/>
      <c r="F83" s="39"/>
      <c r="G83" s="41"/>
      <c r="H83" s="41"/>
      <c r="I83" s="49"/>
      <c r="J83" s="43"/>
      <c r="K83" s="44"/>
      <c r="L83" s="44"/>
      <c r="M83" s="50"/>
      <c r="N83" s="51"/>
      <c r="O83" s="47"/>
      <c r="P83" s="47"/>
      <c r="Q83" s="41"/>
      <c r="R83" s="39"/>
      <c r="S83" s="39"/>
      <c r="T83" s="41" t="str">
        <f t="shared" si="1"/>
        <v/>
      </c>
      <c r="U83" s="39"/>
      <c r="V83" s="39"/>
      <c r="W83" s="39"/>
      <c r="X83" s="39"/>
      <c r="Y83" s="39"/>
      <c r="Z83" s="39"/>
      <c r="AA83" s="39"/>
      <c r="AB83" s="39"/>
      <c r="AC83" s="48"/>
    </row>
    <row r="84" spans="2:29" ht="15.75" x14ac:dyDescent="0.25">
      <c r="B84" s="39"/>
      <c r="C84" s="40"/>
      <c r="D84" s="40"/>
      <c r="E84" s="40"/>
      <c r="F84" s="39"/>
      <c r="G84" s="41"/>
      <c r="H84" s="41"/>
      <c r="I84" s="49"/>
      <c r="J84" s="43"/>
      <c r="K84" s="44"/>
      <c r="L84" s="44"/>
      <c r="M84" s="50"/>
      <c r="N84" s="51"/>
      <c r="O84" s="47"/>
      <c r="P84" s="47"/>
      <c r="Q84" s="41"/>
      <c r="R84" s="39"/>
      <c r="S84" s="39"/>
      <c r="T84" s="41" t="str">
        <f t="shared" si="1"/>
        <v/>
      </c>
      <c r="U84" s="39"/>
      <c r="V84" s="39"/>
      <c r="W84" s="39"/>
      <c r="X84" s="39"/>
      <c r="Y84" s="39"/>
      <c r="Z84" s="39"/>
      <c r="AA84" s="39"/>
      <c r="AB84" s="39"/>
      <c r="AC84" s="48"/>
    </row>
    <row r="85" spans="2:29" ht="15.75" x14ac:dyDescent="0.25">
      <c r="B85" s="39"/>
      <c r="C85" s="40"/>
      <c r="D85" s="40"/>
      <c r="E85" s="40"/>
      <c r="F85" s="39"/>
      <c r="G85" s="41"/>
      <c r="H85" s="41"/>
      <c r="I85" s="49"/>
      <c r="J85" s="43"/>
      <c r="K85" s="44"/>
      <c r="L85" s="44"/>
      <c r="M85" s="50"/>
      <c r="N85" s="51"/>
      <c r="O85" s="47"/>
      <c r="P85" s="47"/>
      <c r="Q85" s="41"/>
      <c r="R85" s="39"/>
      <c r="S85" s="39"/>
      <c r="T85" s="41" t="str">
        <f t="shared" si="1"/>
        <v/>
      </c>
      <c r="U85" s="39"/>
      <c r="V85" s="39"/>
      <c r="W85" s="39"/>
      <c r="X85" s="39"/>
      <c r="Y85" s="39"/>
      <c r="Z85" s="39"/>
      <c r="AA85" s="39"/>
      <c r="AB85" s="39"/>
      <c r="AC85" s="48"/>
    </row>
    <row r="86" spans="2:29" ht="15.75" x14ac:dyDescent="0.25">
      <c r="B86" s="39"/>
      <c r="C86" s="40"/>
      <c r="D86" s="40"/>
      <c r="E86" s="40"/>
      <c r="F86" s="39"/>
      <c r="G86" s="41"/>
      <c r="H86" s="41"/>
      <c r="I86" s="49"/>
      <c r="J86" s="43"/>
      <c r="K86" s="44"/>
      <c r="L86" s="44"/>
      <c r="M86" s="50"/>
      <c r="N86" s="51"/>
      <c r="O86" s="47"/>
      <c r="P86" s="47"/>
      <c r="Q86" s="41"/>
      <c r="R86" s="39"/>
      <c r="S86" s="39"/>
      <c r="T86" s="41" t="str">
        <f t="shared" si="1"/>
        <v/>
      </c>
      <c r="U86" s="39"/>
      <c r="V86" s="39"/>
      <c r="W86" s="39"/>
      <c r="X86" s="39"/>
      <c r="Y86" s="39"/>
      <c r="Z86" s="39"/>
      <c r="AA86" s="39"/>
      <c r="AB86" s="39"/>
      <c r="AC86" s="48"/>
    </row>
    <row r="87" spans="2:29" ht="15.75" x14ac:dyDescent="0.25">
      <c r="B87" s="39"/>
      <c r="C87" s="40"/>
      <c r="D87" s="40"/>
      <c r="E87" s="40"/>
      <c r="F87" s="39"/>
      <c r="G87" s="41"/>
      <c r="H87" s="41"/>
      <c r="I87" s="49"/>
      <c r="J87" s="43"/>
      <c r="K87" s="44"/>
      <c r="L87" s="44"/>
      <c r="M87" s="50"/>
      <c r="N87" s="51"/>
      <c r="O87" s="47"/>
      <c r="P87" s="47"/>
      <c r="Q87" s="41"/>
      <c r="R87" s="39"/>
      <c r="S87" s="39"/>
      <c r="T87" s="41" t="str">
        <f t="shared" si="1"/>
        <v/>
      </c>
      <c r="U87" s="39"/>
      <c r="V87" s="39"/>
      <c r="W87" s="39"/>
      <c r="X87" s="39"/>
      <c r="Y87" s="39"/>
      <c r="Z87" s="39"/>
      <c r="AA87" s="39"/>
      <c r="AB87" s="39"/>
      <c r="AC87" s="48"/>
    </row>
    <row r="88" spans="2:29" ht="15.75" x14ac:dyDescent="0.25">
      <c r="B88" s="39"/>
      <c r="C88" s="40"/>
      <c r="D88" s="40"/>
      <c r="E88" s="40"/>
      <c r="F88" s="39"/>
      <c r="G88" s="41"/>
      <c r="H88" s="41"/>
      <c r="I88" s="49"/>
      <c r="J88" s="43"/>
      <c r="K88" s="44"/>
      <c r="L88" s="44"/>
      <c r="M88" s="50"/>
      <c r="N88" s="51"/>
      <c r="O88" s="47"/>
      <c r="P88" s="47"/>
      <c r="Q88" s="41"/>
      <c r="R88" s="39"/>
      <c r="S88" s="39"/>
      <c r="T88" s="41" t="str">
        <f t="shared" si="1"/>
        <v/>
      </c>
      <c r="U88" s="39"/>
      <c r="V88" s="39"/>
      <c r="W88" s="39"/>
      <c r="X88" s="39"/>
      <c r="Y88" s="39"/>
      <c r="Z88" s="39"/>
      <c r="AA88" s="39"/>
      <c r="AB88" s="39"/>
      <c r="AC88" s="48"/>
    </row>
    <row r="89" spans="2:29" ht="15.75" x14ac:dyDescent="0.25">
      <c r="B89" s="39"/>
      <c r="C89" s="40"/>
      <c r="D89" s="40"/>
      <c r="E89" s="40"/>
      <c r="F89" s="39"/>
      <c r="G89" s="41"/>
      <c r="H89" s="41"/>
      <c r="I89" s="49"/>
      <c r="J89" s="43"/>
      <c r="K89" s="44"/>
      <c r="L89" s="44"/>
      <c r="M89" s="50"/>
      <c r="N89" s="51"/>
      <c r="O89" s="47"/>
      <c r="P89" s="47"/>
      <c r="Q89" s="41"/>
      <c r="R89" s="39"/>
      <c r="S89" s="39"/>
      <c r="T89" s="41" t="str">
        <f t="shared" si="1"/>
        <v/>
      </c>
      <c r="U89" s="39"/>
      <c r="V89" s="39"/>
      <c r="W89" s="39"/>
      <c r="X89" s="39"/>
      <c r="Y89" s="39"/>
      <c r="Z89" s="39"/>
      <c r="AA89" s="39"/>
      <c r="AB89" s="39"/>
      <c r="AC89" s="48"/>
    </row>
    <row r="90" spans="2:29" ht="15.75" x14ac:dyDescent="0.25">
      <c r="B90" s="39"/>
      <c r="C90" s="40"/>
      <c r="D90" s="40"/>
      <c r="E90" s="40"/>
      <c r="F90" s="39"/>
      <c r="G90" s="41"/>
      <c r="H90" s="41"/>
      <c r="I90" s="49"/>
      <c r="J90" s="43"/>
      <c r="K90" s="44"/>
      <c r="L90" s="44"/>
      <c r="M90" s="50"/>
      <c r="N90" s="51"/>
      <c r="O90" s="47"/>
      <c r="P90" s="47"/>
      <c r="Q90" s="41"/>
      <c r="R90" s="39"/>
      <c r="S90" s="39"/>
      <c r="T90" s="41" t="str">
        <f t="shared" si="1"/>
        <v/>
      </c>
      <c r="U90" s="39"/>
      <c r="V90" s="39"/>
      <c r="W90" s="39"/>
      <c r="X90" s="39"/>
      <c r="Y90" s="39"/>
      <c r="Z90" s="39"/>
      <c r="AA90" s="39"/>
      <c r="AB90" s="39"/>
      <c r="AC90" s="48"/>
    </row>
    <row r="91" spans="2:29" ht="15.75" x14ac:dyDescent="0.25">
      <c r="B91" s="39"/>
      <c r="C91" s="40"/>
      <c r="D91" s="40"/>
      <c r="E91" s="40"/>
      <c r="F91" s="39"/>
      <c r="G91" s="41"/>
      <c r="H91" s="41"/>
      <c r="I91" s="49"/>
      <c r="J91" s="43"/>
      <c r="K91" s="44"/>
      <c r="L91" s="44"/>
      <c r="M91" s="50"/>
      <c r="N91" s="51"/>
      <c r="O91" s="47"/>
      <c r="P91" s="47"/>
      <c r="Q91" s="41"/>
      <c r="R91" s="39"/>
      <c r="S91" s="39"/>
      <c r="T91" s="41" t="str">
        <f t="shared" si="1"/>
        <v/>
      </c>
      <c r="U91" s="39"/>
      <c r="V91" s="39"/>
      <c r="W91" s="39"/>
      <c r="X91" s="39"/>
      <c r="Y91" s="39"/>
      <c r="Z91" s="39"/>
      <c r="AA91" s="39"/>
      <c r="AB91" s="39"/>
      <c r="AC91" s="48"/>
    </row>
    <row r="92" spans="2:29" ht="15.75" x14ac:dyDescent="0.25">
      <c r="B92" s="39"/>
      <c r="C92" s="40"/>
      <c r="D92" s="40"/>
      <c r="E92" s="40"/>
      <c r="F92" s="39"/>
      <c r="G92" s="41"/>
      <c r="H92" s="41"/>
      <c r="I92" s="49"/>
      <c r="J92" s="43"/>
      <c r="K92" s="44"/>
      <c r="L92" s="44"/>
      <c r="M92" s="50"/>
      <c r="N92" s="51"/>
      <c r="O92" s="47"/>
      <c r="P92" s="47"/>
      <c r="Q92" s="41"/>
      <c r="R92" s="39"/>
      <c r="S92" s="39"/>
      <c r="T92" s="41" t="str">
        <f t="shared" si="1"/>
        <v/>
      </c>
      <c r="U92" s="39"/>
      <c r="V92" s="39"/>
      <c r="W92" s="39"/>
      <c r="X92" s="39"/>
      <c r="Y92" s="39"/>
      <c r="Z92" s="39"/>
      <c r="AA92" s="39"/>
      <c r="AB92" s="39"/>
      <c r="AC92" s="48"/>
    </row>
    <row r="93" spans="2:29" ht="15.75" x14ac:dyDescent="0.25">
      <c r="B93" s="39"/>
      <c r="C93" s="40"/>
      <c r="D93" s="40"/>
      <c r="E93" s="40"/>
      <c r="F93" s="39"/>
      <c r="G93" s="41"/>
      <c r="H93" s="41"/>
      <c r="I93" s="49"/>
      <c r="J93" s="43"/>
      <c r="K93" s="44"/>
      <c r="L93" s="44"/>
      <c r="M93" s="50"/>
      <c r="N93" s="51"/>
      <c r="O93" s="47"/>
      <c r="P93" s="47"/>
      <c r="Q93" s="41"/>
      <c r="R93" s="39"/>
      <c r="S93" s="39"/>
      <c r="T93" s="41" t="str">
        <f t="shared" si="1"/>
        <v/>
      </c>
      <c r="U93" s="39"/>
      <c r="V93" s="39"/>
      <c r="W93" s="39"/>
      <c r="X93" s="39"/>
      <c r="Y93" s="39"/>
      <c r="Z93" s="39"/>
      <c r="AA93" s="39"/>
      <c r="AB93" s="39"/>
      <c r="AC93" s="48"/>
    </row>
    <row r="94" spans="2:29" ht="15.75" x14ac:dyDescent="0.25">
      <c r="B94" s="39"/>
      <c r="C94" s="40"/>
      <c r="D94" s="40"/>
      <c r="E94" s="40"/>
      <c r="F94" s="39"/>
      <c r="G94" s="41"/>
      <c r="H94" s="41"/>
      <c r="I94" s="49"/>
      <c r="J94" s="43"/>
      <c r="K94" s="44"/>
      <c r="L94" s="44"/>
      <c r="M94" s="50"/>
      <c r="N94" s="51"/>
      <c r="O94" s="47"/>
      <c r="P94" s="47"/>
      <c r="Q94" s="41"/>
      <c r="R94" s="39"/>
      <c r="S94" s="39"/>
      <c r="T94" s="41" t="str">
        <f t="shared" si="1"/>
        <v/>
      </c>
      <c r="U94" s="39"/>
      <c r="V94" s="39"/>
      <c r="W94" s="39"/>
      <c r="X94" s="39"/>
      <c r="Y94" s="39"/>
      <c r="Z94" s="39"/>
      <c r="AA94" s="39"/>
      <c r="AB94" s="39"/>
      <c r="AC94" s="48"/>
    </row>
    <row r="95" spans="2:29" ht="15.75" x14ac:dyDescent="0.25">
      <c r="B95" s="39"/>
      <c r="C95" s="40"/>
      <c r="D95" s="40"/>
      <c r="E95" s="40"/>
      <c r="F95" s="39"/>
      <c r="G95" s="41"/>
      <c r="H95" s="41"/>
      <c r="I95" s="49"/>
      <c r="J95" s="43"/>
      <c r="K95" s="44"/>
      <c r="L95" s="44"/>
      <c r="M95" s="50"/>
      <c r="N95" s="51"/>
      <c r="O95" s="47"/>
      <c r="P95" s="47"/>
      <c r="Q95" s="41"/>
      <c r="R95" s="39"/>
      <c r="S95" s="39"/>
      <c r="T95" s="41" t="str">
        <f t="shared" si="1"/>
        <v/>
      </c>
      <c r="U95" s="39"/>
      <c r="V95" s="39"/>
      <c r="W95" s="39"/>
      <c r="X95" s="39"/>
      <c r="Y95" s="39"/>
      <c r="Z95" s="39"/>
      <c r="AA95" s="39"/>
      <c r="AB95" s="39"/>
      <c r="AC95" s="48"/>
    </row>
    <row r="96" spans="2:29" ht="15.75" x14ac:dyDescent="0.25">
      <c r="B96" s="39"/>
      <c r="C96" s="40"/>
      <c r="D96" s="40"/>
      <c r="E96" s="40"/>
      <c r="F96" s="39"/>
      <c r="G96" s="41"/>
      <c r="H96" s="41"/>
      <c r="I96" s="49"/>
      <c r="J96" s="43"/>
      <c r="K96" s="44"/>
      <c r="L96" s="44"/>
      <c r="M96" s="50"/>
      <c r="N96" s="51"/>
      <c r="O96" s="47"/>
      <c r="P96" s="47"/>
      <c r="Q96" s="41"/>
      <c r="R96" s="39"/>
      <c r="S96" s="39"/>
      <c r="T96" s="41" t="str">
        <f t="shared" si="1"/>
        <v/>
      </c>
      <c r="U96" s="39"/>
      <c r="V96" s="39"/>
      <c r="W96" s="39"/>
      <c r="X96" s="39"/>
      <c r="Y96" s="39"/>
      <c r="Z96" s="39"/>
      <c r="AA96" s="39"/>
      <c r="AB96" s="39"/>
      <c r="AC96" s="48"/>
    </row>
    <row r="97" spans="2:29" ht="15.75" x14ac:dyDescent="0.25">
      <c r="B97" s="39"/>
      <c r="C97" s="40"/>
      <c r="D97" s="40"/>
      <c r="E97" s="40"/>
      <c r="F97" s="39"/>
      <c r="G97" s="41"/>
      <c r="H97" s="41"/>
      <c r="I97" s="49"/>
      <c r="J97" s="43"/>
      <c r="K97" s="44"/>
      <c r="L97" s="44"/>
      <c r="M97" s="50"/>
      <c r="N97" s="51"/>
      <c r="O97" s="47"/>
      <c r="P97" s="47"/>
      <c r="Q97" s="41"/>
      <c r="R97" s="39"/>
      <c r="S97" s="39"/>
      <c r="T97" s="41" t="str">
        <f t="shared" si="1"/>
        <v/>
      </c>
      <c r="U97" s="39"/>
      <c r="V97" s="39"/>
      <c r="W97" s="39"/>
      <c r="X97" s="39"/>
      <c r="Y97" s="39"/>
      <c r="Z97" s="39"/>
      <c r="AA97" s="39"/>
      <c r="AB97" s="39"/>
      <c r="AC97" s="48"/>
    </row>
    <row r="98" spans="2:29" ht="15.75" x14ac:dyDescent="0.25">
      <c r="B98" s="39"/>
      <c r="C98" s="40"/>
      <c r="D98" s="40"/>
      <c r="E98" s="40"/>
      <c r="F98" s="39"/>
      <c r="G98" s="41"/>
      <c r="H98" s="41"/>
      <c r="I98" s="49"/>
      <c r="J98" s="43"/>
      <c r="K98" s="44"/>
      <c r="L98" s="44"/>
      <c r="M98" s="50"/>
      <c r="N98" s="51"/>
      <c r="O98" s="47"/>
      <c r="P98" s="47"/>
      <c r="Q98" s="41"/>
      <c r="R98" s="39"/>
      <c r="S98" s="39"/>
      <c r="T98" s="41" t="str">
        <f t="shared" si="1"/>
        <v/>
      </c>
      <c r="U98" s="39"/>
      <c r="V98" s="39"/>
      <c r="W98" s="39"/>
      <c r="X98" s="39"/>
      <c r="Y98" s="39"/>
      <c r="Z98" s="39"/>
      <c r="AA98" s="39"/>
      <c r="AB98" s="39"/>
      <c r="AC98" s="48"/>
    </row>
    <row r="99" spans="2:29" ht="15.75" x14ac:dyDescent="0.25">
      <c r="B99" s="39"/>
      <c r="C99" s="40"/>
      <c r="D99" s="40"/>
      <c r="E99" s="40"/>
      <c r="F99" s="39"/>
      <c r="G99" s="41"/>
      <c r="H99" s="41"/>
      <c r="I99" s="49"/>
      <c r="J99" s="43"/>
      <c r="K99" s="44"/>
      <c r="L99" s="44"/>
      <c r="M99" s="50"/>
      <c r="N99" s="51"/>
      <c r="O99" s="47"/>
      <c r="P99" s="47"/>
      <c r="Q99" s="41"/>
      <c r="R99" s="39"/>
      <c r="S99" s="39"/>
      <c r="T99" s="41" t="str">
        <f t="shared" si="1"/>
        <v/>
      </c>
      <c r="U99" s="39"/>
      <c r="V99" s="39"/>
      <c r="W99" s="39"/>
      <c r="X99" s="39"/>
      <c r="Y99" s="39"/>
      <c r="Z99" s="39"/>
      <c r="AA99" s="39"/>
      <c r="AB99" s="39"/>
      <c r="AC99" s="48"/>
    </row>
    <row r="100" spans="2:29" ht="15.75" x14ac:dyDescent="0.25">
      <c r="B100" s="39"/>
      <c r="C100" s="40"/>
      <c r="D100" s="40"/>
      <c r="E100" s="40"/>
      <c r="F100" s="39"/>
      <c r="G100" s="41"/>
      <c r="H100" s="41"/>
      <c r="I100" s="49"/>
      <c r="J100" s="43"/>
      <c r="K100" s="44"/>
      <c r="L100" s="44"/>
      <c r="M100" s="50"/>
      <c r="N100" s="51"/>
      <c r="O100" s="47"/>
      <c r="P100" s="47"/>
      <c r="Q100" s="41"/>
      <c r="R100" s="39"/>
      <c r="S100" s="39"/>
      <c r="T100" s="41" t="str">
        <f t="shared" si="1"/>
        <v/>
      </c>
      <c r="U100" s="39"/>
      <c r="V100" s="39"/>
      <c r="W100" s="39"/>
      <c r="X100" s="39"/>
      <c r="Y100" s="39"/>
      <c r="Z100" s="39"/>
      <c r="AA100" s="39"/>
      <c r="AB100" s="39"/>
      <c r="AC100" s="48"/>
    </row>
    <row r="101" spans="2:29" ht="15.75" x14ac:dyDescent="0.25">
      <c r="B101" s="39"/>
      <c r="C101" s="40"/>
      <c r="D101" s="40"/>
      <c r="E101" s="40"/>
      <c r="F101" s="39"/>
      <c r="G101" s="41"/>
      <c r="H101" s="41"/>
      <c r="I101" s="49"/>
      <c r="J101" s="43"/>
      <c r="K101" s="44"/>
      <c r="L101" s="44"/>
      <c r="M101" s="50"/>
      <c r="N101" s="51"/>
      <c r="O101" s="47"/>
      <c r="P101" s="47"/>
      <c r="Q101" s="41"/>
      <c r="R101" s="39"/>
      <c r="S101" s="39"/>
      <c r="T101" s="41" t="str">
        <f t="shared" si="1"/>
        <v/>
      </c>
      <c r="U101" s="39"/>
      <c r="V101" s="39"/>
      <c r="W101" s="39"/>
      <c r="X101" s="39"/>
      <c r="Y101" s="39"/>
      <c r="Z101" s="39"/>
      <c r="AA101" s="39"/>
      <c r="AB101" s="39"/>
      <c r="AC101" s="48"/>
    </row>
    <row r="102" spans="2:29" ht="15.75" x14ac:dyDescent="0.25">
      <c r="B102" s="39"/>
      <c r="C102" s="40"/>
      <c r="D102" s="40"/>
      <c r="E102" s="40"/>
      <c r="F102" s="39"/>
      <c r="G102" s="41"/>
      <c r="H102" s="41"/>
      <c r="I102" s="49"/>
      <c r="J102" s="43"/>
      <c r="K102" s="44"/>
      <c r="L102" s="44"/>
      <c r="M102" s="50"/>
      <c r="N102" s="51"/>
      <c r="O102" s="47"/>
      <c r="P102" s="47"/>
      <c r="Q102" s="41"/>
      <c r="R102" s="39"/>
      <c r="S102" s="39"/>
      <c r="T102" s="41" t="str">
        <f t="shared" si="1"/>
        <v/>
      </c>
      <c r="U102" s="39"/>
      <c r="V102" s="39"/>
      <c r="W102" s="39"/>
      <c r="X102" s="39"/>
      <c r="Y102" s="39"/>
      <c r="Z102" s="39"/>
      <c r="AA102" s="39"/>
      <c r="AB102" s="39"/>
      <c r="AC102" s="48"/>
    </row>
    <row r="103" spans="2:29" ht="15.75" x14ac:dyDescent="0.25">
      <c r="B103" s="39"/>
      <c r="C103" s="40"/>
      <c r="D103" s="40"/>
      <c r="E103" s="40"/>
      <c r="F103" s="39"/>
      <c r="G103" s="41"/>
      <c r="H103" s="41"/>
      <c r="I103" s="49"/>
      <c r="J103" s="43"/>
      <c r="K103" s="44"/>
      <c r="L103" s="44"/>
      <c r="M103" s="50"/>
      <c r="N103" s="51"/>
      <c r="O103" s="47"/>
      <c r="P103" s="47"/>
      <c r="Q103" s="41"/>
      <c r="R103" s="39"/>
      <c r="S103" s="39"/>
      <c r="T103" s="41" t="str">
        <f t="shared" si="1"/>
        <v/>
      </c>
      <c r="U103" s="39"/>
      <c r="V103" s="39"/>
      <c r="W103" s="39"/>
      <c r="X103" s="39"/>
      <c r="Y103" s="39"/>
      <c r="Z103" s="39"/>
      <c r="AA103" s="39"/>
      <c r="AB103" s="39"/>
      <c r="AC103" s="48"/>
    </row>
    <row r="104" spans="2:29" ht="15.75" x14ac:dyDescent="0.25">
      <c r="B104" s="39"/>
      <c r="C104" s="40"/>
      <c r="D104" s="40"/>
      <c r="E104" s="40"/>
      <c r="F104" s="39"/>
      <c r="G104" s="41"/>
      <c r="H104" s="41"/>
      <c r="I104" s="49"/>
      <c r="J104" s="43"/>
      <c r="K104" s="44"/>
      <c r="L104" s="44"/>
      <c r="M104" s="50"/>
      <c r="N104" s="51"/>
      <c r="O104" s="47"/>
      <c r="P104" s="47"/>
      <c r="Q104" s="41"/>
      <c r="R104" s="39"/>
      <c r="S104" s="39"/>
      <c r="T104" s="41" t="str">
        <f t="shared" si="1"/>
        <v/>
      </c>
      <c r="U104" s="39"/>
      <c r="V104" s="39"/>
      <c r="W104" s="39"/>
      <c r="X104" s="39"/>
      <c r="Y104" s="39"/>
      <c r="Z104" s="39"/>
      <c r="AA104" s="39"/>
      <c r="AB104" s="39"/>
      <c r="AC104" s="48"/>
    </row>
    <row r="105" spans="2:29" ht="15.75" x14ac:dyDescent="0.25">
      <c r="B105" s="39"/>
      <c r="C105" s="40"/>
      <c r="D105" s="40"/>
      <c r="E105" s="40"/>
      <c r="F105" s="39"/>
      <c r="G105" s="41"/>
      <c r="H105" s="41"/>
      <c r="I105" s="49"/>
      <c r="J105" s="43"/>
      <c r="K105" s="44"/>
      <c r="L105" s="44"/>
      <c r="M105" s="50"/>
      <c r="N105" s="51"/>
      <c r="O105" s="47"/>
      <c r="P105" s="47"/>
      <c r="Q105" s="41"/>
      <c r="R105" s="39"/>
      <c r="S105" s="39"/>
      <c r="T105" s="41" t="str">
        <f t="shared" si="1"/>
        <v/>
      </c>
      <c r="U105" s="39"/>
      <c r="V105" s="39"/>
      <c r="W105" s="39"/>
      <c r="X105" s="39"/>
      <c r="Y105" s="39"/>
      <c r="Z105" s="39"/>
      <c r="AA105" s="39"/>
      <c r="AB105" s="39"/>
      <c r="AC105" s="48"/>
    </row>
    <row r="106" spans="2:29" ht="15.75" x14ac:dyDescent="0.25">
      <c r="B106" s="39"/>
      <c r="C106" s="40"/>
      <c r="D106" s="40"/>
      <c r="E106" s="40"/>
      <c r="F106" s="39"/>
      <c r="G106" s="41"/>
      <c r="H106" s="41"/>
      <c r="I106" s="49"/>
      <c r="J106" s="43"/>
      <c r="K106" s="44"/>
      <c r="L106" s="44"/>
      <c r="M106" s="50"/>
      <c r="N106" s="51"/>
      <c r="O106" s="47"/>
      <c r="P106" s="47"/>
      <c r="Q106" s="41"/>
      <c r="R106" s="39"/>
      <c r="S106" s="39"/>
      <c r="T106" s="41" t="str">
        <f t="shared" si="1"/>
        <v/>
      </c>
      <c r="U106" s="39"/>
      <c r="V106" s="39"/>
      <c r="W106" s="39"/>
      <c r="X106" s="39"/>
      <c r="Y106" s="39"/>
      <c r="Z106" s="39"/>
      <c r="AA106" s="39"/>
      <c r="AB106" s="39"/>
      <c r="AC106" s="48"/>
    </row>
    <row r="107" spans="2:29" ht="15.75" x14ac:dyDescent="0.25">
      <c r="B107" s="39"/>
      <c r="C107" s="40"/>
      <c r="D107" s="40"/>
      <c r="E107" s="40"/>
      <c r="F107" s="39"/>
      <c r="G107" s="41"/>
      <c r="H107" s="41"/>
      <c r="I107" s="49"/>
      <c r="J107" s="43"/>
      <c r="K107" s="44"/>
      <c r="L107" s="44"/>
      <c r="M107" s="50"/>
      <c r="N107" s="51"/>
      <c r="O107" s="47"/>
      <c r="P107" s="47"/>
      <c r="Q107" s="41"/>
      <c r="R107" s="39"/>
      <c r="S107" s="39"/>
      <c r="T107" s="41" t="str">
        <f t="shared" si="1"/>
        <v/>
      </c>
      <c r="U107" s="39"/>
      <c r="V107" s="39"/>
      <c r="W107" s="39"/>
      <c r="X107" s="39"/>
      <c r="Y107" s="39"/>
      <c r="Z107" s="39"/>
      <c r="AA107" s="39"/>
      <c r="AB107" s="39"/>
      <c r="AC107" s="48"/>
    </row>
    <row r="108" spans="2:29" ht="15.75" x14ac:dyDescent="0.25">
      <c r="B108" s="39"/>
      <c r="C108" s="40"/>
      <c r="D108" s="40"/>
      <c r="E108" s="40"/>
      <c r="F108" s="39"/>
      <c r="G108" s="41"/>
      <c r="H108" s="41"/>
      <c r="I108" s="49"/>
      <c r="J108" s="43"/>
      <c r="K108" s="44"/>
      <c r="L108" s="44"/>
      <c r="M108" s="50"/>
      <c r="N108" s="51"/>
      <c r="O108" s="47"/>
      <c r="P108" s="47"/>
      <c r="Q108" s="41"/>
      <c r="R108" s="39"/>
      <c r="S108" s="39"/>
      <c r="T108" s="41" t="str">
        <f t="shared" si="1"/>
        <v/>
      </c>
      <c r="U108" s="39"/>
      <c r="V108" s="39"/>
      <c r="W108" s="39"/>
      <c r="X108" s="39"/>
      <c r="Y108" s="39"/>
      <c r="Z108" s="39"/>
      <c r="AA108" s="39"/>
      <c r="AB108" s="39"/>
      <c r="AC108" s="48"/>
    </row>
    <row r="109" spans="2:29" ht="15.75" x14ac:dyDescent="0.25">
      <c r="B109" s="39"/>
      <c r="C109" s="40"/>
      <c r="D109" s="40"/>
      <c r="E109" s="40"/>
      <c r="F109" s="39"/>
      <c r="G109" s="41"/>
      <c r="H109" s="41"/>
      <c r="I109" s="49"/>
      <c r="J109" s="43"/>
      <c r="K109" s="44"/>
      <c r="L109" s="44"/>
      <c r="M109" s="50"/>
      <c r="N109" s="51"/>
      <c r="O109" s="47"/>
      <c r="P109" s="47"/>
      <c r="Q109" s="41"/>
      <c r="R109" s="39"/>
      <c r="S109" s="39"/>
      <c r="T109" s="41" t="str">
        <f t="shared" si="1"/>
        <v/>
      </c>
      <c r="U109" s="39"/>
      <c r="V109" s="39"/>
      <c r="W109" s="39"/>
      <c r="X109" s="39"/>
      <c r="Y109" s="39"/>
      <c r="Z109" s="39"/>
      <c r="AA109" s="39"/>
      <c r="AB109" s="39"/>
      <c r="AC109" s="48"/>
    </row>
    <row r="110" spans="2:29" ht="15.75" x14ac:dyDescent="0.25">
      <c r="B110" s="39"/>
      <c r="C110" s="40"/>
      <c r="D110" s="40"/>
      <c r="E110" s="40"/>
      <c r="F110" s="39"/>
      <c r="G110" s="41"/>
      <c r="H110" s="41"/>
      <c r="I110" s="49"/>
      <c r="J110" s="43"/>
      <c r="K110" s="44"/>
      <c r="L110" s="44"/>
      <c r="M110" s="50"/>
      <c r="N110" s="51"/>
      <c r="O110" s="47"/>
      <c r="P110" s="47"/>
      <c r="Q110" s="41"/>
      <c r="R110" s="39"/>
      <c r="S110" s="39"/>
      <c r="T110" s="41" t="str">
        <f t="shared" si="1"/>
        <v/>
      </c>
      <c r="U110" s="39"/>
      <c r="V110" s="39"/>
      <c r="W110" s="39"/>
      <c r="X110" s="39"/>
      <c r="Y110" s="39"/>
      <c r="Z110" s="39"/>
      <c r="AA110" s="39"/>
      <c r="AB110" s="39"/>
      <c r="AC110" s="48"/>
    </row>
    <row r="111" spans="2:29" ht="15.75" x14ac:dyDescent="0.25">
      <c r="B111" s="39"/>
      <c r="C111" s="40"/>
      <c r="D111" s="40"/>
      <c r="E111" s="40"/>
      <c r="F111" s="39"/>
      <c r="G111" s="41"/>
      <c r="H111" s="41"/>
      <c r="I111" s="49"/>
      <c r="J111" s="43"/>
      <c r="K111" s="44"/>
      <c r="L111" s="44"/>
      <c r="M111" s="50"/>
      <c r="N111" s="51"/>
      <c r="O111" s="47"/>
      <c r="P111" s="47"/>
      <c r="Q111" s="41"/>
      <c r="R111" s="39"/>
      <c r="S111" s="39"/>
      <c r="T111" s="41" t="str">
        <f t="shared" si="1"/>
        <v/>
      </c>
      <c r="U111" s="39"/>
      <c r="V111" s="39"/>
      <c r="W111" s="39"/>
      <c r="X111" s="39"/>
      <c r="Y111" s="39"/>
      <c r="Z111" s="39"/>
      <c r="AA111" s="39"/>
      <c r="AB111" s="39"/>
      <c r="AC111" s="48"/>
    </row>
    <row r="112" spans="2:29" ht="15.75" x14ac:dyDescent="0.25">
      <c r="B112" s="39"/>
      <c r="C112" s="40"/>
      <c r="D112" s="40"/>
      <c r="E112" s="40"/>
      <c r="F112" s="39"/>
      <c r="G112" s="41"/>
      <c r="H112" s="41"/>
      <c r="I112" s="49"/>
      <c r="J112" s="43"/>
      <c r="K112" s="44"/>
      <c r="L112" s="44"/>
      <c r="M112" s="50"/>
      <c r="N112" s="51"/>
      <c r="O112" s="47"/>
      <c r="P112" s="47"/>
      <c r="Q112" s="41"/>
      <c r="R112" s="39"/>
      <c r="S112" s="39"/>
      <c r="T112" s="41" t="str">
        <f t="shared" si="1"/>
        <v/>
      </c>
      <c r="U112" s="39"/>
      <c r="V112" s="39"/>
      <c r="W112" s="39"/>
      <c r="X112" s="39"/>
      <c r="Y112" s="39"/>
      <c r="Z112" s="39"/>
      <c r="AA112" s="39"/>
      <c r="AB112" s="39"/>
      <c r="AC112" s="48"/>
    </row>
    <row r="113" spans="2:29" ht="15.75" x14ac:dyDescent="0.25">
      <c r="B113" s="39"/>
      <c r="C113" s="40"/>
      <c r="D113" s="40"/>
      <c r="E113" s="40"/>
      <c r="F113" s="39"/>
      <c r="G113" s="41"/>
      <c r="H113" s="41"/>
      <c r="I113" s="49"/>
      <c r="J113" s="43"/>
      <c r="K113" s="44"/>
      <c r="L113" s="44"/>
      <c r="M113" s="50"/>
      <c r="N113" s="51"/>
      <c r="O113" s="47"/>
      <c r="P113" s="47"/>
      <c r="Q113" s="41"/>
      <c r="R113" s="39"/>
      <c r="S113" s="39"/>
      <c r="T113" s="41" t="str">
        <f t="shared" si="1"/>
        <v/>
      </c>
      <c r="U113" s="39"/>
      <c r="V113" s="39"/>
      <c r="W113" s="39"/>
      <c r="X113" s="39"/>
      <c r="Y113" s="39"/>
      <c r="Z113" s="39"/>
      <c r="AA113" s="39"/>
      <c r="AB113" s="39"/>
      <c r="AC113" s="48"/>
    </row>
    <row r="114" spans="2:29" ht="15.75" x14ac:dyDescent="0.25">
      <c r="B114" s="39"/>
      <c r="C114" s="40"/>
      <c r="D114" s="40"/>
      <c r="E114" s="40"/>
      <c r="F114" s="39"/>
      <c r="G114" s="41"/>
      <c r="H114" s="41"/>
      <c r="I114" s="49"/>
      <c r="J114" s="43"/>
      <c r="K114" s="44"/>
      <c r="L114" s="44"/>
      <c r="M114" s="50"/>
      <c r="N114" s="51"/>
      <c r="O114" s="47"/>
      <c r="P114" s="47"/>
      <c r="Q114" s="41"/>
      <c r="R114" s="39"/>
      <c r="S114" s="39"/>
      <c r="T114" s="41" t="str">
        <f t="shared" si="1"/>
        <v/>
      </c>
      <c r="U114" s="39"/>
      <c r="V114" s="39"/>
      <c r="W114" s="39"/>
      <c r="X114" s="39"/>
      <c r="Y114" s="39"/>
      <c r="Z114" s="39"/>
      <c r="AA114" s="39"/>
      <c r="AB114" s="39"/>
      <c r="AC114" s="48"/>
    </row>
    <row r="115" spans="2:29" ht="15.75" x14ac:dyDescent="0.25">
      <c r="B115" s="39"/>
      <c r="C115" s="40"/>
      <c r="D115" s="40"/>
      <c r="E115" s="40"/>
      <c r="F115" s="39"/>
      <c r="G115" s="41"/>
      <c r="H115" s="41"/>
      <c r="I115" s="49"/>
      <c r="J115" s="43"/>
      <c r="K115" s="44"/>
      <c r="L115" s="44"/>
      <c r="M115" s="50"/>
      <c r="N115" s="51"/>
      <c r="O115" s="47"/>
      <c r="P115" s="47"/>
      <c r="Q115" s="41"/>
      <c r="R115" s="39"/>
      <c r="S115" s="39"/>
      <c r="T115" s="41" t="str">
        <f t="shared" si="1"/>
        <v/>
      </c>
      <c r="U115" s="39"/>
      <c r="V115" s="39"/>
      <c r="W115" s="39"/>
      <c r="X115" s="39"/>
      <c r="Y115" s="39"/>
      <c r="Z115" s="39"/>
      <c r="AA115" s="39"/>
      <c r="AB115" s="39"/>
      <c r="AC115" s="48"/>
    </row>
    <row r="116" spans="2:29" ht="15.75" x14ac:dyDescent="0.25">
      <c r="B116" s="39"/>
      <c r="C116" s="40"/>
      <c r="D116" s="40"/>
      <c r="E116" s="40"/>
      <c r="F116" s="39"/>
      <c r="G116" s="41"/>
      <c r="H116" s="41"/>
      <c r="I116" s="49"/>
      <c r="J116" s="43"/>
      <c r="K116" s="44"/>
      <c r="L116" s="44"/>
      <c r="M116" s="50"/>
      <c r="N116" s="51"/>
      <c r="O116" s="47"/>
      <c r="P116" s="47"/>
      <c r="Q116" s="41"/>
      <c r="R116" s="39"/>
      <c r="S116" s="39"/>
      <c r="T116" s="41" t="str">
        <f t="shared" si="1"/>
        <v/>
      </c>
      <c r="U116" s="39"/>
      <c r="V116" s="39"/>
      <c r="W116" s="39"/>
      <c r="X116" s="39"/>
      <c r="Y116" s="39"/>
      <c r="Z116" s="39"/>
      <c r="AA116" s="39"/>
      <c r="AB116" s="39"/>
      <c r="AC116" s="48"/>
    </row>
    <row r="117" spans="2:29" ht="15.75" x14ac:dyDescent="0.25">
      <c r="B117" s="39"/>
      <c r="C117" s="40"/>
      <c r="D117" s="40"/>
      <c r="E117" s="40"/>
      <c r="F117" s="39"/>
      <c r="G117" s="41"/>
      <c r="H117" s="41"/>
      <c r="I117" s="49"/>
      <c r="J117" s="43"/>
      <c r="K117" s="44"/>
      <c r="L117" s="44"/>
      <c r="M117" s="50"/>
      <c r="N117" s="51"/>
      <c r="O117" s="47"/>
      <c r="P117" s="47"/>
      <c r="Q117" s="41"/>
      <c r="R117" s="39"/>
      <c r="S117" s="39"/>
      <c r="T117" s="41" t="str">
        <f t="shared" si="1"/>
        <v/>
      </c>
      <c r="U117" s="39"/>
      <c r="V117" s="39"/>
      <c r="W117" s="39"/>
      <c r="X117" s="39"/>
      <c r="Y117" s="39"/>
      <c r="Z117" s="39"/>
      <c r="AA117" s="39"/>
      <c r="AB117" s="39"/>
      <c r="AC117" s="48"/>
    </row>
    <row r="118" spans="2:29" ht="15.75" x14ac:dyDescent="0.25">
      <c r="B118" s="39"/>
      <c r="C118" s="40"/>
      <c r="D118" s="40"/>
      <c r="E118" s="40"/>
      <c r="F118" s="39"/>
      <c r="G118" s="41"/>
      <c r="H118" s="41"/>
      <c r="I118" s="49"/>
      <c r="J118" s="43"/>
      <c r="K118" s="44"/>
      <c r="L118" s="44"/>
      <c r="M118" s="50"/>
      <c r="N118" s="51"/>
      <c r="O118" s="47"/>
      <c r="P118" s="47"/>
      <c r="Q118" s="41"/>
      <c r="R118" s="39"/>
      <c r="S118" s="39"/>
      <c r="T118" s="41" t="str">
        <f t="shared" si="1"/>
        <v/>
      </c>
      <c r="U118" s="39"/>
      <c r="V118" s="39"/>
      <c r="W118" s="39"/>
      <c r="X118" s="39"/>
      <c r="Y118" s="39"/>
      <c r="Z118" s="39"/>
      <c r="AA118" s="39"/>
      <c r="AB118" s="39"/>
      <c r="AC118" s="48"/>
    </row>
    <row r="119" spans="2:29" ht="15.75" x14ac:dyDescent="0.25">
      <c r="B119" s="39"/>
      <c r="C119" s="40"/>
      <c r="D119" s="40"/>
      <c r="E119" s="40"/>
      <c r="F119" s="39"/>
      <c r="G119" s="41"/>
      <c r="H119" s="41"/>
      <c r="I119" s="49"/>
      <c r="J119" s="43"/>
      <c r="K119" s="44"/>
      <c r="L119" s="44"/>
      <c r="M119" s="50"/>
      <c r="N119" s="51"/>
      <c r="O119" s="47"/>
      <c r="P119" s="47"/>
      <c r="Q119" s="41"/>
      <c r="R119" s="39"/>
      <c r="S119" s="39"/>
      <c r="T119" s="41" t="str">
        <f t="shared" si="1"/>
        <v/>
      </c>
      <c r="U119" s="39"/>
      <c r="V119" s="39"/>
      <c r="W119" s="39"/>
      <c r="X119" s="39"/>
      <c r="Y119" s="39"/>
      <c r="Z119" s="39"/>
      <c r="AA119" s="39"/>
      <c r="AB119" s="39"/>
      <c r="AC119" s="48"/>
    </row>
    <row r="120" spans="2:29" ht="15.75" x14ac:dyDescent="0.25">
      <c r="B120" s="39"/>
      <c r="C120" s="40"/>
      <c r="D120" s="40"/>
      <c r="E120" s="40"/>
      <c r="F120" s="39"/>
      <c r="G120" s="41"/>
      <c r="H120" s="41"/>
      <c r="I120" s="49"/>
      <c r="J120" s="43"/>
      <c r="K120" s="44"/>
      <c r="L120" s="44"/>
      <c r="M120" s="50"/>
      <c r="N120" s="51"/>
      <c r="O120" s="47"/>
      <c r="P120" s="47"/>
      <c r="Q120" s="41"/>
      <c r="R120" s="39"/>
      <c r="S120" s="39"/>
      <c r="T120" s="41" t="str">
        <f t="shared" si="1"/>
        <v/>
      </c>
      <c r="U120" s="39"/>
      <c r="V120" s="39"/>
      <c r="W120" s="39"/>
      <c r="X120" s="39"/>
      <c r="Y120" s="39"/>
      <c r="Z120" s="39"/>
      <c r="AA120" s="39"/>
      <c r="AB120" s="39"/>
      <c r="AC120" s="48"/>
    </row>
    <row r="121" spans="2:29" ht="15.75" x14ac:dyDescent="0.25">
      <c r="B121" s="39"/>
      <c r="C121" s="40"/>
      <c r="D121" s="40"/>
      <c r="E121" s="40"/>
      <c r="F121" s="39"/>
      <c r="G121" s="41"/>
      <c r="H121" s="41"/>
      <c r="I121" s="49"/>
      <c r="J121" s="43"/>
      <c r="K121" s="44"/>
      <c r="L121" s="44"/>
      <c r="M121" s="50"/>
      <c r="N121" s="51"/>
      <c r="O121" s="47"/>
      <c r="P121" s="47"/>
      <c r="Q121" s="41"/>
      <c r="R121" s="39"/>
      <c r="S121" s="39"/>
      <c r="T121" s="41" t="str">
        <f t="shared" si="1"/>
        <v/>
      </c>
      <c r="U121" s="39"/>
      <c r="V121" s="39"/>
      <c r="W121" s="39"/>
      <c r="X121" s="39"/>
      <c r="Y121" s="39"/>
      <c r="Z121" s="39"/>
      <c r="AA121" s="39"/>
      <c r="AB121" s="39"/>
      <c r="AC121" s="48"/>
    </row>
    <row r="122" spans="2:29" ht="15.75" x14ac:dyDescent="0.25">
      <c r="B122" s="39"/>
      <c r="C122" s="40"/>
      <c r="D122" s="40"/>
      <c r="E122" s="40"/>
      <c r="F122" s="39"/>
      <c r="G122" s="41"/>
      <c r="H122" s="41"/>
      <c r="I122" s="49"/>
      <c r="J122" s="43"/>
      <c r="K122" s="44"/>
      <c r="L122" s="44"/>
      <c r="M122" s="50"/>
      <c r="N122" s="51"/>
      <c r="O122" s="47"/>
      <c r="P122" s="47"/>
      <c r="Q122" s="41"/>
      <c r="R122" s="39"/>
      <c r="S122" s="39"/>
      <c r="T122" s="41" t="str">
        <f t="shared" si="1"/>
        <v/>
      </c>
      <c r="U122" s="39"/>
      <c r="V122" s="39"/>
      <c r="W122" s="39"/>
      <c r="X122" s="39"/>
      <c r="Y122" s="39"/>
      <c r="Z122" s="39"/>
      <c r="AA122" s="39"/>
      <c r="AB122" s="39"/>
      <c r="AC122" s="48"/>
    </row>
    <row r="123" spans="2:29" ht="15.75" x14ac:dyDescent="0.25">
      <c r="B123" s="39"/>
      <c r="C123" s="40"/>
      <c r="D123" s="40"/>
      <c r="E123" s="40"/>
      <c r="F123" s="39"/>
      <c r="G123" s="41"/>
      <c r="H123" s="41"/>
      <c r="I123" s="49"/>
      <c r="J123" s="43"/>
      <c r="K123" s="44"/>
      <c r="L123" s="44"/>
      <c r="M123" s="50"/>
      <c r="N123" s="51"/>
      <c r="O123" s="47"/>
      <c r="P123" s="47"/>
      <c r="Q123" s="41"/>
      <c r="R123" s="39"/>
      <c r="S123" s="39"/>
      <c r="T123" s="41" t="str">
        <f t="shared" si="1"/>
        <v/>
      </c>
      <c r="U123" s="39"/>
      <c r="V123" s="39"/>
      <c r="W123" s="39"/>
      <c r="X123" s="39"/>
      <c r="Y123" s="39"/>
      <c r="Z123" s="39"/>
      <c r="AA123" s="39"/>
      <c r="AB123" s="39"/>
      <c r="AC123" s="48"/>
    </row>
    <row r="124" spans="2:29" ht="15.75" x14ac:dyDescent="0.25">
      <c r="B124" s="39"/>
      <c r="C124" s="40"/>
      <c r="D124" s="40"/>
      <c r="E124" s="40"/>
      <c r="F124" s="39"/>
      <c r="G124" s="41"/>
      <c r="H124" s="41"/>
      <c r="I124" s="49"/>
      <c r="J124" s="43"/>
      <c r="K124" s="44"/>
      <c r="L124" s="44"/>
      <c r="M124" s="50"/>
      <c r="N124" s="51"/>
      <c r="O124" s="47"/>
      <c r="P124" s="47"/>
      <c r="Q124" s="41"/>
      <c r="R124" s="39"/>
      <c r="S124" s="39"/>
      <c r="T124" s="41" t="str">
        <f t="shared" si="1"/>
        <v/>
      </c>
      <c r="U124" s="39"/>
      <c r="V124" s="39"/>
      <c r="W124" s="39"/>
      <c r="X124" s="39"/>
      <c r="Y124" s="39"/>
      <c r="Z124" s="39"/>
      <c r="AA124" s="39"/>
      <c r="AB124" s="39"/>
      <c r="AC124" s="48"/>
    </row>
    <row r="125" spans="2:29" ht="15.75" x14ac:dyDescent="0.25">
      <c r="B125" s="39"/>
      <c r="C125" s="40"/>
      <c r="D125" s="40"/>
      <c r="E125" s="40"/>
      <c r="F125" s="39"/>
      <c r="G125" s="41"/>
      <c r="H125" s="41"/>
      <c r="I125" s="49"/>
      <c r="J125" s="43"/>
      <c r="K125" s="44"/>
      <c r="L125" s="44"/>
      <c r="M125" s="50"/>
      <c r="N125" s="51"/>
      <c r="O125" s="47"/>
      <c r="P125" s="47"/>
      <c r="Q125" s="41"/>
      <c r="R125" s="39"/>
      <c r="S125" s="39"/>
      <c r="T125" s="41" t="str">
        <f t="shared" si="1"/>
        <v/>
      </c>
      <c r="U125" s="39"/>
      <c r="V125" s="39"/>
      <c r="W125" s="39"/>
      <c r="X125" s="39"/>
      <c r="Y125" s="39"/>
      <c r="Z125" s="39"/>
      <c r="AA125" s="39"/>
      <c r="AB125" s="39"/>
      <c r="AC125" s="48"/>
    </row>
    <row r="126" spans="2:29" ht="15.75" x14ac:dyDescent="0.25">
      <c r="B126" s="39"/>
      <c r="C126" s="40"/>
      <c r="D126" s="40"/>
      <c r="E126" s="40"/>
      <c r="F126" s="39"/>
      <c r="G126" s="41"/>
      <c r="H126" s="41"/>
      <c r="I126" s="49"/>
      <c r="J126" s="43"/>
      <c r="K126" s="44"/>
      <c r="L126" s="44"/>
      <c r="M126" s="50"/>
      <c r="N126" s="51"/>
      <c r="O126" s="47"/>
      <c r="P126" s="47"/>
      <c r="Q126" s="41"/>
      <c r="R126" s="39"/>
      <c r="S126" s="39"/>
      <c r="T126" s="41" t="str">
        <f t="shared" si="1"/>
        <v/>
      </c>
      <c r="U126" s="39"/>
      <c r="V126" s="39"/>
      <c r="W126" s="39"/>
      <c r="X126" s="39"/>
      <c r="Y126" s="39"/>
      <c r="Z126" s="39"/>
      <c r="AA126" s="39"/>
      <c r="AB126" s="39"/>
      <c r="AC126" s="48"/>
    </row>
    <row r="127" spans="2:29" ht="15.75" x14ac:dyDescent="0.25">
      <c r="B127" s="39"/>
      <c r="C127" s="40"/>
      <c r="D127" s="40"/>
      <c r="E127" s="40"/>
      <c r="F127" s="39"/>
      <c r="G127" s="41"/>
      <c r="H127" s="41"/>
      <c r="I127" s="49"/>
      <c r="J127" s="43"/>
      <c r="K127" s="44"/>
      <c r="L127" s="44"/>
      <c r="M127" s="50"/>
      <c r="N127" s="51"/>
      <c r="O127" s="47"/>
      <c r="P127" s="47"/>
      <c r="Q127" s="41"/>
      <c r="R127" s="39"/>
      <c r="S127" s="39"/>
      <c r="T127" s="41" t="str">
        <f t="shared" si="1"/>
        <v/>
      </c>
      <c r="U127" s="39"/>
      <c r="V127" s="39"/>
      <c r="W127" s="39"/>
      <c r="X127" s="39"/>
      <c r="Y127" s="39"/>
      <c r="Z127" s="39"/>
      <c r="AA127" s="39"/>
      <c r="AB127" s="39"/>
      <c r="AC127" s="48"/>
    </row>
    <row r="128" spans="2:29" ht="15.75" x14ac:dyDescent="0.25">
      <c r="B128" s="39"/>
      <c r="C128" s="40"/>
      <c r="D128" s="40"/>
      <c r="E128" s="40"/>
      <c r="F128" s="39"/>
      <c r="G128" s="41"/>
      <c r="H128" s="41"/>
      <c r="I128" s="49"/>
      <c r="J128" s="43"/>
      <c r="K128" s="44"/>
      <c r="L128" s="44"/>
      <c r="M128" s="50"/>
      <c r="N128" s="51"/>
      <c r="O128" s="47"/>
      <c r="P128" s="47"/>
      <c r="Q128" s="41"/>
      <c r="R128" s="39"/>
      <c r="S128" s="39"/>
      <c r="T128" s="41" t="str">
        <f t="shared" si="1"/>
        <v/>
      </c>
      <c r="U128" s="39"/>
      <c r="V128" s="39"/>
      <c r="W128" s="39"/>
      <c r="X128" s="39"/>
      <c r="Y128" s="39"/>
      <c r="Z128" s="39"/>
      <c r="AA128" s="39"/>
      <c r="AB128" s="39"/>
      <c r="AC128" s="48"/>
    </row>
    <row r="129" spans="2:29" ht="15.75" x14ac:dyDescent="0.25">
      <c r="B129" s="39"/>
      <c r="C129" s="40"/>
      <c r="D129" s="40"/>
      <c r="E129" s="40"/>
      <c r="F129" s="39"/>
      <c r="G129" s="41"/>
      <c r="H129" s="41"/>
      <c r="I129" s="49"/>
      <c r="J129" s="43"/>
      <c r="K129" s="44"/>
      <c r="L129" s="44"/>
      <c r="M129" s="50"/>
      <c r="N129" s="51"/>
      <c r="O129" s="47"/>
      <c r="P129" s="47"/>
      <c r="Q129" s="41"/>
      <c r="R129" s="39"/>
      <c r="S129" s="39"/>
      <c r="T129" s="41" t="str">
        <f t="shared" si="1"/>
        <v/>
      </c>
      <c r="U129" s="39"/>
      <c r="V129" s="39"/>
      <c r="W129" s="39"/>
      <c r="X129" s="39"/>
      <c r="Y129" s="39"/>
      <c r="Z129" s="39"/>
      <c r="AA129" s="39"/>
      <c r="AB129" s="39"/>
      <c r="AC129" s="48"/>
    </row>
    <row r="130" spans="2:29" ht="15.75" x14ac:dyDescent="0.25">
      <c r="B130" s="39"/>
      <c r="C130" s="40"/>
      <c r="D130" s="40"/>
      <c r="E130" s="40"/>
      <c r="F130" s="39"/>
      <c r="G130" s="41"/>
      <c r="H130" s="41"/>
      <c r="I130" s="49"/>
      <c r="J130" s="43"/>
      <c r="K130" s="44"/>
      <c r="L130" s="44"/>
      <c r="M130" s="50"/>
      <c r="N130" s="51"/>
      <c r="O130" s="47"/>
      <c r="P130" s="47"/>
      <c r="Q130" s="41"/>
      <c r="R130" s="39"/>
      <c r="S130" s="39"/>
      <c r="T130" s="41" t="str">
        <f t="shared" si="1"/>
        <v/>
      </c>
      <c r="U130" s="39"/>
      <c r="V130" s="39"/>
      <c r="W130" s="39"/>
      <c r="X130" s="39"/>
      <c r="Y130" s="39"/>
      <c r="Z130" s="39"/>
      <c r="AA130" s="39"/>
      <c r="AB130" s="39"/>
      <c r="AC130" s="48"/>
    </row>
    <row r="131" spans="2:29" ht="15.75" x14ac:dyDescent="0.25">
      <c r="B131" s="39"/>
      <c r="C131" s="40"/>
      <c r="D131" s="40"/>
      <c r="E131" s="40"/>
      <c r="F131" s="39"/>
      <c r="G131" s="41"/>
      <c r="H131" s="41"/>
      <c r="I131" s="49"/>
      <c r="J131" s="43"/>
      <c r="K131" s="44"/>
      <c r="L131" s="44"/>
      <c r="M131" s="50"/>
      <c r="N131" s="51"/>
      <c r="O131" s="47"/>
      <c r="P131" s="47"/>
      <c r="Q131" s="41"/>
      <c r="R131" s="39"/>
      <c r="S131" s="39"/>
      <c r="T131" s="41" t="str">
        <f t="shared" si="1"/>
        <v/>
      </c>
      <c r="U131" s="39"/>
      <c r="V131" s="39"/>
      <c r="W131" s="39"/>
      <c r="X131" s="39"/>
      <c r="Y131" s="39"/>
      <c r="Z131" s="39"/>
      <c r="AA131" s="39"/>
      <c r="AB131" s="39"/>
      <c r="AC131" s="48"/>
    </row>
    <row r="132" spans="2:29" ht="15.75" x14ac:dyDescent="0.25">
      <c r="B132" s="39"/>
      <c r="C132" s="40"/>
      <c r="D132" s="40"/>
      <c r="E132" s="40"/>
      <c r="F132" s="39"/>
      <c r="G132" s="41"/>
      <c r="H132" s="41"/>
      <c r="I132" s="49"/>
      <c r="J132" s="43"/>
      <c r="K132" s="44"/>
      <c r="L132" s="44"/>
      <c r="M132" s="50"/>
      <c r="N132" s="51"/>
      <c r="O132" s="47"/>
      <c r="P132" s="47"/>
      <c r="Q132" s="41"/>
      <c r="R132" s="39"/>
      <c r="S132" s="39"/>
      <c r="T132" s="41" t="str">
        <f t="shared" si="1"/>
        <v/>
      </c>
      <c r="U132" s="39"/>
      <c r="V132" s="39"/>
      <c r="W132" s="39"/>
      <c r="X132" s="39"/>
      <c r="Y132" s="39"/>
      <c r="Z132" s="39"/>
      <c r="AA132" s="39"/>
      <c r="AB132" s="39"/>
      <c r="AC132" s="48"/>
    </row>
    <row r="133" spans="2:29" ht="15.75" x14ac:dyDescent="0.25">
      <c r="B133" s="39"/>
      <c r="C133" s="40"/>
      <c r="D133" s="40"/>
      <c r="E133" s="40"/>
      <c r="F133" s="39"/>
      <c r="G133" s="41"/>
      <c r="H133" s="41"/>
      <c r="I133" s="49"/>
      <c r="J133" s="43"/>
      <c r="K133" s="44"/>
      <c r="L133" s="44"/>
      <c r="M133" s="50"/>
      <c r="N133" s="51"/>
      <c r="O133" s="47"/>
      <c r="P133" s="47"/>
      <c r="Q133" s="41"/>
      <c r="R133" s="39"/>
      <c r="S133" s="39"/>
      <c r="T133" s="41" t="str">
        <f t="shared" si="1"/>
        <v/>
      </c>
      <c r="U133" s="39"/>
      <c r="V133" s="39"/>
      <c r="W133" s="39"/>
      <c r="X133" s="39"/>
      <c r="Y133" s="39"/>
      <c r="Z133" s="39"/>
      <c r="AA133" s="39"/>
      <c r="AB133" s="39"/>
      <c r="AC133" s="48"/>
    </row>
    <row r="134" spans="2:29" ht="15.75" x14ac:dyDescent="0.25">
      <c r="B134" s="39"/>
      <c r="C134" s="40"/>
      <c r="D134" s="40"/>
      <c r="E134" s="40"/>
      <c r="F134" s="39"/>
      <c r="G134" s="41"/>
      <c r="H134" s="41"/>
      <c r="I134" s="49"/>
      <c r="J134" s="43"/>
      <c r="K134" s="44"/>
      <c r="L134" s="44"/>
      <c r="M134" s="50"/>
      <c r="N134" s="51"/>
      <c r="O134" s="47"/>
      <c r="P134" s="47"/>
      <c r="Q134" s="41"/>
      <c r="R134" s="39"/>
      <c r="S134" s="39"/>
      <c r="T134" s="41" t="str">
        <f t="shared" si="1"/>
        <v/>
      </c>
      <c r="U134" s="39"/>
      <c r="V134" s="39"/>
      <c r="W134" s="39"/>
      <c r="X134" s="39"/>
      <c r="Y134" s="39"/>
      <c r="Z134" s="39"/>
      <c r="AA134" s="39"/>
      <c r="AB134" s="39"/>
      <c r="AC134" s="48"/>
    </row>
    <row r="135" spans="2:29" ht="15.75" x14ac:dyDescent="0.25">
      <c r="B135" s="39"/>
      <c r="C135" s="40"/>
      <c r="D135" s="40"/>
      <c r="E135" s="40"/>
      <c r="F135" s="39"/>
      <c r="G135" s="41"/>
      <c r="H135" s="41"/>
      <c r="I135" s="49"/>
      <c r="J135" s="43"/>
      <c r="K135" s="44"/>
      <c r="L135" s="44"/>
      <c r="M135" s="50"/>
      <c r="N135" s="51"/>
      <c r="O135" s="47"/>
      <c r="P135" s="47"/>
      <c r="Q135" s="41"/>
      <c r="R135" s="39"/>
      <c r="S135" s="39"/>
      <c r="T135" s="41" t="str">
        <f t="shared" si="1"/>
        <v/>
      </c>
      <c r="U135" s="39"/>
      <c r="V135" s="39"/>
      <c r="W135" s="39"/>
      <c r="X135" s="39"/>
      <c r="Y135" s="39"/>
      <c r="Z135" s="39"/>
      <c r="AA135" s="39"/>
      <c r="AB135" s="39"/>
      <c r="AC135" s="48"/>
    </row>
    <row r="136" spans="2:29" ht="15.75" x14ac:dyDescent="0.25">
      <c r="B136" s="39"/>
      <c r="C136" s="40"/>
      <c r="D136" s="40"/>
      <c r="E136" s="40"/>
      <c r="F136" s="39"/>
      <c r="G136" s="41"/>
      <c r="H136" s="41"/>
      <c r="I136" s="49"/>
      <c r="J136" s="43"/>
      <c r="K136" s="44"/>
      <c r="L136" s="44"/>
      <c r="M136" s="50"/>
      <c r="N136" s="51"/>
      <c r="O136" s="47"/>
      <c r="P136" s="47"/>
      <c r="Q136" s="41"/>
      <c r="R136" s="39"/>
      <c r="S136" s="39"/>
      <c r="T136" s="41" t="str">
        <f t="shared" si="1"/>
        <v/>
      </c>
      <c r="U136" s="39"/>
      <c r="V136" s="39"/>
      <c r="W136" s="39"/>
      <c r="X136" s="39"/>
      <c r="Y136" s="39"/>
      <c r="Z136" s="39"/>
      <c r="AA136" s="39"/>
      <c r="AB136" s="39"/>
      <c r="AC136" s="48"/>
    </row>
    <row r="137" spans="2:29" ht="15.75" x14ac:dyDescent="0.25">
      <c r="B137" s="39"/>
      <c r="C137" s="40"/>
      <c r="D137" s="40"/>
      <c r="E137" s="40"/>
      <c r="F137" s="39"/>
      <c r="G137" s="41"/>
      <c r="H137" s="41"/>
      <c r="I137" s="49"/>
      <c r="J137" s="43"/>
      <c r="K137" s="44"/>
      <c r="L137" s="44"/>
      <c r="M137" s="50"/>
      <c r="N137" s="51"/>
      <c r="O137" s="47"/>
      <c r="P137" s="47"/>
      <c r="Q137" s="41"/>
      <c r="R137" s="39"/>
      <c r="S137" s="39"/>
      <c r="T137" s="41" t="str">
        <f t="shared" si="1"/>
        <v/>
      </c>
      <c r="U137" s="39"/>
      <c r="V137" s="39"/>
      <c r="W137" s="39"/>
      <c r="X137" s="39"/>
      <c r="Y137" s="39"/>
      <c r="Z137" s="39"/>
      <c r="AA137" s="39"/>
      <c r="AB137" s="39"/>
      <c r="AC137" s="48"/>
    </row>
    <row r="138" spans="2:29" ht="15.75" x14ac:dyDescent="0.25">
      <c r="B138" s="39"/>
      <c r="C138" s="40"/>
      <c r="D138" s="40"/>
      <c r="E138" s="40"/>
      <c r="F138" s="39"/>
      <c r="G138" s="41"/>
      <c r="H138" s="41"/>
      <c r="I138" s="49"/>
      <c r="J138" s="43"/>
      <c r="K138" s="44"/>
      <c r="L138" s="44"/>
      <c r="M138" s="50"/>
      <c r="N138" s="51"/>
      <c r="O138" s="47"/>
      <c r="P138" s="47"/>
      <c r="Q138" s="41"/>
      <c r="R138" s="39"/>
      <c r="S138" s="39"/>
      <c r="T138" s="41" t="str">
        <f t="shared" si="1"/>
        <v/>
      </c>
      <c r="U138" s="39"/>
      <c r="V138" s="39"/>
      <c r="W138" s="39"/>
      <c r="X138" s="39"/>
      <c r="Y138" s="39"/>
      <c r="Z138" s="39"/>
      <c r="AA138" s="39"/>
      <c r="AB138" s="39"/>
      <c r="AC138" s="48"/>
    </row>
    <row r="139" spans="2:29" ht="15.75" x14ac:dyDescent="0.25">
      <c r="B139" s="39"/>
      <c r="C139" s="40"/>
      <c r="D139" s="40"/>
      <c r="E139" s="40"/>
      <c r="F139" s="39"/>
      <c r="G139" s="41"/>
      <c r="H139" s="41"/>
      <c r="I139" s="49"/>
      <c r="J139" s="43"/>
      <c r="K139" s="44"/>
      <c r="L139" s="44"/>
      <c r="M139" s="50"/>
      <c r="N139" s="51"/>
      <c r="O139" s="47"/>
      <c r="P139" s="47"/>
      <c r="Q139" s="41"/>
      <c r="R139" s="39"/>
      <c r="S139" s="39"/>
      <c r="T139" s="41" t="str">
        <f t="shared" si="1"/>
        <v/>
      </c>
      <c r="U139" s="39"/>
      <c r="V139" s="39"/>
      <c r="W139" s="39"/>
      <c r="X139" s="39"/>
      <c r="Y139" s="39"/>
      <c r="Z139" s="39"/>
      <c r="AA139" s="39"/>
      <c r="AB139" s="39"/>
      <c r="AC139" s="48"/>
    </row>
    <row r="140" spans="2:29" ht="15.75" x14ac:dyDescent="0.25">
      <c r="B140" s="39"/>
      <c r="C140" s="40"/>
      <c r="D140" s="40"/>
      <c r="E140" s="40"/>
      <c r="F140" s="39"/>
      <c r="G140" s="41"/>
      <c r="H140" s="41"/>
      <c r="I140" s="49"/>
      <c r="J140" s="43"/>
      <c r="K140" s="44"/>
      <c r="L140" s="44"/>
      <c r="M140" s="50"/>
      <c r="N140" s="51"/>
      <c r="O140" s="47"/>
      <c r="P140" s="47"/>
      <c r="Q140" s="41"/>
      <c r="R140" s="39"/>
      <c r="S140" s="39"/>
      <c r="T140" s="41" t="str">
        <f t="shared" ref="T140:T189" si="2">IF(J140&gt;59,"/","")</f>
        <v/>
      </c>
      <c r="U140" s="39"/>
      <c r="V140" s="39"/>
      <c r="W140" s="39"/>
      <c r="X140" s="39"/>
      <c r="Y140" s="39"/>
      <c r="Z140" s="39"/>
      <c r="AA140" s="39"/>
      <c r="AB140" s="39"/>
      <c r="AC140" s="48"/>
    </row>
    <row r="141" spans="2:29" ht="15.75" x14ac:dyDescent="0.25">
      <c r="B141" s="39"/>
      <c r="C141" s="40"/>
      <c r="D141" s="40"/>
      <c r="E141" s="40"/>
      <c r="F141" s="39"/>
      <c r="G141" s="41"/>
      <c r="H141" s="41"/>
      <c r="I141" s="49"/>
      <c r="J141" s="43"/>
      <c r="K141" s="44"/>
      <c r="L141" s="44"/>
      <c r="M141" s="50"/>
      <c r="N141" s="51"/>
      <c r="O141" s="47"/>
      <c r="P141" s="47"/>
      <c r="Q141" s="41"/>
      <c r="R141" s="39"/>
      <c r="S141" s="39"/>
      <c r="T141" s="41" t="str">
        <f t="shared" si="2"/>
        <v/>
      </c>
      <c r="U141" s="39"/>
      <c r="V141" s="39"/>
      <c r="W141" s="39"/>
      <c r="X141" s="39"/>
      <c r="Y141" s="39"/>
      <c r="Z141" s="39"/>
      <c r="AA141" s="39"/>
      <c r="AB141" s="39"/>
      <c r="AC141" s="48"/>
    </row>
    <row r="142" spans="2:29" ht="15.75" x14ac:dyDescent="0.25">
      <c r="B142" s="39"/>
      <c r="C142" s="40"/>
      <c r="D142" s="40"/>
      <c r="E142" s="40"/>
      <c r="F142" s="39"/>
      <c r="G142" s="41"/>
      <c r="H142" s="41"/>
      <c r="I142" s="49"/>
      <c r="J142" s="43"/>
      <c r="K142" s="44"/>
      <c r="L142" s="44"/>
      <c r="M142" s="50"/>
      <c r="N142" s="51"/>
      <c r="O142" s="47"/>
      <c r="P142" s="47"/>
      <c r="Q142" s="41"/>
      <c r="R142" s="39"/>
      <c r="S142" s="39"/>
      <c r="T142" s="41" t="str">
        <f t="shared" si="2"/>
        <v/>
      </c>
      <c r="U142" s="39"/>
      <c r="V142" s="39"/>
      <c r="W142" s="39"/>
      <c r="X142" s="39"/>
      <c r="Y142" s="39"/>
      <c r="Z142" s="39"/>
      <c r="AA142" s="39"/>
      <c r="AB142" s="39"/>
      <c r="AC142" s="48"/>
    </row>
    <row r="143" spans="2:29" ht="15.75" x14ac:dyDescent="0.25">
      <c r="B143" s="39"/>
      <c r="C143" s="40"/>
      <c r="D143" s="40"/>
      <c r="E143" s="40"/>
      <c r="F143" s="39"/>
      <c r="G143" s="41"/>
      <c r="H143" s="41"/>
      <c r="I143" s="49"/>
      <c r="J143" s="43"/>
      <c r="K143" s="44"/>
      <c r="L143" s="44"/>
      <c r="M143" s="50"/>
      <c r="N143" s="51"/>
      <c r="O143" s="47"/>
      <c r="P143" s="47"/>
      <c r="Q143" s="41"/>
      <c r="R143" s="39"/>
      <c r="S143" s="39"/>
      <c r="T143" s="41" t="str">
        <f t="shared" si="2"/>
        <v/>
      </c>
      <c r="U143" s="39"/>
      <c r="V143" s="39"/>
      <c r="W143" s="39"/>
      <c r="X143" s="39"/>
      <c r="Y143" s="39"/>
      <c r="Z143" s="39"/>
      <c r="AA143" s="39"/>
      <c r="AB143" s="39"/>
      <c r="AC143" s="48"/>
    </row>
    <row r="144" spans="2:29" ht="15.75" x14ac:dyDescent="0.25">
      <c r="B144" s="39"/>
      <c r="C144" s="40"/>
      <c r="D144" s="40"/>
      <c r="E144" s="40"/>
      <c r="F144" s="39"/>
      <c r="G144" s="41"/>
      <c r="H144" s="41"/>
      <c r="I144" s="49"/>
      <c r="J144" s="43"/>
      <c r="K144" s="44"/>
      <c r="L144" s="44"/>
      <c r="M144" s="50"/>
      <c r="N144" s="51"/>
      <c r="O144" s="47"/>
      <c r="P144" s="47"/>
      <c r="Q144" s="41"/>
      <c r="R144" s="39"/>
      <c r="S144" s="39"/>
      <c r="T144" s="41" t="str">
        <f t="shared" si="2"/>
        <v/>
      </c>
      <c r="U144" s="39"/>
      <c r="V144" s="39"/>
      <c r="W144" s="39"/>
      <c r="X144" s="39"/>
      <c r="Y144" s="39"/>
      <c r="Z144" s="39"/>
      <c r="AA144" s="39"/>
      <c r="AB144" s="39"/>
      <c r="AC144" s="48"/>
    </row>
    <row r="145" spans="2:29" ht="15.75" x14ac:dyDescent="0.25">
      <c r="B145" s="39"/>
      <c r="C145" s="40"/>
      <c r="D145" s="40"/>
      <c r="E145" s="40"/>
      <c r="F145" s="39"/>
      <c r="G145" s="41"/>
      <c r="H145" s="41"/>
      <c r="I145" s="49"/>
      <c r="J145" s="43"/>
      <c r="K145" s="44"/>
      <c r="L145" s="44"/>
      <c r="M145" s="50"/>
      <c r="N145" s="51"/>
      <c r="O145" s="47"/>
      <c r="P145" s="47"/>
      <c r="Q145" s="41"/>
      <c r="R145" s="39"/>
      <c r="S145" s="39"/>
      <c r="T145" s="41" t="str">
        <f t="shared" si="2"/>
        <v/>
      </c>
      <c r="U145" s="39"/>
      <c r="V145" s="39"/>
      <c r="W145" s="39"/>
      <c r="X145" s="39"/>
      <c r="Y145" s="39"/>
      <c r="Z145" s="39"/>
      <c r="AA145" s="39"/>
      <c r="AB145" s="39"/>
      <c r="AC145" s="48"/>
    </row>
    <row r="146" spans="2:29" ht="15.75" x14ac:dyDescent="0.25">
      <c r="B146" s="39"/>
      <c r="C146" s="40"/>
      <c r="D146" s="40"/>
      <c r="E146" s="40"/>
      <c r="F146" s="39"/>
      <c r="G146" s="41"/>
      <c r="H146" s="41"/>
      <c r="I146" s="49"/>
      <c r="J146" s="43"/>
      <c r="K146" s="44"/>
      <c r="L146" s="44"/>
      <c r="M146" s="50"/>
      <c r="N146" s="51"/>
      <c r="O146" s="47"/>
      <c r="P146" s="47"/>
      <c r="Q146" s="41"/>
      <c r="R146" s="39"/>
      <c r="S146" s="39"/>
      <c r="T146" s="41" t="str">
        <f t="shared" si="2"/>
        <v/>
      </c>
      <c r="U146" s="39"/>
      <c r="V146" s="39"/>
      <c r="W146" s="39"/>
      <c r="X146" s="39"/>
      <c r="Y146" s="39"/>
      <c r="Z146" s="39"/>
      <c r="AA146" s="39"/>
      <c r="AB146" s="39"/>
      <c r="AC146" s="48"/>
    </row>
    <row r="147" spans="2:29" ht="15.75" x14ac:dyDescent="0.25">
      <c r="B147" s="39"/>
      <c r="C147" s="40"/>
      <c r="D147" s="40"/>
      <c r="E147" s="40"/>
      <c r="F147" s="39"/>
      <c r="G147" s="41"/>
      <c r="H147" s="41"/>
      <c r="I147" s="49"/>
      <c r="J147" s="43"/>
      <c r="K147" s="44"/>
      <c r="L147" s="44"/>
      <c r="M147" s="50"/>
      <c r="N147" s="51"/>
      <c r="O147" s="47"/>
      <c r="P147" s="47"/>
      <c r="Q147" s="41"/>
      <c r="R147" s="39"/>
      <c r="S147" s="39"/>
      <c r="T147" s="41" t="str">
        <f t="shared" si="2"/>
        <v/>
      </c>
      <c r="U147" s="39"/>
      <c r="V147" s="39"/>
      <c r="W147" s="39"/>
      <c r="X147" s="39"/>
      <c r="Y147" s="39"/>
      <c r="Z147" s="39"/>
      <c r="AA147" s="39"/>
      <c r="AB147" s="39"/>
      <c r="AC147" s="48"/>
    </row>
    <row r="148" spans="2:29" ht="15.75" x14ac:dyDescent="0.25">
      <c r="B148" s="39"/>
      <c r="C148" s="40"/>
      <c r="D148" s="40"/>
      <c r="E148" s="40"/>
      <c r="F148" s="39"/>
      <c r="G148" s="41"/>
      <c r="H148" s="41"/>
      <c r="I148" s="49"/>
      <c r="J148" s="43"/>
      <c r="K148" s="44"/>
      <c r="L148" s="44"/>
      <c r="M148" s="50"/>
      <c r="N148" s="51"/>
      <c r="O148" s="47"/>
      <c r="P148" s="47"/>
      <c r="Q148" s="41"/>
      <c r="R148" s="39"/>
      <c r="S148" s="39"/>
      <c r="T148" s="41" t="str">
        <f t="shared" si="2"/>
        <v/>
      </c>
      <c r="U148" s="39"/>
      <c r="V148" s="39"/>
      <c r="W148" s="39"/>
      <c r="X148" s="39"/>
      <c r="Y148" s="39"/>
      <c r="Z148" s="39"/>
      <c r="AA148" s="39"/>
      <c r="AB148" s="39"/>
      <c r="AC148" s="48"/>
    </row>
    <row r="149" spans="2:29" ht="15.75" x14ac:dyDescent="0.25">
      <c r="B149" s="39"/>
      <c r="C149" s="40"/>
      <c r="D149" s="40"/>
      <c r="E149" s="40"/>
      <c r="F149" s="39"/>
      <c r="G149" s="41"/>
      <c r="H149" s="41"/>
      <c r="I149" s="49"/>
      <c r="J149" s="43"/>
      <c r="K149" s="44"/>
      <c r="L149" s="44"/>
      <c r="M149" s="50"/>
      <c r="N149" s="51"/>
      <c r="O149" s="47"/>
      <c r="P149" s="47"/>
      <c r="Q149" s="41"/>
      <c r="R149" s="39"/>
      <c r="S149" s="39"/>
      <c r="T149" s="41" t="str">
        <f t="shared" si="2"/>
        <v/>
      </c>
      <c r="U149" s="39"/>
      <c r="V149" s="39"/>
      <c r="W149" s="39"/>
      <c r="X149" s="39"/>
      <c r="Y149" s="39"/>
      <c r="Z149" s="39"/>
      <c r="AA149" s="39"/>
      <c r="AB149" s="39"/>
      <c r="AC149" s="48"/>
    </row>
    <row r="150" spans="2:29" ht="15.75" x14ac:dyDescent="0.25">
      <c r="B150" s="39"/>
      <c r="C150" s="40"/>
      <c r="D150" s="40"/>
      <c r="E150" s="40"/>
      <c r="F150" s="39"/>
      <c r="G150" s="41"/>
      <c r="H150" s="41"/>
      <c r="I150" s="49"/>
      <c r="J150" s="43"/>
      <c r="K150" s="44"/>
      <c r="L150" s="44"/>
      <c r="M150" s="50"/>
      <c r="N150" s="51"/>
      <c r="O150" s="47"/>
      <c r="P150" s="47"/>
      <c r="Q150" s="41"/>
      <c r="R150" s="39"/>
      <c r="S150" s="39"/>
      <c r="T150" s="41" t="str">
        <f t="shared" si="2"/>
        <v/>
      </c>
      <c r="U150" s="39"/>
      <c r="V150" s="39"/>
      <c r="W150" s="39"/>
      <c r="X150" s="39"/>
      <c r="Y150" s="39"/>
      <c r="Z150" s="39"/>
      <c r="AA150" s="39"/>
      <c r="AB150" s="39"/>
      <c r="AC150" s="48"/>
    </row>
    <row r="151" spans="2:29" ht="15.75" x14ac:dyDescent="0.25">
      <c r="B151" s="39"/>
      <c r="C151" s="40"/>
      <c r="D151" s="40"/>
      <c r="E151" s="40"/>
      <c r="F151" s="39"/>
      <c r="G151" s="41"/>
      <c r="H151" s="41"/>
      <c r="I151" s="49"/>
      <c r="J151" s="43"/>
      <c r="K151" s="44"/>
      <c r="L151" s="44"/>
      <c r="M151" s="50"/>
      <c r="N151" s="51"/>
      <c r="O151" s="47"/>
      <c r="P151" s="47"/>
      <c r="Q151" s="41"/>
      <c r="R151" s="39"/>
      <c r="S151" s="39"/>
      <c r="T151" s="41" t="str">
        <f t="shared" si="2"/>
        <v/>
      </c>
      <c r="U151" s="39"/>
      <c r="V151" s="39"/>
      <c r="W151" s="39"/>
      <c r="X151" s="39"/>
      <c r="Y151" s="39"/>
      <c r="Z151" s="39"/>
      <c r="AA151" s="39"/>
      <c r="AB151" s="39"/>
      <c r="AC151" s="48"/>
    </row>
    <row r="152" spans="2:29" ht="15.75" x14ac:dyDescent="0.25">
      <c r="B152" s="39"/>
      <c r="C152" s="40"/>
      <c r="D152" s="40"/>
      <c r="E152" s="40"/>
      <c r="F152" s="39"/>
      <c r="G152" s="41"/>
      <c r="H152" s="41"/>
      <c r="I152" s="49"/>
      <c r="J152" s="43"/>
      <c r="K152" s="44"/>
      <c r="L152" s="44"/>
      <c r="M152" s="50"/>
      <c r="N152" s="51"/>
      <c r="O152" s="47"/>
      <c r="P152" s="47"/>
      <c r="Q152" s="41"/>
      <c r="R152" s="39"/>
      <c r="S152" s="39"/>
      <c r="T152" s="41" t="str">
        <f t="shared" si="2"/>
        <v/>
      </c>
      <c r="U152" s="39"/>
      <c r="V152" s="39"/>
      <c r="W152" s="39"/>
      <c r="X152" s="39"/>
      <c r="Y152" s="39"/>
      <c r="Z152" s="39"/>
      <c r="AA152" s="39"/>
      <c r="AB152" s="39"/>
      <c r="AC152" s="48"/>
    </row>
    <row r="153" spans="2:29" ht="15.75" x14ac:dyDescent="0.25">
      <c r="B153" s="39"/>
      <c r="C153" s="40"/>
      <c r="D153" s="40"/>
      <c r="E153" s="40"/>
      <c r="F153" s="39"/>
      <c r="G153" s="41"/>
      <c r="H153" s="41"/>
      <c r="I153" s="49"/>
      <c r="J153" s="43"/>
      <c r="K153" s="44"/>
      <c r="L153" s="44"/>
      <c r="M153" s="50"/>
      <c r="N153" s="51"/>
      <c r="O153" s="47"/>
      <c r="P153" s="47"/>
      <c r="Q153" s="41"/>
      <c r="R153" s="39"/>
      <c r="S153" s="39"/>
      <c r="T153" s="41" t="str">
        <f t="shared" si="2"/>
        <v/>
      </c>
      <c r="U153" s="39"/>
      <c r="V153" s="39"/>
      <c r="W153" s="39"/>
      <c r="X153" s="39"/>
      <c r="Y153" s="39"/>
      <c r="Z153" s="39"/>
      <c r="AA153" s="39"/>
      <c r="AB153" s="39"/>
      <c r="AC153" s="48"/>
    </row>
    <row r="154" spans="2:29" ht="15.75" x14ac:dyDescent="0.25">
      <c r="B154" s="39"/>
      <c r="C154" s="40"/>
      <c r="D154" s="40"/>
      <c r="E154" s="40"/>
      <c r="F154" s="39"/>
      <c r="G154" s="41"/>
      <c r="H154" s="41"/>
      <c r="I154" s="49"/>
      <c r="J154" s="43"/>
      <c r="K154" s="44"/>
      <c r="L154" s="44"/>
      <c r="M154" s="50"/>
      <c r="N154" s="51"/>
      <c r="O154" s="47"/>
      <c r="P154" s="47"/>
      <c r="Q154" s="41"/>
      <c r="R154" s="39"/>
      <c r="S154" s="39"/>
      <c r="T154" s="41" t="str">
        <f t="shared" si="2"/>
        <v/>
      </c>
      <c r="U154" s="39"/>
      <c r="V154" s="39"/>
      <c r="W154" s="39"/>
      <c r="X154" s="39"/>
      <c r="Y154" s="39"/>
      <c r="Z154" s="39"/>
      <c r="AA154" s="39"/>
      <c r="AB154" s="39"/>
      <c r="AC154" s="48"/>
    </row>
    <row r="155" spans="2:29" ht="15.75" x14ac:dyDescent="0.25">
      <c r="B155" s="39"/>
      <c r="C155" s="40"/>
      <c r="D155" s="40"/>
      <c r="E155" s="40"/>
      <c r="F155" s="39"/>
      <c r="G155" s="41"/>
      <c r="H155" s="41"/>
      <c r="I155" s="49"/>
      <c r="J155" s="43"/>
      <c r="K155" s="44"/>
      <c r="L155" s="44"/>
      <c r="M155" s="50"/>
      <c r="N155" s="51"/>
      <c r="O155" s="47"/>
      <c r="P155" s="47"/>
      <c r="Q155" s="41"/>
      <c r="R155" s="39"/>
      <c r="S155" s="39"/>
      <c r="T155" s="41" t="str">
        <f t="shared" si="2"/>
        <v/>
      </c>
      <c r="U155" s="39"/>
      <c r="V155" s="39"/>
      <c r="W155" s="39"/>
      <c r="X155" s="39"/>
      <c r="Y155" s="39"/>
      <c r="Z155" s="39"/>
      <c r="AA155" s="39"/>
      <c r="AB155" s="39"/>
      <c r="AC155" s="48"/>
    </row>
    <row r="156" spans="2:29" ht="15.75" x14ac:dyDescent="0.25">
      <c r="B156" s="39"/>
      <c r="C156" s="40"/>
      <c r="D156" s="40"/>
      <c r="E156" s="40"/>
      <c r="F156" s="39"/>
      <c r="G156" s="41"/>
      <c r="H156" s="41"/>
      <c r="I156" s="49"/>
      <c r="J156" s="43"/>
      <c r="K156" s="44"/>
      <c r="L156" s="44"/>
      <c r="M156" s="50"/>
      <c r="N156" s="51"/>
      <c r="O156" s="47"/>
      <c r="P156" s="47"/>
      <c r="Q156" s="41"/>
      <c r="R156" s="39"/>
      <c r="S156" s="39"/>
      <c r="T156" s="41" t="str">
        <f t="shared" si="2"/>
        <v/>
      </c>
      <c r="U156" s="39"/>
      <c r="V156" s="39"/>
      <c r="W156" s="39"/>
      <c r="X156" s="39"/>
      <c r="Y156" s="39"/>
      <c r="Z156" s="39"/>
      <c r="AA156" s="39"/>
      <c r="AB156" s="39"/>
      <c r="AC156" s="48"/>
    </row>
    <row r="157" spans="2:29" ht="15.75" x14ac:dyDescent="0.25">
      <c r="B157" s="39"/>
      <c r="C157" s="40"/>
      <c r="D157" s="40"/>
      <c r="E157" s="40"/>
      <c r="F157" s="39"/>
      <c r="G157" s="41"/>
      <c r="H157" s="41"/>
      <c r="I157" s="49"/>
      <c r="J157" s="43"/>
      <c r="K157" s="44"/>
      <c r="L157" s="44"/>
      <c r="M157" s="50"/>
      <c r="N157" s="51"/>
      <c r="O157" s="47"/>
      <c r="P157" s="47"/>
      <c r="Q157" s="41"/>
      <c r="R157" s="39"/>
      <c r="S157" s="39"/>
      <c r="T157" s="41" t="str">
        <f t="shared" si="2"/>
        <v/>
      </c>
      <c r="U157" s="39"/>
      <c r="V157" s="39"/>
      <c r="W157" s="39"/>
      <c r="X157" s="39"/>
      <c r="Y157" s="39"/>
      <c r="Z157" s="39"/>
      <c r="AA157" s="39"/>
      <c r="AB157" s="39"/>
      <c r="AC157" s="48"/>
    </row>
    <row r="158" spans="2:29" ht="15.75" x14ac:dyDescent="0.25">
      <c r="B158" s="39"/>
      <c r="C158" s="40"/>
      <c r="D158" s="40"/>
      <c r="E158" s="40"/>
      <c r="F158" s="39"/>
      <c r="G158" s="41"/>
      <c r="H158" s="41"/>
      <c r="I158" s="49"/>
      <c r="J158" s="43"/>
      <c r="K158" s="44"/>
      <c r="L158" s="44"/>
      <c r="M158" s="50"/>
      <c r="N158" s="51"/>
      <c r="O158" s="47"/>
      <c r="P158" s="47"/>
      <c r="Q158" s="41"/>
      <c r="R158" s="39"/>
      <c r="S158" s="39"/>
      <c r="T158" s="41" t="str">
        <f t="shared" si="2"/>
        <v/>
      </c>
      <c r="U158" s="39"/>
      <c r="V158" s="39"/>
      <c r="W158" s="39"/>
      <c r="X158" s="39"/>
      <c r="Y158" s="39"/>
      <c r="Z158" s="39"/>
      <c r="AA158" s="39"/>
      <c r="AB158" s="39"/>
      <c r="AC158" s="48"/>
    </row>
    <row r="159" spans="2:29" ht="15.75" x14ac:dyDescent="0.25">
      <c r="B159" s="39"/>
      <c r="C159" s="40"/>
      <c r="D159" s="40"/>
      <c r="E159" s="40"/>
      <c r="F159" s="39"/>
      <c r="G159" s="41"/>
      <c r="H159" s="41"/>
      <c r="I159" s="49"/>
      <c r="J159" s="43"/>
      <c r="K159" s="44"/>
      <c r="L159" s="44"/>
      <c r="M159" s="50"/>
      <c r="N159" s="51"/>
      <c r="O159" s="47"/>
      <c r="P159" s="47"/>
      <c r="Q159" s="41"/>
      <c r="R159" s="39"/>
      <c r="S159" s="39"/>
      <c r="T159" s="41" t="str">
        <f t="shared" si="2"/>
        <v/>
      </c>
      <c r="U159" s="39"/>
      <c r="V159" s="39"/>
      <c r="W159" s="39"/>
      <c r="X159" s="39"/>
      <c r="Y159" s="39"/>
      <c r="Z159" s="39"/>
      <c r="AA159" s="39"/>
      <c r="AB159" s="39"/>
      <c r="AC159" s="48"/>
    </row>
    <row r="160" spans="2:29" ht="15.75" x14ac:dyDescent="0.25">
      <c r="B160" s="39"/>
      <c r="C160" s="40"/>
      <c r="D160" s="40"/>
      <c r="E160" s="40"/>
      <c r="F160" s="39"/>
      <c r="G160" s="41"/>
      <c r="H160" s="41"/>
      <c r="I160" s="49"/>
      <c r="J160" s="43"/>
      <c r="K160" s="44"/>
      <c r="L160" s="44"/>
      <c r="M160" s="50"/>
      <c r="N160" s="51"/>
      <c r="O160" s="47"/>
      <c r="P160" s="47"/>
      <c r="Q160" s="41"/>
      <c r="R160" s="39"/>
      <c r="S160" s="39"/>
      <c r="T160" s="41" t="str">
        <f t="shared" si="2"/>
        <v/>
      </c>
      <c r="U160" s="39"/>
      <c r="V160" s="39"/>
      <c r="W160" s="39"/>
      <c r="X160" s="39"/>
      <c r="Y160" s="39"/>
      <c r="Z160" s="39"/>
      <c r="AA160" s="39"/>
      <c r="AB160" s="39"/>
      <c r="AC160" s="48"/>
    </row>
    <row r="161" spans="2:29" ht="15.75" x14ac:dyDescent="0.25">
      <c r="B161" s="39"/>
      <c r="C161" s="40"/>
      <c r="D161" s="40"/>
      <c r="E161" s="40"/>
      <c r="F161" s="39"/>
      <c r="G161" s="41"/>
      <c r="H161" s="41"/>
      <c r="I161" s="49"/>
      <c r="J161" s="43"/>
      <c r="K161" s="44"/>
      <c r="L161" s="44"/>
      <c r="M161" s="50"/>
      <c r="N161" s="51"/>
      <c r="O161" s="47"/>
      <c r="P161" s="47"/>
      <c r="Q161" s="41"/>
      <c r="R161" s="39"/>
      <c r="S161" s="39"/>
      <c r="T161" s="41" t="str">
        <f t="shared" si="2"/>
        <v/>
      </c>
      <c r="U161" s="39"/>
      <c r="V161" s="39"/>
      <c r="W161" s="39"/>
      <c r="X161" s="39"/>
      <c r="Y161" s="39"/>
      <c r="Z161" s="39"/>
      <c r="AA161" s="39"/>
      <c r="AB161" s="39"/>
      <c r="AC161" s="48"/>
    </row>
    <row r="162" spans="2:29" ht="15.75" x14ac:dyDescent="0.25">
      <c r="B162" s="39"/>
      <c r="C162" s="40"/>
      <c r="D162" s="40"/>
      <c r="E162" s="40"/>
      <c r="F162" s="39"/>
      <c r="G162" s="41"/>
      <c r="H162" s="41"/>
      <c r="I162" s="49"/>
      <c r="J162" s="43"/>
      <c r="K162" s="44"/>
      <c r="L162" s="44"/>
      <c r="M162" s="50"/>
      <c r="N162" s="51"/>
      <c r="O162" s="47"/>
      <c r="P162" s="47"/>
      <c r="Q162" s="41"/>
      <c r="R162" s="39"/>
      <c r="S162" s="39"/>
      <c r="T162" s="41" t="str">
        <f t="shared" si="2"/>
        <v/>
      </c>
      <c r="U162" s="39"/>
      <c r="V162" s="39"/>
      <c r="W162" s="39"/>
      <c r="X162" s="39"/>
      <c r="Y162" s="39"/>
      <c r="Z162" s="39"/>
      <c r="AA162" s="39"/>
      <c r="AB162" s="39"/>
      <c r="AC162" s="48"/>
    </row>
    <row r="163" spans="2:29" ht="15.75" x14ac:dyDescent="0.25">
      <c r="B163" s="39"/>
      <c r="C163" s="40"/>
      <c r="D163" s="40"/>
      <c r="E163" s="40"/>
      <c r="F163" s="39"/>
      <c r="G163" s="41"/>
      <c r="H163" s="41"/>
      <c r="I163" s="49"/>
      <c r="J163" s="43"/>
      <c r="K163" s="44"/>
      <c r="L163" s="44"/>
      <c r="M163" s="50"/>
      <c r="N163" s="51"/>
      <c r="O163" s="47"/>
      <c r="P163" s="47"/>
      <c r="Q163" s="41"/>
      <c r="R163" s="39"/>
      <c r="S163" s="39"/>
      <c r="T163" s="41" t="str">
        <f t="shared" si="2"/>
        <v/>
      </c>
      <c r="U163" s="39"/>
      <c r="V163" s="39"/>
      <c r="W163" s="39"/>
      <c r="X163" s="39"/>
      <c r="Y163" s="39"/>
      <c r="Z163" s="39"/>
      <c r="AA163" s="39"/>
      <c r="AB163" s="39"/>
      <c r="AC163" s="48"/>
    </row>
    <row r="164" spans="2:29" ht="15.75" x14ac:dyDescent="0.25">
      <c r="B164" s="39"/>
      <c r="C164" s="40"/>
      <c r="D164" s="40"/>
      <c r="E164" s="40"/>
      <c r="F164" s="39"/>
      <c r="G164" s="41"/>
      <c r="H164" s="41"/>
      <c r="I164" s="49"/>
      <c r="J164" s="43"/>
      <c r="K164" s="44"/>
      <c r="L164" s="44"/>
      <c r="M164" s="50"/>
      <c r="N164" s="51"/>
      <c r="O164" s="47"/>
      <c r="P164" s="47"/>
      <c r="Q164" s="41"/>
      <c r="R164" s="39"/>
      <c r="S164" s="39"/>
      <c r="T164" s="41" t="str">
        <f t="shared" si="2"/>
        <v/>
      </c>
      <c r="U164" s="39"/>
      <c r="V164" s="39"/>
      <c r="W164" s="39"/>
      <c r="X164" s="39"/>
      <c r="Y164" s="39"/>
      <c r="Z164" s="39"/>
      <c r="AA164" s="39"/>
      <c r="AB164" s="39"/>
      <c r="AC164" s="48"/>
    </row>
    <row r="165" spans="2:29" ht="15.75" x14ac:dyDescent="0.25">
      <c r="B165" s="39"/>
      <c r="C165" s="40"/>
      <c r="D165" s="40"/>
      <c r="E165" s="40"/>
      <c r="F165" s="39"/>
      <c r="G165" s="41"/>
      <c r="H165" s="41"/>
      <c r="I165" s="49"/>
      <c r="J165" s="43"/>
      <c r="K165" s="44"/>
      <c r="L165" s="44"/>
      <c r="M165" s="50"/>
      <c r="N165" s="51"/>
      <c r="O165" s="47"/>
      <c r="P165" s="47"/>
      <c r="Q165" s="41"/>
      <c r="R165" s="39"/>
      <c r="S165" s="39"/>
      <c r="T165" s="41" t="str">
        <f t="shared" si="2"/>
        <v/>
      </c>
      <c r="U165" s="39"/>
      <c r="V165" s="39"/>
      <c r="W165" s="39"/>
      <c r="X165" s="39"/>
      <c r="Y165" s="39"/>
      <c r="Z165" s="39"/>
      <c r="AA165" s="39"/>
      <c r="AB165" s="39"/>
      <c r="AC165" s="48"/>
    </row>
    <row r="166" spans="2:29" ht="15.75" x14ac:dyDescent="0.25">
      <c r="B166" s="39"/>
      <c r="C166" s="40"/>
      <c r="D166" s="40"/>
      <c r="E166" s="40"/>
      <c r="F166" s="39"/>
      <c r="G166" s="41"/>
      <c r="H166" s="41"/>
      <c r="I166" s="49"/>
      <c r="J166" s="43"/>
      <c r="K166" s="44"/>
      <c r="L166" s="44"/>
      <c r="M166" s="50"/>
      <c r="N166" s="51"/>
      <c r="O166" s="47"/>
      <c r="P166" s="47"/>
      <c r="Q166" s="41"/>
      <c r="R166" s="39"/>
      <c r="S166" s="39"/>
      <c r="T166" s="41" t="str">
        <f t="shared" si="2"/>
        <v/>
      </c>
      <c r="U166" s="39"/>
      <c r="V166" s="39"/>
      <c r="W166" s="39"/>
      <c r="X166" s="39"/>
      <c r="Y166" s="39"/>
      <c r="Z166" s="39"/>
      <c r="AA166" s="39"/>
      <c r="AB166" s="39"/>
      <c r="AC166" s="48"/>
    </row>
    <row r="167" spans="2:29" ht="15.75" x14ac:dyDescent="0.25">
      <c r="B167" s="39"/>
      <c r="C167" s="40"/>
      <c r="D167" s="40"/>
      <c r="E167" s="40"/>
      <c r="F167" s="39"/>
      <c r="G167" s="41"/>
      <c r="H167" s="41"/>
      <c r="I167" s="49"/>
      <c r="J167" s="43"/>
      <c r="K167" s="44"/>
      <c r="L167" s="44"/>
      <c r="M167" s="50"/>
      <c r="N167" s="51"/>
      <c r="O167" s="47"/>
      <c r="P167" s="47"/>
      <c r="Q167" s="41"/>
      <c r="R167" s="39"/>
      <c r="S167" s="39"/>
      <c r="T167" s="41" t="str">
        <f t="shared" si="2"/>
        <v/>
      </c>
      <c r="U167" s="39"/>
      <c r="V167" s="39"/>
      <c r="W167" s="39"/>
      <c r="X167" s="39"/>
      <c r="Y167" s="39"/>
      <c r="Z167" s="39"/>
      <c r="AA167" s="39"/>
      <c r="AB167" s="39"/>
      <c r="AC167" s="48"/>
    </row>
    <row r="168" spans="2:29" ht="15.75" x14ac:dyDescent="0.25">
      <c r="B168" s="39"/>
      <c r="C168" s="40"/>
      <c r="D168" s="40"/>
      <c r="E168" s="40"/>
      <c r="F168" s="39"/>
      <c r="G168" s="41"/>
      <c r="H168" s="41"/>
      <c r="I168" s="49"/>
      <c r="J168" s="43"/>
      <c r="K168" s="44"/>
      <c r="L168" s="44"/>
      <c r="M168" s="50"/>
      <c r="N168" s="51"/>
      <c r="O168" s="47"/>
      <c r="P168" s="47"/>
      <c r="Q168" s="41"/>
      <c r="R168" s="39"/>
      <c r="S168" s="39"/>
      <c r="T168" s="41" t="str">
        <f t="shared" si="2"/>
        <v/>
      </c>
      <c r="U168" s="39"/>
      <c r="V168" s="39"/>
      <c r="W168" s="39"/>
      <c r="X168" s="39"/>
      <c r="Y168" s="39"/>
      <c r="Z168" s="39"/>
      <c r="AA168" s="39"/>
      <c r="AB168" s="39"/>
      <c r="AC168" s="48"/>
    </row>
    <row r="169" spans="2:29" ht="15.75" x14ac:dyDescent="0.25">
      <c r="B169" s="39"/>
      <c r="C169" s="40"/>
      <c r="D169" s="40"/>
      <c r="E169" s="40"/>
      <c r="F169" s="39"/>
      <c r="G169" s="41"/>
      <c r="H169" s="41"/>
      <c r="I169" s="49"/>
      <c r="J169" s="43"/>
      <c r="K169" s="44"/>
      <c r="L169" s="44"/>
      <c r="M169" s="50"/>
      <c r="N169" s="51"/>
      <c r="O169" s="47"/>
      <c r="P169" s="47"/>
      <c r="Q169" s="41"/>
      <c r="R169" s="39"/>
      <c r="S169" s="39"/>
      <c r="T169" s="41" t="str">
        <f t="shared" si="2"/>
        <v/>
      </c>
      <c r="U169" s="39"/>
      <c r="V169" s="39"/>
      <c r="W169" s="39"/>
      <c r="X169" s="39"/>
      <c r="Y169" s="39"/>
      <c r="Z169" s="39"/>
      <c r="AA169" s="39"/>
      <c r="AB169" s="39"/>
      <c r="AC169" s="48"/>
    </row>
    <row r="170" spans="2:29" ht="15.75" x14ac:dyDescent="0.25">
      <c r="B170" s="39"/>
      <c r="C170" s="40"/>
      <c r="D170" s="40"/>
      <c r="E170" s="40"/>
      <c r="F170" s="39"/>
      <c r="G170" s="41"/>
      <c r="H170" s="41"/>
      <c r="I170" s="49"/>
      <c r="J170" s="43"/>
      <c r="K170" s="44"/>
      <c r="L170" s="44"/>
      <c r="M170" s="50"/>
      <c r="N170" s="51"/>
      <c r="O170" s="47"/>
      <c r="P170" s="47"/>
      <c r="Q170" s="41"/>
      <c r="R170" s="39"/>
      <c r="S170" s="39"/>
      <c r="T170" s="41" t="str">
        <f t="shared" si="2"/>
        <v/>
      </c>
      <c r="U170" s="39"/>
      <c r="V170" s="39"/>
      <c r="W170" s="39"/>
      <c r="X170" s="39"/>
      <c r="Y170" s="39"/>
      <c r="Z170" s="39"/>
      <c r="AA170" s="39"/>
      <c r="AB170" s="39"/>
      <c r="AC170" s="48"/>
    </row>
    <row r="171" spans="2:29" ht="15.75" x14ac:dyDescent="0.25">
      <c r="B171" s="39"/>
      <c r="C171" s="40"/>
      <c r="D171" s="40"/>
      <c r="E171" s="40"/>
      <c r="F171" s="39"/>
      <c r="G171" s="41"/>
      <c r="H171" s="41"/>
      <c r="I171" s="49"/>
      <c r="J171" s="43"/>
      <c r="K171" s="44"/>
      <c r="L171" s="44"/>
      <c r="M171" s="50"/>
      <c r="N171" s="51"/>
      <c r="O171" s="47"/>
      <c r="P171" s="47"/>
      <c r="Q171" s="41"/>
      <c r="R171" s="39"/>
      <c r="S171" s="39"/>
      <c r="T171" s="41" t="str">
        <f t="shared" si="2"/>
        <v/>
      </c>
      <c r="U171" s="39"/>
      <c r="V171" s="39"/>
      <c r="W171" s="39"/>
      <c r="X171" s="39"/>
      <c r="Y171" s="39"/>
      <c r="Z171" s="39"/>
      <c r="AA171" s="39"/>
      <c r="AB171" s="39"/>
      <c r="AC171" s="48"/>
    </row>
    <row r="172" spans="2:29" ht="15.75" x14ac:dyDescent="0.25">
      <c r="B172" s="39"/>
      <c r="C172" s="40"/>
      <c r="D172" s="40"/>
      <c r="E172" s="40"/>
      <c r="F172" s="39"/>
      <c r="G172" s="41"/>
      <c r="H172" s="41"/>
      <c r="I172" s="49"/>
      <c r="J172" s="43"/>
      <c r="K172" s="44"/>
      <c r="L172" s="44"/>
      <c r="M172" s="50"/>
      <c r="N172" s="51"/>
      <c r="O172" s="47"/>
      <c r="P172" s="47"/>
      <c r="Q172" s="41"/>
      <c r="R172" s="39"/>
      <c r="S172" s="39"/>
      <c r="T172" s="41" t="str">
        <f t="shared" si="2"/>
        <v/>
      </c>
      <c r="U172" s="39"/>
      <c r="V172" s="39"/>
      <c r="W172" s="39"/>
      <c r="X172" s="39"/>
      <c r="Y172" s="39"/>
      <c r="Z172" s="39"/>
      <c r="AA172" s="39"/>
      <c r="AB172" s="39"/>
      <c r="AC172" s="48"/>
    </row>
    <row r="173" spans="2:29" ht="15.75" x14ac:dyDescent="0.25">
      <c r="B173" s="39"/>
      <c r="C173" s="40"/>
      <c r="D173" s="40"/>
      <c r="E173" s="40"/>
      <c r="F173" s="39"/>
      <c r="G173" s="41"/>
      <c r="H173" s="41"/>
      <c r="I173" s="49"/>
      <c r="J173" s="43"/>
      <c r="K173" s="44"/>
      <c r="L173" s="44"/>
      <c r="M173" s="50"/>
      <c r="N173" s="51"/>
      <c r="O173" s="47"/>
      <c r="P173" s="47"/>
      <c r="Q173" s="41"/>
      <c r="R173" s="39"/>
      <c r="S173" s="39"/>
      <c r="T173" s="41" t="str">
        <f t="shared" si="2"/>
        <v/>
      </c>
      <c r="U173" s="39"/>
      <c r="V173" s="39"/>
      <c r="W173" s="39"/>
      <c r="X173" s="39"/>
      <c r="Y173" s="39"/>
      <c r="Z173" s="39"/>
      <c r="AA173" s="39"/>
      <c r="AB173" s="39"/>
      <c r="AC173" s="48"/>
    </row>
    <row r="174" spans="2:29" ht="15.75" x14ac:dyDescent="0.25">
      <c r="B174" s="39"/>
      <c r="C174" s="40"/>
      <c r="D174" s="40"/>
      <c r="E174" s="40"/>
      <c r="F174" s="39"/>
      <c r="G174" s="41"/>
      <c r="H174" s="41"/>
      <c r="I174" s="49"/>
      <c r="J174" s="43"/>
      <c r="K174" s="44"/>
      <c r="L174" s="44"/>
      <c r="M174" s="50"/>
      <c r="N174" s="51"/>
      <c r="O174" s="47"/>
      <c r="P174" s="47"/>
      <c r="Q174" s="41"/>
      <c r="R174" s="39"/>
      <c r="S174" s="39"/>
      <c r="T174" s="41" t="str">
        <f t="shared" si="2"/>
        <v/>
      </c>
      <c r="U174" s="39"/>
      <c r="V174" s="39"/>
      <c r="W174" s="39"/>
      <c r="X174" s="39"/>
      <c r="Y174" s="39"/>
      <c r="Z174" s="39"/>
      <c r="AA174" s="39"/>
      <c r="AB174" s="39"/>
      <c r="AC174" s="48"/>
    </row>
    <row r="175" spans="2:29" ht="15.75" x14ac:dyDescent="0.25">
      <c r="B175" s="39"/>
      <c r="C175" s="40"/>
      <c r="D175" s="40"/>
      <c r="E175" s="40"/>
      <c r="F175" s="39"/>
      <c r="G175" s="41"/>
      <c r="H175" s="41"/>
      <c r="I175" s="49"/>
      <c r="J175" s="43"/>
      <c r="K175" s="44"/>
      <c r="L175" s="44"/>
      <c r="M175" s="50"/>
      <c r="N175" s="51"/>
      <c r="O175" s="47"/>
      <c r="P175" s="47"/>
      <c r="Q175" s="41"/>
      <c r="R175" s="39"/>
      <c r="S175" s="39"/>
      <c r="T175" s="41" t="str">
        <f t="shared" si="2"/>
        <v/>
      </c>
      <c r="U175" s="39"/>
      <c r="V175" s="39"/>
      <c r="W175" s="39"/>
      <c r="X175" s="39"/>
      <c r="Y175" s="39"/>
      <c r="Z175" s="39"/>
      <c r="AA175" s="39"/>
      <c r="AB175" s="39"/>
      <c r="AC175" s="48"/>
    </row>
    <row r="176" spans="2:29" ht="15.75" x14ac:dyDescent="0.25">
      <c r="B176" s="39"/>
      <c r="C176" s="40"/>
      <c r="D176" s="40"/>
      <c r="E176" s="40"/>
      <c r="F176" s="39"/>
      <c r="G176" s="41"/>
      <c r="H176" s="41"/>
      <c r="I176" s="49"/>
      <c r="J176" s="43"/>
      <c r="K176" s="44"/>
      <c r="L176" s="44"/>
      <c r="M176" s="50"/>
      <c r="N176" s="51"/>
      <c r="O176" s="47"/>
      <c r="P176" s="47"/>
      <c r="Q176" s="41"/>
      <c r="R176" s="39"/>
      <c r="S176" s="39"/>
      <c r="T176" s="41" t="str">
        <f t="shared" si="2"/>
        <v/>
      </c>
      <c r="U176" s="39"/>
      <c r="V176" s="39"/>
      <c r="W176" s="39"/>
      <c r="X176" s="39"/>
      <c r="Y176" s="39"/>
      <c r="Z176" s="39"/>
      <c r="AA176" s="39"/>
      <c r="AB176" s="39"/>
      <c r="AC176" s="48"/>
    </row>
    <row r="177" spans="2:30" ht="15.75" x14ac:dyDescent="0.25">
      <c r="B177" s="39"/>
      <c r="C177" s="40"/>
      <c r="D177" s="40"/>
      <c r="E177" s="40"/>
      <c r="F177" s="39"/>
      <c r="G177" s="41"/>
      <c r="H177" s="41"/>
      <c r="I177" s="49"/>
      <c r="J177" s="43"/>
      <c r="K177" s="44"/>
      <c r="L177" s="44"/>
      <c r="M177" s="50"/>
      <c r="N177" s="51"/>
      <c r="O177" s="47"/>
      <c r="P177" s="47"/>
      <c r="Q177" s="41"/>
      <c r="R177" s="39"/>
      <c r="S177" s="39"/>
      <c r="T177" s="41" t="str">
        <f t="shared" si="2"/>
        <v/>
      </c>
      <c r="U177" s="39"/>
      <c r="V177" s="39"/>
      <c r="W177" s="39"/>
      <c r="X177" s="39"/>
      <c r="Y177" s="39"/>
      <c r="Z177" s="39"/>
      <c r="AA177" s="39"/>
      <c r="AB177" s="39"/>
      <c r="AC177" s="48"/>
    </row>
    <row r="178" spans="2:30" ht="15.75" x14ac:dyDescent="0.25">
      <c r="B178" s="39"/>
      <c r="C178" s="40"/>
      <c r="D178" s="40"/>
      <c r="E178" s="40"/>
      <c r="F178" s="39"/>
      <c r="G178" s="41"/>
      <c r="H178" s="41"/>
      <c r="I178" s="49"/>
      <c r="J178" s="43"/>
      <c r="K178" s="44"/>
      <c r="L178" s="44"/>
      <c r="M178" s="50"/>
      <c r="N178" s="51"/>
      <c r="O178" s="47"/>
      <c r="P178" s="47"/>
      <c r="Q178" s="41"/>
      <c r="R178" s="39"/>
      <c r="S178" s="39"/>
      <c r="T178" s="41" t="str">
        <f t="shared" si="2"/>
        <v/>
      </c>
      <c r="U178" s="39"/>
      <c r="V178" s="39"/>
      <c r="W178" s="39"/>
      <c r="X178" s="39"/>
      <c r="Y178" s="39"/>
      <c r="Z178" s="39"/>
      <c r="AA178" s="39"/>
      <c r="AB178" s="39"/>
      <c r="AC178" s="48"/>
    </row>
    <row r="179" spans="2:30" ht="15.75" x14ac:dyDescent="0.25">
      <c r="B179" s="39"/>
      <c r="C179" s="40"/>
      <c r="D179" s="40"/>
      <c r="E179" s="40"/>
      <c r="F179" s="39"/>
      <c r="G179" s="41"/>
      <c r="H179" s="41"/>
      <c r="I179" s="49"/>
      <c r="J179" s="43"/>
      <c r="K179" s="44"/>
      <c r="L179" s="44"/>
      <c r="M179" s="50"/>
      <c r="N179" s="51"/>
      <c r="O179" s="47"/>
      <c r="P179" s="47"/>
      <c r="Q179" s="41"/>
      <c r="R179" s="39"/>
      <c r="S179" s="39"/>
      <c r="T179" s="41" t="str">
        <f t="shared" si="2"/>
        <v/>
      </c>
      <c r="U179" s="39"/>
      <c r="V179" s="39"/>
      <c r="W179" s="39"/>
      <c r="X179" s="39"/>
      <c r="Y179" s="39"/>
      <c r="Z179" s="39"/>
      <c r="AA179" s="39"/>
      <c r="AB179" s="39"/>
      <c r="AC179" s="48"/>
    </row>
    <row r="180" spans="2:30" ht="15.75" x14ac:dyDescent="0.25">
      <c r="B180" s="39"/>
      <c r="C180" s="40"/>
      <c r="D180" s="40"/>
      <c r="E180" s="40"/>
      <c r="F180" s="39"/>
      <c r="G180" s="41"/>
      <c r="H180" s="41"/>
      <c r="I180" s="49"/>
      <c r="J180" s="43"/>
      <c r="K180" s="44"/>
      <c r="L180" s="44"/>
      <c r="M180" s="50"/>
      <c r="N180" s="51"/>
      <c r="O180" s="47"/>
      <c r="P180" s="47"/>
      <c r="Q180" s="41"/>
      <c r="R180" s="39"/>
      <c r="S180" s="39"/>
      <c r="T180" s="41" t="str">
        <f t="shared" si="2"/>
        <v/>
      </c>
      <c r="U180" s="39"/>
      <c r="V180" s="39"/>
      <c r="W180" s="39"/>
      <c r="X180" s="39"/>
      <c r="Y180" s="39"/>
      <c r="Z180" s="39"/>
      <c r="AA180" s="39"/>
      <c r="AB180" s="39"/>
      <c r="AC180" s="48"/>
    </row>
    <row r="181" spans="2:30" ht="15.75" x14ac:dyDescent="0.25">
      <c r="B181" s="39"/>
      <c r="C181" s="40"/>
      <c r="D181" s="40"/>
      <c r="E181" s="40"/>
      <c r="F181" s="39"/>
      <c r="G181" s="41"/>
      <c r="H181" s="41"/>
      <c r="I181" s="49"/>
      <c r="J181" s="43"/>
      <c r="K181" s="44"/>
      <c r="L181" s="44"/>
      <c r="M181" s="50"/>
      <c r="N181" s="51"/>
      <c r="O181" s="47"/>
      <c r="P181" s="47"/>
      <c r="Q181" s="41"/>
      <c r="R181" s="39"/>
      <c r="S181" s="39"/>
      <c r="T181" s="41" t="str">
        <f t="shared" si="2"/>
        <v/>
      </c>
      <c r="U181" s="39"/>
      <c r="V181" s="39"/>
      <c r="W181" s="39"/>
      <c r="X181" s="39"/>
      <c r="Y181" s="39"/>
      <c r="Z181" s="39"/>
      <c r="AA181" s="39"/>
      <c r="AB181" s="39"/>
      <c r="AC181" s="48"/>
    </row>
    <row r="182" spans="2:30" ht="15.75" x14ac:dyDescent="0.25">
      <c r="B182" s="39"/>
      <c r="C182" s="40"/>
      <c r="D182" s="40"/>
      <c r="E182" s="40"/>
      <c r="F182" s="39"/>
      <c r="G182" s="41"/>
      <c r="H182" s="41"/>
      <c r="I182" s="49"/>
      <c r="J182" s="43"/>
      <c r="K182" s="44"/>
      <c r="L182" s="44"/>
      <c r="M182" s="50"/>
      <c r="N182" s="51"/>
      <c r="O182" s="47"/>
      <c r="P182" s="47"/>
      <c r="Q182" s="41"/>
      <c r="R182" s="39"/>
      <c r="S182" s="39"/>
      <c r="T182" s="41" t="str">
        <f t="shared" si="2"/>
        <v/>
      </c>
      <c r="U182" s="39"/>
      <c r="V182" s="39"/>
      <c r="W182" s="39"/>
      <c r="X182" s="39"/>
      <c r="Y182" s="39"/>
      <c r="Z182" s="39"/>
      <c r="AA182" s="39"/>
      <c r="AB182" s="39"/>
      <c r="AC182" s="48"/>
    </row>
    <row r="183" spans="2:30" ht="15.75" x14ac:dyDescent="0.25">
      <c r="B183" s="39"/>
      <c r="C183" s="40"/>
      <c r="D183" s="40"/>
      <c r="E183" s="40"/>
      <c r="F183" s="39"/>
      <c r="G183" s="41"/>
      <c r="H183" s="41"/>
      <c r="I183" s="49"/>
      <c r="J183" s="43"/>
      <c r="K183" s="44"/>
      <c r="L183" s="44"/>
      <c r="M183" s="50"/>
      <c r="N183" s="51"/>
      <c r="O183" s="47"/>
      <c r="P183" s="47"/>
      <c r="Q183" s="41"/>
      <c r="R183" s="39"/>
      <c r="S183" s="39"/>
      <c r="T183" s="41" t="str">
        <f t="shared" si="2"/>
        <v/>
      </c>
      <c r="U183" s="39"/>
      <c r="V183" s="39"/>
      <c r="W183" s="39"/>
      <c r="X183" s="39"/>
      <c r="Y183" s="39"/>
      <c r="Z183" s="39"/>
      <c r="AA183" s="39"/>
      <c r="AB183" s="39"/>
      <c r="AC183" s="48"/>
    </row>
    <row r="184" spans="2:30" ht="15.75" x14ac:dyDescent="0.25">
      <c r="B184" s="39"/>
      <c r="C184" s="40"/>
      <c r="D184" s="40"/>
      <c r="E184" s="40"/>
      <c r="F184" s="39"/>
      <c r="G184" s="41"/>
      <c r="H184" s="41"/>
      <c r="I184" s="49"/>
      <c r="J184" s="43"/>
      <c r="K184" s="44"/>
      <c r="L184" s="44"/>
      <c r="M184" s="50"/>
      <c r="N184" s="51"/>
      <c r="O184" s="47"/>
      <c r="P184" s="47"/>
      <c r="Q184" s="41"/>
      <c r="R184" s="39"/>
      <c r="S184" s="39"/>
      <c r="T184" s="41" t="str">
        <f t="shared" si="2"/>
        <v/>
      </c>
      <c r="U184" s="39"/>
      <c r="V184" s="39"/>
      <c r="W184" s="39"/>
      <c r="X184" s="39"/>
      <c r="Y184" s="39"/>
      <c r="Z184" s="39"/>
      <c r="AA184" s="39"/>
      <c r="AB184" s="39"/>
      <c r="AC184" s="48"/>
    </row>
    <row r="185" spans="2:30" ht="15.75" x14ac:dyDescent="0.25">
      <c r="B185" s="39"/>
      <c r="C185" s="40"/>
      <c r="D185" s="40"/>
      <c r="E185" s="40"/>
      <c r="F185" s="39"/>
      <c r="G185" s="41"/>
      <c r="H185" s="41"/>
      <c r="I185" s="49"/>
      <c r="J185" s="43"/>
      <c r="K185" s="44"/>
      <c r="L185" s="44"/>
      <c r="M185" s="50"/>
      <c r="N185" s="51"/>
      <c r="O185" s="47"/>
      <c r="P185" s="47"/>
      <c r="Q185" s="41"/>
      <c r="R185" s="39"/>
      <c r="S185" s="39"/>
      <c r="T185" s="41" t="str">
        <f t="shared" si="2"/>
        <v/>
      </c>
      <c r="U185" s="39"/>
      <c r="V185" s="39"/>
      <c r="W185" s="39"/>
      <c r="X185" s="39"/>
      <c r="Y185" s="39"/>
      <c r="Z185" s="39"/>
      <c r="AA185" s="39"/>
      <c r="AB185" s="39"/>
      <c r="AC185" s="48"/>
    </row>
    <row r="186" spans="2:30" ht="15.75" x14ac:dyDescent="0.25">
      <c r="B186" s="39"/>
      <c r="C186" s="40"/>
      <c r="D186" s="40"/>
      <c r="E186" s="40"/>
      <c r="F186" s="39"/>
      <c r="G186" s="41"/>
      <c r="H186" s="41"/>
      <c r="I186" s="49"/>
      <c r="J186" s="43"/>
      <c r="K186" s="44"/>
      <c r="L186" s="44"/>
      <c r="M186" s="50"/>
      <c r="N186" s="51"/>
      <c r="O186" s="47"/>
      <c r="P186" s="47"/>
      <c r="Q186" s="41"/>
      <c r="R186" s="39"/>
      <c r="S186" s="39"/>
      <c r="T186" s="41" t="str">
        <f t="shared" si="2"/>
        <v/>
      </c>
      <c r="U186" s="39"/>
      <c r="V186" s="39"/>
      <c r="W186" s="39"/>
      <c r="X186" s="39"/>
      <c r="Y186" s="39"/>
      <c r="Z186" s="39"/>
      <c r="AA186" s="39"/>
      <c r="AB186" s="39"/>
      <c r="AC186" s="48"/>
    </row>
    <row r="187" spans="2:30" ht="15.75" x14ac:dyDescent="0.25">
      <c r="B187" s="39"/>
      <c r="C187" s="40"/>
      <c r="D187" s="40"/>
      <c r="E187" s="40"/>
      <c r="F187" s="39"/>
      <c r="G187" s="41"/>
      <c r="H187" s="41"/>
      <c r="I187" s="49"/>
      <c r="J187" s="52"/>
      <c r="K187" s="44"/>
      <c r="L187" s="44"/>
      <c r="M187" s="50"/>
      <c r="N187" s="51"/>
      <c r="O187" s="47"/>
      <c r="P187" s="47"/>
      <c r="Q187" s="41"/>
      <c r="R187" s="39"/>
      <c r="S187" s="39"/>
      <c r="T187" s="41" t="str">
        <f t="shared" si="2"/>
        <v/>
      </c>
      <c r="U187" s="39"/>
      <c r="V187" s="39"/>
      <c r="W187" s="39"/>
      <c r="X187" s="39"/>
      <c r="Y187" s="39"/>
      <c r="Z187" s="39"/>
      <c r="AA187" s="39"/>
      <c r="AB187" s="39"/>
      <c r="AC187" s="48"/>
    </row>
    <row r="188" spans="2:30" ht="15.75" customHeight="1" x14ac:dyDescent="0.25">
      <c r="B188" s="39"/>
      <c r="C188" s="53"/>
      <c r="D188" s="53"/>
      <c r="E188" s="53"/>
      <c r="F188" s="53"/>
      <c r="G188" s="41"/>
      <c r="H188" s="54"/>
      <c r="I188" s="55"/>
      <c r="J188" s="56"/>
      <c r="K188" s="56"/>
      <c r="L188" s="57"/>
      <c r="M188" s="58"/>
      <c r="N188" s="59"/>
      <c r="O188" s="39" t="str">
        <f t="shared" ref="O188" si="3">IF(ISNUMBER(SEARCH("4Ps",AD188)),"/","")</f>
        <v/>
      </c>
      <c r="P188" s="39" t="str">
        <f t="shared" ref="P188" si="4">IF(ISNUMBER(SEARCH("farmer",AD188)),"/","")</f>
        <v/>
      </c>
      <c r="Q188" s="39" t="str">
        <f t="shared" ref="Q188" si="5">IF(ISNUMBER(SEARCH("fish",AD188)),"/","")</f>
        <v/>
      </c>
      <c r="R188" s="39"/>
      <c r="S188" s="39" t="str">
        <f t="shared" ref="S188" si="6">IF(ISNUMBER(SEARCH("indigenous",AD188)),"/","")</f>
        <v/>
      </c>
      <c r="T188" s="41" t="str">
        <f t="shared" si="2"/>
        <v/>
      </c>
      <c r="U188" s="39" t="str">
        <f t="shared" ref="U188" si="7">IF(ISNUMBER(SEARCH("solo",AD188)),"/","")</f>
        <v/>
      </c>
      <c r="V188" s="39" t="str">
        <f t="shared" ref="V188" si="8">IF(ISNUMBER(SEARCH("pregnant",AD188)),"/","")</f>
        <v/>
      </c>
      <c r="W188" s="39" t="str">
        <f t="shared" ref="W188" si="9">IF(ISNUMBER(SEARCH("pwd",AD188)),"/","")</f>
        <v/>
      </c>
      <c r="X188" s="39" t="str">
        <f t="shared" ref="X188" si="10">IF(ISNUMBER(SEARCH("lactating",AD188)),"/","")</f>
        <v/>
      </c>
      <c r="Y188" s="39" t="str">
        <f t="shared" ref="Y188" si="11">IF(ISNUMBER(SEARCH("out",AD188)),"/","")</f>
        <v/>
      </c>
      <c r="Z188" s="39" t="str">
        <f t="shared" ref="Z188" si="12">IF(ISNUMBER(SEARCH("former",AD188)),"/","")</f>
        <v/>
      </c>
      <c r="AA188" s="39" t="str">
        <f t="shared" ref="AA188" si="13">IF(ISNUMBER(SEARCH("pwud",AD188)),"/","")</f>
        <v/>
      </c>
      <c r="AB188" s="39" t="str">
        <f t="shared" ref="AB188" si="14">IF(ISNUMBER(SEARCH("lgbt",AD188)),"/","")</f>
        <v/>
      </c>
      <c r="AC188" s="60"/>
    </row>
    <row r="189" spans="2:30" ht="15.75" customHeight="1" thickBot="1" x14ac:dyDescent="0.3">
      <c r="B189" s="61"/>
      <c r="C189" s="38"/>
      <c r="D189" s="62"/>
      <c r="E189" s="62"/>
      <c r="F189" s="62"/>
      <c r="G189" s="63"/>
      <c r="H189" s="63"/>
      <c r="I189" s="64"/>
      <c r="J189" s="63"/>
      <c r="K189" s="63"/>
      <c r="L189" s="63"/>
      <c r="M189" s="63"/>
      <c r="N189" s="63"/>
      <c r="O189" s="63"/>
      <c r="P189" s="63"/>
      <c r="Q189" s="63"/>
      <c r="R189" s="63"/>
      <c r="S189" s="63"/>
      <c r="T189" s="65" t="str">
        <f t="shared" si="2"/>
        <v/>
      </c>
      <c r="U189" s="63"/>
      <c r="V189" s="63"/>
      <c r="W189" s="63"/>
      <c r="X189" s="63"/>
      <c r="Y189" s="63"/>
      <c r="Z189" s="66"/>
      <c r="AA189" s="66"/>
      <c r="AB189" s="66"/>
      <c r="AC189" s="63"/>
    </row>
    <row r="190" spans="2:30" ht="15.75" customHeight="1" thickBot="1" x14ac:dyDescent="0.3">
      <c r="B190" s="67" t="s">
        <v>1180</v>
      </c>
      <c r="C190" s="18"/>
      <c r="D190" s="18"/>
      <c r="E190" s="18"/>
      <c r="F190" s="18"/>
      <c r="G190" s="68"/>
      <c r="H190" s="69" t="s">
        <v>1181</v>
      </c>
      <c r="I190" s="4"/>
      <c r="J190" s="4"/>
      <c r="K190" s="4"/>
      <c r="L190" s="70"/>
      <c r="M190" s="71" t="s">
        <v>1182</v>
      </c>
      <c r="N190" s="4"/>
      <c r="O190" s="4"/>
      <c r="P190" s="4"/>
      <c r="Q190" s="4"/>
      <c r="R190" s="4"/>
      <c r="S190" s="4"/>
      <c r="T190" s="4"/>
      <c r="U190" s="4"/>
      <c r="V190" s="4"/>
      <c r="W190" s="4"/>
      <c r="X190" s="4"/>
      <c r="Y190" s="4"/>
      <c r="Z190" s="4"/>
      <c r="AA190" s="4"/>
      <c r="AB190" s="4"/>
      <c r="AC190" s="4"/>
      <c r="AD190" s="72"/>
    </row>
    <row r="191" spans="2:30" ht="15.75" customHeight="1" thickBot="1" x14ac:dyDescent="0.3">
      <c r="B191" s="73" t="s">
        <v>1183</v>
      </c>
      <c r="C191" s="12"/>
      <c r="D191" s="74"/>
      <c r="E191" s="75" t="s">
        <v>1184</v>
      </c>
      <c r="F191" s="76" t="s">
        <v>1185</v>
      </c>
      <c r="G191" s="68"/>
      <c r="H191" s="77" t="s">
        <v>1183</v>
      </c>
      <c r="I191" s="78"/>
      <c r="J191" s="79" t="s">
        <v>1184</v>
      </c>
      <c r="K191" s="80" t="s">
        <v>1185</v>
      </c>
      <c r="L191" s="68"/>
      <c r="M191" s="81"/>
      <c r="N191" s="82"/>
      <c r="O191" s="82"/>
      <c r="P191" s="82"/>
      <c r="Q191" s="82"/>
      <c r="R191" s="82"/>
      <c r="S191" s="82"/>
      <c r="T191" s="82"/>
      <c r="U191" s="82"/>
      <c r="V191" s="82"/>
      <c r="W191" s="82"/>
      <c r="X191" s="82"/>
      <c r="Y191" s="82"/>
      <c r="Z191" s="82"/>
      <c r="AA191" s="82"/>
      <c r="AB191" s="82"/>
      <c r="AC191" s="4"/>
      <c r="AD191" s="72"/>
    </row>
    <row r="192" spans="2:30" ht="15.75" customHeight="1" thickBot="1" x14ac:dyDescent="0.3">
      <c r="B192" s="81"/>
      <c r="C192" s="4"/>
      <c r="D192" s="70"/>
      <c r="E192" s="81"/>
      <c r="F192" s="83" t="s">
        <v>1186</v>
      </c>
      <c r="G192" s="84" t="s">
        <v>1187</v>
      </c>
      <c r="H192" s="4"/>
      <c r="I192" s="85"/>
      <c r="J192" s="86"/>
      <c r="K192" s="87" t="s">
        <v>1186</v>
      </c>
      <c r="L192" s="88" t="s">
        <v>1187</v>
      </c>
      <c r="M192" s="81"/>
      <c r="N192" s="82"/>
      <c r="O192" s="82"/>
      <c r="P192" s="82"/>
      <c r="Q192" s="82"/>
      <c r="R192" s="82"/>
      <c r="S192" s="82"/>
      <c r="T192" s="82"/>
      <c r="U192" s="82"/>
      <c r="V192" s="82"/>
      <c r="W192" s="82"/>
      <c r="X192" s="82"/>
      <c r="Y192" s="82"/>
      <c r="Z192" s="82"/>
      <c r="AA192" s="82"/>
      <c r="AB192" s="82"/>
      <c r="AC192" s="4"/>
      <c r="AD192" s="72"/>
    </row>
    <row r="193" spans="2:30" ht="18.75" customHeight="1" x14ac:dyDescent="0.25">
      <c r="B193" s="89" t="s">
        <v>1188</v>
      </c>
      <c r="C193" s="90" t="s">
        <v>1158</v>
      </c>
      <c r="D193" s="91"/>
      <c r="E193" s="92">
        <f>SUM(F193:G193)</f>
        <v>0</v>
      </c>
      <c r="F193" s="93">
        <f>COUNTIFS($K$12:$K$188,$F$192,$M$12:$M$188,"/")</f>
        <v>0</v>
      </c>
      <c r="G193" s="94">
        <f>COUNTIFS($K$12:$K$188,$G$192,$M$12:$M$188,"/")</f>
        <v>0</v>
      </c>
      <c r="H193" s="95" t="s">
        <v>1189</v>
      </c>
      <c r="I193" s="91"/>
      <c r="J193" s="96" t="str">
        <f t="shared" ref="J193:J203" si="15">IF(SUM(K193:L193)=0,"0",SUM(K193:L193))</f>
        <v>0</v>
      </c>
      <c r="K193" s="97">
        <f>COUNTIFS($K$12:$K190,"MALE",$W$12:$W190,"A")</f>
        <v>0</v>
      </c>
      <c r="L193" s="98">
        <f>COUNTIFS($K$12:$K190,"FEMALE",$W$12:$W190,"A")</f>
        <v>0</v>
      </c>
      <c r="M193" s="81"/>
      <c r="N193" s="82"/>
      <c r="O193" s="82"/>
      <c r="P193" s="82"/>
      <c r="Q193" s="82"/>
      <c r="R193" s="82"/>
      <c r="S193" s="82"/>
      <c r="T193" s="82"/>
      <c r="U193" s="82"/>
      <c r="V193" s="82"/>
      <c r="W193" s="82"/>
      <c r="X193" s="82"/>
      <c r="Y193" s="82"/>
      <c r="Z193" s="82"/>
      <c r="AA193" s="82"/>
      <c r="AB193" s="82"/>
      <c r="AC193" s="4"/>
      <c r="AD193" s="72"/>
    </row>
    <row r="194" spans="2:30" ht="18.75" customHeight="1" x14ac:dyDescent="0.25">
      <c r="B194" s="19"/>
      <c r="C194" s="99" t="s">
        <v>1159</v>
      </c>
      <c r="D194" s="100"/>
      <c r="E194" s="101">
        <f>SUM(F194:G194)</f>
        <v>0</v>
      </c>
      <c r="F194" s="102">
        <f>COUNTIFS($K$12:$K$188,$F$192,$N$12:$N$188,"/")</f>
        <v>0</v>
      </c>
      <c r="G194" s="103">
        <f>COUNTIFS($K$12:$K$188,$G$192,$N$12:$N$188,"/")</f>
        <v>0</v>
      </c>
      <c r="H194" s="104" t="s">
        <v>1190</v>
      </c>
      <c r="I194" s="100"/>
      <c r="J194" s="105" t="str">
        <f t="shared" si="15"/>
        <v>0</v>
      </c>
      <c r="K194" s="106">
        <f>COUNTIFS($K$12:$K190,"MALE",$W$12:$W190,"B")</f>
        <v>0</v>
      </c>
      <c r="L194" s="107">
        <f>COUNTIFS($K$12:$K190,"FEMALE",$W$12:$W190,"B")</f>
        <v>0</v>
      </c>
      <c r="M194" s="81"/>
      <c r="N194" s="82"/>
      <c r="O194" s="82"/>
      <c r="P194" s="82"/>
      <c r="Q194" s="82"/>
      <c r="R194" s="82"/>
      <c r="S194" s="82"/>
      <c r="T194" s="82"/>
      <c r="U194" s="82"/>
      <c r="V194" s="82"/>
      <c r="W194" s="82"/>
      <c r="X194" s="82"/>
      <c r="Y194" s="82"/>
      <c r="Z194" s="82"/>
      <c r="AA194" s="82"/>
      <c r="AB194" s="82"/>
      <c r="AC194" s="4"/>
      <c r="AD194" s="72"/>
    </row>
    <row r="195" spans="2:30" ht="15.75" customHeight="1" thickBot="1" x14ac:dyDescent="0.3">
      <c r="B195" s="19"/>
      <c r="C195" s="108" t="s">
        <v>1184</v>
      </c>
      <c r="D195" s="109"/>
      <c r="E195" s="110">
        <f>IF(SUM(E193:E194)=SUM(F195:G195),SUM(E193:E194),"Something's Wrong")</f>
        <v>0</v>
      </c>
      <c r="F195" s="111">
        <f>SUM(F193:F194)</f>
        <v>0</v>
      </c>
      <c r="G195" s="112">
        <f>SUM(G193:G194)</f>
        <v>0</v>
      </c>
      <c r="H195" s="104" t="s">
        <v>1191</v>
      </c>
      <c r="I195" s="100"/>
      <c r="J195" s="105" t="str">
        <f t="shared" si="15"/>
        <v>0</v>
      </c>
      <c r="K195" s="106">
        <f>COUNTIFS($K$12:$K190,"MALE",$W$12:$W190,"C")</f>
        <v>0</v>
      </c>
      <c r="L195" s="107">
        <f>COUNTIFS($K$12:$K190,"FEMALE",$W$12:$W190,"C")</f>
        <v>0</v>
      </c>
      <c r="M195" s="81"/>
      <c r="N195" s="82"/>
      <c r="O195" s="82"/>
      <c r="P195" s="82"/>
      <c r="Q195" s="82"/>
      <c r="R195" s="82"/>
      <c r="S195" s="82"/>
      <c r="T195" s="82"/>
      <c r="U195" s="82"/>
      <c r="V195" s="82"/>
      <c r="W195" s="82"/>
      <c r="X195" s="82"/>
      <c r="Y195" s="82"/>
      <c r="Z195" s="82"/>
      <c r="AA195" s="82"/>
      <c r="AB195" s="82"/>
      <c r="AC195" s="4"/>
      <c r="AD195" s="72"/>
    </row>
    <row r="196" spans="2:30" ht="15.75" customHeight="1" x14ac:dyDescent="0.25">
      <c r="B196" s="89" t="s">
        <v>1192</v>
      </c>
      <c r="C196" s="113" t="s">
        <v>1165</v>
      </c>
      <c r="D196" s="91"/>
      <c r="E196" s="92" t="str">
        <f t="shared" ref="E196:E208" si="16">IF(SUM(F196:G196)=0,"0",SUM(F196:G196))</f>
        <v>0</v>
      </c>
      <c r="F196" s="114">
        <f>COUNTIFS($K$12:$K$188,$F$192,$O$12:$O$188,"/")</f>
        <v>0</v>
      </c>
      <c r="G196" s="115">
        <f>COUNTIFS($K$12:$K$188,$G$192,$O$12:$O$188,"/")</f>
        <v>0</v>
      </c>
      <c r="H196" s="104" t="s">
        <v>1193</v>
      </c>
      <c r="I196" s="100"/>
      <c r="J196" s="105" t="str">
        <f t="shared" si="15"/>
        <v>0</v>
      </c>
      <c r="K196" s="106">
        <f>COUNTIFS($K$12:$K190,"MALE",$W$12:$W190,"D")</f>
        <v>0</v>
      </c>
      <c r="L196" s="107">
        <f>COUNTIFS($K$12:$K190,"FEMALE",$W$12:$W190,"D")</f>
        <v>0</v>
      </c>
      <c r="M196" s="81"/>
      <c r="N196" s="82"/>
      <c r="O196" s="82"/>
      <c r="P196" s="82"/>
      <c r="Q196" s="82"/>
      <c r="R196" s="82"/>
      <c r="S196" s="82"/>
      <c r="T196" s="82"/>
      <c r="U196" s="82"/>
      <c r="V196" s="82"/>
      <c r="W196" s="82"/>
      <c r="X196" s="82"/>
      <c r="Y196" s="82"/>
      <c r="Z196" s="82"/>
      <c r="AA196" s="82"/>
      <c r="AB196" s="82"/>
      <c r="AC196" s="4"/>
      <c r="AD196" s="72"/>
    </row>
    <row r="197" spans="2:30" ht="15.75" customHeight="1" x14ac:dyDescent="0.25">
      <c r="B197" s="19"/>
      <c r="C197" s="116" t="s">
        <v>1194</v>
      </c>
      <c r="D197" s="100"/>
      <c r="E197" s="101" t="str">
        <f t="shared" si="16"/>
        <v>0</v>
      </c>
      <c r="F197" s="102">
        <f>COUNTIFS($K$12:$K$188,$F$192,$P$12:$P$188,"/")</f>
        <v>0</v>
      </c>
      <c r="G197" s="103">
        <f>COUNTIFS($K$12:$K$188,$G$192,$P$12:$P$188,"/")</f>
        <v>0</v>
      </c>
      <c r="H197" s="104" t="s">
        <v>1195</v>
      </c>
      <c r="I197" s="100"/>
      <c r="J197" s="105" t="str">
        <f t="shared" si="15"/>
        <v>0</v>
      </c>
      <c r="K197" s="106">
        <f>COUNTIFS($K$12:$K190,"MALE",$W$12:$W190,"E")</f>
        <v>0</v>
      </c>
      <c r="L197" s="107">
        <f>COUNTIFS($K$12:$K190,"FEMALE",$W$12:$W190,"E")</f>
        <v>0</v>
      </c>
      <c r="M197" s="81"/>
      <c r="N197" s="82"/>
      <c r="O197" s="82"/>
      <c r="P197" s="82"/>
      <c r="Q197" s="82"/>
      <c r="R197" s="82"/>
      <c r="S197" s="82"/>
      <c r="T197" s="82"/>
      <c r="U197" s="82"/>
      <c r="V197" s="82"/>
      <c r="W197" s="82"/>
      <c r="X197" s="82"/>
      <c r="Y197" s="82"/>
      <c r="Z197" s="82"/>
      <c r="AA197" s="82"/>
      <c r="AB197" s="82"/>
      <c r="AC197" s="4"/>
      <c r="AD197" s="72"/>
    </row>
    <row r="198" spans="2:30" ht="15.75" customHeight="1" x14ac:dyDescent="0.25">
      <c r="B198" s="19"/>
      <c r="C198" s="116" t="s">
        <v>1196</v>
      </c>
      <c r="D198" s="100"/>
      <c r="E198" s="101" t="str">
        <f t="shared" si="16"/>
        <v>0</v>
      </c>
      <c r="F198" s="102">
        <f>COUNTIFS($K$12:$K$188,$F$192,$Q$12:$Q$188,"/")</f>
        <v>0</v>
      </c>
      <c r="G198" s="103">
        <f>COUNTIFS($K$12:$K$188,$G$192,$Q$12:$Q$188,"/")</f>
        <v>0</v>
      </c>
      <c r="H198" s="104" t="s">
        <v>1197</v>
      </c>
      <c r="I198" s="100"/>
      <c r="J198" s="105" t="str">
        <f t="shared" si="15"/>
        <v>0</v>
      </c>
      <c r="K198" s="106">
        <f>COUNTIFS($K$12:$K190,"MALE",$W$12:$W190,"F")</f>
        <v>0</v>
      </c>
      <c r="L198" s="107">
        <f>COUNTIFS($K$12:$K190,"FEMALE",$W$12:$W190,"F")</f>
        <v>0</v>
      </c>
      <c r="M198" s="81"/>
      <c r="N198" s="82"/>
      <c r="O198" s="82"/>
      <c r="P198" s="82"/>
      <c r="Q198" s="82"/>
      <c r="R198" s="82"/>
      <c r="S198" s="82"/>
      <c r="T198" s="82"/>
      <c r="U198" s="82"/>
      <c r="V198" s="82"/>
      <c r="W198" s="82"/>
      <c r="X198" s="82"/>
      <c r="Y198" s="82"/>
      <c r="Z198" s="82"/>
      <c r="AA198" s="82"/>
      <c r="AB198" s="82"/>
      <c r="AC198" s="4"/>
      <c r="AD198" s="72"/>
    </row>
    <row r="199" spans="2:30" ht="15.75" customHeight="1" x14ac:dyDescent="0.25">
      <c r="B199" s="19"/>
      <c r="C199" s="116" t="s">
        <v>1168</v>
      </c>
      <c r="D199" s="100"/>
      <c r="E199" s="101" t="str">
        <f t="shared" si="16"/>
        <v>0</v>
      </c>
      <c r="F199" s="102">
        <f>COUNTIFS(K$12:K$1176,"MALE",R$12:R$1176,"/")</f>
        <v>0</v>
      </c>
      <c r="G199" s="103">
        <f>COUNTIFS(K$12:K$1176,"FEMALE",R$12:R$1176,"/")</f>
        <v>0</v>
      </c>
      <c r="H199" s="104" t="s">
        <v>1198</v>
      </c>
      <c r="I199" s="100"/>
      <c r="J199" s="105" t="str">
        <f t="shared" si="15"/>
        <v>0</v>
      </c>
      <c r="K199" s="106">
        <f>COUNTIFS($K$12:$K190,"MALE",$W$12:$W190,"G")</f>
        <v>0</v>
      </c>
      <c r="L199" s="107">
        <f>COUNTIFS($K$12:$K190,"FEMALE",$W$12:$W190,"G")</f>
        <v>0</v>
      </c>
      <c r="M199" s="81"/>
      <c r="N199" s="82"/>
      <c r="O199" s="82"/>
      <c r="P199" s="82"/>
      <c r="Q199" s="82"/>
      <c r="R199" s="82"/>
      <c r="S199" s="82"/>
      <c r="T199" s="82"/>
      <c r="U199" s="82"/>
      <c r="V199" s="82"/>
      <c r="W199" s="82"/>
      <c r="X199" s="82"/>
      <c r="Y199" s="82"/>
      <c r="Z199" s="82"/>
      <c r="AA199" s="82"/>
      <c r="AB199" s="82"/>
      <c r="AC199" s="4"/>
      <c r="AD199" s="72"/>
    </row>
    <row r="200" spans="2:30" ht="15.75" customHeight="1" x14ac:dyDescent="0.25">
      <c r="B200" s="19"/>
      <c r="C200" s="116" t="s">
        <v>1199</v>
      </c>
      <c r="D200" s="100"/>
      <c r="E200" s="101" t="str">
        <f t="shared" si="16"/>
        <v>0</v>
      </c>
      <c r="F200" s="102">
        <f>COUNTIFS(K$12:K$1176,"MALE",S$12:S$1176,"/")</f>
        <v>0</v>
      </c>
      <c r="G200" s="103">
        <f>COUNTIFS(K$12:K$1176,"FEMALE",S$12:S$1176,"/")</f>
        <v>0</v>
      </c>
      <c r="H200" s="104" t="s">
        <v>1200</v>
      </c>
      <c r="I200" s="100"/>
      <c r="J200" s="105" t="str">
        <f t="shared" si="15"/>
        <v>0</v>
      </c>
      <c r="K200" s="106">
        <f>COUNTIFS($K$12:$K190,"MALE",$W$12:$W190,"H")</f>
        <v>0</v>
      </c>
      <c r="L200" s="107">
        <f>COUNTIFS($K$12:$K190,"FEMALE",$W$12:$W190,"H")</f>
        <v>0</v>
      </c>
      <c r="M200" s="81"/>
      <c r="N200" s="4"/>
      <c r="O200" s="4"/>
      <c r="P200" s="4"/>
      <c r="Q200" s="4"/>
      <c r="R200" s="4"/>
      <c r="S200" s="4"/>
      <c r="T200" s="4"/>
      <c r="U200" s="4"/>
      <c r="V200" s="4"/>
      <c r="W200" s="4"/>
      <c r="X200" s="4"/>
      <c r="Y200" s="4"/>
      <c r="Z200" s="4"/>
      <c r="AA200" s="4"/>
      <c r="AB200" s="4"/>
      <c r="AC200" s="4"/>
      <c r="AD200" s="72"/>
    </row>
    <row r="201" spans="2:30" ht="20.25" customHeight="1" x14ac:dyDescent="0.25">
      <c r="B201" s="19"/>
      <c r="C201" s="116" t="s">
        <v>1201</v>
      </c>
      <c r="D201" s="100"/>
      <c r="E201" s="101" t="str">
        <f t="shared" si="16"/>
        <v>0</v>
      </c>
      <c r="F201" s="102">
        <f>COUNTIFS($K$12:$K$188,$F$192,$T$12:$T$188,"/")</f>
        <v>0</v>
      </c>
      <c r="G201" s="103">
        <f>COUNTIFS($K$12:$K$188,$G$192,$T$12:$T$188,"/")</f>
        <v>0</v>
      </c>
      <c r="H201" s="104" t="s">
        <v>1202</v>
      </c>
      <c r="I201" s="100"/>
      <c r="J201" s="105" t="str">
        <f t="shared" si="15"/>
        <v>0</v>
      </c>
      <c r="K201" s="106">
        <f>COUNTIFS($K$12:$K190,"MALE",$W$12:$W190,"I")</f>
        <v>0</v>
      </c>
      <c r="L201" s="107">
        <f>COUNTIFS($K$12:$K190,"FEMALE",$W$12:$W190,"I")</f>
        <v>0</v>
      </c>
      <c r="M201" s="117" t="s">
        <v>1203</v>
      </c>
      <c r="N201" s="4"/>
      <c r="O201" s="118"/>
      <c r="P201" s="118"/>
      <c r="Q201" s="118"/>
      <c r="R201" s="119" t="s">
        <v>1204</v>
      </c>
      <c r="S201" s="4"/>
      <c r="T201" s="4"/>
      <c r="U201" s="120"/>
      <c r="V201" s="118"/>
      <c r="W201" s="120"/>
      <c r="X201" s="121" t="s">
        <v>1205</v>
      </c>
      <c r="Y201" s="4"/>
      <c r="Z201" s="4"/>
      <c r="AA201" s="4"/>
      <c r="AB201" s="122"/>
      <c r="AC201" s="123"/>
      <c r="AD201" s="72"/>
    </row>
    <row r="202" spans="2:30" ht="20.25" customHeight="1" x14ac:dyDescent="0.3">
      <c r="B202" s="19"/>
      <c r="C202" s="116" t="s">
        <v>1206</v>
      </c>
      <c r="D202" s="100"/>
      <c r="E202" s="101" t="str">
        <f t="shared" si="16"/>
        <v>0</v>
      </c>
      <c r="F202" s="102">
        <f>COUNTIFS($K$12:$K$188,$F$192,$U$12:$U$188,"/")</f>
        <v>0</v>
      </c>
      <c r="G202" s="103">
        <f>COUNTIFS($K$12:$K$188,$G$192,$U$12:$U$188,"/")</f>
        <v>0</v>
      </c>
      <c r="H202" s="104" t="s">
        <v>1207</v>
      </c>
      <c r="I202" s="100"/>
      <c r="J202" s="105" t="str">
        <f t="shared" si="15"/>
        <v>0</v>
      </c>
      <c r="K202" s="106">
        <f>COUNTIFS($K$12:$K190,"MALE",$W$12:$W190,"J")</f>
        <v>0</v>
      </c>
      <c r="L202" s="107">
        <f>COUNTIFS($K$12:$K190,"FEMALE",$W$12:$W190,"J")</f>
        <v>0</v>
      </c>
      <c r="M202" s="124" t="s">
        <v>1208</v>
      </c>
      <c r="N202" s="125"/>
      <c r="O202" s="125"/>
      <c r="P202" s="125"/>
      <c r="Q202" s="125"/>
      <c r="R202" s="125"/>
      <c r="S202" s="125"/>
      <c r="T202" s="126" t="s">
        <v>1209</v>
      </c>
      <c r="U202" s="4"/>
      <c r="V202" s="4"/>
      <c r="W202" s="4"/>
      <c r="X202" s="4"/>
      <c r="Y202" s="120"/>
      <c r="Z202" s="127" t="s">
        <v>1210</v>
      </c>
      <c r="AA202" s="127"/>
      <c r="AB202" s="127"/>
      <c r="AC202" s="128"/>
      <c r="AD202" s="72"/>
    </row>
    <row r="203" spans="2:30" ht="20.25" customHeight="1" x14ac:dyDescent="0.25">
      <c r="B203" s="19"/>
      <c r="C203" s="116" t="s">
        <v>1211</v>
      </c>
      <c r="D203" s="100"/>
      <c r="E203" s="101" t="str">
        <f t="shared" si="16"/>
        <v>0</v>
      </c>
      <c r="F203" s="102">
        <f>COUNTIFS(K$12:K$1176,"MALE",V$12:V$1176,"/")</f>
        <v>0</v>
      </c>
      <c r="G203" s="103">
        <f>COUNTIFS(K$12:K$1176,"FEMALE",V$12:V$1176,"/")</f>
        <v>0</v>
      </c>
      <c r="H203" s="104" t="s">
        <v>1212</v>
      </c>
      <c r="I203" s="100"/>
      <c r="J203" s="105" t="str">
        <f t="shared" si="15"/>
        <v>0</v>
      </c>
      <c r="K203" s="106">
        <f>COUNTIFS($K$12:$K190,"MALE",$W$12:$W190,"K")</f>
        <v>0</v>
      </c>
      <c r="L203" s="107">
        <f>COUNTIFS($K$12:$K190,"FEMALE",$W$12:$W190,"K")</f>
        <v>0</v>
      </c>
      <c r="M203" s="129" t="s">
        <v>1213</v>
      </c>
      <c r="N203" s="4"/>
      <c r="O203" s="4"/>
      <c r="P203" s="4"/>
      <c r="Q203" s="4"/>
      <c r="R203" s="4"/>
      <c r="S203" s="4"/>
      <c r="T203" s="130" t="s">
        <v>1214</v>
      </c>
      <c r="U203" s="4"/>
      <c r="V203" s="4"/>
      <c r="W203" s="4"/>
      <c r="X203" s="4"/>
      <c r="Y203" s="131"/>
      <c r="Z203" s="130" t="s">
        <v>1215</v>
      </c>
      <c r="AA203" s="4"/>
      <c r="AB203" s="4"/>
      <c r="AC203" s="132"/>
      <c r="AD203" s="72"/>
    </row>
    <row r="204" spans="2:30" ht="20.25" customHeight="1" x14ac:dyDescent="0.25">
      <c r="B204" s="19"/>
      <c r="C204" s="116" t="s">
        <v>1216</v>
      </c>
      <c r="D204" s="100"/>
      <c r="E204" s="101" t="str">
        <f t="shared" si="16"/>
        <v>0</v>
      </c>
      <c r="F204" s="102">
        <f>COUNTIFS(K$12:K$1176,"MALE",W$12:W$1176,"/")</f>
        <v>0</v>
      </c>
      <c r="G204" s="103">
        <f>COUNTIFS(K$12:K$1176,"FEMALE",W$12:W$1176,"/")</f>
        <v>0</v>
      </c>
      <c r="H204" s="133"/>
      <c r="I204" s="100"/>
      <c r="J204" s="134"/>
      <c r="K204" s="135"/>
      <c r="L204" s="107"/>
      <c r="M204" s="136"/>
      <c r="N204" s="120"/>
      <c r="O204" s="118"/>
      <c r="P204" s="118"/>
      <c r="Q204" s="118"/>
      <c r="R204" s="120"/>
      <c r="S204" s="120"/>
      <c r="T204" s="118"/>
      <c r="U204" s="120"/>
      <c r="V204" s="118"/>
      <c r="W204" s="120"/>
      <c r="X204" s="120"/>
      <c r="Y204" s="120"/>
      <c r="Z204" s="120"/>
      <c r="AA204" s="120"/>
      <c r="AB204" s="120"/>
      <c r="AC204" s="132"/>
      <c r="AD204" s="72"/>
    </row>
    <row r="205" spans="2:30" ht="20.25" customHeight="1" x14ac:dyDescent="0.25">
      <c r="B205" s="19"/>
      <c r="C205" s="116" t="s">
        <v>1217</v>
      </c>
      <c r="D205" s="100"/>
      <c r="E205" s="101" t="str">
        <f t="shared" si="16"/>
        <v>0</v>
      </c>
      <c r="F205" s="102">
        <f>COUNTIFS(K$12:K$1176,"MALE",X$12:X$1176,"/")</f>
        <v>0</v>
      </c>
      <c r="G205" s="103">
        <f>COUNTIFS(K$12:K$1176,"FEMALE",X$12:X$1176,"/")</f>
        <v>0</v>
      </c>
      <c r="H205" s="133"/>
      <c r="I205" s="100"/>
      <c r="J205" s="134"/>
      <c r="K205" s="135"/>
      <c r="L205" s="107"/>
      <c r="M205" s="137" t="s">
        <v>1218</v>
      </c>
      <c r="N205" s="138"/>
      <c r="O205" s="138"/>
      <c r="P205" s="7"/>
      <c r="Q205" s="139"/>
      <c r="R205" s="140"/>
      <c r="S205" s="140"/>
      <c r="T205" s="139"/>
      <c r="U205" s="140"/>
      <c r="V205" s="139"/>
      <c r="W205" s="120" t="s">
        <v>1219</v>
      </c>
      <c r="X205" s="120"/>
      <c r="Y205" s="120"/>
      <c r="Z205" s="120"/>
      <c r="AA205" s="120"/>
      <c r="AB205" s="120"/>
      <c r="AC205" s="141"/>
      <c r="AD205" s="72"/>
    </row>
    <row r="206" spans="2:30" ht="20.25" customHeight="1" x14ac:dyDescent="0.3">
      <c r="B206" s="19"/>
      <c r="C206" s="116" t="s">
        <v>1220</v>
      </c>
      <c r="D206" s="100"/>
      <c r="E206" s="101" t="str">
        <f t="shared" si="16"/>
        <v>0</v>
      </c>
      <c r="F206" s="102">
        <f>COUNTIFS(K$12:K$1176,"MALE",Y$12:Y$1176,"/")</f>
        <v>0</v>
      </c>
      <c r="G206" s="103">
        <f>COUNTIFS(K$12:K$1176,"FEMALE",Y$12:Y$1176,"/")</f>
        <v>0</v>
      </c>
      <c r="H206" s="133"/>
      <c r="I206" s="100"/>
      <c r="J206" s="134"/>
      <c r="K206" s="135"/>
      <c r="L206" s="107"/>
      <c r="M206" s="142" t="s">
        <v>1221</v>
      </c>
      <c r="N206" s="82"/>
      <c r="O206" s="82"/>
      <c r="P206" s="82"/>
      <c r="Q206" s="82"/>
      <c r="R206" s="82"/>
      <c r="S206" s="82"/>
      <c r="T206" s="82"/>
      <c r="U206" s="140"/>
      <c r="V206" s="143"/>
      <c r="W206" s="144" t="s">
        <v>1222</v>
      </c>
      <c r="X206" s="82"/>
      <c r="Y206" s="82"/>
      <c r="Z206" s="82"/>
      <c r="AA206" s="82"/>
      <c r="AB206" s="82"/>
      <c r="AC206" s="145"/>
      <c r="AD206" s="72"/>
    </row>
    <row r="207" spans="2:30" ht="20.25" customHeight="1" x14ac:dyDescent="0.25">
      <c r="B207" s="19"/>
      <c r="C207" s="116" t="s">
        <v>1223</v>
      </c>
      <c r="D207" s="100"/>
      <c r="E207" s="101" t="str">
        <f t="shared" si="16"/>
        <v>0</v>
      </c>
      <c r="F207" s="102">
        <f>COUNTIFS(K$12:K$1176,"MALE",Z$12:Z$1176,"/")</f>
        <v>0</v>
      </c>
      <c r="G207" s="103">
        <f>COUNTIFS(K$12:K$1176,"FEMALE",Z$12:Z$1176,"/")</f>
        <v>0</v>
      </c>
      <c r="H207" s="133"/>
      <c r="I207" s="100"/>
      <c r="J207" s="134"/>
      <c r="K207" s="135"/>
      <c r="L207" s="146"/>
      <c r="M207" s="147" t="s">
        <v>1224</v>
      </c>
      <c r="N207" s="82"/>
      <c r="O207" s="82"/>
      <c r="P207" s="82"/>
      <c r="Q207" s="82"/>
      <c r="R207" s="82"/>
      <c r="S207" s="82"/>
      <c r="T207" s="82"/>
      <c r="U207" s="148"/>
      <c r="V207" s="149"/>
      <c r="W207" s="150" t="s">
        <v>1225</v>
      </c>
      <c r="X207" s="82"/>
      <c r="Y207" s="82"/>
      <c r="Z207" s="82"/>
      <c r="AA207" s="82"/>
      <c r="AB207" s="82"/>
      <c r="AC207" s="132"/>
      <c r="AD207" s="72"/>
    </row>
    <row r="208" spans="2:30" ht="20.25" customHeight="1" thickBot="1" x14ac:dyDescent="0.3">
      <c r="B208" s="28"/>
      <c r="C208" s="151" t="s">
        <v>1226</v>
      </c>
      <c r="D208" s="152"/>
      <c r="E208" s="153" t="str">
        <f t="shared" si="16"/>
        <v>0</v>
      </c>
      <c r="F208" s="154">
        <f>COUNTIFS(K$12:K$1176,"MALE",AA$12:AA$1176,"/")</f>
        <v>0</v>
      </c>
      <c r="G208" s="155">
        <f>COUNTIFS(K$12:K$1176,"FEMALE",AA$12:AA$1176,"/")</f>
        <v>0</v>
      </c>
      <c r="H208" s="156"/>
      <c r="I208" s="152"/>
      <c r="J208" s="157"/>
      <c r="K208" s="158"/>
      <c r="L208" s="159"/>
      <c r="M208" s="160"/>
      <c r="N208" s="160"/>
      <c r="O208" s="160"/>
      <c r="P208" s="160"/>
      <c r="Q208" s="160"/>
      <c r="R208" s="160"/>
      <c r="S208" s="161"/>
      <c r="T208" s="162"/>
      <c r="U208" s="161"/>
      <c r="V208" s="161"/>
      <c r="W208" s="161"/>
      <c r="X208" s="161"/>
      <c r="Y208" s="161"/>
      <c r="Z208" s="161"/>
      <c r="AA208" s="161"/>
      <c r="AB208" s="161"/>
      <c r="AC208" s="163"/>
      <c r="AD208" s="72"/>
    </row>
    <row r="209" spans="10:29" ht="20.25" customHeight="1" x14ac:dyDescent="0.25">
      <c r="J209" s="164"/>
      <c r="L209" s="164"/>
      <c r="M209" s="165"/>
      <c r="N209" s="166"/>
      <c r="O209" s="166"/>
      <c r="P209" s="166"/>
      <c r="Q209" s="166"/>
      <c r="R209" s="166"/>
      <c r="S209" s="166"/>
      <c r="T209" s="166"/>
      <c r="U209" s="166"/>
      <c r="V209" s="166"/>
      <c r="W209" s="166"/>
      <c r="X209" s="166"/>
      <c r="Y209" s="166"/>
      <c r="Z209" s="166"/>
      <c r="AA209" s="166"/>
      <c r="AB209" s="166"/>
      <c r="AC209" s="132"/>
    </row>
    <row r="210" spans="10:29" ht="15.75" customHeight="1" x14ac:dyDescent="0.25">
      <c r="J210" s="164"/>
      <c r="L210" s="164"/>
      <c r="AC210" s="164"/>
    </row>
    <row r="211" spans="10:29" ht="15.75" customHeight="1" x14ac:dyDescent="0.25">
      <c r="J211" s="164"/>
      <c r="L211" s="164"/>
      <c r="AC211" s="164"/>
    </row>
    <row r="212" spans="10:29" ht="15.75" customHeight="1" x14ac:dyDescent="0.25">
      <c r="J212" s="164"/>
      <c r="L212" s="164"/>
      <c r="AC212" s="164"/>
    </row>
    <row r="213" spans="10:29" ht="15.75" customHeight="1" x14ac:dyDescent="0.25">
      <c r="J213" s="164"/>
      <c r="L213" s="164"/>
      <c r="AC213" s="164"/>
    </row>
    <row r="214" spans="10:29" ht="15.75" customHeight="1" x14ac:dyDescent="0.25">
      <c r="J214" s="164"/>
      <c r="L214" s="164"/>
      <c r="AC214" s="164"/>
    </row>
    <row r="215" spans="10:29" ht="15.75" customHeight="1" x14ac:dyDescent="0.25">
      <c r="J215" s="164"/>
      <c r="L215" s="164"/>
      <c r="AC215" s="164"/>
    </row>
    <row r="216" spans="10:29" ht="15.75" customHeight="1" x14ac:dyDescent="0.25">
      <c r="J216" s="164"/>
      <c r="L216" s="164"/>
      <c r="AC216" s="164"/>
    </row>
    <row r="217" spans="10:29" ht="15.75" customHeight="1" x14ac:dyDescent="0.25">
      <c r="J217" s="164"/>
      <c r="L217" s="164"/>
      <c r="AC217" s="164"/>
    </row>
    <row r="218" spans="10:29" ht="15.75" customHeight="1" x14ac:dyDescent="0.25">
      <c r="J218" s="164"/>
      <c r="L218" s="164"/>
      <c r="AC218" s="164"/>
    </row>
    <row r="219" spans="10:29" ht="15.75" customHeight="1" x14ac:dyDescent="0.25">
      <c r="J219" s="164"/>
      <c r="L219" s="164"/>
      <c r="AC219" s="164"/>
    </row>
    <row r="220" spans="10:29" ht="15.75" customHeight="1" x14ac:dyDescent="0.25">
      <c r="J220" s="164"/>
      <c r="L220" s="164"/>
      <c r="AC220" s="164"/>
    </row>
    <row r="221" spans="10:29" ht="15.75" customHeight="1" x14ac:dyDescent="0.25">
      <c r="J221" s="164"/>
      <c r="L221" s="164"/>
      <c r="AC221" s="164"/>
    </row>
    <row r="222" spans="10:29" ht="15.75" customHeight="1" x14ac:dyDescent="0.25">
      <c r="J222" s="164"/>
      <c r="L222" s="164"/>
      <c r="AC222" s="164"/>
    </row>
    <row r="223" spans="10:29" ht="15.75" customHeight="1" x14ac:dyDescent="0.25">
      <c r="J223" s="164"/>
      <c r="L223" s="164"/>
      <c r="AC223" s="164"/>
    </row>
    <row r="224" spans="10:29" ht="15.75" customHeight="1" x14ac:dyDescent="0.25">
      <c r="J224" s="164"/>
      <c r="L224" s="164"/>
      <c r="AC224" s="164"/>
    </row>
    <row r="225" spans="10:29" ht="15.75" customHeight="1" x14ac:dyDescent="0.25">
      <c r="J225" s="164"/>
      <c r="L225" s="164"/>
      <c r="AC225" s="164"/>
    </row>
    <row r="226" spans="10:29" ht="15.75" customHeight="1" x14ac:dyDescent="0.25">
      <c r="J226" s="164"/>
      <c r="L226" s="164"/>
      <c r="AC226" s="164"/>
    </row>
    <row r="227" spans="10:29" ht="15.75" customHeight="1" x14ac:dyDescent="0.25">
      <c r="J227" s="164"/>
      <c r="L227" s="164"/>
      <c r="AC227" s="164"/>
    </row>
    <row r="228" spans="10:29" ht="15.75" customHeight="1" x14ac:dyDescent="0.25">
      <c r="J228" s="164"/>
      <c r="L228" s="164"/>
      <c r="AC228" s="164"/>
    </row>
    <row r="229" spans="10:29" ht="15.75" customHeight="1" x14ac:dyDescent="0.25">
      <c r="J229" s="164"/>
      <c r="L229" s="164"/>
      <c r="AC229" s="164"/>
    </row>
    <row r="230" spans="10:29" ht="15.75" customHeight="1" x14ac:dyDescent="0.25">
      <c r="J230" s="164"/>
      <c r="L230" s="164"/>
      <c r="AC230" s="164"/>
    </row>
    <row r="231" spans="10:29" ht="15.75" customHeight="1" x14ac:dyDescent="0.25">
      <c r="J231" s="164"/>
      <c r="L231" s="164"/>
      <c r="AC231" s="164"/>
    </row>
    <row r="232" spans="10:29" ht="15.75" customHeight="1" x14ac:dyDescent="0.25">
      <c r="J232" s="164"/>
      <c r="L232" s="164"/>
      <c r="AC232" s="164"/>
    </row>
    <row r="233" spans="10:29" ht="15.75" customHeight="1" x14ac:dyDescent="0.25">
      <c r="J233" s="164"/>
      <c r="L233" s="164"/>
      <c r="AC233" s="164"/>
    </row>
    <row r="234" spans="10:29" ht="15.75" customHeight="1" x14ac:dyDescent="0.25">
      <c r="J234" s="164"/>
      <c r="L234" s="164"/>
      <c r="AC234" s="164"/>
    </row>
    <row r="235" spans="10:29" ht="15.75" customHeight="1" x14ac:dyDescent="0.25">
      <c r="J235" s="164"/>
      <c r="L235" s="164"/>
      <c r="AC235" s="164"/>
    </row>
    <row r="236" spans="10:29" ht="15.75" customHeight="1" x14ac:dyDescent="0.25">
      <c r="J236" s="164"/>
      <c r="L236" s="164"/>
      <c r="AC236" s="164"/>
    </row>
    <row r="237" spans="10:29" ht="15.75" customHeight="1" x14ac:dyDescent="0.25">
      <c r="J237" s="164"/>
      <c r="L237" s="164"/>
      <c r="AC237" s="164"/>
    </row>
    <row r="238" spans="10:29" ht="15.75" customHeight="1" x14ac:dyDescent="0.25">
      <c r="J238" s="164"/>
      <c r="L238" s="164"/>
      <c r="AC238" s="164"/>
    </row>
    <row r="239" spans="10:29" ht="15.75" customHeight="1" x14ac:dyDescent="0.25">
      <c r="J239" s="164"/>
      <c r="L239" s="164"/>
      <c r="AC239" s="164"/>
    </row>
    <row r="240" spans="10:29" ht="15.75" customHeight="1" x14ac:dyDescent="0.25">
      <c r="J240" s="164"/>
      <c r="L240" s="164"/>
      <c r="AC240" s="164"/>
    </row>
    <row r="241" spans="10:29" ht="15.75" customHeight="1" x14ac:dyDescent="0.25">
      <c r="J241" s="164"/>
      <c r="L241" s="164"/>
      <c r="AC241" s="164"/>
    </row>
    <row r="242" spans="10:29" ht="15.75" customHeight="1" x14ac:dyDescent="0.25">
      <c r="J242" s="164"/>
      <c r="L242" s="164"/>
      <c r="AC242" s="164"/>
    </row>
    <row r="243" spans="10:29" ht="15.75" customHeight="1" x14ac:dyDescent="0.25">
      <c r="J243" s="164"/>
      <c r="L243" s="164"/>
      <c r="AC243" s="164"/>
    </row>
    <row r="244" spans="10:29" ht="15.75" customHeight="1" x14ac:dyDescent="0.25">
      <c r="J244" s="164"/>
      <c r="L244" s="164"/>
      <c r="AC244" s="164"/>
    </row>
    <row r="245" spans="10:29" ht="15.75" customHeight="1" x14ac:dyDescent="0.25">
      <c r="J245" s="164"/>
      <c r="L245" s="164"/>
      <c r="AC245" s="164"/>
    </row>
    <row r="246" spans="10:29" ht="15.75" customHeight="1" x14ac:dyDescent="0.25">
      <c r="J246" s="164"/>
      <c r="L246" s="164"/>
      <c r="AC246" s="164"/>
    </row>
    <row r="247" spans="10:29" ht="15.75" customHeight="1" x14ac:dyDescent="0.25">
      <c r="J247" s="164"/>
      <c r="L247" s="164"/>
      <c r="AC247" s="164"/>
    </row>
    <row r="248" spans="10:29" ht="15.75" customHeight="1" x14ac:dyDescent="0.25">
      <c r="J248" s="164"/>
      <c r="L248" s="164"/>
      <c r="AC248" s="164"/>
    </row>
    <row r="249" spans="10:29" ht="15.75" customHeight="1" x14ac:dyDescent="0.25">
      <c r="J249" s="164"/>
      <c r="L249" s="164"/>
      <c r="AC249" s="164"/>
    </row>
    <row r="250" spans="10:29" ht="15.75" customHeight="1" x14ac:dyDescent="0.25">
      <c r="J250" s="164"/>
      <c r="L250" s="164"/>
      <c r="AC250" s="164"/>
    </row>
    <row r="251" spans="10:29" ht="15.75" customHeight="1" x14ac:dyDescent="0.25">
      <c r="J251" s="164"/>
      <c r="L251" s="164"/>
      <c r="AC251" s="164"/>
    </row>
    <row r="252" spans="10:29" ht="15.75" customHeight="1" x14ac:dyDescent="0.25">
      <c r="J252" s="164"/>
      <c r="L252" s="164"/>
      <c r="AC252" s="164"/>
    </row>
    <row r="253" spans="10:29" ht="15.75" customHeight="1" x14ac:dyDescent="0.25">
      <c r="J253" s="164"/>
      <c r="L253" s="164"/>
      <c r="AC253" s="164"/>
    </row>
    <row r="254" spans="10:29" ht="15.75" customHeight="1" x14ac:dyDescent="0.25">
      <c r="J254" s="164"/>
      <c r="L254" s="164"/>
      <c r="AC254" s="164"/>
    </row>
    <row r="255" spans="10:29" ht="15.75" customHeight="1" x14ac:dyDescent="0.25">
      <c r="J255" s="164"/>
      <c r="L255" s="164"/>
      <c r="AC255" s="164"/>
    </row>
    <row r="256" spans="10:29" ht="15.75" customHeight="1" x14ac:dyDescent="0.25">
      <c r="J256" s="164"/>
      <c r="L256" s="164"/>
      <c r="AC256" s="164"/>
    </row>
    <row r="257" spans="10:29" ht="15.75" customHeight="1" x14ac:dyDescent="0.25">
      <c r="J257" s="164"/>
      <c r="L257" s="164"/>
      <c r="AC257" s="164"/>
    </row>
    <row r="258" spans="10:29" ht="15.75" customHeight="1" x14ac:dyDescent="0.25">
      <c r="J258" s="164"/>
      <c r="L258" s="164"/>
      <c r="AC258" s="164"/>
    </row>
    <row r="259" spans="10:29" ht="15.75" customHeight="1" x14ac:dyDescent="0.25">
      <c r="J259" s="164"/>
      <c r="L259" s="164"/>
      <c r="AC259" s="164"/>
    </row>
    <row r="260" spans="10:29" ht="15.75" customHeight="1" x14ac:dyDescent="0.25">
      <c r="J260" s="164"/>
      <c r="L260" s="164"/>
      <c r="AC260" s="164"/>
    </row>
    <row r="261" spans="10:29" ht="15.75" customHeight="1" x14ac:dyDescent="0.25">
      <c r="J261" s="164"/>
      <c r="L261" s="164"/>
      <c r="AC261" s="164"/>
    </row>
    <row r="262" spans="10:29" ht="15.75" customHeight="1" x14ac:dyDescent="0.25">
      <c r="J262" s="164"/>
      <c r="L262" s="164"/>
      <c r="AC262" s="164"/>
    </row>
    <row r="263" spans="10:29" ht="15.75" customHeight="1" x14ac:dyDescent="0.25">
      <c r="J263" s="164"/>
      <c r="L263" s="164"/>
      <c r="AC263" s="164"/>
    </row>
    <row r="264" spans="10:29" ht="15.75" customHeight="1" x14ac:dyDescent="0.25">
      <c r="J264" s="164"/>
      <c r="L264" s="164"/>
      <c r="AC264" s="164"/>
    </row>
    <row r="265" spans="10:29" ht="15.75" customHeight="1" x14ac:dyDescent="0.25">
      <c r="J265" s="164"/>
      <c r="L265" s="164"/>
      <c r="AC265" s="164"/>
    </row>
    <row r="266" spans="10:29" ht="15.75" customHeight="1" x14ac:dyDescent="0.25">
      <c r="J266" s="164"/>
      <c r="L266" s="164"/>
      <c r="AC266" s="164"/>
    </row>
    <row r="267" spans="10:29" ht="15.75" customHeight="1" x14ac:dyDescent="0.25">
      <c r="J267" s="164"/>
      <c r="L267" s="164"/>
      <c r="AC267" s="164"/>
    </row>
    <row r="268" spans="10:29" ht="15.75" customHeight="1" x14ac:dyDescent="0.25">
      <c r="J268" s="164"/>
      <c r="L268" s="164"/>
      <c r="AC268" s="164"/>
    </row>
    <row r="269" spans="10:29" ht="15.75" customHeight="1" x14ac:dyDescent="0.25">
      <c r="J269" s="164"/>
      <c r="L269" s="164"/>
      <c r="AC269" s="164"/>
    </row>
    <row r="270" spans="10:29" ht="15.75" customHeight="1" x14ac:dyDescent="0.25">
      <c r="J270" s="164"/>
      <c r="L270" s="164"/>
      <c r="AC270" s="164"/>
    </row>
    <row r="271" spans="10:29" ht="15.75" customHeight="1" x14ac:dyDescent="0.25">
      <c r="J271" s="164"/>
      <c r="L271" s="164"/>
      <c r="AC271" s="164"/>
    </row>
    <row r="272" spans="10:29" ht="15.75" customHeight="1" x14ac:dyDescent="0.25">
      <c r="J272" s="164"/>
      <c r="L272" s="164"/>
      <c r="AC272" s="164"/>
    </row>
    <row r="273" spans="10:29" ht="15.75" customHeight="1" x14ac:dyDescent="0.25">
      <c r="J273" s="164"/>
      <c r="L273" s="164"/>
      <c r="AC273" s="164"/>
    </row>
    <row r="274" spans="10:29" ht="15.75" customHeight="1" x14ac:dyDescent="0.25">
      <c r="J274" s="164"/>
      <c r="L274" s="164"/>
      <c r="AC274" s="164"/>
    </row>
    <row r="275" spans="10:29" ht="15.75" customHeight="1" x14ac:dyDescent="0.25">
      <c r="J275" s="164"/>
      <c r="L275" s="164"/>
      <c r="AC275" s="164"/>
    </row>
    <row r="276" spans="10:29" ht="15.75" customHeight="1" x14ac:dyDescent="0.25">
      <c r="J276" s="164"/>
      <c r="L276" s="164"/>
      <c r="AC276" s="164"/>
    </row>
    <row r="277" spans="10:29" ht="15.75" customHeight="1" x14ac:dyDescent="0.25">
      <c r="J277" s="164"/>
      <c r="L277" s="164"/>
      <c r="AC277" s="164"/>
    </row>
    <row r="278" spans="10:29" ht="15.75" customHeight="1" x14ac:dyDescent="0.25">
      <c r="J278" s="164"/>
      <c r="L278" s="164"/>
      <c r="AC278" s="164"/>
    </row>
    <row r="279" spans="10:29" ht="15.75" customHeight="1" x14ac:dyDescent="0.25">
      <c r="J279" s="164"/>
      <c r="L279" s="164"/>
      <c r="AC279" s="164"/>
    </row>
    <row r="280" spans="10:29" ht="15.75" customHeight="1" x14ac:dyDescent="0.25">
      <c r="J280" s="164"/>
      <c r="L280" s="164"/>
      <c r="AC280" s="164"/>
    </row>
    <row r="281" spans="10:29" ht="15.75" customHeight="1" x14ac:dyDescent="0.25">
      <c r="J281" s="164"/>
      <c r="L281" s="164"/>
      <c r="AC281" s="164"/>
    </row>
    <row r="282" spans="10:29" ht="15.75" customHeight="1" x14ac:dyDescent="0.25">
      <c r="J282" s="164"/>
      <c r="L282" s="164"/>
      <c r="AC282" s="164"/>
    </row>
    <row r="283" spans="10:29" ht="15.75" customHeight="1" x14ac:dyDescent="0.25">
      <c r="J283" s="164"/>
      <c r="L283" s="164"/>
      <c r="AC283" s="164"/>
    </row>
    <row r="284" spans="10:29" ht="15.75" customHeight="1" x14ac:dyDescent="0.25">
      <c r="J284" s="164"/>
      <c r="L284" s="164"/>
      <c r="AC284" s="164"/>
    </row>
    <row r="285" spans="10:29" ht="15.75" customHeight="1" x14ac:dyDescent="0.25">
      <c r="J285" s="164"/>
      <c r="L285" s="164"/>
      <c r="AC285" s="164"/>
    </row>
    <row r="286" spans="10:29" ht="15.75" customHeight="1" x14ac:dyDescent="0.25">
      <c r="J286" s="164"/>
      <c r="L286" s="164"/>
      <c r="AC286" s="164"/>
    </row>
    <row r="287" spans="10:29" ht="15.75" customHeight="1" x14ac:dyDescent="0.25">
      <c r="J287" s="164"/>
      <c r="L287" s="164"/>
      <c r="AC287" s="164"/>
    </row>
    <row r="288" spans="10:29" ht="15.75" customHeight="1" x14ac:dyDescent="0.25">
      <c r="J288" s="164"/>
      <c r="L288" s="164"/>
      <c r="AC288" s="164"/>
    </row>
    <row r="289" spans="10:29" ht="15.75" customHeight="1" x14ac:dyDescent="0.25">
      <c r="J289" s="164"/>
      <c r="L289" s="164"/>
      <c r="AC289" s="164"/>
    </row>
    <row r="290" spans="10:29" ht="15.75" customHeight="1" x14ac:dyDescent="0.25">
      <c r="J290" s="164"/>
      <c r="L290" s="164"/>
      <c r="AC290" s="164"/>
    </row>
    <row r="291" spans="10:29" ht="15.75" customHeight="1" x14ac:dyDescent="0.25">
      <c r="J291" s="164"/>
      <c r="L291" s="164"/>
      <c r="AC291" s="164"/>
    </row>
    <row r="292" spans="10:29" ht="15.75" customHeight="1" x14ac:dyDescent="0.25">
      <c r="J292" s="164"/>
      <c r="L292" s="164"/>
      <c r="AC292" s="164"/>
    </row>
    <row r="293" spans="10:29" ht="15.75" customHeight="1" x14ac:dyDescent="0.25">
      <c r="J293" s="164"/>
      <c r="L293" s="164"/>
      <c r="AC293" s="164"/>
    </row>
    <row r="294" spans="10:29" ht="15.75" customHeight="1" x14ac:dyDescent="0.25">
      <c r="J294" s="164"/>
      <c r="L294" s="164"/>
      <c r="AC294" s="164"/>
    </row>
    <row r="295" spans="10:29" ht="15.75" customHeight="1" x14ac:dyDescent="0.25">
      <c r="J295" s="164"/>
      <c r="L295" s="164"/>
      <c r="AC295" s="164"/>
    </row>
    <row r="296" spans="10:29" ht="15.75" customHeight="1" x14ac:dyDescent="0.25">
      <c r="J296" s="164"/>
      <c r="L296" s="164"/>
      <c r="AC296" s="164"/>
    </row>
    <row r="297" spans="10:29" ht="15.75" customHeight="1" x14ac:dyDescent="0.25">
      <c r="J297" s="164"/>
      <c r="L297" s="164"/>
      <c r="AC297" s="164"/>
    </row>
    <row r="298" spans="10:29" ht="15.75" customHeight="1" x14ac:dyDescent="0.25">
      <c r="J298" s="164"/>
      <c r="L298" s="164"/>
      <c r="AC298" s="164"/>
    </row>
    <row r="299" spans="10:29" ht="15.75" customHeight="1" x14ac:dyDescent="0.25">
      <c r="J299" s="164"/>
      <c r="L299" s="164"/>
      <c r="AC299" s="164"/>
    </row>
    <row r="300" spans="10:29" ht="15.75" customHeight="1" x14ac:dyDescent="0.25">
      <c r="J300" s="164"/>
      <c r="L300" s="164"/>
      <c r="AC300" s="164"/>
    </row>
    <row r="301" spans="10:29" ht="15.75" customHeight="1" x14ac:dyDescent="0.25">
      <c r="J301" s="164"/>
      <c r="L301" s="164"/>
      <c r="AC301" s="164"/>
    </row>
    <row r="302" spans="10:29" ht="15.75" customHeight="1" x14ac:dyDescent="0.25">
      <c r="J302" s="164"/>
      <c r="L302" s="164"/>
      <c r="AC302" s="164"/>
    </row>
    <row r="303" spans="10:29" ht="15.75" customHeight="1" x14ac:dyDescent="0.25">
      <c r="J303" s="164"/>
      <c r="L303" s="164"/>
      <c r="AC303" s="164"/>
    </row>
    <row r="304" spans="10:29" ht="15.75" customHeight="1" x14ac:dyDescent="0.25">
      <c r="J304" s="164"/>
      <c r="L304" s="164"/>
      <c r="AC304" s="164"/>
    </row>
    <row r="305" spans="10:29" ht="15.75" customHeight="1" x14ac:dyDescent="0.25">
      <c r="J305" s="164"/>
      <c r="L305" s="164"/>
      <c r="AC305" s="164"/>
    </row>
    <row r="306" spans="10:29" ht="15.75" customHeight="1" x14ac:dyDescent="0.25">
      <c r="J306" s="164"/>
      <c r="L306" s="164"/>
      <c r="AC306" s="164"/>
    </row>
    <row r="307" spans="10:29" ht="15.75" customHeight="1" x14ac:dyDescent="0.25">
      <c r="J307" s="164"/>
      <c r="L307" s="164"/>
      <c r="AC307" s="164"/>
    </row>
    <row r="308" spans="10:29" ht="15.75" customHeight="1" x14ac:dyDescent="0.25">
      <c r="J308" s="164"/>
      <c r="L308" s="164"/>
      <c r="AC308" s="164"/>
    </row>
    <row r="309" spans="10:29" ht="15.75" customHeight="1" x14ac:dyDescent="0.25">
      <c r="J309" s="164"/>
      <c r="L309" s="164"/>
      <c r="AC309" s="164"/>
    </row>
    <row r="310" spans="10:29" ht="15.75" customHeight="1" x14ac:dyDescent="0.25">
      <c r="J310" s="164"/>
      <c r="L310" s="164"/>
      <c r="AC310" s="164"/>
    </row>
    <row r="311" spans="10:29" ht="15.75" customHeight="1" x14ac:dyDescent="0.25">
      <c r="J311" s="164"/>
      <c r="L311" s="164"/>
      <c r="AC311" s="164"/>
    </row>
    <row r="312" spans="10:29" ht="15.75" customHeight="1" x14ac:dyDescent="0.25">
      <c r="J312" s="164"/>
      <c r="L312" s="164"/>
      <c r="AC312" s="164"/>
    </row>
    <row r="313" spans="10:29" ht="15.75" customHeight="1" x14ac:dyDescent="0.25">
      <c r="J313" s="164"/>
      <c r="L313" s="164"/>
      <c r="AC313" s="164"/>
    </row>
    <row r="314" spans="10:29" ht="15.75" customHeight="1" x14ac:dyDescent="0.25">
      <c r="J314" s="164"/>
      <c r="L314" s="164"/>
      <c r="AC314" s="164"/>
    </row>
    <row r="315" spans="10:29" ht="15.75" customHeight="1" x14ac:dyDescent="0.25">
      <c r="J315" s="164"/>
      <c r="L315" s="164"/>
      <c r="AC315" s="164"/>
    </row>
    <row r="316" spans="10:29" ht="15.75" customHeight="1" x14ac:dyDescent="0.25">
      <c r="J316" s="164"/>
      <c r="L316" s="164"/>
      <c r="AC316" s="164"/>
    </row>
    <row r="317" spans="10:29" ht="15.75" customHeight="1" x14ac:dyDescent="0.25">
      <c r="J317" s="164"/>
      <c r="L317" s="164"/>
      <c r="AC317" s="164"/>
    </row>
    <row r="318" spans="10:29" ht="15.75" customHeight="1" x14ac:dyDescent="0.25">
      <c r="J318" s="164"/>
      <c r="L318" s="164"/>
      <c r="AC318" s="164"/>
    </row>
    <row r="319" spans="10:29" ht="15.75" customHeight="1" x14ac:dyDescent="0.25">
      <c r="J319" s="164"/>
      <c r="L319" s="164"/>
      <c r="AC319" s="164"/>
    </row>
    <row r="320" spans="10:29" ht="15.75" customHeight="1" x14ac:dyDescent="0.25">
      <c r="J320" s="164"/>
      <c r="L320" s="164"/>
      <c r="AC320" s="164"/>
    </row>
    <row r="321" spans="10:29" ht="15.75" customHeight="1" x14ac:dyDescent="0.25">
      <c r="J321" s="164"/>
      <c r="L321" s="164"/>
      <c r="AC321" s="164"/>
    </row>
    <row r="322" spans="10:29" ht="15.75" customHeight="1" x14ac:dyDescent="0.25">
      <c r="J322" s="164"/>
      <c r="L322" s="164"/>
      <c r="AC322" s="164"/>
    </row>
    <row r="323" spans="10:29" ht="15.75" customHeight="1" x14ac:dyDescent="0.25">
      <c r="J323" s="164"/>
      <c r="L323" s="164"/>
      <c r="AC323" s="164"/>
    </row>
    <row r="324" spans="10:29" ht="15.75" customHeight="1" x14ac:dyDescent="0.25">
      <c r="J324" s="164"/>
      <c r="L324" s="164"/>
      <c r="AC324" s="164"/>
    </row>
    <row r="325" spans="10:29" ht="15.75" customHeight="1" x14ac:dyDescent="0.25">
      <c r="J325" s="164"/>
      <c r="L325" s="164"/>
      <c r="AC325" s="164"/>
    </row>
    <row r="326" spans="10:29" ht="15.75" customHeight="1" x14ac:dyDescent="0.25">
      <c r="J326" s="164"/>
      <c r="L326" s="164"/>
      <c r="AC326" s="164"/>
    </row>
    <row r="327" spans="10:29" ht="15.75" customHeight="1" x14ac:dyDescent="0.25">
      <c r="J327" s="164"/>
      <c r="L327" s="164"/>
      <c r="AC327" s="164"/>
    </row>
    <row r="328" spans="10:29" ht="15.75" customHeight="1" x14ac:dyDescent="0.25">
      <c r="J328" s="164"/>
      <c r="L328" s="164"/>
      <c r="AC328" s="164"/>
    </row>
    <row r="329" spans="10:29" ht="15.75" customHeight="1" x14ac:dyDescent="0.25">
      <c r="J329" s="164"/>
      <c r="L329" s="164"/>
      <c r="AC329" s="164"/>
    </row>
    <row r="330" spans="10:29" ht="15.75" customHeight="1" x14ac:dyDescent="0.25">
      <c r="J330" s="164"/>
      <c r="L330" s="164"/>
      <c r="AC330" s="164"/>
    </row>
    <row r="331" spans="10:29" ht="15.75" customHeight="1" x14ac:dyDescent="0.25">
      <c r="J331" s="164"/>
      <c r="L331" s="164"/>
      <c r="AC331" s="164"/>
    </row>
    <row r="332" spans="10:29" ht="15.75" customHeight="1" x14ac:dyDescent="0.25">
      <c r="J332" s="164"/>
      <c r="L332" s="164"/>
      <c r="AC332" s="164"/>
    </row>
    <row r="333" spans="10:29" ht="15.75" customHeight="1" x14ac:dyDescent="0.25">
      <c r="J333" s="164"/>
      <c r="L333" s="164"/>
      <c r="AC333" s="164"/>
    </row>
    <row r="334" spans="10:29" ht="15.75" customHeight="1" x14ac:dyDescent="0.25">
      <c r="J334" s="164"/>
      <c r="L334" s="164"/>
      <c r="AC334" s="164"/>
    </row>
    <row r="335" spans="10:29" ht="15.75" customHeight="1" x14ac:dyDescent="0.25">
      <c r="J335" s="164"/>
      <c r="L335" s="164"/>
      <c r="AC335" s="164"/>
    </row>
    <row r="336" spans="10:29" ht="15.75" customHeight="1" x14ac:dyDescent="0.25">
      <c r="J336" s="164"/>
      <c r="L336" s="164"/>
      <c r="AC336" s="164"/>
    </row>
    <row r="337" spans="10:29" ht="15.75" customHeight="1" x14ac:dyDescent="0.25">
      <c r="J337" s="164"/>
      <c r="L337" s="164"/>
      <c r="AC337" s="164"/>
    </row>
    <row r="338" spans="10:29" ht="15.75" customHeight="1" x14ac:dyDescent="0.25">
      <c r="J338" s="164"/>
      <c r="L338" s="164"/>
      <c r="AC338" s="164"/>
    </row>
    <row r="339" spans="10:29" ht="15.75" customHeight="1" x14ac:dyDescent="0.25">
      <c r="J339" s="164"/>
      <c r="L339" s="164"/>
      <c r="AC339" s="164"/>
    </row>
    <row r="340" spans="10:29" ht="15.75" customHeight="1" x14ac:dyDescent="0.25">
      <c r="J340" s="164"/>
      <c r="L340" s="164"/>
      <c r="AC340" s="164"/>
    </row>
    <row r="341" spans="10:29" ht="15.75" customHeight="1" x14ac:dyDescent="0.25">
      <c r="J341" s="164"/>
      <c r="L341" s="164"/>
      <c r="AC341" s="164"/>
    </row>
    <row r="342" spans="10:29" ht="15.75" customHeight="1" x14ac:dyDescent="0.25">
      <c r="J342" s="164"/>
      <c r="L342" s="164"/>
      <c r="AC342" s="164"/>
    </row>
    <row r="343" spans="10:29" ht="15.75" customHeight="1" x14ac:dyDescent="0.25">
      <c r="J343" s="164"/>
      <c r="L343" s="164"/>
      <c r="AC343" s="164"/>
    </row>
    <row r="344" spans="10:29" ht="15.75" customHeight="1" x14ac:dyDescent="0.25">
      <c r="J344" s="164"/>
      <c r="L344" s="164"/>
      <c r="AC344" s="164"/>
    </row>
    <row r="345" spans="10:29" ht="15.75" customHeight="1" x14ac:dyDescent="0.25">
      <c r="J345" s="164"/>
      <c r="L345" s="164"/>
      <c r="AC345" s="164"/>
    </row>
    <row r="346" spans="10:29" ht="15.75" customHeight="1" x14ac:dyDescent="0.25">
      <c r="J346" s="164"/>
      <c r="L346" s="164"/>
      <c r="AC346" s="164"/>
    </row>
    <row r="347" spans="10:29" ht="15.75" customHeight="1" x14ac:dyDescent="0.25">
      <c r="J347" s="164"/>
      <c r="L347" s="164"/>
      <c r="AC347" s="164"/>
    </row>
    <row r="348" spans="10:29" ht="15.75" customHeight="1" x14ac:dyDescent="0.25">
      <c r="J348" s="164"/>
      <c r="L348" s="164"/>
      <c r="AC348" s="164"/>
    </row>
    <row r="349" spans="10:29" ht="15.75" customHeight="1" x14ac:dyDescent="0.25">
      <c r="J349" s="164"/>
      <c r="L349" s="164"/>
      <c r="AC349" s="164"/>
    </row>
    <row r="350" spans="10:29" ht="15.75" customHeight="1" x14ac:dyDescent="0.25">
      <c r="J350" s="164"/>
      <c r="L350" s="164"/>
      <c r="AC350" s="164"/>
    </row>
    <row r="351" spans="10:29" ht="15.75" customHeight="1" x14ac:dyDescent="0.25">
      <c r="J351" s="164"/>
      <c r="L351" s="164"/>
      <c r="AC351" s="164"/>
    </row>
    <row r="352" spans="10:29" ht="15.75" customHeight="1" x14ac:dyDescent="0.25">
      <c r="J352" s="164"/>
      <c r="L352" s="164"/>
      <c r="AC352" s="164"/>
    </row>
    <row r="353" spans="10:29" ht="15.75" customHeight="1" x14ac:dyDescent="0.25">
      <c r="J353" s="164"/>
      <c r="L353" s="164"/>
      <c r="AC353" s="164"/>
    </row>
    <row r="354" spans="10:29" ht="15.75" customHeight="1" x14ac:dyDescent="0.25">
      <c r="J354" s="164"/>
      <c r="L354" s="164"/>
      <c r="AC354" s="164"/>
    </row>
    <row r="355" spans="10:29" ht="15.75" customHeight="1" x14ac:dyDescent="0.25">
      <c r="J355" s="164"/>
      <c r="L355" s="164"/>
      <c r="AC355" s="164"/>
    </row>
    <row r="356" spans="10:29" ht="15.75" customHeight="1" x14ac:dyDescent="0.25">
      <c r="J356" s="164"/>
      <c r="L356" s="164"/>
      <c r="AC356" s="164"/>
    </row>
    <row r="357" spans="10:29" ht="15.75" customHeight="1" x14ac:dyDescent="0.25">
      <c r="J357" s="164"/>
      <c r="L357" s="164"/>
      <c r="AC357" s="164"/>
    </row>
    <row r="358" spans="10:29" ht="15.75" customHeight="1" x14ac:dyDescent="0.25">
      <c r="J358" s="164"/>
      <c r="L358" s="164"/>
      <c r="AC358" s="164"/>
    </row>
    <row r="359" spans="10:29" ht="15.75" customHeight="1" x14ac:dyDescent="0.25">
      <c r="J359" s="164"/>
      <c r="L359" s="164"/>
      <c r="AC359" s="164"/>
    </row>
    <row r="360" spans="10:29" ht="15.75" customHeight="1" x14ac:dyDescent="0.25">
      <c r="J360" s="164"/>
      <c r="L360" s="164"/>
      <c r="AC360" s="164"/>
    </row>
    <row r="361" spans="10:29" ht="15.75" customHeight="1" x14ac:dyDescent="0.25">
      <c r="J361" s="164"/>
      <c r="L361" s="164"/>
      <c r="AC361" s="164"/>
    </row>
    <row r="362" spans="10:29" ht="15.75" customHeight="1" x14ac:dyDescent="0.25">
      <c r="J362" s="164"/>
      <c r="L362" s="164"/>
      <c r="AC362" s="164"/>
    </row>
    <row r="363" spans="10:29" ht="15.75" customHeight="1" x14ac:dyDescent="0.25">
      <c r="J363" s="164"/>
      <c r="L363" s="164"/>
      <c r="AC363" s="164"/>
    </row>
    <row r="364" spans="10:29" ht="15.75" customHeight="1" x14ac:dyDescent="0.25">
      <c r="J364" s="164"/>
      <c r="L364" s="164"/>
      <c r="AC364" s="164"/>
    </row>
    <row r="365" spans="10:29" ht="15.75" customHeight="1" x14ac:dyDescent="0.25">
      <c r="J365" s="164"/>
      <c r="L365" s="164"/>
      <c r="AC365" s="164"/>
    </row>
    <row r="366" spans="10:29" ht="15.75" customHeight="1" x14ac:dyDescent="0.25">
      <c r="J366" s="164"/>
      <c r="L366" s="164"/>
      <c r="AC366" s="164"/>
    </row>
    <row r="367" spans="10:29" ht="15.75" customHeight="1" x14ac:dyDescent="0.25">
      <c r="J367" s="164"/>
      <c r="L367" s="164"/>
      <c r="AC367" s="164"/>
    </row>
    <row r="368" spans="10:29" ht="15.75" customHeight="1" x14ac:dyDescent="0.25">
      <c r="J368" s="164"/>
      <c r="L368" s="164"/>
      <c r="AC368" s="164"/>
    </row>
    <row r="369" spans="10:29" ht="15.75" customHeight="1" x14ac:dyDescent="0.25">
      <c r="J369" s="164"/>
      <c r="L369" s="164"/>
      <c r="AC369" s="164"/>
    </row>
    <row r="370" spans="10:29" ht="15.75" customHeight="1" x14ac:dyDescent="0.25">
      <c r="J370" s="164"/>
      <c r="L370" s="164"/>
      <c r="AC370" s="164"/>
    </row>
    <row r="371" spans="10:29" ht="15.75" customHeight="1" x14ac:dyDescent="0.25">
      <c r="J371" s="164"/>
      <c r="L371" s="164"/>
      <c r="AC371" s="164"/>
    </row>
    <row r="372" spans="10:29" ht="15.75" customHeight="1" x14ac:dyDescent="0.25">
      <c r="J372" s="164"/>
      <c r="L372" s="164"/>
      <c r="AC372" s="164"/>
    </row>
    <row r="373" spans="10:29" ht="15.75" customHeight="1" x14ac:dyDescent="0.25">
      <c r="J373" s="164"/>
      <c r="L373" s="164"/>
      <c r="AC373" s="164"/>
    </row>
    <row r="374" spans="10:29" ht="15.75" customHeight="1" x14ac:dyDescent="0.25">
      <c r="J374" s="164"/>
      <c r="L374" s="164"/>
      <c r="AC374" s="164"/>
    </row>
    <row r="375" spans="10:29" ht="15.75" customHeight="1" x14ac:dyDescent="0.25">
      <c r="J375" s="164"/>
      <c r="L375" s="164"/>
      <c r="AC375" s="164"/>
    </row>
    <row r="376" spans="10:29" ht="15.75" customHeight="1" x14ac:dyDescent="0.25">
      <c r="J376" s="164"/>
      <c r="L376" s="164"/>
      <c r="AC376" s="164"/>
    </row>
    <row r="377" spans="10:29" ht="15.75" customHeight="1" x14ac:dyDescent="0.25">
      <c r="J377" s="164"/>
      <c r="L377" s="164"/>
      <c r="AC377" s="164"/>
    </row>
    <row r="378" spans="10:29" ht="15.75" customHeight="1" x14ac:dyDescent="0.25">
      <c r="J378" s="164"/>
      <c r="L378" s="164"/>
      <c r="AC378" s="164"/>
    </row>
    <row r="379" spans="10:29" ht="15.75" customHeight="1" x14ac:dyDescent="0.25">
      <c r="J379" s="164"/>
      <c r="L379" s="164"/>
      <c r="AC379" s="164"/>
    </row>
    <row r="380" spans="10:29" ht="15.75" customHeight="1" x14ac:dyDescent="0.25">
      <c r="J380" s="164"/>
      <c r="L380" s="164"/>
      <c r="AC380" s="164"/>
    </row>
    <row r="381" spans="10:29" ht="15.75" customHeight="1" x14ac:dyDescent="0.25">
      <c r="J381" s="164"/>
      <c r="L381" s="164"/>
      <c r="AC381" s="164"/>
    </row>
    <row r="382" spans="10:29" ht="15.75" customHeight="1" x14ac:dyDescent="0.25">
      <c r="J382" s="164"/>
      <c r="L382" s="164"/>
      <c r="AC382" s="164"/>
    </row>
    <row r="383" spans="10:29" ht="15.75" customHeight="1" x14ac:dyDescent="0.25">
      <c r="J383" s="164"/>
      <c r="L383" s="164"/>
      <c r="AC383" s="164"/>
    </row>
    <row r="384" spans="10:29" ht="15.75" customHeight="1" x14ac:dyDescent="0.25">
      <c r="J384" s="164"/>
      <c r="L384" s="164"/>
      <c r="AC384" s="164"/>
    </row>
    <row r="385" spans="10:29" ht="15.75" customHeight="1" x14ac:dyDescent="0.25">
      <c r="J385" s="164"/>
      <c r="L385" s="164"/>
      <c r="AC385" s="164"/>
    </row>
    <row r="386" spans="10:29" ht="15.75" customHeight="1" x14ac:dyDescent="0.25">
      <c r="J386" s="164"/>
      <c r="L386" s="164"/>
      <c r="AC386" s="164"/>
    </row>
    <row r="387" spans="10:29" ht="15.75" customHeight="1" x14ac:dyDescent="0.25">
      <c r="J387" s="164"/>
      <c r="L387" s="164"/>
      <c r="AC387" s="164"/>
    </row>
    <row r="388" spans="10:29" ht="15.75" customHeight="1" x14ac:dyDescent="0.25">
      <c r="J388" s="164"/>
      <c r="L388" s="164"/>
      <c r="AC388" s="164"/>
    </row>
    <row r="389" spans="10:29" ht="15.75" customHeight="1" x14ac:dyDescent="0.25">
      <c r="J389" s="164"/>
      <c r="L389" s="164"/>
      <c r="AC389" s="164"/>
    </row>
    <row r="390" spans="10:29" ht="15.75" customHeight="1" x14ac:dyDescent="0.25">
      <c r="J390" s="164"/>
      <c r="L390" s="164"/>
      <c r="AC390" s="164"/>
    </row>
    <row r="391" spans="10:29" ht="15.75" customHeight="1" x14ac:dyDescent="0.25">
      <c r="J391" s="164"/>
      <c r="L391" s="164"/>
      <c r="AC391" s="164"/>
    </row>
    <row r="392" spans="10:29" ht="15.75" customHeight="1" x14ac:dyDescent="0.25">
      <c r="J392" s="164"/>
      <c r="L392" s="164"/>
      <c r="AC392" s="164"/>
    </row>
    <row r="393" spans="10:29" ht="15.75" customHeight="1" x14ac:dyDescent="0.25">
      <c r="J393" s="164"/>
      <c r="L393" s="164"/>
      <c r="AC393" s="164"/>
    </row>
    <row r="394" spans="10:29" ht="15.75" customHeight="1" x14ac:dyDescent="0.25">
      <c r="J394" s="164"/>
      <c r="L394" s="164"/>
      <c r="AC394" s="164"/>
    </row>
    <row r="395" spans="10:29" ht="15.75" customHeight="1" x14ac:dyDescent="0.25">
      <c r="J395" s="164"/>
      <c r="L395" s="164"/>
      <c r="AC395" s="164"/>
    </row>
    <row r="396" spans="10:29" ht="15.75" customHeight="1" x14ac:dyDescent="0.25">
      <c r="J396" s="164"/>
      <c r="L396" s="164"/>
      <c r="AC396" s="164"/>
    </row>
    <row r="397" spans="10:29" ht="15.75" customHeight="1" x14ac:dyDescent="0.25">
      <c r="J397" s="164"/>
      <c r="L397" s="164"/>
      <c r="AC397" s="164"/>
    </row>
    <row r="398" spans="10:29" ht="15.75" customHeight="1" x14ac:dyDescent="0.25">
      <c r="J398" s="164"/>
      <c r="L398" s="164"/>
      <c r="AC398" s="164"/>
    </row>
    <row r="399" spans="10:29" ht="15.75" customHeight="1" x14ac:dyDescent="0.25">
      <c r="J399" s="164"/>
      <c r="L399" s="164"/>
      <c r="AC399" s="164"/>
    </row>
    <row r="400" spans="10:29" ht="15.75" customHeight="1" x14ac:dyDescent="0.25">
      <c r="J400" s="164"/>
      <c r="L400" s="164"/>
      <c r="AC400" s="164"/>
    </row>
    <row r="401" spans="10:29" ht="15.75" customHeight="1" x14ac:dyDescent="0.25">
      <c r="J401" s="164"/>
      <c r="L401" s="164"/>
      <c r="AC401" s="164"/>
    </row>
    <row r="402" spans="10:29" ht="15.75" customHeight="1" x14ac:dyDescent="0.25">
      <c r="J402" s="164"/>
      <c r="L402" s="164"/>
      <c r="AC402" s="164"/>
    </row>
    <row r="403" spans="10:29" ht="15.75" customHeight="1" x14ac:dyDescent="0.25">
      <c r="J403" s="164"/>
      <c r="L403" s="164"/>
      <c r="AC403" s="164"/>
    </row>
    <row r="404" spans="10:29" ht="15.75" customHeight="1" x14ac:dyDescent="0.25">
      <c r="J404" s="164"/>
      <c r="L404" s="164"/>
      <c r="AC404" s="164"/>
    </row>
    <row r="405" spans="10:29" ht="15.75" customHeight="1" x14ac:dyDescent="0.25">
      <c r="J405" s="164"/>
      <c r="L405" s="164"/>
      <c r="AC405" s="164"/>
    </row>
    <row r="406" spans="10:29" ht="15.75" customHeight="1" x14ac:dyDescent="0.25">
      <c r="J406" s="164"/>
      <c r="L406" s="164"/>
      <c r="AC406" s="164"/>
    </row>
    <row r="407" spans="10:29" ht="15.75" customHeight="1" x14ac:dyDescent="0.25">
      <c r="J407" s="164"/>
      <c r="L407" s="164"/>
      <c r="AC407" s="164"/>
    </row>
    <row r="408" spans="10:29" ht="15.75" customHeight="1" x14ac:dyDescent="0.25">
      <c r="J408" s="164"/>
      <c r="L408" s="164"/>
      <c r="AC408" s="164"/>
    </row>
    <row r="409" spans="10:29" ht="15.75" customHeight="1" x14ac:dyDescent="0.25">
      <c r="J409" s="164"/>
      <c r="L409" s="164"/>
      <c r="AC409" s="164"/>
    </row>
    <row r="410" spans="10:29" ht="15.75" customHeight="1" x14ac:dyDescent="0.25">
      <c r="J410" s="164"/>
      <c r="L410" s="164"/>
      <c r="AC410" s="164"/>
    </row>
    <row r="411" spans="10:29" ht="15.75" customHeight="1" x14ac:dyDescent="0.25">
      <c r="J411" s="164"/>
      <c r="L411" s="164"/>
      <c r="AC411" s="164"/>
    </row>
    <row r="412" spans="10:29" ht="15.75" customHeight="1" x14ac:dyDescent="0.25">
      <c r="J412" s="164"/>
      <c r="L412" s="164"/>
      <c r="AC412" s="164"/>
    </row>
    <row r="413" spans="10:29" ht="15.75" customHeight="1" x14ac:dyDescent="0.25">
      <c r="J413" s="164"/>
      <c r="L413" s="164"/>
      <c r="AC413" s="164"/>
    </row>
    <row r="414" spans="10:29" ht="15.75" customHeight="1" x14ac:dyDescent="0.25">
      <c r="J414" s="164"/>
      <c r="L414" s="164"/>
      <c r="AC414" s="164"/>
    </row>
    <row r="415" spans="10:29" ht="15.75" customHeight="1" x14ac:dyDescent="0.25">
      <c r="J415" s="164"/>
      <c r="L415" s="164"/>
      <c r="AC415" s="164"/>
    </row>
    <row r="416" spans="10:29" ht="15.75" customHeight="1" x14ac:dyDescent="0.25">
      <c r="J416" s="164"/>
      <c r="L416" s="164"/>
      <c r="AC416" s="164"/>
    </row>
    <row r="417" spans="10:29" ht="15.75" customHeight="1" x14ac:dyDescent="0.25">
      <c r="J417" s="164"/>
      <c r="L417" s="164"/>
      <c r="AC417" s="164"/>
    </row>
    <row r="418" spans="10:29" ht="15.75" customHeight="1" x14ac:dyDescent="0.25">
      <c r="J418" s="164"/>
      <c r="L418" s="164"/>
      <c r="AC418" s="164"/>
    </row>
    <row r="419" spans="10:29" ht="15.75" customHeight="1" x14ac:dyDescent="0.25">
      <c r="J419" s="164"/>
      <c r="L419" s="164"/>
      <c r="AC419" s="164"/>
    </row>
    <row r="420" spans="10:29" ht="15.75" customHeight="1" x14ac:dyDescent="0.25">
      <c r="J420" s="164"/>
      <c r="L420" s="164"/>
      <c r="AC420" s="164"/>
    </row>
    <row r="421" spans="10:29" ht="15.75" customHeight="1" x14ac:dyDescent="0.25">
      <c r="J421" s="164"/>
      <c r="L421" s="164"/>
      <c r="AC421" s="164"/>
    </row>
    <row r="422" spans="10:29" ht="15.75" customHeight="1" x14ac:dyDescent="0.25">
      <c r="J422" s="164"/>
      <c r="L422" s="164"/>
      <c r="AC422" s="164"/>
    </row>
    <row r="423" spans="10:29" ht="15.75" customHeight="1" x14ac:dyDescent="0.25">
      <c r="J423" s="164"/>
      <c r="L423" s="164"/>
      <c r="AC423" s="164"/>
    </row>
    <row r="424" spans="10:29" ht="15.75" customHeight="1" x14ac:dyDescent="0.25">
      <c r="J424" s="164"/>
      <c r="L424" s="164"/>
      <c r="AC424" s="164"/>
    </row>
    <row r="425" spans="10:29" ht="15.75" customHeight="1" x14ac:dyDescent="0.25">
      <c r="J425" s="164"/>
      <c r="L425" s="164"/>
      <c r="AC425" s="164"/>
    </row>
    <row r="426" spans="10:29" ht="15.75" customHeight="1" x14ac:dyDescent="0.25">
      <c r="J426" s="164"/>
      <c r="L426" s="164"/>
      <c r="AC426" s="164"/>
    </row>
    <row r="427" spans="10:29" ht="15.75" customHeight="1" x14ac:dyDescent="0.25">
      <c r="J427" s="164"/>
      <c r="L427" s="164"/>
      <c r="AC427" s="164"/>
    </row>
    <row r="428" spans="10:29" ht="15.75" customHeight="1" x14ac:dyDescent="0.25">
      <c r="J428" s="164"/>
      <c r="L428" s="164"/>
      <c r="AC428" s="164"/>
    </row>
    <row r="429" spans="10:29" ht="15.75" customHeight="1" x14ac:dyDescent="0.25">
      <c r="J429" s="164"/>
      <c r="L429" s="164"/>
      <c r="AC429" s="164"/>
    </row>
    <row r="430" spans="10:29" ht="15.75" customHeight="1" x14ac:dyDescent="0.25">
      <c r="J430" s="164"/>
      <c r="L430" s="164"/>
      <c r="AC430" s="164"/>
    </row>
    <row r="431" spans="10:29" ht="15.75" customHeight="1" x14ac:dyDescent="0.25">
      <c r="J431" s="164"/>
      <c r="L431" s="164"/>
      <c r="AC431" s="164"/>
    </row>
    <row r="432" spans="10:29" ht="15.75" customHeight="1" x14ac:dyDescent="0.25">
      <c r="J432" s="164"/>
      <c r="L432" s="164"/>
      <c r="AC432" s="164"/>
    </row>
    <row r="433" spans="10:29" ht="15.75" customHeight="1" x14ac:dyDescent="0.25">
      <c r="J433" s="164"/>
      <c r="L433" s="164"/>
      <c r="AC433" s="164"/>
    </row>
    <row r="434" spans="10:29" ht="15.75" customHeight="1" x14ac:dyDescent="0.25">
      <c r="J434" s="164"/>
      <c r="L434" s="164"/>
      <c r="AC434" s="164"/>
    </row>
    <row r="435" spans="10:29" ht="15.75" customHeight="1" x14ac:dyDescent="0.25">
      <c r="J435" s="164"/>
      <c r="L435" s="164"/>
      <c r="AC435" s="164"/>
    </row>
    <row r="436" spans="10:29" ht="15.75" customHeight="1" x14ac:dyDescent="0.25">
      <c r="J436" s="164"/>
      <c r="L436" s="164"/>
      <c r="AC436" s="164"/>
    </row>
    <row r="437" spans="10:29" ht="15.75" customHeight="1" x14ac:dyDescent="0.25">
      <c r="J437" s="164"/>
      <c r="L437" s="164"/>
      <c r="AC437" s="164"/>
    </row>
    <row r="438" spans="10:29" ht="15.75" customHeight="1" x14ac:dyDescent="0.25">
      <c r="J438" s="164"/>
      <c r="L438" s="164"/>
      <c r="AC438" s="164"/>
    </row>
    <row r="439" spans="10:29" ht="15.75" customHeight="1" x14ac:dyDescent="0.25">
      <c r="J439" s="164"/>
      <c r="L439" s="164"/>
      <c r="AC439" s="164"/>
    </row>
    <row r="440" spans="10:29" ht="15.75" customHeight="1" x14ac:dyDescent="0.25">
      <c r="J440" s="164"/>
      <c r="L440" s="164"/>
      <c r="AC440" s="164"/>
    </row>
    <row r="441" spans="10:29" ht="15.75" customHeight="1" x14ac:dyDescent="0.25">
      <c r="J441" s="164"/>
      <c r="L441" s="164"/>
      <c r="AC441" s="164"/>
    </row>
    <row r="442" spans="10:29" ht="15.75" customHeight="1" x14ac:dyDescent="0.25">
      <c r="J442" s="164"/>
      <c r="L442" s="164"/>
      <c r="AC442" s="164"/>
    </row>
    <row r="443" spans="10:29" ht="15.75" customHeight="1" x14ac:dyDescent="0.25">
      <c r="J443" s="164"/>
      <c r="L443" s="164"/>
      <c r="AC443" s="164"/>
    </row>
    <row r="444" spans="10:29" ht="15.75" customHeight="1" x14ac:dyDescent="0.25">
      <c r="J444" s="164"/>
      <c r="L444" s="164"/>
      <c r="AC444" s="164"/>
    </row>
    <row r="445" spans="10:29" ht="15.75" customHeight="1" x14ac:dyDescent="0.25">
      <c r="J445" s="164"/>
      <c r="L445" s="164"/>
      <c r="AC445" s="164"/>
    </row>
    <row r="446" spans="10:29" ht="15.75" customHeight="1" x14ac:dyDescent="0.25">
      <c r="J446" s="164"/>
      <c r="L446" s="164"/>
      <c r="AC446" s="164"/>
    </row>
    <row r="447" spans="10:29" ht="15.75" customHeight="1" x14ac:dyDescent="0.25">
      <c r="J447" s="164"/>
      <c r="L447" s="164"/>
      <c r="AC447" s="164"/>
    </row>
    <row r="448" spans="10:29" ht="15.75" customHeight="1" x14ac:dyDescent="0.25">
      <c r="J448" s="164"/>
      <c r="L448" s="164"/>
      <c r="AC448" s="164"/>
    </row>
    <row r="449" spans="10:29" ht="15.75" customHeight="1" x14ac:dyDescent="0.25">
      <c r="J449" s="164"/>
      <c r="L449" s="164"/>
      <c r="AC449" s="164"/>
    </row>
    <row r="450" spans="10:29" ht="15.75" customHeight="1" x14ac:dyDescent="0.25">
      <c r="J450" s="164"/>
      <c r="L450" s="164"/>
      <c r="AC450" s="164"/>
    </row>
    <row r="451" spans="10:29" ht="15.75" customHeight="1" x14ac:dyDescent="0.25">
      <c r="J451" s="164"/>
      <c r="L451" s="164"/>
      <c r="AC451" s="164"/>
    </row>
    <row r="452" spans="10:29" ht="15.75" customHeight="1" x14ac:dyDescent="0.25">
      <c r="J452" s="164"/>
      <c r="L452" s="164"/>
      <c r="AC452" s="164"/>
    </row>
    <row r="453" spans="10:29" ht="15.75" customHeight="1" x14ac:dyDescent="0.25">
      <c r="J453" s="164"/>
      <c r="L453" s="164"/>
      <c r="AC453" s="164"/>
    </row>
    <row r="454" spans="10:29" ht="15.75" customHeight="1" x14ac:dyDescent="0.25">
      <c r="J454" s="164"/>
      <c r="L454" s="164"/>
      <c r="AC454" s="164"/>
    </row>
    <row r="455" spans="10:29" ht="15.75" customHeight="1" x14ac:dyDescent="0.25">
      <c r="J455" s="164"/>
      <c r="L455" s="164"/>
      <c r="AC455" s="164"/>
    </row>
    <row r="456" spans="10:29" ht="15.75" customHeight="1" x14ac:dyDescent="0.25">
      <c r="J456" s="164"/>
      <c r="L456" s="164"/>
      <c r="AC456" s="164"/>
    </row>
    <row r="457" spans="10:29" ht="15.75" customHeight="1" x14ac:dyDescent="0.25">
      <c r="J457" s="164"/>
      <c r="L457" s="164"/>
      <c r="AC457" s="164"/>
    </row>
    <row r="458" spans="10:29" ht="15.75" customHeight="1" x14ac:dyDescent="0.25">
      <c r="J458" s="164"/>
      <c r="L458" s="164"/>
      <c r="AC458" s="164"/>
    </row>
    <row r="459" spans="10:29" ht="15.75" customHeight="1" x14ac:dyDescent="0.25">
      <c r="J459" s="164"/>
      <c r="L459" s="164"/>
      <c r="AC459" s="164"/>
    </row>
    <row r="460" spans="10:29" ht="15.75" customHeight="1" x14ac:dyDescent="0.25">
      <c r="J460" s="164"/>
      <c r="L460" s="164"/>
      <c r="AC460" s="164"/>
    </row>
    <row r="461" spans="10:29" ht="15.75" customHeight="1" x14ac:dyDescent="0.25">
      <c r="J461" s="164"/>
      <c r="L461" s="164"/>
      <c r="AC461" s="164"/>
    </row>
    <row r="462" spans="10:29" ht="15.75" customHeight="1" x14ac:dyDescent="0.25">
      <c r="J462" s="164"/>
      <c r="L462" s="164"/>
      <c r="AC462" s="164"/>
    </row>
    <row r="463" spans="10:29" ht="15.75" customHeight="1" x14ac:dyDescent="0.25">
      <c r="J463" s="164"/>
      <c r="L463" s="164"/>
      <c r="AC463" s="164"/>
    </row>
    <row r="464" spans="10:29" ht="15.75" customHeight="1" x14ac:dyDescent="0.25">
      <c r="J464" s="164"/>
      <c r="L464" s="164"/>
      <c r="AC464" s="164"/>
    </row>
    <row r="465" spans="10:29" ht="15.75" customHeight="1" x14ac:dyDescent="0.25">
      <c r="J465" s="164"/>
      <c r="L465" s="164"/>
      <c r="AC465" s="164"/>
    </row>
    <row r="466" spans="10:29" ht="15.75" customHeight="1" x14ac:dyDescent="0.25">
      <c r="J466" s="164"/>
      <c r="L466" s="164"/>
      <c r="AC466" s="164"/>
    </row>
    <row r="467" spans="10:29" ht="15.75" customHeight="1" x14ac:dyDescent="0.25">
      <c r="J467" s="164"/>
      <c r="L467" s="164"/>
      <c r="AC467" s="164"/>
    </row>
    <row r="468" spans="10:29" ht="15.75" customHeight="1" x14ac:dyDescent="0.25">
      <c r="J468" s="164"/>
      <c r="L468" s="164"/>
      <c r="AC468" s="164"/>
    </row>
    <row r="469" spans="10:29" ht="15.75" customHeight="1" x14ac:dyDescent="0.25">
      <c r="J469" s="164"/>
      <c r="L469" s="164"/>
      <c r="AC469" s="164"/>
    </row>
    <row r="470" spans="10:29" ht="15.75" customHeight="1" x14ac:dyDescent="0.25">
      <c r="J470" s="164"/>
      <c r="L470" s="164"/>
      <c r="AC470" s="164"/>
    </row>
    <row r="471" spans="10:29" ht="15.75" customHeight="1" x14ac:dyDescent="0.25">
      <c r="J471" s="164"/>
      <c r="L471" s="164"/>
      <c r="AC471" s="164"/>
    </row>
    <row r="472" spans="10:29" ht="15.75" customHeight="1" x14ac:dyDescent="0.25">
      <c r="J472" s="164"/>
      <c r="L472" s="164"/>
      <c r="AC472" s="164"/>
    </row>
    <row r="473" spans="10:29" ht="15.75" customHeight="1" x14ac:dyDescent="0.25">
      <c r="J473" s="164"/>
      <c r="L473" s="164"/>
      <c r="AC473" s="164"/>
    </row>
    <row r="474" spans="10:29" ht="15.75" customHeight="1" x14ac:dyDescent="0.25">
      <c r="J474" s="164"/>
      <c r="L474" s="164"/>
      <c r="AC474" s="164"/>
    </row>
    <row r="475" spans="10:29" ht="15.75" customHeight="1" x14ac:dyDescent="0.25">
      <c r="J475" s="164"/>
      <c r="L475" s="164"/>
      <c r="AC475" s="164"/>
    </row>
    <row r="476" spans="10:29" ht="15.75" customHeight="1" x14ac:dyDescent="0.25">
      <c r="J476" s="164"/>
      <c r="L476" s="164"/>
      <c r="AC476" s="164"/>
    </row>
    <row r="477" spans="10:29" ht="15.75" customHeight="1" x14ac:dyDescent="0.25">
      <c r="J477" s="164"/>
      <c r="L477" s="164"/>
      <c r="AC477" s="164"/>
    </row>
    <row r="478" spans="10:29" ht="15.75" customHeight="1" x14ac:dyDescent="0.25">
      <c r="J478" s="164"/>
      <c r="L478" s="164"/>
      <c r="AC478" s="164"/>
    </row>
    <row r="479" spans="10:29" ht="15.75" customHeight="1" x14ac:dyDescent="0.25">
      <c r="J479" s="164"/>
      <c r="L479" s="164"/>
      <c r="AC479" s="164"/>
    </row>
    <row r="480" spans="10:29" ht="15.75" customHeight="1" x14ac:dyDescent="0.25">
      <c r="J480" s="164"/>
      <c r="L480" s="164"/>
      <c r="AC480" s="164"/>
    </row>
    <row r="481" spans="10:29" ht="15.75" customHeight="1" x14ac:dyDescent="0.25">
      <c r="J481" s="164"/>
      <c r="L481" s="164"/>
      <c r="AC481" s="164"/>
    </row>
    <row r="482" spans="10:29" ht="15.75" customHeight="1" x14ac:dyDescent="0.25">
      <c r="J482" s="164"/>
      <c r="L482" s="164"/>
      <c r="AC482" s="164"/>
    </row>
    <row r="483" spans="10:29" ht="15.75" customHeight="1" x14ac:dyDescent="0.25">
      <c r="J483" s="164"/>
      <c r="L483" s="164"/>
      <c r="AC483" s="164"/>
    </row>
    <row r="484" spans="10:29" ht="15.75" customHeight="1" x14ac:dyDescent="0.25">
      <c r="J484" s="164"/>
      <c r="L484" s="164"/>
      <c r="AC484" s="164"/>
    </row>
    <row r="485" spans="10:29" ht="15.75" customHeight="1" x14ac:dyDescent="0.25">
      <c r="J485" s="164"/>
      <c r="L485" s="164"/>
      <c r="AC485" s="164"/>
    </row>
    <row r="486" spans="10:29" ht="15.75" customHeight="1" x14ac:dyDescent="0.25">
      <c r="J486" s="164"/>
      <c r="L486" s="164"/>
      <c r="AC486" s="164"/>
    </row>
    <row r="487" spans="10:29" ht="15.75" customHeight="1" x14ac:dyDescent="0.25">
      <c r="J487" s="164"/>
      <c r="L487" s="164"/>
      <c r="AC487" s="164"/>
    </row>
    <row r="488" spans="10:29" ht="15.75" customHeight="1" x14ac:dyDescent="0.25">
      <c r="J488" s="164"/>
      <c r="L488" s="164"/>
      <c r="AC488" s="164"/>
    </row>
    <row r="489" spans="10:29" ht="15.75" customHeight="1" x14ac:dyDescent="0.25">
      <c r="J489" s="164"/>
      <c r="L489" s="164"/>
      <c r="AC489" s="164"/>
    </row>
    <row r="490" spans="10:29" ht="15.75" customHeight="1" x14ac:dyDescent="0.25">
      <c r="J490" s="164"/>
      <c r="L490" s="164"/>
      <c r="AC490" s="164"/>
    </row>
    <row r="491" spans="10:29" ht="15.75" customHeight="1" x14ac:dyDescent="0.25">
      <c r="J491" s="164"/>
      <c r="L491" s="164"/>
      <c r="AC491" s="164"/>
    </row>
    <row r="492" spans="10:29" ht="15.75" customHeight="1" x14ac:dyDescent="0.25">
      <c r="J492" s="164"/>
      <c r="L492" s="164"/>
      <c r="AC492" s="164"/>
    </row>
    <row r="493" spans="10:29" ht="15.75" customHeight="1" x14ac:dyDescent="0.25">
      <c r="J493" s="164"/>
      <c r="L493" s="164"/>
      <c r="AC493" s="164"/>
    </row>
    <row r="494" spans="10:29" ht="15.75" customHeight="1" x14ac:dyDescent="0.25">
      <c r="J494" s="164"/>
      <c r="L494" s="164"/>
      <c r="AC494" s="164"/>
    </row>
    <row r="495" spans="10:29" ht="15.75" customHeight="1" x14ac:dyDescent="0.25">
      <c r="J495" s="164"/>
      <c r="L495" s="164"/>
      <c r="AC495" s="164"/>
    </row>
    <row r="496" spans="10:29" ht="15.75" customHeight="1" x14ac:dyDescent="0.25">
      <c r="J496" s="164"/>
      <c r="L496" s="164"/>
      <c r="AC496" s="164"/>
    </row>
    <row r="497" spans="10:29" ht="15.75" customHeight="1" x14ac:dyDescent="0.25">
      <c r="J497" s="164"/>
      <c r="L497" s="164"/>
      <c r="AC497" s="164"/>
    </row>
    <row r="498" spans="10:29" ht="15.75" customHeight="1" x14ac:dyDescent="0.25">
      <c r="J498" s="164"/>
      <c r="L498" s="164"/>
      <c r="AC498" s="164"/>
    </row>
    <row r="499" spans="10:29" ht="15.75" customHeight="1" x14ac:dyDescent="0.25">
      <c r="J499" s="164"/>
      <c r="L499" s="164"/>
      <c r="AC499" s="164"/>
    </row>
    <row r="500" spans="10:29" ht="15.75" customHeight="1" x14ac:dyDescent="0.25">
      <c r="J500" s="164"/>
      <c r="L500" s="164"/>
      <c r="AC500" s="164"/>
    </row>
    <row r="501" spans="10:29" ht="15.75" customHeight="1" x14ac:dyDescent="0.25">
      <c r="J501" s="164"/>
      <c r="L501" s="164"/>
      <c r="AC501" s="164"/>
    </row>
    <row r="502" spans="10:29" ht="15.75" customHeight="1" x14ac:dyDescent="0.25">
      <c r="J502" s="164"/>
      <c r="L502" s="164"/>
      <c r="AC502" s="164"/>
    </row>
    <row r="503" spans="10:29" ht="15.75" customHeight="1" x14ac:dyDescent="0.25">
      <c r="J503" s="164"/>
      <c r="L503" s="164"/>
      <c r="AC503" s="164"/>
    </row>
    <row r="504" spans="10:29" ht="15.75" customHeight="1" x14ac:dyDescent="0.25">
      <c r="J504" s="164"/>
      <c r="L504" s="164"/>
      <c r="AC504" s="164"/>
    </row>
    <row r="505" spans="10:29" ht="15.75" customHeight="1" x14ac:dyDescent="0.25">
      <c r="J505" s="164"/>
      <c r="L505" s="164"/>
      <c r="AC505" s="164"/>
    </row>
    <row r="506" spans="10:29" ht="15.75" customHeight="1" x14ac:dyDescent="0.25">
      <c r="J506" s="164"/>
      <c r="L506" s="164"/>
      <c r="AC506" s="164"/>
    </row>
    <row r="507" spans="10:29" ht="15.75" customHeight="1" x14ac:dyDescent="0.25">
      <c r="J507" s="164"/>
      <c r="L507" s="164"/>
      <c r="AC507" s="164"/>
    </row>
    <row r="508" spans="10:29" ht="15.75" customHeight="1" x14ac:dyDescent="0.25">
      <c r="J508" s="164"/>
      <c r="L508" s="164"/>
      <c r="AC508" s="164"/>
    </row>
    <row r="509" spans="10:29" ht="15.75" customHeight="1" x14ac:dyDescent="0.25">
      <c r="J509" s="164"/>
      <c r="L509" s="164"/>
      <c r="AC509" s="164"/>
    </row>
    <row r="510" spans="10:29" ht="15.75" customHeight="1" x14ac:dyDescent="0.25">
      <c r="J510" s="164"/>
      <c r="L510" s="164"/>
      <c r="AC510" s="164"/>
    </row>
    <row r="511" spans="10:29" ht="15.75" customHeight="1" x14ac:dyDescent="0.25">
      <c r="J511" s="164"/>
      <c r="L511" s="164"/>
      <c r="AC511" s="164"/>
    </row>
    <row r="512" spans="10:29" ht="15.75" customHeight="1" x14ac:dyDescent="0.25">
      <c r="J512" s="164"/>
      <c r="L512" s="164"/>
      <c r="AC512" s="164"/>
    </row>
    <row r="513" spans="10:29" ht="15.75" customHeight="1" x14ac:dyDescent="0.25">
      <c r="J513" s="164"/>
      <c r="L513" s="164"/>
      <c r="AC513" s="164"/>
    </row>
    <row r="514" spans="10:29" ht="15.75" customHeight="1" x14ac:dyDescent="0.25">
      <c r="J514" s="164"/>
      <c r="L514" s="164"/>
      <c r="AC514" s="164"/>
    </row>
    <row r="515" spans="10:29" ht="15.75" customHeight="1" x14ac:dyDescent="0.25">
      <c r="J515" s="164"/>
      <c r="L515" s="164"/>
      <c r="AC515" s="164"/>
    </row>
    <row r="516" spans="10:29" ht="15.75" customHeight="1" x14ac:dyDescent="0.25">
      <c r="J516" s="164"/>
      <c r="L516" s="164"/>
      <c r="AC516" s="164"/>
    </row>
    <row r="517" spans="10:29" ht="15.75" customHeight="1" x14ac:dyDescent="0.25">
      <c r="J517" s="164"/>
      <c r="L517" s="164"/>
      <c r="AC517" s="164"/>
    </row>
    <row r="518" spans="10:29" ht="15.75" customHeight="1" x14ac:dyDescent="0.25">
      <c r="J518" s="164"/>
      <c r="L518" s="164"/>
      <c r="AC518" s="164"/>
    </row>
    <row r="519" spans="10:29" ht="15.75" customHeight="1" x14ac:dyDescent="0.25">
      <c r="J519" s="164"/>
      <c r="L519" s="164"/>
      <c r="AC519" s="164"/>
    </row>
    <row r="520" spans="10:29" ht="15.75" customHeight="1" x14ac:dyDescent="0.25">
      <c r="J520" s="164"/>
      <c r="L520" s="164"/>
      <c r="AC520" s="164"/>
    </row>
    <row r="521" spans="10:29" ht="15.75" customHeight="1" x14ac:dyDescent="0.25">
      <c r="J521" s="164"/>
      <c r="L521" s="164"/>
      <c r="AC521" s="164"/>
    </row>
    <row r="522" spans="10:29" ht="15.75" customHeight="1" x14ac:dyDescent="0.25">
      <c r="J522" s="164"/>
      <c r="L522" s="164"/>
      <c r="AC522" s="164"/>
    </row>
    <row r="523" spans="10:29" ht="15.75" customHeight="1" x14ac:dyDescent="0.25">
      <c r="J523" s="164"/>
      <c r="L523" s="164"/>
      <c r="AC523" s="164"/>
    </row>
    <row r="524" spans="10:29" ht="15.75" customHeight="1" x14ac:dyDescent="0.25">
      <c r="J524" s="164"/>
      <c r="L524" s="164"/>
      <c r="AC524" s="164"/>
    </row>
    <row r="525" spans="10:29" ht="15.75" customHeight="1" x14ac:dyDescent="0.25">
      <c r="J525" s="164"/>
      <c r="L525" s="164"/>
      <c r="AC525" s="164"/>
    </row>
    <row r="526" spans="10:29" ht="15.75" customHeight="1" x14ac:dyDescent="0.25">
      <c r="J526" s="164"/>
      <c r="L526" s="164"/>
      <c r="AC526" s="164"/>
    </row>
    <row r="527" spans="10:29" ht="15.75" customHeight="1" x14ac:dyDescent="0.25">
      <c r="J527" s="164"/>
      <c r="L527" s="164"/>
      <c r="AC527" s="164"/>
    </row>
    <row r="528" spans="10:29" ht="15.75" customHeight="1" x14ac:dyDescent="0.25">
      <c r="J528" s="164"/>
      <c r="L528" s="164"/>
      <c r="AC528" s="164"/>
    </row>
    <row r="529" spans="10:29" ht="15.75" customHeight="1" x14ac:dyDescent="0.25">
      <c r="J529" s="164"/>
      <c r="L529" s="164"/>
      <c r="AC529" s="164"/>
    </row>
    <row r="530" spans="10:29" ht="15.75" customHeight="1" x14ac:dyDescent="0.25">
      <c r="J530" s="164"/>
      <c r="L530" s="164"/>
      <c r="AC530" s="164"/>
    </row>
    <row r="531" spans="10:29" ht="15.75" customHeight="1" x14ac:dyDescent="0.25">
      <c r="J531" s="164"/>
      <c r="L531" s="164"/>
      <c r="AC531" s="164"/>
    </row>
    <row r="532" spans="10:29" ht="15.75" customHeight="1" x14ac:dyDescent="0.25">
      <c r="J532" s="164"/>
      <c r="L532" s="164"/>
      <c r="AC532" s="164"/>
    </row>
    <row r="533" spans="10:29" ht="15.75" customHeight="1" x14ac:dyDescent="0.25">
      <c r="J533" s="164"/>
      <c r="L533" s="164"/>
      <c r="AC533" s="164"/>
    </row>
    <row r="534" spans="10:29" ht="15.75" customHeight="1" x14ac:dyDescent="0.25">
      <c r="J534" s="164"/>
      <c r="L534" s="164"/>
      <c r="AC534" s="164"/>
    </row>
    <row r="535" spans="10:29" ht="15.75" customHeight="1" x14ac:dyDescent="0.25">
      <c r="J535" s="164"/>
      <c r="L535" s="164"/>
      <c r="AC535" s="164"/>
    </row>
    <row r="536" spans="10:29" ht="15.75" customHeight="1" x14ac:dyDescent="0.25">
      <c r="J536" s="164"/>
      <c r="L536" s="164"/>
      <c r="AC536" s="164"/>
    </row>
    <row r="537" spans="10:29" ht="15.75" customHeight="1" x14ac:dyDescent="0.25">
      <c r="J537" s="164"/>
      <c r="L537" s="164"/>
      <c r="AC537" s="164"/>
    </row>
    <row r="538" spans="10:29" ht="15.75" customHeight="1" x14ac:dyDescent="0.25">
      <c r="J538" s="164"/>
      <c r="L538" s="164"/>
      <c r="AC538" s="164"/>
    </row>
    <row r="539" spans="10:29" ht="15.75" customHeight="1" x14ac:dyDescent="0.25">
      <c r="J539" s="164"/>
      <c r="L539" s="164"/>
      <c r="AC539" s="164"/>
    </row>
    <row r="540" spans="10:29" ht="15.75" customHeight="1" x14ac:dyDescent="0.25">
      <c r="J540" s="164"/>
      <c r="L540" s="164"/>
      <c r="AC540" s="164"/>
    </row>
    <row r="541" spans="10:29" ht="15.75" customHeight="1" x14ac:dyDescent="0.25">
      <c r="J541" s="164"/>
      <c r="L541" s="164"/>
      <c r="AC541" s="164"/>
    </row>
    <row r="542" spans="10:29" ht="15.75" customHeight="1" x14ac:dyDescent="0.25">
      <c r="J542" s="164"/>
      <c r="L542" s="164"/>
      <c r="AC542" s="164"/>
    </row>
    <row r="543" spans="10:29" ht="15.75" customHeight="1" x14ac:dyDescent="0.25">
      <c r="J543" s="164"/>
      <c r="L543" s="164"/>
      <c r="AC543" s="164"/>
    </row>
    <row r="544" spans="10:29" ht="15.75" customHeight="1" x14ac:dyDescent="0.25">
      <c r="J544" s="164"/>
      <c r="L544" s="164"/>
      <c r="AC544" s="164"/>
    </row>
    <row r="545" spans="10:29" ht="15.75" customHeight="1" x14ac:dyDescent="0.25">
      <c r="J545" s="164"/>
      <c r="L545" s="164"/>
      <c r="AC545" s="164"/>
    </row>
    <row r="546" spans="10:29" ht="15.75" customHeight="1" x14ac:dyDescent="0.25">
      <c r="J546" s="164"/>
      <c r="L546" s="164"/>
      <c r="AC546" s="164"/>
    </row>
    <row r="547" spans="10:29" ht="15.75" customHeight="1" x14ac:dyDescent="0.25">
      <c r="J547" s="164"/>
      <c r="L547" s="164"/>
      <c r="AC547" s="164"/>
    </row>
    <row r="548" spans="10:29" ht="15.75" customHeight="1" x14ac:dyDescent="0.25">
      <c r="J548" s="164"/>
      <c r="L548" s="164"/>
      <c r="AC548" s="164"/>
    </row>
    <row r="549" spans="10:29" ht="15.75" customHeight="1" x14ac:dyDescent="0.25">
      <c r="J549" s="164"/>
      <c r="L549" s="164"/>
      <c r="AC549" s="164"/>
    </row>
    <row r="550" spans="10:29" ht="15.75" customHeight="1" x14ac:dyDescent="0.25">
      <c r="J550" s="164"/>
      <c r="L550" s="164"/>
      <c r="AC550" s="164"/>
    </row>
    <row r="551" spans="10:29" ht="15.75" customHeight="1" x14ac:dyDescent="0.25">
      <c r="J551" s="164"/>
      <c r="L551" s="164"/>
      <c r="AC551" s="164"/>
    </row>
    <row r="552" spans="10:29" ht="15.75" customHeight="1" x14ac:dyDescent="0.25">
      <c r="J552" s="164"/>
      <c r="L552" s="164"/>
      <c r="AC552" s="164"/>
    </row>
    <row r="553" spans="10:29" ht="15.75" customHeight="1" x14ac:dyDescent="0.25">
      <c r="J553" s="164"/>
      <c r="L553" s="164"/>
      <c r="AC553" s="164"/>
    </row>
    <row r="554" spans="10:29" ht="15.75" customHeight="1" x14ac:dyDescent="0.25">
      <c r="J554" s="164"/>
      <c r="L554" s="164"/>
      <c r="AC554" s="164"/>
    </row>
    <row r="555" spans="10:29" ht="15.75" customHeight="1" x14ac:dyDescent="0.25">
      <c r="J555" s="164"/>
      <c r="L555" s="164"/>
      <c r="AC555" s="164"/>
    </row>
    <row r="556" spans="10:29" ht="15.75" customHeight="1" x14ac:dyDescent="0.25">
      <c r="J556" s="164"/>
      <c r="L556" s="164"/>
      <c r="AC556" s="164"/>
    </row>
    <row r="557" spans="10:29" ht="15.75" customHeight="1" x14ac:dyDescent="0.25">
      <c r="J557" s="164"/>
      <c r="L557" s="164"/>
      <c r="AC557" s="164"/>
    </row>
    <row r="558" spans="10:29" ht="15.75" customHeight="1" x14ac:dyDescent="0.25">
      <c r="J558" s="164"/>
      <c r="L558" s="164"/>
      <c r="AC558" s="164"/>
    </row>
    <row r="559" spans="10:29" ht="15.75" customHeight="1" x14ac:dyDescent="0.25">
      <c r="J559" s="164"/>
      <c r="L559" s="164"/>
      <c r="AC559" s="164"/>
    </row>
    <row r="560" spans="10:29" ht="15.75" customHeight="1" x14ac:dyDescent="0.25">
      <c r="J560" s="164"/>
      <c r="L560" s="164"/>
      <c r="AC560" s="164"/>
    </row>
    <row r="561" spans="10:29" ht="15.75" customHeight="1" x14ac:dyDescent="0.25">
      <c r="J561" s="164"/>
      <c r="L561" s="164"/>
      <c r="AC561" s="164"/>
    </row>
    <row r="562" spans="10:29" ht="15.75" customHeight="1" x14ac:dyDescent="0.25">
      <c r="J562" s="164"/>
      <c r="L562" s="164"/>
      <c r="AC562" s="164"/>
    </row>
    <row r="563" spans="10:29" ht="15.75" customHeight="1" x14ac:dyDescent="0.25">
      <c r="J563" s="164"/>
      <c r="L563" s="164"/>
      <c r="AC563" s="164"/>
    </row>
    <row r="564" spans="10:29" ht="15.75" customHeight="1" x14ac:dyDescent="0.25">
      <c r="J564" s="164"/>
      <c r="L564" s="164"/>
      <c r="AC564" s="164"/>
    </row>
    <row r="565" spans="10:29" ht="15.75" customHeight="1" x14ac:dyDescent="0.25">
      <c r="J565" s="164"/>
      <c r="L565" s="164"/>
      <c r="AC565" s="164"/>
    </row>
    <row r="566" spans="10:29" ht="15.75" customHeight="1" x14ac:dyDescent="0.25">
      <c r="J566" s="164"/>
      <c r="L566" s="164"/>
      <c r="AC566" s="164"/>
    </row>
    <row r="567" spans="10:29" ht="15.75" customHeight="1" x14ac:dyDescent="0.25">
      <c r="J567" s="164"/>
      <c r="L567" s="164"/>
      <c r="AC567" s="164"/>
    </row>
    <row r="568" spans="10:29" ht="15.75" customHeight="1" x14ac:dyDescent="0.25">
      <c r="J568" s="164"/>
      <c r="L568" s="164"/>
      <c r="AC568" s="164"/>
    </row>
    <row r="569" spans="10:29" ht="15.75" customHeight="1" x14ac:dyDescent="0.25">
      <c r="J569" s="164"/>
      <c r="L569" s="164"/>
      <c r="AC569" s="164"/>
    </row>
    <row r="570" spans="10:29" ht="15.75" customHeight="1" x14ac:dyDescent="0.25">
      <c r="J570" s="164"/>
      <c r="L570" s="164"/>
      <c r="AC570" s="164"/>
    </row>
    <row r="571" spans="10:29" ht="15.75" customHeight="1" x14ac:dyDescent="0.25">
      <c r="J571" s="164"/>
      <c r="L571" s="164"/>
      <c r="AC571" s="164"/>
    </row>
    <row r="572" spans="10:29" ht="15.75" customHeight="1" x14ac:dyDescent="0.25">
      <c r="J572" s="164"/>
      <c r="L572" s="164"/>
      <c r="AC572" s="164"/>
    </row>
    <row r="573" spans="10:29" ht="15.75" customHeight="1" x14ac:dyDescent="0.25">
      <c r="J573" s="164"/>
      <c r="L573" s="164"/>
      <c r="AC573" s="164"/>
    </row>
    <row r="574" spans="10:29" ht="15.75" customHeight="1" x14ac:dyDescent="0.25">
      <c r="J574" s="164"/>
      <c r="L574" s="164"/>
      <c r="AC574" s="164"/>
    </row>
    <row r="575" spans="10:29" ht="15.75" customHeight="1" x14ac:dyDescent="0.25">
      <c r="J575" s="164"/>
      <c r="L575" s="164"/>
      <c r="AC575" s="164"/>
    </row>
    <row r="576" spans="10:29" ht="15.75" customHeight="1" x14ac:dyDescent="0.25">
      <c r="J576" s="164"/>
      <c r="L576" s="164"/>
      <c r="AC576" s="164"/>
    </row>
    <row r="577" spans="10:29" ht="15.75" customHeight="1" x14ac:dyDescent="0.25">
      <c r="J577" s="164"/>
      <c r="L577" s="164"/>
      <c r="AC577" s="164"/>
    </row>
    <row r="578" spans="10:29" ht="15.75" customHeight="1" x14ac:dyDescent="0.25">
      <c r="J578" s="164"/>
      <c r="L578" s="164"/>
      <c r="AC578" s="164"/>
    </row>
    <row r="579" spans="10:29" ht="15.75" customHeight="1" x14ac:dyDescent="0.25">
      <c r="J579" s="164"/>
      <c r="L579" s="164"/>
      <c r="AC579" s="164"/>
    </row>
    <row r="580" spans="10:29" ht="15.75" customHeight="1" x14ac:dyDescent="0.25">
      <c r="J580" s="164"/>
      <c r="L580" s="164"/>
      <c r="AC580" s="164"/>
    </row>
    <row r="581" spans="10:29" ht="15.75" customHeight="1" x14ac:dyDescent="0.25">
      <c r="J581" s="164"/>
      <c r="L581" s="164"/>
      <c r="AC581" s="164"/>
    </row>
    <row r="582" spans="10:29" ht="15.75" customHeight="1" x14ac:dyDescent="0.25">
      <c r="J582" s="164"/>
      <c r="L582" s="164"/>
      <c r="AC582" s="164"/>
    </row>
    <row r="583" spans="10:29" ht="15.75" customHeight="1" x14ac:dyDescent="0.25">
      <c r="J583" s="164"/>
      <c r="L583" s="164"/>
      <c r="AC583" s="164"/>
    </row>
    <row r="584" spans="10:29" ht="15.75" customHeight="1" x14ac:dyDescent="0.25">
      <c r="J584" s="164"/>
      <c r="L584" s="164"/>
      <c r="AC584" s="164"/>
    </row>
    <row r="585" spans="10:29" ht="15.75" customHeight="1" x14ac:dyDescent="0.25">
      <c r="J585" s="164"/>
      <c r="L585" s="164"/>
      <c r="AC585" s="164"/>
    </row>
    <row r="586" spans="10:29" ht="15.75" customHeight="1" x14ac:dyDescent="0.25">
      <c r="J586" s="164"/>
      <c r="L586" s="164"/>
      <c r="AC586" s="164"/>
    </row>
    <row r="587" spans="10:29" ht="15.75" customHeight="1" x14ac:dyDescent="0.25">
      <c r="J587" s="164"/>
      <c r="L587" s="164"/>
      <c r="AC587" s="164"/>
    </row>
    <row r="588" spans="10:29" ht="15.75" customHeight="1" x14ac:dyDescent="0.25">
      <c r="J588" s="164"/>
      <c r="L588" s="164"/>
      <c r="AC588" s="164"/>
    </row>
    <row r="589" spans="10:29" ht="15.75" customHeight="1" x14ac:dyDescent="0.25">
      <c r="J589" s="164"/>
      <c r="L589" s="164"/>
      <c r="AC589" s="164"/>
    </row>
    <row r="590" spans="10:29" ht="15.75" customHeight="1" x14ac:dyDescent="0.25">
      <c r="J590" s="164"/>
      <c r="L590" s="164"/>
      <c r="AC590" s="164"/>
    </row>
    <row r="591" spans="10:29" ht="15.75" customHeight="1" x14ac:dyDescent="0.25">
      <c r="J591" s="164"/>
      <c r="L591" s="164"/>
      <c r="AC591" s="164"/>
    </row>
    <row r="592" spans="10:29" ht="15.75" customHeight="1" x14ac:dyDescent="0.25">
      <c r="J592" s="164"/>
      <c r="L592" s="164"/>
      <c r="AC592" s="164"/>
    </row>
    <row r="593" spans="10:29" ht="15.75" customHeight="1" x14ac:dyDescent="0.25">
      <c r="J593" s="164"/>
      <c r="L593" s="164"/>
      <c r="AC593" s="164"/>
    </row>
    <row r="594" spans="10:29" ht="15.75" customHeight="1" x14ac:dyDescent="0.25">
      <c r="J594" s="164"/>
      <c r="L594" s="164"/>
      <c r="AC594" s="164"/>
    </row>
    <row r="595" spans="10:29" ht="15.75" customHeight="1" x14ac:dyDescent="0.25">
      <c r="J595" s="164"/>
      <c r="L595" s="164"/>
      <c r="AC595" s="164"/>
    </row>
    <row r="596" spans="10:29" ht="15.75" customHeight="1" x14ac:dyDescent="0.25">
      <c r="J596" s="164"/>
      <c r="L596" s="164"/>
      <c r="AC596" s="164"/>
    </row>
    <row r="597" spans="10:29" ht="15.75" customHeight="1" x14ac:dyDescent="0.25">
      <c r="J597" s="164"/>
      <c r="L597" s="164"/>
      <c r="AC597" s="164"/>
    </row>
    <row r="598" spans="10:29" ht="15.75" customHeight="1" x14ac:dyDescent="0.25">
      <c r="J598" s="164"/>
      <c r="L598" s="164"/>
      <c r="AC598" s="164"/>
    </row>
    <row r="599" spans="10:29" ht="15.75" customHeight="1" x14ac:dyDescent="0.25">
      <c r="J599" s="164"/>
      <c r="L599" s="164"/>
      <c r="AC599" s="164"/>
    </row>
    <row r="600" spans="10:29" ht="15.75" customHeight="1" x14ac:dyDescent="0.25">
      <c r="J600" s="164"/>
      <c r="L600" s="164"/>
      <c r="AC600" s="164"/>
    </row>
    <row r="601" spans="10:29" ht="15.75" customHeight="1" x14ac:dyDescent="0.25">
      <c r="J601" s="164"/>
      <c r="L601" s="164"/>
      <c r="AC601" s="164"/>
    </row>
    <row r="602" spans="10:29" ht="15.75" customHeight="1" x14ac:dyDescent="0.25">
      <c r="J602" s="164"/>
      <c r="L602" s="164"/>
      <c r="AC602" s="164"/>
    </row>
    <row r="603" spans="10:29" ht="15.75" customHeight="1" x14ac:dyDescent="0.25">
      <c r="J603" s="164"/>
      <c r="L603" s="164"/>
      <c r="AC603" s="164"/>
    </row>
    <row r="604" spans="10:29" ht="15.75" customHeight="1" x14ac:dyDescent="0.25">
      <c r="J604" s="164"/>
      <c r="L604" s="164"/>
      <c r="AC604" s="164"/>
    </row>
    <row r="605" spans="10:29" ht="15.75" customHeight="1" x14ac:dyDescent="0.25">
      <c r="J605" s="164"/>
      <c r="L605" s="164"/>
      <c r="AC605" s="164"/>
    </row>
    <row r="606" spans="10:29" ht="15.75" customHeight="1" x14ac:dyDescent="0.25">
      <c r="J606" s="164"/>
      <c r="L606" s="164"/>
      <c r="AC606" s="164"/>
    </row>
    <row r="607" spans="10:29" ht="15.75" customHeight="1" x14ac:dyDescent="0.25">
      <c r="J607" s="164"/>
      <c r="L607" s="164"/>
      <c r="AC607" s="164"/>
    </row>
    <row r="608" spans="10:29" ht="15.75" customHeight="1" x14ac:dyDescent="0.25">
      <c r="J608" s="164"/>
      <c r="L608" s="164"/>
      <c r="AC608" s="164"/>
    </row>
    <row r="609" spans="10:29" ht="15.75" customHeight="1" x14ac:dyDescent="0.25">
      <c r="J609" s="164"/>
      <c r="L609" s="164"/>
      <c r="AC609" s="164"/>
    </row>
    <row r="610" spans="10:29" ht="15.75" customHeight="1" x14ac:dyDescent="0.25">
      <c r="J610" s="164"/>
      <c r="L610" s="164"/>
      <c r="AC610" s="164"/>
    </row>
    <row r="611" spans="10:29" ht="15.75" customHeight="1" x14ac:dyDescent="0.25">
      <c r="J611" s="164"/>
      <c r="L611" s="164"/>
      <c r="AC611" s="164"/>
    </row>
    <row r="612" spans="10:29" ht="15.75" customHeight="1" x14ac:dyDescent="0.25">
      <c r="J612" s="164"/>
      <c r="L612" s="164"/>
      <c r="AC612" s="164"/>
    </row>
    <row r="613" spans="10:29" ht="15.75" customHeight="1" x14ac:dyDescent="0.25">
      <c r="J613" s="164"/>
      <c r="L613" s="164"/>
      <c r="AC613" s="164"/>
    </row>
    <row r="614" spans="10:29" ht="15.75" customHeight="1" x14ac:dyDescent="0.25">
      <c r="J614" s="164"/>
      <c r="L614" s="164"/>
      <c r="AC614" s="164"/>
    </row>
    <row r="615" spans="10:29" ht="15.75" customHeight="1" x14ac:dyDescent="0.25">
      <c r="J615" s="164"/>
      <c r="L615" s="164"/>
      <c r="AC615" s="164"/>
    </row>
    <row r="616" spans="10:29" ht="15.75" customHeight="1" x14ac:dyDescent="0.25">
      <c r="J616" s="164"/>
      <c r="L616" s="164"/>
      <c r="AC616" s="164"/>
    </row>
    <row r="617" spans="10:29" ht="15.75" customHeight="1" x14ac:dyDescent="0.25">
      <c r="J617" s="164"/>
      <c r="L617" s="164"/>
      <c r="AC617" s="164"/>
    </row>
    <row r="618" spans="10:29" ht="15.75" customHeight="1" x14ac:dyDescent="0.25">
      <c r="J618" s="164"/>
      <c r="L618" s="164"/>
      <c r="AC618" s="164"/>
    </row>
    <row r="619" spans="10:29" ht="15.75" customHeight="1" x14ac:dyDescent="0.25">
      <c r="J619" s="164"/>
      <c r="L619" s="164"/>
      <c r="AC619" s="164"/>
    </row>
    <row r="620" spans="10:29" ht="15.75" customHeight="1" x14ac:dyDescent="0.25">
      <c r="J620" s="164"/>
      <c r="L620" s="164"/>
      <c r="AC620" s="164"/>
    </row>
    <row r="621" spans="10:29" ht="15.75" customHeight="1" x14ac:dyDescent="0.25">
      <c r="J621" s="164"/>
      <c r="L621" s="164"/>
      <c r="AC621" s="164"/>
    </row>
    <row r="622" spans="10:29" ht="15.75" customHeight="1" x14ac:dyDescent="0.25">
      <c r="J622" s="164"/>
      <c r="L622" s="164"/>
      <c r="AC622" s="164"/>
    </row>
    <row r="623" spans="10:29" ht="15.75" customHeight="1" x14ac:dyDescent="0.25">
      <c r="J623" s="164"/>
      <c r="L623" s="164"/>
      <c r="AC623" s="164"/>
    </row>
    <row r="624" spans="10:29" ht="15.75" customHeight="1" x14ac:dyDescent="0.25">
      <c r="J624" s="164"/>
      <c r="L624" s="164"/>
      <c r="AC624" s="164"/>
    </row>
    <row r="625" spans="10:29" ht="15.75" customHeight="1" x14ac:dyDescent="0.25">
      <c r="J625" s="164"/>
      <c r="L625" s="164"/>
      <c r="AC625" s="164"/>
    </row>
    <row r="626" spans="10:29" ht="15.75" customHeight="1" x14ac:dyDescent="0.25">
      <c r="J626" s="164"/>
      <c r="L626" s="164"/>
      <c r="AC626" s="164"/>
    </row>
    <row r="627" spans="10:29" ht="15.75" customHeight="1" x14ac:dyDescent="0.25">
      <c r="J627" s="164"/>
      <c r="L627" s="164"/>
      <c r="AC627" s="164"/>
    </row>
    <row r="628" spans="10:29" ht="15.75" customHeight="1" x14ac:dyDescent="0.25">
      <c r="J628" s="164"/>
      <c r="L628" s="164"/>
      <c r="AC628" s="164"/>
    </row>
    <row r="629" spans="10:29" ht="15.75" customHeight="1" x14ac:dyDescent="0.25">
      <c r="J629" s="164"/>
      <c r="L629" s="164"/>
      <c r="AC629" s="164"/>
    </row>
    <row r="630" spans="10:29" ht="15.75" customHeight="1" x14ac:dyDescent="0.25">
      <c r="J630" s="164"/>
      <c r="L630" s="164"/>
      <c r="AC630" s="164"/>
    </row>
    <row r="631" spans="10:29" ht="15.75" customHeight="1" x14ac:dyDescent="0.25">
      <c r="J631" s="164"/>
      <c r="L631" s="164"/>
      <c r="AC631" s="164"/>
    </row>
    <row r="632" spans="10:29" ht="15.75" customHeight="1" x14ac:dyDescent="0.25">
      <c r="J632" s="164"/>
      <c r="L632" s="164"/>
      <c r="AC632" s="164"/>
    </row>
    <row r="633" spans="10:29" ht="15.75" customHeight="1" x14ac:dyDescent="0.25">
      <c r="J633" s="164"/>
      <c r="L633" s="164"/>
      <c r="AC633" s="164"/>
    </row>
    <row r="634" spans="10:29" ht="15.75" customHeight="1" x14ac:dyDescent="0.25">
      <c r="J634" s="164"/>
      <c r="L634" s="164"/>
      <c r="AC634" s="164"/>
    </row>
    <row r="635" spans="10:29" ht="15.75" customHeight="1" x14ac:dyDescent="0.25">
      <c r="J635" s="164"/>
      <c r="L635" s="164"/>
      <c r="AC635" s="164"/>
    </row>
    <row r="636" spans="10:29" ht="15.75" customHeight="1" x14ac:dyDescent="0.25">
      <c r="J636" s="164"/>
      <c r="L636" s="164"/>
      <c r="AC636" s="164"/>
    </row>
    <row r="637" spans="10:29" ht="15.75" customHeight="1" x14ac:dyDescent="0.25">
      <c r="J637" s="164"/>
      <c r="L637" s="164"/>
      <c r="AC637" s="164"/>
    </row>
    <row r="638" spans="10:29" ht="15.75" customHeight="1" x14ac:dyDescent="0.25">
      <c r="J638" s="164"/>
      <c r="L638" s="164"/>
      <c r="AC638" s="164"/>
    </row>
    <row r="639" spans="10:29" ht="15.75" customHeight="1" x14ac:dyDescent="0.25">
      <c r="J639" s="164"/>
      <c r="L639" s="164"/>
      <c r="AC639" s="164"/>
    </row>
    <row r="640" spans="10:29" ht="15.75" customHeight="1" x14ac:dyDescent="0.25">
      <c r="J640" s="164"/>
      <c r="L640" s="164"/>
      <c r="AC640" s="164"/>
    </row>
    <row r="641" spans="10:29" ht="15.75" customHeight="1" x14ac:dyDescent="0.25">
      <c r="J641" s="164"/>
      <c r="L641" s="164"/>
      <c r="AC641" s="164"/>
    </row>
    <row r="642" spans="10:29" ht="15.75" customHeight="1" x14ac:dyDescent="0.25">
      <c r="J642" s="164"/>
      <c r="L642" s="164"/>
      <c r="AC642" s="164"/>
    </row>
    <row r="643" spans="10:29" ht="15.75" customHeight="1" x14ac:dyDescent="0.25">
      <c r="J643" s="164"/>
      <c r="L643" s="164"/>
      <c r="AC643" s="164"/>
    </row>
    <row r="644" spans="10:29" ht="15.75" customHeight="1" x14ac:dyDescent="0.25">
      <c r="J644" s="164"/>
      <c r="L644" s="164"/>
      <c r="AC644" s="164"/>
    </row>
    <row r="645" spans="10:29" ht="15.75" customHeight="1" x14ac:dyDescent="0.25">
      <c r="J645" s="164"/>
      <c r="L645" s="164"/>
      <c r="AC645" s="164"/>
    </row>
    <row r="646" spans="10:29" ht="15.75" customHeight="1" x14ac:dyDescent="0.25">
      <c r="J646" s="164"/>
      <c r="L646" s="164"/>
      <c r="AC646" s="164"/>
    </row>
    <row r="647" spans="10:29" ht="15.75" customHeight="1" x14ac:dyDescent="0.25">
      <c r="J647" s="164"/>
      <c r="L647" s="164"/>
      <c r="AC647" s="164"/>
    </row>
    <row r="648" spans="10:29" ht="15.75" customHeight="1" x14ac:dyDescent="0.25">
      <c r="J648" s="164"/>
      <c r="L648" s="164"/>
      <c r="AC648" s="164"/>
    </row>
    <row r="649" spans="10:29" ht="15.75" customHeight="1" x14ac:dyDescent="0.25">
      <c r="J649" s="164"/>
      <c r="L649" s="164"/>
      <c r="AC649" s="164"/>
    </row>
    <row r="650" spans="10:29" ht="15.75" customHeight="1" x14ac:dyDescent="0.25">
      <c r="J650" s="164"/>
      <c r="L650" s="164"/>
      <c r="AC650" s="164"/>
    </row>
    <row r="651" spans="10:29" ht="15.75" customHeight="1" x14ac:dyDescent="0.25">
      <c r="J651" s="164"/>
      <c r="L651" s="164"/>
      <c r="AC651" s="164"/>
    </row>
    <row r="652" spans="10:29" ht="15.75" customHeight="1" x14ac:dyDescent="0.25">
      <c r="J652" s="164"/>
      <c r="L652" s="164"/>
      <c r="AC652" s="164"/>
    </row>
    <row r="653" spans="10:29" ht="15.75" customHeight="1" x14ac:dyDescent="0.25">
      <c r="J653" s="164"/>
      <c r="L653" s="164"/>
      <c r="AC653" s="164"/>
    </row>
    <row r="654" spans="10:29" ht="15.75" customHeight="1" x14ac:dyDescent="0.25">
      <c r="J654" s="164"/>
      <c r="L654" s="164"/>
      <c r="AC654" s="164"/>
    </row>
    <row r="655" spans="10:29" ht="15.75" customHeight="1" x14ac:dyDescent="0.25">
      <c r="J655" s="164"/>
      <c r="L655" s="164"/>
      <c r="AC655" s="164"/>
    </row>
    <row r="656" spans="10:29" ht="15.75" customHeight="1" x14ac:dyDescent="0.25">
      <c r="J656" s="164"/>
      <c r="L656" s="164"/>
      <c r="AC656" s="164"/>
    </row>
    <row r="657" spans="10:29" ht="15.75" customHeight="1" x14ac:dyDescent="0.25">
      <c r="J657" s="164"/>
      <c r="L657" s="164"/>
      <c r="AC657" s="164"/>
    </row>
    <row r="658" spans="10:29" ht="15.75" customHeight="1" x14ac:dyDescent="0.25">
      <c r="J658" s="164"/>
      <c r="L658" s="164"/>
      <c r="AC658" s="164"/>
    </row>
    <row r="659" spans="10:29" ht="15.75" customHeight="1" x14ac:dyDescent="0.25">
      <c r="J659" s="164"/>
      <c r="L659" s="164"/>
      <c r="AC659" s="164"/>
    </row>
    <row r="660" spans="10:29" ht="15.75" customHeight="1" x14ac:dyDescent="0.25">
      <c r="J660" s="164"/>
      <c r="L660" s="164"/>
      <c r="AC660" s="164"/>
    </row>
    <row r="661" spans="10:29" ht="15.75" customHeight="1" x14ac:dyDescent="0.25">
      <c r="J661" s="164"/>
      <c r="L661" s="164"/>
      <c r="AC661" s="164"/>
    </row>
    <row r="662" spans="10:29" ht="15.75" customHeight="1" x14ac:dyDescent="0.25">
      <c r="J662" s="164"/>
      <c r="L662" s="164"/>
      <c r="AC662" s="164"/>
    </row>
    <row r="663" spans="10:29" ht="15.75" customHeight="1" x14ac:dyDescent="0.25">
      <c r="J663" s="164"/>
      <c r="L663" s="164"/>
      <c r="AC663" s="164"/>
    </row>
    <row r="664" spans="10:29" ht="15.75" customHeight="1" x14ac:dyDescent="0.25">
      <c r="J664" s="164"/>
      <c r="L664" s="164"/>
      <c r="AC664" s="164"/>
    </row>
    <row r="665" spans="10:29" ht="15.75" customHeight="1" x14ac:dyDescent="0.25">
      <c r="J665" s="164"/>
      <c r="L665" s="164"/>
      <c r="AC665" s="164"/>
    </row>
    <row r="666" spans="10:29" ht="15.75" customHeight="1" x14ac:dyDescent="0.25">
      <c r="J666" s="164"/>
      <c r="L666" s="164"/>
      <c r="AC666" s="164"/>
    </row>
    <row r="667" spans="10:29" ht="15.75" customHeight="1" x14ac:dyDescent="0.25">
      <c r="J667" s="164"/>
      <c r="L667" s="164"/>
      <c r="AC667" s="164"/>
    </row>
    <row r="668" spans="10:29" ht="15.75" customHeight="1" x14ac:dyDescent="0.25">
      <c r="J668" s="164"/>
      <c r="L668" s="164"/>
      <c r="AC668" s="164"/>
    </row>
    <row r="669" spans="10:29" ht="15.75" customHeight="1" x14ac:dyDescent="0.25">
      <c r="J669" s="164"/>
      <c r="L669" s="164"/>
      <c r="AC669" s="164"/>
    </row>
    <row r="670" spans="10:29" ht="15.75" customHeight="1" x14ac:dyDescent="0.25">
      <c r="J670" s="164"/>
      <c r="L670" s="164"/>
      <c r="AC670" s="164"/>
    </row>
    <row r="671" spans="10:29" ht="15.75" customHeight="1" x14ac:dyDescent="0.25">
      <c r="J671" s="164"/>
      <c r="L671" s="164"/>
      <c r="AC671" s="164"/>
    </row>
    <row r="672" spans="10:29" ht="15.75" customHeight="1" x14ac:dyDescent="0.25">
      <c r="J672" s="164"/>
      <c r="L672" s="164"/>
      <c r="AC672" s="164"/>
    </row>
    <row r="673" spans="10:29" ht="15.75" customHeight="1" x14ac:dyDescent="0.25">
      <c r="J673" s="164"/>
      <c r="L673" s="164"/>
      <c r="AC673" s="164"/>
    </row>
    <row r="674" spans="10:29" ht="15.75" customHeight="1" x14ac:dyDescent="0.25">
      <c r="J674" s="164"/>
      <c r="L674" s="164"/>
      <c r="AC674" s="164"/>
    </row>
    <row r="675" spans="10:29" ht="15.75" customHeight="1" x14ac:dyDescent="0.25">
      <c r="J675" s="164"/>
      <c r="L675" s="164"/>
      <c r="AC675" s="164"/>
    </row>
    <row r="676" spans="10:29" ht="15.75" customHeight="1" x14ac:dyDescent="0.25">
      <c r="J676" s="164"/>
      <c r="L676" s="164"/>
      <c r="AC676" s="164"/>
    </row>
    <row r="677" spans="10:29" ht="15.75" customHeight="1" x14ac:dyDescent="0.25">
      <c r="J677" s="164"/>
      <c r="L677" s="164"/>
      <c r="AC677" s="164"/>
    </row>
    <row r="678" spans="10:29" ht="15.75" customHeight="1" x14ac:dyDescent="0.25">
      <c r="J678" s="164"/>
      <c r="L678" s="164"/>
      <c r="AC678" s="164"/>
    </row>
    <row r="679" spans="10:29" ht="15.75" customHeight="1" x14ac:dyDescent="0.25">
      <c r="J679" s="164"/>
      <c r="L679" s="164"/>
      <c r="AC679" s="164"/>
    </row>
    <row r="680" spans="10:29" ht="15.75" customHeight="1" x14ac:dyDescent="0.25">
      <c r="J680" s="164"/>
      <c r="L680" s="164"/>
      <c r="AC680" s="164"/>
    </row>
    <row r="681" spans="10:29" ht="15.75" customHeight="1" x14ac:dyDescent="0.25">
      <c r="J681" s="164"/>
      <c r="L681" s="164"/>
      <c r="AC681" s="164"/>
    </row>
    <row r="682" spans="10:29" ht="15.75" customHeight="1" x14ac:dyDescent="0.25">
      <c r="J682" s="164"/>
      <c r="L682" s="164"/>
      <c r="AC682" s="164"/>
    </row>
    <row r="683" spans="10:29" ht="15.75" customHeight="1" x14ac:dyDescent="0.25">
      <c r="J683" s="164"/>
      <c r="L683" s="164"/>
      <c r="AC683" s="164"/>
    </row>
    <row r="684" spans="10:29" ht="15.75" customHeight="1" x14ac:dyDescent="0.25">
      <c r="J684" s="164"/>
      <c r="L684" s="164"/>
      <c r="AC684" s="164"/>
    </row>
    <row r="685" spans="10:29" ht="15.75" customHeight="1" x14ac:dyDescent="0.25">
      <c r="J685" s="164"/>
      <c r="L685" s="164"/>
      <c r="AC685" s="164"/>
    </row>
    <row r="686" spans="10:29" ht="15.75" customHeight="1" x14ac:dyDescent="0.25">
      <c r="J686" s="164"/>
      <c r="L686" s="164"/>
      <c r="AC686" s="164"/>
    </row>
    <row r="687" spans="10:29" ht="15.75" customHeight="1" x14ac:dyDescent="0.25">
      <c r="J687" s="164"/>
      <c r="L687" s="164"/>
      <c r="AC687" s="164"/>
    </row>
    <row r="688" spans="10:29" ht="15.75" customHeight="1" x14ac:dyDescent="0.25">
      <c r="J688" s="164"/>
      <c r="L688" s="164"/>
      <c r="AC688" s="164"/>
    </row>
    <row r="689" spans="10:29" ht="15.75" customHeight="1" x14ac:dyDescent="0.25">
      <c r="J689" s="164"/>
      <c r="L689" s="164"/>
      <c r="AC689" s="164"/>
    </row>
    <row r="690" spans="10:29" ht="15.75" customHeight="1" x14ac:dyDescent="0.25">
      <c r="J690" s="164"/>
      <c r="L690" s="164"/>
      <c r="AC690" s="164"/>
    </row>
    <row r="691" spans="10:29" ht="15.75" customHeight="1" x14ac:dyDescent="0.25">
      <c r="J691" s="164"/>
      <c r="L691" s="164"/>
      <c r="AC691" s="164"/>
    </row>
    <row r="692" spans="10:29" ht="15.75" customHeight="1" x14ac:dyDescent="0.25">
      <c r="J692" s="164"/>
      <c r="L692" s="164"/>
      <c r="AC692" s="164"/>
    </row>
    <row r="693" spans="10:29" ht="15.75" customHeight="1" x14ac:dyDescent="0.25">
      <c r="J693" s="164"/>
      <c r="L693" s="164"/>
      <c r="AC693" s="164"/>
    </row>
    <row r="694" spans="10:29" ht="15.75" customHeight="1" x14ac:dyDescent="0.25">
      <c r="J694" s="164"/>
      <c r="L694" s="164"/>
      <c r="AC694" s="164"/>
    </row>
    <row r="695" spans="10:29" ht="15.75" customHeight="1" x14ac:dyDescent="0.25">
      <c r="J695" s="164"/>
      <c r="L695" s="164"/>
      <c r="AC695" s="164"/>
    </row>
    <row r="696" spans="10:29" ht="15.75" customHeight="1" x14ac:dyDescent="0.25">
      <c r="J696" s="164"/>
      <c r="L696" s="164"/>
      <c r="AC696" s="164"/>
    </row>
    <row r="697" spans="10:29" ht="15.75" customHeight="1" x14ac:dyDescent="0.25">
      <c r="J697" s="164"/>
      <c r="L697" s="164"/>
      <c r="AC697" s="164"/>
    </row>
    <row r="698" spans="10:29" ht="15.75" customHeight="1" x14ac:dyDescent="0.25">
      <c r="J698" s="164"/>
      <c r="L698" s="164"/>
      <c r="AC698" s="164"/>
    </row>
    <row r="699" spans="10:29" ht="15.75" customHeight="1" x14ac:dyDescent="0.25">
      <c r="J699" s="164"/>
      <c r="L699" s="164"/>
      <c r="AC699" s="164"/>
    </row>
    <row r="700" spans="10:29" ht="15.75" customHeight="1" x14ac:dyDescent="0.25">
      <c r="J700" s="164"/>
      <c r="L700" s="164"/>
      <c r="AC700" s="164"/>
    </row>
    <row r="701" spans="10:29" ht="15.75" customHeight="1" x14ac:dyDescent="0.25">
      <c r="J701" s="164"/>
      <c r="L701" s="164"/>
      <c r="AC701" s="164"/>
    </row>
    <row r="702" spans="10:29" ht="15.75" customHeight="1" x14ac:dyDescent="0.25">
      <c r="J702" s="164"/>
      <c r="L702" s="164"/>
      <c r="AC702" s="164"/>
    </row>
    <row r="703" spans="10:29" ht="15.75" customHeight="1" x14ac:dyDescent="0.25">
      <c r="J703" s="164"/>
      <c r="L703" s="164"/>
      <c r="AC703" s="164"/>
    </row>
    <row r="704" spans="10:29" ht="15.75" customHeight="1" x14ac:dyDescent="0.25">
      <c r="J704" s="164"/>
      <c r="L704" s="164"/>
      <c r="AC704" s="164"/>
    </row>
    <row r="705" spans="10:29" ht="15.75" customHeight="1" x14ac:dyDescent="0.25">
      <c r="J705" s="164"/>
      <c r="L705" s="164"/>
      <c r="AC705" s="164"/>
    </row>
    <row r="706" spans="10:29" ht="15.75" customHeight="1" x14ac:dyDescent="0.25">
      <c r="J706" s="164"/>
      <c r="L706" s="164"/>
      <c r="AC706" s="164"/>
    </row>
    <row r="707" spans="10:29" ht="15.75" customHeight="1" x14ac:dyDescent="0.25">
      <c r="J707" s="164"/>
      <c r="L707" s="164"/>
      <c r="AC707" s="164"/>
    </row>
    <row r="708" spans="10:29" ht="15.75" customHeight="1" x14ac:dyDescent="0.25">
      <c r="J708" s="164"/>
      <c r="L708" s="164"/>
      <c r="AC708" s="164"/>
    </row>
    <row r="709" spans="10:29" ht="15.75" customHeight="1" x14ac:dyDescent="0.25">
      <c r="J709" s="164"/>
      <c r="L709" s="164"/>
      <c r="AC709" s="164"/>
    </row>
    <row r="710" spans="10:29" ht="15.75" customHeight="1" x14ac:dyDescent="0.25">
      <c r="J710" s="164"/>
      <c r="L710" s="164"/>
      <c r="AC710" s="164"/>
    </row>
    <row r="711" spans="10:29" ht="15.75" customHeight="1" x14ac:dyDescent="0.25">
      <c r="J711" s="164"/>
      <c r="L711" s="164"/>
      <c r="AC711" s="164"/>
    </row>
    <row r="712" spans="10:29" ht="15.75" customHeight="1" x14ac:dyDescent="0.25">
      <c r="J712" s="164"/>
      <c r="L712" s="164"/>
      <c r="AC712" s="164"/>
    </row>
    <row r="713" spans="10:29" ht="15.75" customHeight="1" x14ac:dyDescent="0.25">
      <c r="J713" s="164"/>
      <c r="L713" s="164"/>
      <c r="AC713" s="164"/>
    </row>
    <row r="714" spans="10:29" ht="15.75" customHeight="1" x14ac:dyDescent="0.25">
      <c r="J714" s="164"/>
      <c r="L714" s="164"/>
      <c r="AC714" s="164"/>
    </row>
    <row r="715" spans="10:29" ht="15.75" customHeight="1" x14ac:dyDescent="0.25">
      <c r="J715" s="164"/>
      <c r="L715" s="164"/>
      <c r="AC715" s="164"/>
    </row>
    <row r="716" spans="10:29" ht="15.75" customHeight="1" x14ac:dyDescent="0.25">
      <c r="J716" s="164"/>
      <c r="L716" s="164"/>
      <c r="AC716" s="164"/>
    </row>
    <row r="717" spans="10:29" ht="15.75" customHeight="1" x14ac:dyDescent="0.25">
      <c r="J717" s="164"/>
      <c r="L717" s="164"/>
      <c r="AC717" s="164"/>
    </row>
    <row r="718" spans="10:29" ht="15.75" customHeight="1" x14ac:dyDescent="0.25">
      <c r="J718" s="164"/>
      <c r="L718" s="164"/>
      <c r="AC718" s="164"/>
    </row>
    <row r="719" spans="10:29" ht="15.75" customHeight="1" x14ac:dyDescent="0.25">
      <c r="J719" s="164"/>
      <c r="L719" s="164"/>
      <c r="AC719" s="164"/>
    </row>
    <row r="720" spans="10:29" ht="15.75" customHeight="1" x14ac:dyDescent="0.25">
      <c r="J720" s="164"/>
      <c r="L720" s="164"/>
      <c r="AC720" s="164"/>
    </row>
    <row r="721" spans="10:29" ht="15.75" customHeight="1" x14ac:dyDescent="0.25">
      <c r="J721" s="164"/>
      <c r="L721" s="164"/>
      <c r="AC721" s="164"/>
    </row>
    <row r="722" spans="10:29" ht="15.75" customHeight="1" x14ac:dyDescent="0.25">
      <c r="J722" s="164"/>
      <c r="L722" s="164"/>
      <c r="AC722" s="164"/>
    </row>
    <row r="723" spans="10:29" ht="15.75" customHeight="1" x14ac:dyDescent="0.25">
      <c r="J723" s="164"/>
      <c r="L723" s="164"/>
      <c r="AC723" s="164"/>
    </row>
    <row r="724" spans="10:29" ht="15.75" customHeight="1" x14ac:dyDescent="0.25">
      <c r="J724" s="164"/>
      <c r="L724" s="164"/>
      <c r="AC724" s="164"/>
    </row>
    <row r="725" spans="10:29" ht="15.75" customHeight="1" x14ac:dyDescent="0.25">
      <c r="J725" s="164"/>
      <c r="L725" s="164"/>
      <c r="AC725" s="164"/>
    </row>
    <row r="726" spans="10:29" ht="15.75" customHeight="1" x14ac:dyDescent="0.25">
      <c r="J726" s="164"/>
      <c r="L726" s="164"/>
      <c r="AC726" s="164"/>
    </row>
    <row r="727" spans="10:29" ht="15.75" customHeight="1" x14ac:dyDescent="0.25">
      <c r="J727" s="164"/>
      <c r="L727" s="164"/>
      <c r="AC727" s="164"/>
    </row>
    <row r="728" spans="10:29" ht="15.75" customHeight="1" x14ac:dyDescent="0.25">
      <c r="J728" s="164"/>
      <c r="L728" s="164"/>
      <c r="AC728" s="164"/>
    </row>
    <row r="729" spans="10:29" ht="15.75" customHeight="1" x14ac:dyDescent="0.25">
      <c r="J729" s="164"/>
      <c r="L729" s="164"/>
      <c r="AC729" s="164"/>
    </row>
    <row r="730" spans="10:29" ht="15.75" customHeight="1" x14ac:dyDescent="0.25">
      <c r="J730" s="164"/>
      <c r="L730" s="164"/>
      <c r="AC730" s="164"/>
    </row>
    <row r="731" spans="10:29" ht="15.75" customHeight="1" x14ac:dyDescent="0.25">
      <c r="J731" s="164"/>
      <c r="L731" s="164"/>
      <c r="AC731" s="164"/>
    </row>
    <row r="732" spans="10:29" ht="15.75" customHeight="1" x14ac:dyDescent="0.25">
      <c r="J732" s="164"/>
      <c r="L732" s="164"/>
      <c r="AC732" s="164"/>
    </row>
    <row r="733" spans="10:29" ht="15.75" customHeight="1" x14ac:dyDescent="0.25">
      <c r="J733" s="164"/>
      <c r="L733" s="164"/>
      <c r="AC733" s="164"/>
    </row>
    <row r="734" spans="10:29" ht="15.75" customHeight="1" x14ac:dyDescent="0.25">
      <c r="J734" s="164"/>
      <c r="L734" s="164"/>
      <c r="AC734" s="164"/>
    </row>
    <row r="735" spans="10:29" ht="15.75" customHeight="1" x14ac:dyDescent="0.25">
      <c r="J735" s="164"/>
      <c r="L735" s="164"/>
      <c r="AC735" s="164"/>
    </row>
    <row r="736" spans="10:29" ht="15.75" customHeight="1" x14ac:dyDescent="0.25">
      <c r="J736" s="164"/>
      <c r="L736" s="164"/>
      <c r="AC736" s="164"/>
    </row>
    <row r="737" spans="10:29" ht="15.75" customHeight="1" x14ac:dyDescent="0.25">
      <c r="J737" s="164"/>
      <c r="L737" s="164"/>
      <c r="AC737" s="164"/>
    </row>
    <row r="738" spans="10:29" ht="15.75" customHeight="1" x14ac:dyDescent="0.25">
      <c r="J738" s="164"/>
      <c r="L738" s="164"/>
      <c r="AC738" s="164"/>
    </row>
    <row r="739" spans="10:29" ht="15.75" customHeight="1" x14ac:dyDescent="0.25">
      <c r="J739" s="164"/>
      <c r="L739" s="164"/>
      <c r="AC739" s="164"/>
    </row>
    <row r="740" spans="10:29" ht="15.75" customHeight="1" x14ac:dyDescent="0.25">
      <c r="J740" s="164"/>
      <c r="L740" s="164"/>
      <c r="AC740" s="164"/>
    </row>
    <row r="741" spans="10:29" ht="15.75" customHeight="1" x14ac:dyDescent="0.25">
      <c r="J741" s="164"/>
      <c r="L741" s="164"/>
      <c r="AC741" s="164"/>
    </row>
    <row r="742" spans="10:29" ht="15.75" customHeight="1" x14ac:dyDescent="0.25">
      <c r="J742" s="164"/>
      <c r="L742" s="164"/>
      <c r="AC742" s="164"/>
    </row>
    <row r="743" spans="10:29" ht="15.75" customHeight="1" x14ac:dyDescent="0.25">
      <c r="J743" s="164"/>
      <c r="L743" s="164"/>
      <c r="AC743" s="164"/>
    </row>
    <row r="744" spans="10:29" ht="15.75" customHeight="1" x14ac:dyDescent="0.25">
      <c r="J744" s="164"/>
      <c r="L744" s="164"/>
      <c r="AC744" s="164"/>
    </row>
    <row r="745" spans="10:29" ht="15.75" customHeight="1" x14ac:dyDescent="0.25">
      <c r="J745" s="164"/>
      <c r="L745" s="164"/>
      <c r="AC745" s="164"/>
    </row>
    <row r="746" spans="10:29" ht="15.75" customHeight="1" x14ac:dyDescent="0.25">
      <c r="J746" s="164"/>
      <c r="L746" s="164"/>
      <c r="AC746" s="164"/>
    </row>
    <row r="747" spans="10:29" ht="15.75" customHeight="1" x14ac:dyDescent="0.25">
      <c r="J747" s="164"/>
      <c r="L747" s="164"/>
      <c r="AC747" s="164"/>
    </row>
    <row r="748" spans="10:29" ht="15.75" customHeight="1" x14ac:dyDescent="0.25">
      <c r="J748" s="164"/>
      <c r="L748" s="164"/>
      <c r="AC748" s="164"/>
    </row>
    <row r="749" spans="10:29" ht="15.75" customHeight="1" x14ac:dyDescent="0.25">
      <c r="J749" s="164"/>
      <c r="L749" s="164"/>
      <c r="AC749" s="164"/>
    </row>
    <row r="750" spans="10:29" ht="15.75" customHeight="1" x14ac:dyDescent="0.25">
      <c r="J750" s="164"/>
      <c r="L750" s="164"/>
      <c r="AC750" s="164"/>
    </row>
    <row r="751" spans="10:29" ht="15.75" customHeight="1" x14ac:dyDescent="0.25">
      <c r="J751" s="164"/>
      <c r="L751" s="164"/>
      <c r="AC751" s="164"/>
    </row>
    <row r="752" spans="10:29" ht="15.75" customHeight="1" x14ac:dyDescent="0.25">
      <c r="J752" s="164"/>
      <c r="L752" s="164"/>
      <c r="AC752" s="164"/>
    </row>
    <row r="753" spans="10:29" ht="15.75" customHeight="1" x14ac:dyDescent="0.25">
      <c r="J753" s="164"/>
      <c r="L753" s="164"/>
      <c r="AC753" s="164"/>
    </row>
    <row r="754" spans="10:29" ht="15.75" customHeight="1" x14ac:dyDescent="0.25">
      <c r="J754" s="164"/>
      <c r="L754" s="164"/>
      <c r="AC754" s="164"/>
    </row>
    <row r="755" spans="10:29" ht="15.75" customHeight="1" x14ac:dyDescent="0.25">
      <c r="J755" s="164"/>
      <c r="L755" s="164"/>
      <c r="AC755" s="164"/>
    </row>
    <row r="756" spans="10:29" ht="15.75" customHeight="1" x14ac:dyDescent="0.25">
      <c r="J756" s="164"/>
      <c r="L756" s="164"/>
      <c r="AC756" s="164"/>
    </row>
    <row r="757" spans="10:29" ht="15.75" customHeight="1" x14ac:dyDescent="0.25">
      <c r="J757" s="164"/>
      <c r="L757" s="164"/>
      <c r="AC757" s="164"/>
    </row>
    <row r="758" spans="10:29" ht="15.75" customHeight="1" x14ac:dyDescent="0.25">
      <c r="J758" s="164"/>
      <c r="L758" s="164"/>
      <c r="AC758" s="164"/>
    </row>
    <row r="759" spans="10:29" ht="15.75" customHeight="1" x14ac:dyDescent="0.25">
      <c r="J759" s="164"/>
      <c r="L759" s="164"/>
      <c r="AC759" s="164"/>
    </row>
    <row r="760" spans="10:29" ht="15.75" customHeight="1" x14ac:dyDescent="0.25">
      <c r="J760" s="164"/>
      <c r="L760" s="164"/>
      <c r="AC760" s="164"/>
    </row>
    <row r="761" spans="10:29" ht="15.75" customHeight="1" x14ac:dyDescent="0.25">
      <c r="J761" s="164"/>
      <c r="L761" s="164"/>
      <c r="AC761" s="164"/>
    </row>
    <row r="762" spans="10:29" ht="15.75" customHeight="1" x14ac:dyDescent="0.25">
      <c r="J762" s="164"/>
      <c r="L762" s="164"/>
      <c r="AC762" s="164"/>
    </row>
    <row r="763" spans="10:29" ht="15.75" customHeight="1" x14ac:dyDescent="0.25">
      <c r="J763" s="164"/>
      <c r="L763" s="164"/>
      <c r="AC763" s="164"/>
    </row>
    <row r="764" spans="10:29" ht="15.75" customHeight="1" x14ac:dyDescent="0.25">
      <c r="J764" s="164"/>
      <c r="L764" s="164"/>
      <c r="AC764" s="164"/>
    </row>
    <row r="765" spans="10:29" ht="15.75" customHeight="1" x14ac:dyDescent="0.25">
      <c r="J765" s="164"/>
      <c r="L765" s="164"/>
      <c r="AC765" s="164"/>
    </row>
    <row r="766" spans="10:29" ht="15.75" customHeight="1" x14ac:dyDescent="0.25">
      <c r="J766" s="164"/>
      <c r="L766" s="164"/>
      <c r="AC766" s="164"/>
    </row>
    <row r="767" spans="10:29" ht="15.75" customHeight="1" x14ac:dyDescent="0.25">
      <c r="J767" s="164"/>
      <c r="L767" s="164"/>
      <c r="AC767" s="164"/>
    </row>
    <row r="768" spans="10:29" ht="15.75" customHeight="1" x14ac:dyDescent="0.25">
      <c r="J768" s="164"/>
      <c r="L768" s="164"/>
      <c r="AC768" s="164"/>
    </row>
    <row r="769" spans="10:29" ht="15.75" customHeight="1" x14ac:dyDescent="0.25">
      <c r="J769" s="164"/>
      <c r="L769" s="164"/>
      <c r="AC769" s="164"/>
    </row>
    <row r="770" spans="10:29" ht="15.75" customHeight="1" x14ac:dyDescent="0.25">
      <c r="J770" s="164"/>
      <c r="L770" s="164"/>
      <c r="AC770" s="164"/>
    </row>
    <row r="771" spans="10:29" ht="15.75" customHeight="1" x14ac:dyDescent="0.25">
      <c r="J771" s="164"/>
      <c r="L771" s="164"/>
      <c r="AC771" s="164"/>
    </row>
    <row r="772" spans="10:29" ht="15.75" customHeight="1" x14ac:dyDescent="0.25">
      <c r="J772" s="164"/>
      <c r="L772" s="164"/>
      <c r="AC772" s="164"/>
    </row>
    <row r="773" spans="10:29" ht="15.75" customHeight="1" x14ac:dyDescent="0.25">
      <c r="J773" s="164"/>
      <c r="L773" s="164"/>
      <c r="AC773" s="164"/>
    </row>
    <row r="774" spans="10:29" ht="15.75" customHeight="1" x14ac:dyDescent="0.25">
      <c r="J774" s="164"/>
      <c r="L774" s="164"/>
      <c r="AC774" s="164"/>
    </row>
    <row r="775" spans="10:29" ht="15.75" customHeight="1" x14ac:dyDescent="0.25">
      <c r="J775" s="164"/>
      <c r="L775" s="164"/>
      <c r="AC775" s="164"/>
    </row>
    <row r="776" spans="10:29" ht="15.75" customHeight="1" x14ac:dyDescent="0.25">
      <c r="J776" s="164"/>
      <c r="L776" s="164"/>
      <c r="AC776" s="164"/>
    </row>
    <row r="777" spans="10:29" ht="15.75" customHeight="1" x14ac:dyDescent="0.25">
      <c r="J777" s="164"/>
      <c r="L777" s="164"/>
      <c r="AC777" s="164"/>
    </row>
    <row r="778" spans="10:29" ht="15.75" customHeight="1" x14ac:dyDescent="0.25">
      <c r="J778" s="164"/>
      <c r="L778" s="164"/>
      <c r="AC778" s="164"/>
    </row>
    <row r="779" spans="10:29" ht="15.75" customHeight="1" x14ac:dyDescent="0.25">
      <c r="J779" s="164"/>
      <c r="L779" s="164"/>
      <c r="AC779" s="164"/>
    </row>
    <row r="780" spans="10:29" ht="15.75" customHeight="1" x14ac:dyDescent="0.25">
      <c r="J780" s="164"/>
      <c r="L780" s="164"/>
      <c r="AC780" s="164"/>
    </row>
    <row r="781" spans="10:29" ht="15.75" customHeight="1" x14ac:dyDescent="0.25">
      <c r="J781" s="164"/>
      <c r="L781" s="164"/>
      <c r="AC781" s="164"/>
    </row>
    <row r="782" spans="10:29" ht="15.75" customHeight="1" x14ac:dyDescent="0.25">
      <c r="J782" s="164"/>
      <c r="L782" s="164"/>
      <c r="AC782" s="164"/>
    </row>
    <row r="783" spans="10:29" ht="15.75" customHeight="1" x14ac:dyDescent="0.25">
      <c r="J783" s="164"/>
      <c r="L783" s="164"/>
      <c r="AC783" s="164"/>
    </row>
    <row r="784" spans="10:29" ht="15.75" customHeight="1" x14ac:dyDescent="0.25">
      <c r="J784" s="164"/>
      <c r="L784" s="164"/>
      <c r="AC784" s="164"/>
    </row>
    <row r="785" spans="10:29" ht="15.75" customHeight="1" x14ac:dyDescent="0.25">
      <c r="J785" s="164"/>
      <c r="L785" s="164"/>
      <c r="AC785" s="164"/>
    </row>
    <row r="786" spans="10:29" ht="15.75" customHeight="1" x14ac:dyDescent="0.25">
      <c r="J786" s="164"/>
      <c r="L786" s="164"/>
      <c r="AC786" s="164"/>
    </row>
    <row r="787" spans="10:29" ht="15.75" customHeight="1" x14ac:dyDescent="0.25">
      <c r="J787" s="164"/>
      <c r="L787" s="164"/>
      <c r="AC787" s="164"/>
    </row>
    <row r="788" spans="10:29" ht="15.75" customHeight="1" x14ac:dyDescent="0.25">
      <c r="J788" s="164"/>
      <c r="L788" s="164"/>
      <c r="AC788" s="164"/>
    </row>
    <row r="789" spans="10:29" ht="15.75" customHeight="1" x14ac:dyDescent="0.25">
      <c r="J789" s="164"/>
      <c r="L789" s="164"/>
      <c r="AC789" s="164"/>
    </row>
    <row r="790" spans="10:29" ht="15.75" customHeight="1" x14ac:dyDescent="0.25">
      <c r="J790" s="164"/>
      <c r="L790" s="164"/>
      <c r="AC790" s="164"/>
    </row>
    <row r="791" spans="10:29" ht="15.75" customHeight="1" x14ac:dyDescent="0.25">
      <c r="J791" s="164"/>
      <c r="L791" s="164"/>
      <c r="AC791" s="164"/>
    </row>
    <row r="792" spans="10:29" ht="15.75" customHeight="1" x14ac:dyDescent="0.25">
      <c r="J792" s="164"/>
      <c r="L792" s="164"/>
      <c r="AC792" s="164"/>
    </row>
    <row r="793" spans="10:29" ht="15.75" customHeight="1" x14ac:dyDescent="0.25">
      <c r="J793" s="164"/>
      <c r="L793" s="164"/>
      <c r="AC793" s="164"/>
    </row>
    <row r="794" spans="10:29" ht="15.75" customHeight="1" x14ac:dyDescent="0.25">
      <c r="J794" s="164"/>
      <c r="L794" s="164"/>
      <c r="AC794" s="164"/>
    </row>
    <row r="795" spans="10:29" ht="15.75" customHeight="1" x14ac:dyDescent="0.25">
      <c r="J795" s="164"/>
      <c r="L795" s="164"/>
      <c r="AC795" s="164"/>
    </row>
    <row r="796" spans="10:29" ht="15.75" customHeight="1" x14ac:dyDescent="0.25">
      <c r="J796" s="164"/>
      <c r="L796" s="164"/>
      <c r="AC796" s="164"/>
    </row>
    <row r="797" spans="10:29" ht="15.75" customHeight="1" x14ac:dyDescent="0.25">
      <c r="J797" s="164"/>
      <c r="L797" s="164"/>
      <c r="AC797" s="164"/>
    </row>
    <row r="798" spans="10:29" ht="15.75" customHeight="1" x14ac:dyDescent="0.25">
      <c r="J798" s="164"/>
      <c r="L798" s="164"/>
      <c r="AC798" s="164"/>
    </row>
    <row r="799" spans="10:29" ht="15.75" customHeight="1" x14ac:dyDescent="0.25">
      <c r="J799" s="164"/>
      <c r="L799" s="164"/>
      <c r="AC799" s="164"/>
    </row>
    <row r="800" spans="10:29" ht="15.75" customHeight="1" x14ac:dyDescent="0.25">
      <c r="J800" s="164"/>
      <c r="L800" s="164"/>
      <c r="AC800" s="164"/>
    </row>
    <row r="801" spans="10:29" ht="15.75" customHeight="1" x14ac:dyDescent="0.25">
      <c r="J801" s="164"/>
      <c r="L801" s="164"/>
      <c r="AC801" s="164"/>
    </row>
    <row r="802" spans="10:29" ht="15.75" customHeight="1" x14ac:dyDescent="0.25">
      <c r="J802" s="164"/>
      <c r="L802" s="164"/>
      <c r="AC802" s="164"/>
    </row>
    <row r="803" spans="10:29" ht="15.75" customHeight="1" x14ac:dyDescent="0.25">
      <c r="J803" s="164"/>
      <c r="L803" s="164"/>
      <c r="AC803" s="164"/>
    </row>
    <row r="804" spans="10:29" ht="15.75" customHeight="1" x14ac:dyDescent="0.25">
      <c r="J804" s="164"/>
      <c r="L804" s="164"/>
      <c r="AC804" s="164"/>
    </row>
    <row r="805" spans="10:29" ht="15.75" customHeight="1" x14ac:dyDescent="0.25">
      <c r="J805" s="164"/>
      <c r="L805" s="164"/>
      <c r="AC805" s="164"/>
    </row>
  </sheetData>
  <mergeCells count="74">
    <mergeCell ref="C207:D207"/>
    <mergeCell ref="H207:I207"/>
    <mergeCell ref="M207:T207"/>
    <mergeCell ref="W207:AB207"/>
    <mergeCell ref="C208:D208"/>
    <mergeCell ref="H208:I208"/>
    <mergeCell ref="Z203:AB203"/>
    <mergeCell ref="C204:D204"/>
    <mergeCell ref="H204:I204"/>
    <mergeCell ref="C205:D205"/>
    <mergeCell ref="H205:I205"/>
    <mergeCell ref="C206:D206"/>
    <mergeCell ref="H206:I206"/>
    <mergeCell ref="M206:T206"/>
    <mergeCell ref="W206:AB206"/>
    <mergeCell ref="C202:D202"/>
    <mergeCell ref="H202:I202"/>
    <mergeCell ref="M202:S202"/>
    <mergeCell ref="T202:X202"/>
    <mergeCell ref="C203:D203"/>
    <mergeCell ref="H203:I203"/>
    <mergeCell ref="M203:S203"/>
    <mergeCell ref="T203:X203"/>
    <mergeCell ref="H200:I200"/>
    <mergeCell ref="C201:D201"/>
    <mergeCell ref="H201:I201"/>
    <mergeCell ref="M201:N201"/>
    <mergeCell ref="R201:T201"/>
    <mergeCell ref="X201:AA201"/>
    <mergeCell ref="B196:B208"/>
    <mergeCell ref="C196:D196"/>
    <mergeCell ref="H196:I196"/>
    <mergeCell ref="C197:D197"/>
    <mergeCell ref="H197:I197"/>
    <mergeCell ref="C198:D198"/>
    <mergeCell ref="H198:I198"/>
    <mergeCell ref="C199:D199"/>
    <mergeCell ref="H199:I199"/>
    <mergeCell ref="C200:D200"/>
    <mergeCell ref="J191:J192"/>
    <mergeCell ref="K191:L191"/>
    <mergeCell ref="B193:B195"/>
    <mergeCell ref="C193:D193"/>
    <mergeCell ref="H193:I193"/>
    <mergeCell ref="C194:D194"/>
    <mergeCell ref="H194:I194"/>
    <mergeCell ref="C195:D195"/>
    <mergeCell ref="H195:I195"/>
    <mergeCell ref="M10:M11"/>
    <mergeCell ref="N10:N11"/>
    <mergeCell ref="O10:AC10"/>
    <mergeCell ref="B190:G190"/>
    <mergeCell ref="H190:L190"/>
    <mergeCell ref="M190:AC200"/>
    <mergeCell ref="B191:D192"/>
    <mergeCell ref="E191:E192"/>
    <mergeCell ref="F191:G191"/>
    <mergeCell ref="H191:I192"/>
    <mergeCell ref="B8:AC8"/>
    <mergeCell ref="B9:B11"/>
    <mergeCell ref="C9:F10"/>
    <mergeCell ref="G9:G11"/>
    <mergeCell ref="H9:H11"/>
    <mergeCell ref="I9:I11"/>
    <mergeCell ref="J9:J11"/>
    <mergeCell ref="K9:K11"/>
    <mergeCell ref="L9:L11"/>
    <mergeCell ref="M9:AC9"/>
    <mergeCell ref="B1:AC1"/>
    <mergeCell ref="B2:AC2"/>
    <mergeCell ref="B3:AC3"/>
    <mergeCell ref="B4:AC4"/>
    <mergeCell ref="B5:AC5"/>
    <mergeCell ref="B7:AC7"/>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Beneficiaries</vt:lpstr>
      <vt:lpstr>Beneficiaries (2)</vt:lpstr>
      <vt:lpstr>MEB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Mark Agustin Acido</cp:lastModifiedBy>
  <dcterms:created xsi:type="dcterms:W3CDTF">2025-08-20T02:00:08Z</dcterms:created>
  <dcterms:modified xsi:type="dcterms:W3CDTF">2026-02-20T14:03:23Z</dcterms:modified>
</cp:coreProperties>
</file>