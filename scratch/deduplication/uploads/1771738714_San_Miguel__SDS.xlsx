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066F2316-E1CD-48AF-B980-B5009D601D96}"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2" r:id="rId2"/>
  </sheets>
  <definedNames>
    <definedName name="_xlnm._FilterDatabase" localSheetId="0" hidden="1">Beneficiaries!$A$1:$I$1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2" i="2" l="1"/>
  <c r="T18" i="2"/>
  <c r="T17" i="2"/>
  <c r="T16" i="2"/>
  <c r="T20" i="2"/>
  <c r="T19" i="2"/>
  <c r="T21" i="2"/>
  <c r="T22" i="2"/>
  <c r="T13" i="2"/>
  <c r="G44" i="2"/>
  <c r="F44" i="2"/>
  <c r="G42" i="2"/>
  <c r="F42" i="2"/>
  <c r="G41" i="2"/>
  <c r="F41" i="2"/>
  <c r="L39" i="2"/>
  <c r="K39" i="2"/>
  <c r="G39" i="2"/>
  <c r="F39" i="2"/>
  <c r="L38" i="2"/>
  <c r="K38" i="2"/>
  <c r="G38" i="2"/>
  <c r="F38" i="2"/>
  <c r="L37" i="2"/>
  <c r="K37" i="2"/>
  <c r="L36" i="2"/>
  <c r="K36" i="2"/>
  <c r="G36" i="2"/>
  <c r="F36" i="2"/>
  <c r="L35" i="2"/>
  <c r="K35" i="2"/>
  <c r="L34" i="2"/>
  <c r="K34" i="2"/>
  <c r="J34" i="2" s="1"/>
  <c r="G34" i="2"/>
  <c r="F34" i="2"/>
  <c r="E34" i="2" s="1"/>
  <c r="L33" i="2"/>
  <c r="K33" i="2"/>
  <c r="F40" i="2" s="1"/>
  <c r="G33" i="2"/>
  <c r="F33" i="2"/>
  <c r="L32" i="2"/>
  <c r="K32" i="2"/>
  <c r="G32" i="2"/>
  <c r="F32" i="2"/>
  <c r="L31" i="2"/>
  <c r="K31" i="2"/>
  <c r="L30" i="2"/>
  <c r="K30" i="2"/>
  <c r="J30" i="2" s="1"/>
  <c r="G30" i="2"/>
  <c r="F30" i="2"/>
  <c r="L29" i="2"/>
  <c r="K29" i="2"/>
  <c r="J29" i="2" s="1"/>
  <c r="G29" i="2"/>
  <c r="F29" i="2"/>
  <c r="E29" i="2" s="1"/>
  <c r="T25" i="2"/>
  <c r="T24" i="2"/>
  <c r="T23" i="2"/>
  <c r="T14" i="2"/>
  <c r="G37" i="2" s="1"/>
  <c r="T15" i="2"/>
  <c r="G40" i="2" l="1"/>
  <c r="E40" i="2" s="1"/>
  <c r="F35" i="2"/>
  <c r="G35" i="2"/>
  <c r="J36" i="2"/>
  <c r="E32" i="2"/>
  <c r="J33" i="2"/>
  <c r="J31" i="2"/>
  <c r="F37" i="2"/>
  <c r="E37" i="2" s="1"/>
  <c r="E33" i="2"/>
  <c r="E30" i="2"/>
  <c r="E41" i="2"/>
  <c r="E44" i="2"/>
  <c r="J37" i="2"/>
  <c r="J35" i="2"/>
  <c r="E42" i="2"/>
  <c r="J32" i="2"/>
  <c r="E36" i="2"/>
  <c r="J38" i="2"/>
  <c r="E39" i="2"/>
  <c r="E38" i="2"/>
  <c r="G31" i="2"/>
  <c r="G43" i="2"/>
  <c r="J39" i="2"/>
  <c r="F31" i="2"/>
  <c r="F43" i="2"/>
  <c r="E35" i="2" l="1"/>
  <c r="E43" i="2"/>
  <c r="E31" i="2"/>
</calcChain>
</file>

<file path=xl/sharedStrings.xml><?xml version="1.0" encoding="utf-8"?>
<sst xmlns="http://schemas.openxmlformats.org/spreadsheetml/2006/main" count="293" uniqueCount="143">
  <si>
    <t>lastName</t>
  </si>
  <si>
    <t>firstName</t>
  </si>
  <si>
    <t>middleName</t>
  </si>
  <si>
    <t>ext</t>
  </si>
  <si>
    <t>birthDate</t>
  </si>
  <si>
    <t>barangay</t>
  </si>
  <si>
    <t>province</t>
  </si>
  <si>
    <t>lgu</t>
  </si>
  <si>
    <t>rowNumber</t>
  </si>
  <si>
    <t>SURIGAO DEL SUR</t>
  </si>
  <si>
    <t>FRIAS</t>
  </si>
  <si>
    <t>JUDITH</t>
  </si>
  <si>
    <t>SARIN</t>
  </si>
  <si>
    <t>PATONG</t>
  </si>
  <si>
    <t>SAN MIGUEL</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</si>
  <si>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</si>
  <si>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</si>
  <si>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</si>
  <si>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</si>
  <si>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</si>
  <si>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</si>
  <si>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</si>
  <si>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</si>
  <si>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</si>
  <si>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</si>
  <si>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</si>
  <si>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</si>
  <si>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</si>
  <si>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</si>
  <si>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</si>
  <si>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</si>
  <si>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</si>
  <si>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</si>
  <si>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</si>
  <si>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</si>
  <si>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</si>
  <si>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</si>
  <si>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</si>
  <si>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</si>
  <si>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</si>
  <si>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</si>
  <si>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</si>
  <si>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</si>
  <si>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</si>
  <si>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</si>
  <si>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</si>
  <si>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</si>
  <si>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</si>
  <si>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</si>
  <si>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</si>
  <si>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</si>
  <si>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</si>
  <si>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FEMALE</t>
  </si>
  <si>
    <t>/</t>
  </si>
  <si>
    <t>SLIGHTLY</t>
  </si>
  <si>
    <t>P-1</t>
  </si>
  <si>
    <t>MALE</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</si>
  <si>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</si>
  <si>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</si>
  <si>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</si>
  <si>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</si>
  <si>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</si>
  <si>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</si>
  <si>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</si>
  <si>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</si>
  <si>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</si>
  <si>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</si>
  <si>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</si>
  <si>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</si>
  <si>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</si>
  <si>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</si>
  <si>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</si>
  <si>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</si>
  <si>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</si>
  <si>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</si>
  <si>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</si>
  <si>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</si>
  <si>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</si>
  <si>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</si>
  <si>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</si>
  <si>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</si>
  <si>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</si>
  <si>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</si>
  <si>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</si>
  <si>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</si>
  <si>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</si>
  <si>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</si>
  <si>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</si>
  <si>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</si>
  <si>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</si>
  <si>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</si>
  <si>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</si>
  <si>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</si>
  <si>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</si>
  <si>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</si>
  <si>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</si>
  <si>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</si>
  <si>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</si>
  <si>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</si>
  <si>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</si>
  <si>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</si>
  <si>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</si>
  <si>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</si>
  <si>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</si>
  <si>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Municipality of SAN MIGUEL</t>
  </si>
  <si>
    <t>AZARCON</t>
  </si>
  <si>
    <t>BOSLON</t>
  </si>
  <si>
    <t>MONTENEGRO</t>
  </si>
  <si>
    <t>BALADIA</t>
  </si>
  <si>
    <t>REYMARK</t>
  </si>
  <si>
    <t>OMBAT</t>
  </si>
  <si>
    <t>NARCISA</t>
  </si>
  <si>
    <t>ORTEGA</t>
  </si>
  <si>
    <t>CALATNGAN</t>
  </si>
  <si>
    <t>SEVERELY</t>
  </si>
  <si>
    <t>P-1A</t>
  </si>
  <si>
    <t>P-3</t>
  </si>
  <si>
    <t>ROCKY</t>
  </si>
  <si>
    <t>MEHONG</t>
  </si>
  <si>
    <t>JELLY</t>
  </si>
  <si>
    <t>BUDONG</t>
  </si>
  <si>
    <t>MACA</t>
  </si>
  <si>
    <t>ALEX</t>
  </si>
  <si>
    <t>MENIANO</t>
  </si>
  <si>
    <t>MERIONES</t>
  </si>
  <si>
    <t>DIONESCIO</t>
  </si>
  <si>
    <t>TANA</t>
  </si>
  <si>
    <t>TRINIDAD</t>
  </si>
  <si>
    <t>BENEDICTO</t>
  </si>
  <si>
    <t>MARTINEZ</t>
  </si>
  <si>
    <t>MALON</t>
  </si>
  <si>
    <t>ARNEL</t>
  </si>
  <si>
    <t>PABON</t>
  </si>
  <si>
    <t>SIAGAO</t>
  </si>
  <si>
    <t>SILVOZA</t>
  </si>
  <si>
    <t>RENIE</t>
  </si>
  <si>
    <t>LASTIMOSO</t>
  </si>
  <si>
    <t>TINA</t>
  </si>
  <si>
    <t>P-2</t>
  </si>
  <si>
    <t>P-14</t>
  </si>
  <si>
    <t>Single</t>
  </si>
  <si>
    <t>Married</t>
  </si>
  <si>
    <t>Widower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</si>
</sst>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4">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s>
  <borders count="60">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s>
  <cellStyleXfs count="1">
    <xf numFmtId="0" fontId="0" fillId="0" borderId="0"/>
  </cellStyleXfs>
  <cellXfs count="168">
    <xf numFmtId="0" fontId="0" fillId="0" borderId="0" xfId="0"/>
    <xf numFmtId="14" fontId="0" fillId="0" borderId="0" xfId="0" applyNumberFormat="1"/>
    <xf numFmtId="0" fontId="1" fillId="2" borderId="0" xfId="0" applyFont="1" applyFill="1" applyAlignment="1">
      <alignment horizontal="center"/>
    </xf>
    <xf numFmtId="0" fontId="3" fillId="3" borderId="17" xfId="0" applyFont="1" applyFill="1" applyBorder="1" applyAlignment="1">
      <alignment horizontal="center" vertical="center" wrapText="1"/>
    </xf>
    <xf numFmtId="0" fontId="3" fillId="3" borderId="17" xfId="0" applyFont="1" applyFill="1" applyBorder="1" applyAlignment="1">
      <alignment horizontal="center" vertical="center"/>
    </xf>
    <xf numFmtId="0" fontId="8" fillId="7" borderId="20" xfId="0" applyFont="1" applyFill="1" applyBorder="1" applyAlignment="1">
      <alignment horizontal="center" vertical="center" wrapText="1"/>
    </xf>
    <xf numFmtId="0" fontId="8" fillId="7" borderId="21" xfId="0" applyFont="1" applyFill="1" applyBorder="1" applyAlignment="1">
      <alignment horizontal="center" vertical="center" wrapText="1"/>
    </xf>
    <xf numFmtId="0" fontId="8" fillId="7" borderId="22" xfId="0" applyFont="1" applyFill="1" applyBorder="1" applyAlignment="1">
      <alignment horizontal="center" vertical="center" wrapText="1"/>
    </xf>
    <xf numFmtId="0" fontId="8" fillId="7" borderId="23" xfId="0" applyFont="1" applyFill="1" applyBorder="1" applyAlignment="1">
      <alignment horizontal="center" vertical="center" wrapText="1"/>
    </xf>
    <xf numFmtId="0" fontId="8" fillId="7" borderId="24"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7" fillId="0" borderId="34" xfId="0" applyFont="1" applyBorder="1"/>
    <xf numFmtId="0" fontId="0" fillId="0" borderId="0" xfId="0"/>
    <xf numFmtId="0" fontId="15" fillId="2" borderId="40" xfId="0" applyFont="1" applyFill="1" applyBorder="1" applyAlignment="1">
      <alignment horizontal="center" vertical="center"/>
    </xf>
    <xf numFmtId="0" fontId="15" fillId="2" borderId="41" xfId="0" applyFont="1" applyFill="1" applyBorder="1" applyAlignment="1">
      <alignment horizontal="center" vertical="center"/>
    </xf>
    <xf numFmtId="0" fontId="15" fillId="11" borderId="43" xfId="0" applyFont="1" applyFill="1" applyBorder="1" applyAlignment="1">
      <alignment horizontal="center" vertical="center" wrapText="1" readingOrder="1"/>
    </xf>
    <xf numFmtId="0" fontId="15" fillId="11" borderId="44" xfId="0" applyFont="1" applyFill="1" applyBorder="1" applyAlignment="1">
      <alignment horizontal="center" vertical="center" wrapText="1" readingOrder="1"/>
    </xf>
    <xf numFmtId="0" fontId="11" fillId="12" borderId="47"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10" xfId="0" applyFont="1" applyFill="1" applyBorder="1" applyAlignment="1">
      <alignment horizontal="center" vertical="center"/>
    </xf>
    <xf numFmtId="0" fontId="15" fillId="13"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1" fillId="12" borderId="25"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center" vertical="center"/>
    </xf>
    <xf numFmtId="0" fontId="15" fillId="13"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20" fillId="3" borderId="54" xfId="0" applyFont="1" applyFill="1" applyBorder="1" applyAlignment="1">
      <alignment horizontal="center" vertical="center"/>
    </xf>
    <xf numFmtId="0" fontId="15" fillId="3" borderId="54" xfId="0" applyFont="1" applyFill="1" applyBorder="1" applyAlignment="1">
      <alignment horizontal="center" vertical="center"/>
    </xf>
    <xf numFmtId="3" fontId="15" fillId="3" borderId="52" xfId="0" applyNumberFormat="1" applyFont="1" applyFill="1" applyBorder="1" applyAlignment="1">
      <alignment horizontal="center" vertical="center"/>
    </xf>
    <xf numFmtId="0" fontId="11" fillId="2" borderId="47" xfId="0" applyFont="1" applyFill="1" applyBorder="1" applyAlignment="1">
      <alignment horizontal="center" vertical="center"/>
    </xf>
    <xf numFmtId="0" fontId="11" fillId="2" borderId="45" xfId="0" applyFont="1" applyFill="1" applyBorder="1" applyAlignment="1">
      <alignment horizontal="center" vertical="center"/>
    </xf>
    <xf numFmtId="0" fontId="22" fillId="2" borderId="0" xfId="0" applyFont="1" applyFill="1" applyAlignment="1">
      <alignment horizontal="center" vertical="top"/>
    </xf>
    <xf numFmtId="0" fontId="22" fillId="2" borderId="0" xfId="0" applyFont="1" applyFill="1" applyAlignment="1">
      <alignment vertical="top"/>
    </xf>
    <xf numFmtId="0" fontId="23" fillId="2" borderId="0" xfId="0" applyFont="1" applyFill="1"/>
    <xf numFmtId="0" fontId="14" fillId="0" borderId="0" xfId="0" applyFont="1" applyAlignment="1">
      <alignment horizontal="center"/>
    </xf>
    <xf numFmtId="0" fontId="24" fillId="2" borderId="0" xfId="0" applyFont="1" applyFill="1" applyAlignment="1">
      <alignment vertical="top"/>
    </xf>
    <xf numFmtId="0" fontId="26" fillId="2" borderId="0" xfId="0" applyFont="1" applyFill="1" applyAlignment="1">
      <alignment horizontal="center" wrapText="1" readingOrder="1"/>
    </xf>
    <xf numFmtId="0" fontId="22" fillId="2" borderId="0" xfId="0" applyFont="1" applyFill="1" applyAlignment="1">
      <alignment vertical="center"/>
    </xf>
    <xf numFmtId="0" fontId="27" fillId="2" borderId="0" xfId="0" applyFont="1" applyFill="1" applyAlignment="1">
      <alignment horizontal="center" vertical="top" wrapText="1" readingOrder="1"/>
    </xf>
    <xf numFmtId="0" fontId="17" fillId="13"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2" borderId="32" xfId="0" applyFont="1" applyFill="1" applyBorder="1" applyAlignment="1">
      <alignment horizontal="center" vertical="top"/>
    </xf>
    <xf numFmtId="0" fontId="1" fillId="2" borderId="32" xfId="0" applyFont="1" applyFill="1" applyBorder="1"/>
    <xf numFmtId="0" fontId="1" fillId="2" borderId="0" xfId="0" applyFont="1" applyFill="1"/>
    <xf numFmtId="0" fontId="22" fillId="2" borderId="0" xfId="0" applyFont="1" applyFill="1" applyAlignment="1">
      <alignment horizontal="center"/>
    </xf>
    <xf numFmtId="0" fontId="22" fillId="2" borderId="0" xfId="0" applyFont="1" applyFill="1"/>
    <xf numFmtId="0" fontId="26" fillId="2" borderId="0" xfId="0" applyFont="1" applyFill="1" applyAlignment="1">
      <alignment horizontal="center" vertical="top" wrapText="1" readingOrder="1"/>
    </xf>
    <xf numFmtId="0" fontId="24" fillId="0" borderId="0" xfId="0" applyFont="1" applyAlignment="1">
      <alignment horizontal="center"/>
    </xf>
    <xf numFmtId="0" fontId="27" fillId="2"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0" xfId="0" applyFont="1"/>
    <xf numFmtId="0" fontId="22" fillId="0" borderId="0" xfId="0" applyFont="1" applyAlignment="1">
      <alignment horizontal="center"/>
    </xf>
    <xf numFmtId="0" fontId="11" fillId="12" borderId="17" xfId="0" applyFont="1" applyFill="1" applyBorder="1" applyAlignment="1">
      <alignment horizontal="center" vertical="center"/>
    </xf>
    <xf numFmtId="0" fontId="11" fillId="2" borderId="17" xfId="0" applyFont="1" applyFill="1" applyBorder="1" applyAlignment="1">
      <alignment horizontal="center" vertical="center"/>
    </xf>
    <xf numFmtId="0" fontId="11" fillId="2" borderId="57" xfId="0" applyFont="1" applyFill="1" applyBorder="1" applyAlignment="1">
      <alignment horizontal="center" vertical="center"/>
    </xf>
    <xf numFmtId="0" fontId="17" fillId="13"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2" borderId="11" xfId="0" applyFont="1" applyFill="1" applyBorder="1"/>
    <xf numFmtId="0" fontId="26" fillId="2" borderId="11" xfId="0" applyFont="1" applyFill="1" applyBorder="1" applyAlignment="1">
      <alignment horizontal="center" vertical="top" wrapText="1" readingOrder="1"/>
    </xf>
    <xf numFmtId="0" fontId="17" fillId="0" borderId="0" xfId="0" applyFont="1" applyAlignment="1">
      <alignment horizontal="center"/>
    </xf>
    <xf numFmtId="0" fontId="27" fillId="2" borderId="34" xfId="0" applyFont="1" applyFill="1" applyBorder="1" applyAlignment="1">
      <alignment horizontal="left" vertical="top" wrapText="1" readingOrder="1"/>
    </xf>
    <xf numFmtId="0" fontId="27" fillId="2" borderId="0" xfId="0" applyFont="1" applyFill="1" applyAlignment="1">
      <alignment horizontal="left" vertical="top" wrapText="1" readingOrder="1"/>
    </xf>
    <xf numFmtId="0" fontId="21" fillId="2" borderId="26" xfId="0" applyFont="1" applyFill="1" applyBorder="1" applyAlignment="1">
      <alignment horizontal="left" vertical="center"/>
    </xf>
    <xf numFmtId="0" fontId="2" fillId="0" borderId="28" xfId="0" applyFont="1" applyBorder="1"/>
    <xf numFmtId="0" fontId="17" fillId="11" borderId="50" xfId="0" applyFont="1" applyFill="1" applyBorder="1" applyAlignment="1">
      <alignment horizontal="left" vertical="top" wrapText="1" readingOrder="1"/>
    </xf>
    <xf numFmtId="0" fontId="22" fillId="0" borderId="34" xfId="0" applyFont="1" applyBorder="1" applyAlignment="1">
      <alignment horizontal="center"/>
    </xf>
    <xf numFmtId="0" fontId="0" fillId="0" borderId="0" xfId="0"/>
    <xf numFmtId="0" fontId="22" fillId="0" borderId="0" xfId="0" applyFont="1" applyAlignment="1">
      <alignment horizontal="center"/>
    </xf>
    <xf numFmtId="0" fontId="21" fillId="2" borderId="55" xfId="0" applyFont="1" applyFill="1" applyBorder="1" applyAlignment="1">
      <alignment horizontal="left" vertical="center"/>
    </xf>
    <xf numFmtId="0" fontId="2" fillId="0" borderId="56" xfId="0" applyFont="1" applyBorder="1"/>
    <xf numFmtId="0" fontId="17" fillId="11" borderId="58" xfId="0" applyFont="1" applyFill="1" applyBorder="1" applyAlignment="1">
      <alignment horizontal="left" vertical="top" wrapText="1" readingOrder="1"/>
    </xf>
    <xf numFmtId="0" fontId="22" fillId="2" borderId="0" xfId="0" applyFont="1" applyFill="1" applyAlignment="1">
      <alignment horizontal="center" vertical="center"/>
    </xf>
    <xf numFmtId="0" fontId="2" fillId="0" borderId="0" xfId="0" applyFont="1"/>
    <xf numFmtId="0" fontId="24" fillId="0" borderId="32" xfId="0" applyFont="1" applyBorder="1" applyAlignment="1">
      <alignment horizontal="center"/>
    </xf>
    <xf numFmtId="0" fontId="24" fillId="0" borderId="0" xfId="0" applyFont="1" applyAlignment="1">
      <alignment horizontal="center"/>
    </xf>
    <xf numFmtId="0" fontId="19" fillId="11" borderId="50" xfId="0" applyFont="1" applyFill="1" applyBorder="1" applyAlignment="1">
      <alignment horizontal="left" vertical="center" wrapText="1" readingOrder="1"/>
    </xf>
    <xf numFmtId="0" fontId="24" fillId="2" borderId="32" xfId="0" applyFont="1" applyFill="1" applyBorder="1" applyAlignment="1">
      <alignment horizontal="center" vertical="center"/>
    </xf>
    <xf numFmtId="0" fontId="25" fillId="0" borderId="0" xfId="0" applyFont="1"/>
    <xf numFmtId="0" fontId="24" fillId="2" borderId="0" xfId="0" applyFont="1" applyFill="1" applyAlignment="1">
      <alignment horizontal="center" vertical="top"/>
    </xf>
    <xf numFmtId="0" fontId="22" fillId="2" borderId="32" xfId="0" applyFont="1" applyFill="1" applyBorder="1" applyAlignment="1">
      <alignment horizontal="center" vertical="center"/>
    </xf>
    <xf numFmtId="0" fontId="22" fillId="2" borderId="32" xfId="0" applyFont="1" applyFill="1" applyBorder="1" applyAlignment="1">
      <alignment horizontal="left" vertical="top"/>
    </xf>
    <xf numFmtId="0" fontId="22" fillId="2" borderId="0" xfId="0" applyFont="1" applyFill="1" applyAlignment="1">
      <alignment horizontal="right" vertical="top"/>
    </xf>
    <xf numFmtId="0" fontId="22" fillId="2" borderId="0" xfId="0" applyFont="1" applyFill="1" applyAlignment="1">
      <alignment horizontal="center" vertical="top"/>
    </xf>
    <xf numFmtId="0" fontId="11" fillId="2" borderId="1" xfId="0" applyFont="1" applyFill="1" applyBorder="1" applyAlignment="1">
      <alignment horizontal="center" vertical="center" textRotation="90" wrapText="1"/>
    </xf>
    <xf numFmtId="0" fontId="2" fillId="0" borderId="9" xfId="0" applyFont="1" applyBorder="1"/>
    <xf numFmtId="0" fontId="2" fillId="0" borderId="16" xfId="0" applyFont="1" applyBorder="1"/>
    <xf numFmtId="0" fontId="21" fillId="2" borderId="45" xfId="0" applyFont="1" applyFill="1" applyBorder="1" applyAlignment="1">
      <alignment horizontal="left" vertical="center"/>
    </xf>
    <xf numFmtId="0" fontId="2" fillId="0" borderId="46" xfId="0" applyFont="1" applyBorder="1"/>
    <xf numFmtId="0" fontId="15" fillId="10" borderId="39" xfId="0" applyFont="1" applyFill="1" applyBorder="1" applyAlignment="1">
      <alignment horizontal="center" vertical="center" wrapText="1"/>
    </xf>
    <xf numFmtId="0" fontId="2" fillId="0" borderId="43" xfId="0" applyFont="1" applyBorder="1"/>
    <xf numFmtId="0" fontId="15" fillId="10" borderId="7" xfId="0" applyFont="1" applyFill="1" applyBorder="1" applyAlignment="1">
      <alignment horizontal="center" vertical="center" wrapText="1" readingOrder="1"/>
    </xf>
    <xf numFmtId="0" fontId="2" fillId="0" borderId="31" xfId="0" applyFont="1" applyBorder="1"/>
    <xf numFmtId="0" fontId="18" fillId="2" borderId="45" xfId="0" applyFont="1" applyFill="1" applyBorder="1" applyAlignment="1">
      <alignment horizontal="left" vertical="center" wrapText="1"/>
    </xf>
    <xf numFmtId="0" fontId="19" fillId="11" borderId="48" xfId="0" applyFont="1" applyFill="1" applyBorder="1" applyAlignment="1">
      <alignment horizontal="left" vertical="center" wrapText="1" readingOrder="1"/>
    </xf>
    <xf numFmtId="0" fontId="18" fillId="2" borderId="26" xfId="0" applyFont="1" applyFill="1" applyBorder="1" applyAlignment="1">
      <alignment horizontal="left" vertical="center" wrapText="1"/>
    </xf>
    <xf numFmtId="0" fontId="15" fillId="2" borderId="52" xfId="0" applyFont="1" applyFill="1" applyBorder="1" applyAlignment="1">
      <alignment horizontal="left" vertical="center"/>
    </xf>
    <xf numFmtId="0" fontId="2" fillId="0" borderId="53" xfId="0" applyFont="1" applyBorder="1"/>
    <xf numFmtId="0" fontId="8" fillId="5" borderId="15" xfId="0" applyFont="1" applyFill="1" applyBorder="1" applyAlignment="1">
      <alignment horizontal="center" vertical="center" wrapText="1"/>
    </xf>
    <xf numFmtId="0" fontId="2" fillId="0" borderId="19" xfId="0" applyFont="1" applyBorder="1"/>
    <xf numFmtId="0" fontId="9" fillId="5" borderId="15" xfId="0" applyFont="1" applyFill="1" applyBorder="1" applyAlignment="1">
      <alignment horizontal="center" vertical="center" wrapText="1"/>
    </xf>
    <xf numFmtId="0" fontId="7" fillId="6" borderId="7" xfId="0" applyFont="1" applyFill="1" applyBorder="1" applyAlignment="1">
      <alignment horizontal="center" vertical="center"/>
    </xf>
    <xf numFmtId="0" fontId="2" fillId="0" borderId="8" xfId="0" applyFont="1" applyBorder="1"/>
    <xf numFmtId="0" fontId="15" fillId="8" borderId="7" xfId="0" applyFont="1" applyFill="1" applyBorder="1" applyAlignment="1">
      <alignment horizontal="center" vertical="center"/>
    </xf>
    <xf numFmtId="0" fontId="15" fillId="9" borderId="32" xfId="0" applyFont="1" applyFill="1" applyBorder="1" applyAlignment="1">
      <alignment horizontal="center" vertical="top" wrapText="1" readingOrder="1"/>
    </xf>
    <xf numFmtId="0" fontId="2" fillId="0" borderId="33" xfId="0" applyFont="1" applyBorder="1"/>
    <xf numFmtId="0" fontId="16" fillId="2" borderId="32" xfId="0" applyFont="1" applyFill="1" applyBorder="1" applyAlignment="1">
      <alignment horizontal="center" vertical="top" wrapText="1" readingOrder="1"/>
    </xf>
    <xf numFmtId="0" fontId="2" fillId="0" borderId="32" xfId="0" applyFont="1" applyBorder="1"/>
    <xf numFmtId="0" fontId="15" fillId="3" borderId="35" xfId="0" applyFont="1" applyFill="1" applyBorder="1" applyAlignment="1">
      <alignment horizontal="center" vertical="center"/>
    </xf>
    <xf numFmtId="0" fontId="2" fillId="0" borderId="3" xfId="0" applyFont="1" applyBorder="1"/>
    <xf numFmtId="0" fontId="2" fillId="0" borderId="36" xfId="0" applyFont="1" applyBorder="1"/>
    <xf numFmtId="0" fontId="15" fillId="3" borderId="35" xfId="0" applyFont="1" applyFill="1" applyBorder="1" applyAlignment="1">
      <alignment horizontal="center" vertical="center" wrapText="1"/>
    </xf>
    <xf numFmtId="0" fontId="15" fillId="3" borderId="7" xfId="0" applyFont="1" applyFill="1" applyBorder="1" applyAlignment="1">
      <alignment horizontal="center" vertical="center"/>
    </xf>
    <xf numFmtId="0" fontId="15" fillId="10" borderId="37" xfId="0" applyFont="1" applyFill="1" applyBorder="1" applyAlignment="1">
      <alignment horizontal="center" vertical="center" wrapText="1"/>
    </xf>
    <xf numFmtId="0" fontId="2" fillId="0" borderId="38" xfId="0" applyFont="1" applyBorder="1"/>
    <xf numFmtId="0" fontId="2" fillId="0" borderId="42" xfId="0" applyFont="1" applyBorder="1"/>
    <xf numFmtId="0" fontId="3" fillId="2" borderId="0" xfId="0" applyFont="1" applyFill="1" applyAlignment="1">
      <alignment horizontal="center" vertical="top"/>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4" xfId="0" applyFont="1" applyBorder="1"/>
    <xf numFmtId="0" fontId="2" fillId="0" borderId="10" xfId="0" applyFont="1" applyBorder="1"/>
    <xf numFmtId="0" fontId="2" fillId="0" borderId="11" xfId="0" applyFont="1" applyBorder="1"/>
    <xf numFmtId="0" fontId="2" fillId="0" borderId="12" xfId="0" applyFont="1" applyBorder="1"/>
    <xf numFmtId="0" fontId="3" fillId="3" borderId="5" xfId="0" applyFont="1" applyFill="1" applyBorder="1" applyAlignment="1">
      <alignment horizontal="center" vertical="center"/>
    </xf>
    <xf numFmtId="0" fontId="2" fillId="0" borderId="13" xfId="0" applyFont="1" applyBorder="1"/>
    <xf numFmtId="0" fontId="2" fillId="0" borderId="18" xfId="0" applyFont="1" applyBorder="1"/>
    <xf numFmtId="14" fontId="5" fillId="3" borderId="5"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0" fontId="2" fillId="0" borderId="14" xfId="0" applyFont="1" applyBorder="1"/>
    <xf numFmtId="0" fontId="3" fillId="4" borderId="7" xfId="0" applyFont="1" applyFill="1" applyBorder="1" applyAlignment="1">
      <alignment horizontal="center" vertical="center"/>
    </xf>
    <xf numFmtId="0" fontId="1" fillId="2" borderId="0" xfId="0" applyFont="1" applyFill="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xf>
    <xf numFmtId="0" fontId="4"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BA1A5953-B9EE-4985-93BD-881079D6ED04}"/>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workbookViewId="0">
      <pane ySplit="1" topLeftCell="A2" activePane="bottomLeft" state="frozen"/>
      <selection pane="bottomLeft" activeCell="A2" sqref="A2"/>
    </sheetView>
  </sheetViews>
  <sheetFormatPr defaultRowHeight="15" x14ac:dyDescent="0.25"/>
  <cols>
    <col min="1" max="1" width="11.7109375" bestFit="1" customWidth="1"/>
    <col min="2" max="2" width="14" bestFit="1" customWidth="1"/>
    <col min="3" max="3" width="11" bestFit="1" customWidth="1"/>
    <col min="4" max="4" width="14" bestFit="1" customWidth="1"/>
    <col min="5" max="5" width="3.85546875" bestFit="1" customWidth="1"/>
    <col min="6" max="6" width="10.42578125" style="1" bestFit="1" customWidth="1"/>
    <col min="7" max="7" width="12" bestFit="1" customWidth="1"/>
    <col min="8" max="8" width="11.8554687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107</v>
      </c>
      <c r="C2" t="s">
        <v>117</v>
      </c>
      <c r="F2" s="1">
        <v>31029</v>
      </c>
      <c r="G2" t="s">
        <v>113</v>
      </c>
      <c r="H2" t="s">
        <v>14</v>
      </c>
      <c r="I2" t="s">
        <v>9</v>
      </c>
    </row>
    <row r="3" spans="1:9" x14ac:dyDescent="0.25">
      <c r="A3">
        <v>2</v>
      </c>
      <c r="B3" t="s">
        <v>118</v>
      </c>
      <c r="C3" t="s">
        <v>119</v>
      </c>
      <c r="D3" t="s">
        <v>120</v>
      </c>
      <c r="F3" s="1">
        <v>30326</v>
      </c>
      <c r="G3" t="s">
        <v>113</v>
      </c>
      <c r="H3" s="41" t="s">
        <v>14</v>
      </c>
      <c r="I3" s="41" t="s">
        <v>9</v>
      </c>
    </row>
    <row r="4" spans="1:9" x14ac:dyDescent="0.25">
      <c r="A4" s="41">
        <v>3</v>
      </c>
      <c r="B4" t="s">
        <v>121</v>
      </c>
      <c r="C4" t="s">
        <v>122</v>
      </c>
      <c r="D4" t="s">
        <v>123</v>
      </c>
      <c r="F4" s="1">
        <v>21961</v>
      </c>
      <c r="G4" t="s">
        <v>113</v>
      </c>
      <c r="H4" s="41" t="s">
        <v>14</v>
      </c>
      <c r="I4" s="41" t="s">
        <v>9</v>
      </c>
    </row>
    <row r="5" spans="1:9" x14ac:dyDescent="0.25">
      <c r="A5" s="41">
        <v>4</v>
      </c>
      <c r="B5" t="s">
        <v>124</v>
      </c>
      <c r="C5" t="s">
        <v>125</v>
      </c>
      <c r="D5" t="s">
        <v>126</v>
      </c>
      <c r="F5" s="1">
        <v>38267</v>
      </c>
      <c r="G5" t="s">
        <v>113</v>
      </c>
      <c r="H5" s="41" t="s">
        <v>14</v>
      </c>
      <c r="I5" s="41" t="s">
        <v>9</v>
      </c>
    </row>
    <row r="6" spans="1:9" x14ac:dyDescent="0.25">
      <c r="A6" s="41">
        <v>5</v>
      </c>
      <c r="B6" t="s">
        <v>127</v>
      </c>
      <c r="C6" t="s">
        <v>128</v>
      </c>
      <c r="D6" t="s">
        <v>129</v>
      </c>
      <c r="F6" s="1">
        <v>23712</v>
      </c>
      <c r="G6" t="s">
        <v>113</v>
      </c>
      <c r="H6" s="41" t="s">
        <v>14</v>
      </c>
      <c r="I6" s="41" t="s">
        <v>9</v>
      </c>
    </row>
    <row r="7" spans="1:9" x14ac:dyDescent="0.25">
      <c r="A7" s="41">
        <v>6</v>
      </c>
      <c r="B7" t="s">
        <v>110</v>
      </c>
      <c r="C7" t="s">
        <v>111</v>
      </c>
      <c r="D7" t="s">
        <v>112</v>
      </c>
      <c r="F7" s="1">
        <v>30261</v>
      </c>
      <c r="G7" t="s">
        <v>113</v>
      </c>
      <c r="H7" s="41" t="s">
        <v>14</v>
      </c>
      <c r="I7" s="41" t="s">
        <v>9</v>
      </c>
    </row>
    <row r="8" spans="1:9" x14ac:dyDescent="0.25">
      <c r="A8" s="41">
        <v>7</v>
      </c>
      <c r="B8" t="s">
        <v>108</v>
      </c>
      <c r="C8" t="s">
        <v>109</v>
      </c>
      <c r="D8" t="s">
        <v>105</v>
      </c>
      <c r="F8" s="1">
        <v>38267</v>
      </c>
      <c r="G8" t="s">
        <v>113</v>
      </c>
      <c r="H8" s="41" t="s">
        <v>14</v>
      </c>
      <c r="I8" s="41" t="s">
        <v>9</v>
      </c>
    </row>
    <row r="9" spans="1:9" x14ac:dyDescent="0.25">
      <c r="A9" s="41">
        <v>8</v>
      </c>
      <c r="B9" t="s">
        <v>105</v>
      </c>
      <c r="C9" t="s">
        <v>106</v>
      </c>
      <c r="D9" t="s">
        <v>107</v>
      </c>
      <c r="F9" s="1">
        <v>24061</v>
      </c>
      <c r="G9" t="s">
        <v>113</v>
      </c>
      <c r="H9" s="41" t="s">
        <v>14</v>
      </c>
      <c r="I9" s="41" t="s">
        <v>9</v>
      </c>
    </row>
    <row r="10" spans="1:9" x14ac:dyDescent="0.25">
      <c r="A10" s="41">
        <v>9</v>
      </c>
      <c r="B10" t="s">
        <v>10</v>
      </c>
      <c r="C10" t="s">
        <v>11</v>
      </c>
      <c r="D10" t="s">
        <v>12</v>
      </c>
      <c r="F10" s="1">
        <v>25924</v>
      </c>
      <c r="G10" t="s">
        <v>13</v>
      </c>
      <c r="H10" s="41" t="s">
        <v>14</v>
      </c>
      <c r="I10" s="41" t="s">
        <v>9</v>
      </c>
    </row>
    <row r="11" spans="1:9" x14ac:dyDescent="0.25">
      <c r="A11" s="41">
        <v>10</v>
      </c>
      <c r="B11" t="s">
        <v>130</v>
      </c>
      <c r="C11" t="s">
        <v>131</v>
      </c>
      <c r="D11" t="s">
        <v>132</v>
      </c>
      <c r="F11" s="1">
        <v>34551</v>
      </c>
      <c r="G11" t="s">
        <v>133</v>
      </c>
      <c r="H11" s="41" t="s">
        <v>14</v>
      </c>
      <c r="I11" s="41" t="s">
        <v>9</v>
      </c>
    </row>
    <row r="12" spans="1:9" x14ac:dyDescent="0.25">
      <c r="A12" s="41">
        <v>11</v>
      </c>
      <c r="B12" t="s">
        <v>134</v>
      </c>
      <c r="C12" t="s">
        <v>135</v>
      </c>
      <c r="D12" t="s">
        <v>136</v>
      </c>
      <c r="F12" s="1">
        <v>32756</v>
      </c>
      <c r="G12" t="s">
        <v>137</v>
      </c>
      <c r="H12" s="41" t="s">
        <v>14</v>
      </c>
      <c r="I12" s="41"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05439-3052-4DBF-BA2B-52498A0B2CF1}">
  <dimension ref="A1:AD641"/>
  <sheetViews>
    <sheetView zoomScale="70" zoomScaleNormal="70" workbookViewId="0">
      <selection activeCell="W16" sqref="W16"/>
    </sheetView>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164" t="s">
        <v>15</v>
      </c>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row>
    <row r="2" spans="1:29" x14ac:dyDescent="0.25">
      <c r="B2" s="164" t="s">
        <v>16</v>
      </c>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row>
    <row r="3" spans="1:29" x14ac:dyDescent="0.25">
      <c r="B3" s="164" t="s">
        <v>17</v>
      </c>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row>
    <row r="4" spans="1:29" ht="15.75" x14ac:dyDescent="0.25">
      <c r="B4" s="165" t="s">
        <v>104</v>
      </c>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row>
    <row r="5" spans="1:29" ht="18" x14ac:dyDescent="0.25">
      <c r="B5" s="166" t="s">
        <v>18</v>
      </c>
      <c r="C5" s="107"/>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row>
    <row r="6" spans="1:29" ht="15.75" x14ac:dyDescent="0.25">
      <c r="B6" s="2"/>
      <c r="C6" s="2"/>
      <c r="D6" s="2"/>
      <c r="E6" s="2"/>
      <c r="F6" s="2"/>
      <c r="G6" s="2"/>
      <c r="H6" s="2"/>
      <c r="I6" s="2"/>
      <c r="J6" s="2"/>
      <c r="K6" s="2"/>
      <c r="L6" s="2"/>
      <c r="M6" s="2"/>
      <c r="N6" s="2"/>
      <c r="O6" s="2"/>
      <c r="P6" s="2"/>
      <c r="Q6" s="2"/>
      <c r="R6" s="2"/>
      <c r="S6" s="2"/>
      <c r="T6" s="2"/>
      <c r="U6" s="2"/>
      <c r="V6" s="2"/>
      <c r="W6" s="2"/>
      <c r="X6" s="2"/>
      <c r="Y6" s="2"/>
      <c r="Z6" s="2"/>
      <c r="AA6" s="2"/>
      <c r="AB6" s="2"/>
      <c r="AC6" s="2"/>
    </row>
    <row r="7" spans="1:29" ht="18" x14ac:dyDescent="0.25">
      <c r="B7" s="167" t="s">
        <v>19</v>
      </c>
      <c r="C7" s="107"/>
      <c r="D7" s="107"/>
      <c r="E7" s="107"/>
      <c r="F7" s="107"/>
      <c r="G7" s="107"/>
      <c r="H7" s="107"/>
      <c r="I7" s="107"/>
      <c r="J7" s="107"/>
      <c r="K7" s="107"/>
      <c r="L7" s="107"/>
      <c r="M7" s="107"/>
      <c r="N7" s="107"/>
      <c r="O7" s="107"/>
      <c r="P7" s="107"/>
      <c r="Q7" s="107"/>
      <c r="R7" s="107"/>
      <c r="S7" s="107"/>
      <c r="T7" s="107"/>
      <c r="U7" s="107"/>
      <c r="V7" s="107"/>
      <c r="W7" s="107"/>
      <c r="X7" s="107"/>
      <c r="Y7" s="107"/>
      <c r="Z7" s="107"/>
      <c r="AA7" s="107"/>
      <c r="AB7" s="107"/>
      <c r="AC7" s="107"/>
    </row>
    <row r="8" spans="1:29" ht="16.5" thickBot="1" x14ac:dyDescent="0.3">
      <c r="B8" s="150" t="s">
        <v>20</v>
      </c>
      <c r="C8" s="107"/>
      <c r="D8" s="107"/>
      <c r="E8" s="107"/>
      <c r="F8" s="107"/>
      <c r="G8" s="107"/>
      <c r="H8" s="107"/>
      <c r="I8" s="107"/>
      <c r="J8" s="107"/>
      <c r="K8" s="107"/>
      <c r="L8" s="107"/>
      <c r="M8" s="107"/>
      <c r="N8" s="107"/>
      <c r="O8" s="107"/>
      <c r="P8" s="107"/>
      <c r="Q8" s="107"/>
      <c r="R8" s="107"/>
      <c r="S8" s="107"/>
      <c r="T8" s="107"/>
      <c r="U8" s="107"/>
      <c r="V8" s="107"/>
      <c r="W8" s="107"/>
      <c r="X8" s="107"/>
      <c r="Y8" s="107"/>
      <c r="Z8" s="107"/>
      <c r="AA8" s="107"/>
      <c r="AB8" s="107"/>
      <c r="AC8" s="107"/>
    </row>
    <row r="9" spans="1:29" ht="16.5" thickBot="1" x14ac:dyDescent="0.3">
      <c r="B9" s="151" t="s">
        <v>21</v>
      </c>
      <c r="C9" s="152" t="s">
        <v>22</v>
      </c>
      <c r="D9" s="143"/>
      <c r="E9" s="143"/>
      <c r="F9" s="153"/>
      <c r="G9" s="157" t="s">
        <v>23</v>
      </c>
      <c r="H9" s="157" t="s">
        <v>24</v>
      </c>
      <c r="I9" s="160" t="s">
        <v>25</v>
      </c>
      <c r="J9" s="157" t="s">
        <v>26</v>
      </c>
      <c r="K9" s="157" t="s">
        <v>27</v>
      </c>
      <c r="L9" s="161" t="s">
        <v>28</v>
      </c>
      <c r="M9" s="163" t="s">
        <v>29</v>
      </c>
      <c r="N9" s="136"/>
      <c r="O9" s="136"/>
      <c r="P9" s="136"/>
      <c r="Q9" s="136"/>
      <c r="R9" s="136"/>
      <c r="S9" s="136"/>
      <c r="T9" s="136"/>
      <c r="U9" s="136"/>
      <c r="V9" s="136"/>
      <c r="W9" s="136"/>
      <c r="X9" s="136"/>
      <c r="Y9" s="136"/>
      <c r="Z9" s="136"/>
      <c r="AA9" s="136"/>
      <c r="AB9" s="136"/>
      <c r="AC9" s="136"/>
    </row>
    <row r="10" spans="1:29" ht="15.75" thickBot="1" x14ac:dyDescent="0.3">
      <c r="B10" s="119"/>
      <c r="C10" s="154"/>
      <c r="D10" s="155"/>
      <c r="E10" s="155"/>
      <c r="F10" s="156"/>
      <c r="G10" s="158"/>
      <c r="H10" s="158"/>
      <c r="I10" s="158"/>
      <c r="J10" s="158"/>
      <c r="K10" s="158"/>
      <c r="L10" s="162"/>
      <c r="M10" s="132" t="s">
        <v>30</v>
      </c>
      <c r="N10" s="134" t="s">
        <v>31</v>
      </c>
      <c r="O10" s="135" t="s">
        <v>32</v>
      </c>
      <c r="P10" s="136"/>
      <c r="Q10" s="136"/>
      <c r="R10" s="136"/>
      <c r="S10" s="136"/>
      <c r="T10" s="136"/>
      <c r="U10" s="136"/>
      <c r="V10" s="136"/>
      <c r="W10" s="136"/>
      <c r="X10" s="136"/>
      <c r="Y10" s="136"/>
      <c r="Z10" s="136"/>
      <c r="AA10" s="136"/>
      <c r="AB10" s="136"/>
      <c r="AC10" s="136"/>
    </row>
    <row r="11" spans="1:29" ht="79.5" thickBot="1" x14ac:dyDescent="0.3">
      <c r="B11" s="120"/>
      <c r="C11" s="3" t="s">
        <v>33</v>
      </c>
      <c r="D11" s="4" t="s">
        <v>34</v>
      </c>
      <c r="E11" s="4" t="s">
        <v>35</v>
      </c>
      <c r="F11" s="4" t="s">
        <v>36</v>
      </c>
      <c r="G11" s="159"/>
      <c r="H11" s="159"/>
      <c r="I11" s="159"/>
      <c r="J11" s="159"/>
      <c r="K11" s="158"/>
      <c r="L11" s="162"/>
      <c r="M11" s="133"/>
      <c r="N11" s="133"/>
      <c r="O11" s="5" t="s">
        <v>37</v>
      </c>
      <c r="P11" s="6" t="s">
        <v>38</v>
      </c>
      <c r="Q11" s="7" t="s">
        <v>39</v>
      </c>
      <c r="R11" s="7" t="s">
        <v>40</v>
      </c>
      <c r="S11" s="7" t="s">
        <v>41</v>
      </c>
      <c r="T11" s="7" t="s">
        <v>42</v>
      </c>
      <c r="U11" s="7" t="s">
        <v>43</v>
      </c>
      <c r="V11" s="7" t="s">
        <v>44</v>
      </c>
      <c r="W11" s="7" t="s">
        <v>45</v>
      </c>
      <c r="X11" s="7" t="s">
        <v>46</v>
      </c>
      <c r="Y11" s="7" t="s">
        <v>47</v>
      </c>
      <c r="Z11" s="7" t="s">
        <v>48</v>
      </c>
      <c r="AA11" s="8" t="s">
        <v>49</v>
      </c>
      <c r="AB11" s="9" t="s">
        <v>50</v>
      </c>
      <c r="AC11" s="10" t="s">
        <v>51</v>
      </c>
    </row>
    <row r="12" spans="1:29" ht="15.75" x14ac:dyDescent="0.25">
      <c r="A12" s="11"/>
      <c r="B12" s="12">
        <v>1</v>
      </c>
      <c r="C12" s="13" t="s">
        <v>107</v>
      </c>
      <c r="D12" s="13" t="s">
        <v>117</v>
      </c>
      <c r="E12" s="13"/>
      <c r="F12" s="12"/>
      <c r="G12" s="14" t="s">
        <v>138</v>
      </c>
      <c r="H12" s="14" t="s">
        <v>113</v>
      </c>
      <c r="I12" s="15">
        <v>31029</v>
      </c>
      <c r="J12" s="16">
        <v>41</v>
      </c>
      <c r="K12" s="17" t="s">
        <v>56</v>
      </c>
      <c r="L12" s="17" t="s">
        <v>140</v>
      </c>
      <c r="M12" s="18" t="s">
        <v>53</v>
      </c>
      <c r="N12" s="19"/>
      <c r="O12" s="20"/>
      <c r="P12" s="20" t="s">
        <v>53</v>
      </c>
      <c r="Q12" s="14" t="s">
        <v>53</v>
      </c>
      <c r="R12" s="12" t="s">
        <v>53</v>
      </c>
      <c r="S12" s="12" t="s">
        <v>53</v>
      </c>
      <c r="T12" s="14" t="str">
        <f t="shared" ref="T12:T25" si="0">IF(J12&gt;59,"/","")</f>
        <v/>
      </c>
      <c r="U12" s="12"/>
      <c r="V12" s="12"/>
      <c r="W12" s="12"/>
      <c r="X12" s="12"/>
      <c r="Y12" s="12"/>
      <c r="Z12" s="12"/>
      <c r="AA12" s="12"/>
      <c r="AB12" s="12"/>
      <c r="AC12" s="21" t="s">
        <v>114</v>
      </c>
    </row>
    <row r="13" spans="1:29" ht="15.75" x14ac:dyDescent="0.25">
      <c r="B13" s="12">
        <v>2</v>
      </c>
      <c r="C13" s="13" t="s">
        <v>118</v>
      </c>
      <c r="D13" s="13" t="s">
        <v>119</v>
      </c>
      <c r="E13" s="13" t="s">
        <v>120</v>
      </c>
      <c r="F13" s="12"/>
      <c r="G13" s="14" t="s">
        <v>138</v>
      </c>
      <c r="H13" s="14" t="s">
        <v>113</v>
      </c>
      <c r="I13" s="22">
        <v>30326</v>
      </c>
      <c r="J13" s="16">
        <v>43</v>
      </c>
      <c r="K13" s="17" t="s">
        <v>52</v>
      </c>
      <c r="L13" s="17" t="s">
        <v>141</v>
      </c>
      <c r="M13" s="23" t="s">
        <v>53</v>
      </c>
      <c r="N13" s="24"/>
      <c r="O13" s="20"/>
      <c r="P13" s="20" t="s">
        <v>53</v>
      </c>
      <c r="Q13" s="14"/>
      <c r="R13" s="12"/>
      <c r="S13" s="12" t="s">
        <v>53</v>
      </c>
      <c r="T13" s="14" t="str">
        <f t="shared" si="0"/>
        <v/>
      </c>
      <c r="U13" s="12"/>
      <c r="V13" s="12"/>
      <c r="W13" s="12"/>
      <c r="X13" s="12"/>
      <c r="Y13" s="12"/>
      <c r="Z13" s="12"/>
      <c r="AA13" s="12"/>
      <c r="AB13" s="12"/>
      <c r="AC13" s="21" t="s">
        <v>54</v>
      </c>
    </row>
    <row r="14" spans="1:29" ht="15.75" x14ac:dyDescent="0.25">
      <c r="B14" s="12">
        <v>3</v>
      </c>
      <c r="C14" s="13" t="s">
        <v>121</v>
      </c>
      <c r="D14" s="13" t="s">
        <v>122</v>
      </c>
      <c r="E14" s="13" t="s">
        <v>123</v>
      </c>
      <c r="F14" s="12"/>
      <c r="G14" s="14" t="s">
        <v>138</v>
      </c>
      <c r="H14" s="14" t="s">
        <v>113</v>
      </c>
      <c r="I14" s="22">
        <v>21961</v>
      </c>
      <c r="J14" s="16">
        <v>66</v>
      </c>
      <c r="K14" s="17" t="s">
        <v>56</v>
      </c>
      <c r="L14" s="17" t="s">
        <v>142</v>
      </c>
      <c r="M14" s="23" t="s">
        <v>53</v>
      </c>
      <c r="N14" s="24"/>
      <c r="O14" s="20"/>
      <c r="P14" s="20" t="s">
        <v>53</v>
      </c>
      <c r="Q14" s="14" t="s">
        <v>53</v>
      </c>
      <c r="R14" s="12"/>
      <c r="S14" s="12" t="s">
        <v>53</v>
      </c>
      <c r="T14" s="14" t="str">
        <f t="shared" si="0"/>
        <v>/</v>
      </c>
      <c r="U14" s="12"/>
      <c r="V14" s="12"/>
      <c r="W14" s="12"/>
      <c r="X14" s="12"/>
      <c r="Y14" s="12"/>
      <c r="Z14" s="12"/>
      <c r="AA14" s="12"/>
      <c r="AB14" s="12"/>
      <c r="AC14" s="21" t="s">
        <v>114</v>
      </c>
    </row>
    <row r="15" spans="1:29" ht="15.75" x14ac:dyDescent="0.25">
      <c r="B15" s="12">
        <v>4</v>
      </c>
      <c r="C15" s="13" t="s">
        <v>124</v>
      </c>
      <c r="D15" s="13" t="s">
        <v>125</v>
      </c>
      <c r="E15" s="13" t="s">
        <v>126</v>
      </c>
      <c r="F15" s="12"/>
      <c r="G15" s="14" t="s">
        <v>138</v>
      </c>
      <c r="H15" s="14" t="s">
        <v>113</v>
      </c>
      <c r="I15" s="22">
        <v>38267</v>
      </c>
      <c r="J15" s="16">
        <v>21</v>
      </c>
      <c r="K15" s="17" t="s">
        <v>56</v>
      </c>
      <c r="L15" s="17" t="s">
        <v>140</v>
      </c>
      <c r="M15" s="23" t="s">
        <v>53</v>
      </c>
      <c r="N15" s="24"/>
      <c r="O15" s="20"/>
      <c r="P15" s="20" t="s">
        <v>53</v>
      </c>
      <c r="Q15" s="14"/>
      <c r="R15" s="12"/>
      <c r="S15" s="12" t="s">
        <v>53</v>
      </c>
      <c r="T15" s="14" t="str">
        <f t="shared" si="0"/>
        <v/>
      </c>
      <c r="U15" s="12"/>
      <c r="V15" s="12"/>
      <c r="W15" s="12"/>
      <c r="X15" s="12"/>
      <c r="Y15" s="12"/>
      <c r="Z15" s="12"/>
      <c r="AA15" s="12"/>
      <c r="AB15" s="12"/>
      <c r="AC15" s="21" t="s">
        <v>114</v>
      </c>
    </row>
    <row r="16" spans="1:29" s="41" customFormat="1" ht="15.75" x14ac:dyDescent="0.25">
      <c r="B16" s="12"/>
      <c r="C16" s="13" t="s">
        <v>127</v>
      </c>
      <c r="D16" s="13" t="s">
        <v>128</v>
      </c>
      <c r="E16" s="13" t="s">
        <v>129</v>
      </c>
      <c r="F16" s="12"/>
      <c r="G16" s="14" t="s">
        <v>55</v>
      </c>
      <c r="H16" s="14" t="s">
        <v>113</v>
      </c>
      <c r="I16" s="22">
        <v>23712</v>
      </c>
      <c r="J16" s="25">
        <v>61</v>
      </c>
      <c r="K16" s="17" t="s">
        <v>56</v>
      </c>
      <c r="L16" s="17" t="s">
        <v>140</v>
      </c>
      <c r="M16" s="23" t="s">
        <v>53</v>
      </c>
      <c r="N16" s="24"/>
      <c r="O16" s="20"/>
      <c r="P16" s="20" t="s">
        <v>53</v>
      </c>
      <c r="Q16" s="14" t="s">
        <v>53</v>
      </c>
      <c r="R16" s="12"/>
      <c r="S16" s="12" t="s">
        <v>53</v>
      </c>
      <c r="T16" s="14" t="str">
        <f t="shared" si="0"/>
        <v>/</v>
      </c>
      <c r="U16" s="12"/>
      <c r="V16" s="12"/>
      <c r="W16" s="12" t="s">
        <v>53</v>
      </c>
      <c r="X16" s="12"/>
      <c r="Y16" s="12"/>
      <c r="Z16" s="12"/>
      <c r="AA16" s="12"/>
      <c r="AB16" s="12"/>
      <c r="AC16" s="21" t="s">
        <v>114</v>
      </c>
    </row>
    <row r="17" spans="2:30" s="41" customFormat="1" ht="15.75" x14ac:dyDescent="0.25">
      <c r="B17" s="12"/>
      <c r="C17" s="13" t="s">
        <v>110</v>
      </c>
      <c r="D17" s="13" t="s">
        <v>111</v>
      </c>
      <c r="E17" s="13" t="s">
        <v>112</v>
      </c>
      <c r="F17" s="12"/>
      <c r="G17" s="14" t="s">
        <v>116</v>
      </c>
      <c r="H17" s="14" t="s">
        <v>113</v>
      </c>
      <c r="I17" s="22">
        <v>30261</v>
      </c>
      <c r="J17" s="25">
        <v>43</v>
      </c>
      <c r="K17" s="17" t="s">
        <v>52</v>
      </c>
      <c r="L17" s="17" t="s">
        <v>140</v>
      </c>
      <c r="M17" s="23"/>
      <c r="N17" s="24" t="s">
        <v>53</v>
      </c>
      <c r="O17" s="20"/>
      <c r="P17" s="20" t="s">
        <v>53</v>
      </c>
      <c r="Q17" s="14"/>
      <c r="R17" s="12"/>
      <c r="S17" s="12" t="s">
        <v>53</v>
      </c>
      <c r="T17" s="14" t="str">
        <f t="shared" si="0"/>
        <v/>
      </c>
      <c r="U17" s="12"/>
      <c r="V17" s="12"/>
      <c r="W17" s="12"/>
      <c r="X17" s="12"/>
      <c r="Y17" s="12"/>
      <c r="Z17" s="12"/>
      <c r="AA17" s="12"/>
      <c r="AB17" s="12"/>
      <c r="AC17" s="21" t="s">
        <v>114</v>
      </c>
    </row>
    <row r="18" spans="2:30" s="41" customFormat="1" ht="15.75" x14ac:dyDescent="0.25">
      <c r="B18" s="12"/>
      <c r="C18" s="13" t="s">
        <v>108</v>
      </c>
      <c r="D18" s="13" t="s">
        <v>109</v>
      </c>
      <c r="E18" s="13" t="s">
        <v>105</v>
      </c>
      <c r="F18" s="12"/>
      <c r="G18" s="14" t="s">
        <v>138</v>
      </c>
      <c r="H18" s="14" t="s">
        <v>113</v>
      </c>
      <c r="I18" s="22">
        <v>38267</v>
      </c>
      <c r="J18" s="25">
        <v>21</v>
      </c>
      <c r="K18" s="17" t="s">
        <v>56</v>
      </c>
      <c r="L18" s="17" t="s">
        <v>140</v>
      </c>
      <c r="M18" s="23"/>
      <c r="N18" s="24" t="s">
        <v>53</v>
      </c>
      <c r="O18" s="20"/>
      <c r="P18" s="20" t="s">
        <v>53</v>
      </c>
      <c r="Q18" s="14"/>
      <c r="R18" s="12" t="s">
        <v>53</v>
      </c>
      <c r="S18" s="12" t="s">
        <v>53</v>
      </c>
      <c r="T18" s="14" t="str">
        <f t="shared" ref="T18" si="1">IF(J18&gt;59,"/","")</f>
        <v/>
      </c>
      <c r="U18" s="12"/>
      <c r="V18" s="12"/>
      <c r="W18" s="12"/>
      <c r="X18" s="12"/>
      <c r="Y18" s="12"/>
      <c r="Z18" s="12"/>
      <c r="AA18" s="12"/>
      <c r="AB18" s="12"/>
      <c r="AC18" s="21" t="s">
        <v>54</v>
      </c>
    </row>
    <row r="19" spans="2:30" s="41" customFormat="1" ht="15.75" x14ac:dyDescent="0.25">
      <c r="B19" s="12"/>
      <c r="C19" s="13" t="s">
        <v>105</v>
      </c>
      <c r="D19" s="13" t="s">
        <v>106</v>
      </c>
      <c r="E19" s="13" t="s">
        <v>107</v>
      </c>
      <c r="F19" s="12"/>
      <c r="G19" s="14" t="s">
        <v>55</v>
      </c>
      <c r="H19" s="14" t="s">
        <v>113</v>
      </c>
      <c r="I19" s="22">
        <v>24061</v>
      </c>
      <c r="J19" s="25">
        <v>60</v>
      </c>
      <c r="K19" s="17" t="s">
        <v>56</v>
      </c>
      <c r="L19" s="17" t="s">
        <v>141</v>
      </c>
      <c r="M19" s="23" t="s">
        <v>53</v>
      </c>
      <c r="N19" s="24"/>
      <c r="O19" s="20"/>
      <c r="P19" s="20" t="s">
        <v>53</v>
      </c>
      <c r="Q19" s="14" t="s">
        <v>53</v>
      </c>
      <c r="R19" s="12"/>
      <c r="S19" s="12" t="s">
        <v>53</v>
      </c>
      <c r="T19" s="14" t="str">
        <f t="shared" ref="T19:T20" si="2">IF(J19&gt;59,"/","")</f>
        <v>/</v>
      </c>
      <c r="U19" s="12"/>
      <c r="V19" s="12"/>
      <c r="W19" s="12"/>
      <c r="X19" s="12"/>
      <c r="Y19" s="12"/>
      <c r="Z19" s="12"/>
      <c r="AA19" s="12"/>
      <c r="AB19" s="12"/>
      <c r="AC19" s="21" t="s">
        <v>54</v>
      </c>
    </row>
    <row r="20" spans="2:30" s="41" customFormat="1" ht="15.75" x14ac:dyDescent="0.25">
      <c r="B20" s="12"/>
      <c r="C20" s="13" t="s">
        <v>10</v>
      </c>
      <c r="D20" s="13" t="s">
        <v>11</v>
      </c>
      <c r="E20" s="13" t="s">
        <v>12</v>
      </c>
      <c r="F20" s="12"/>
      <c r="G20" s="14" t="s">
        <v>115</v>
      </c>
      <c r="H20" s="14" t="s">
        <v>13</v>
      </c>
      <c r="I20" s="22">
        <v>25924</v>
      </c>
      <c r="J20" s="25">
        <v>55</v>
      </c>
      <c r="K20" s="17" t="s">
        <v>56</v>
      </c>
      <c r="L20" s="17" t="s">
        <v>141</v>
      </c>
      <c r="M20" s="23"/>
      <c r="N20" s="24" t="s">
        <v>53</v>
      </c>
      <c r="O20" s="20"/>
      <c r="P20" s="20" t="s">
        <v>53</v>
      </c>
      <c r="Q20" s="14"/>
      <c r="R20" s="12"/>
      <c r="S20" s="12"/>
      <c r="T20" s="14" t="str">
        <f t="shared" si="2"/>
        <v/>
      </c>
      <c r="U20" s="12"/>
      <c r="V20" s="12"/>
      <c r="W20" s="12"/>
      <c r="X20" s="12"/>
      <c r="Y20" s="12"/>
      <c r="Z20" s="12"/>
      <c r="AA20" s="12"/>
      <c r="AB20" s="12"/>
      <c r="AC20" s="21" t="s">
        <v>114</v>
      </c>
    </row>
    <row r="21" spans="2:30" s="41" customFormat="1" ht="15.75" x14ac:dyDescent="0.25">
      <c r="B21" s="12"/>
      <c r="C21" s="13" t="s">
        <v>130</v>
      </c>
      <c r="D21" s="13" t="s">
        <v>131</v>
      </c>
      <c r="E21" s="13" t="s">
        <v>132</v>
      </c>
      <c r="F21" s="12"/>
      <c r="G21" s="14" t="s">
        <v>138</v>
      </c>
      <c r="H21" s="14" t="s">
        <v>133</v>
      </c>
      <c r="I21" s="22">
        <v>34551</v>
      </c>
      <c r="J21" s="25">
        <v>31</v>
      </c>
      <c r="K21" s="17" t="s">
        <v>56</v>
      </c>
      <c r="L21" s="17" t="s">
        <v>141</v>
      </c>
      <c r="M21" s="23"/>
      <c r="N21" s="24" t="s">
        <v>53</v>
      </c>
      <c r="O21" s="20"/>
      <c r="P21" s="20"/>
      <c r="Q21" s="14"/>
      <c r="R21" s="12" t="s">
        <v>53</v>
      </c>
      <c r="S21" s="12"/>
      <c r="T21" s="14" t="str">
        <f t="shared" si="0"/>
        <v/>
      </c>
      <c r="U21" s="12"/>
      <c r="V21" s="12"/>
      <c r="W21" s="12"/>
      <c r="X21" s="12"/>
      <c r="Y21" s="12"/>
      <c r="Z21" s="12"/>
      <c r="AA21" s="12"/>
      <c r="AB21" s="12"/>
      <c r="AC21" s="21" t="s">
        <v>54</v>
      </c>
    </row>
    <row r="22" spans="2:30" s="41" customFormat="1" ht="15.75" x14ac:dyDescent="0.25">
      <c r="B22" s="12"/>
      <c r="C22" s="13" t="s">
        <v>134</v>
      </c>
      <c r="D22" s="13" t="s">
        <v>135</v>
      </c>
      <c r="E22" s="13" t="s">
        <v>136</v>
      </c>
      <c r="F22" s="12"/>
      <c r="G22" s="14" t="s">
        <v>139</v>
      </c>
      <c r="H22" s="14" t="s">
        <v>137</v>
      </c>
      <c r="I22" s="22">
        <v>32756</v>
      </c>
      <c r="J22" s="25">
        <v>36</v>
      </c>
      <c r="K22" s="17" t="s">
        <v>56</v>
      </c>
      <c r="L22" s="17" t="s">
        <v>141</v>
      </c>
      <c r="M22" s="23"/>
      <c r="N22" s="24" t="s">
        <v>53</v>
      </c>
      <c r="O22" s="20"/>
      <c r="P22" s="20" t="s">
        <v>53</v>
      </c>
      <c r="Q22" s="14"/>
      <c r="R22" s="12"/>
      <c r="S22" s="12"/>
      <c r="T22" s="14" t="str">
        <f t="shared" ref="T22" si="3">IF(J22&gt;59,"/","")</f>
        <v/>
      </c>
      <c r="U22" s="12"/>
      <c r="V22" s="12"/>
      <c r="W22" s="12"/>
      <c r="X22" s="12"/>
      <c r="Y22" s="12"/>
      <c r="Z22" s="12"/>
      <c r="AA22" s="12"/>
      <c r="AB22" s="12"/>
      <c r="AC22" s="21" t="s">
        <v>114</v>
      </c>
    </row>
    <row r="23" spans="2:30" ht="15.75" x14ac:dyDescent="0.25">
      <c r="B23" s="12"/>
      <c r="C23" s="13"/>
      <c r="D23" s="13"/>
      <c r="E23" s="13"/>
      <c r="F23" s="12"/>
      <c r="G23" s="14"/>
      <c r="H23" s="14"/>
      <c r="I23" s="22"/>
      <c r="J23" s="25"/>
      <c r="K23" s="17"/>
      <c r="L23" s="17"/>
      <c r="M23" s="23"/>
      <c r="N23" s="24"/>
      <c r="O23" s="20"/>
      <c r="P23" s="20"/>
      <c r="Q23" s="14"/>
      <c r="R23" s="12"/>
      <c r="S23" s="12"/>
      <c r="T23" s="14" t="str">
        <f t="shared" si="0"/>
        <v/>
      </c>
      <c r="U23" s="12"/>
      <c r="V23" s="12"/>
      <c r="W23" s="12"/>
      <c r="X23" s="12"/>
      <c r="Y23" s="12"/>
      <c r="Z23" s="12"/>
      <c r="AA23" s="12"/>
      <c r="AB23" s="12"/>
      <c r="AC23" s="21"/>
    </row>
    <row r="24" spans="2:30" ht="15.75" customHeight="1" x14ac:dyDescent="0.25">
      <c r="B24" s="12"/>
      <c r="C24" s="26"/>
      <c r="D24" s="26"/>
      <c r="E24" s="26"/>
      <c r="F24" s="26"/>
      <c r="G24" s="14"/>
      <c r="H24" s="27"/>
      <c r="I24" s="28"/>
      <c r="J24" s="29"/>
      <c r="K24" s="29"/>
      <c r="L24" s="30"/>
      <c r="M24" s="31"/>
      <c r="N24" s="32"/>
      <c r="O24" s="12"/>
      <c r="P24" s="12"/>
      <c r="Q24" s="12"/>
      <c r="R24" s="12"/>
      <c r="S24" s="12"/>
      <c r="T24" s="14" t="str">
        <f t="shared" si="0"/>
        <v/>
      </c>
      <c r="U24" s="12"/>
      <c r="V24" s="12"/>
      <c r="W24" s="12"/>
      <c r="X24" s="12"/>
      <c r="Y24" s="12"/>
      <c r="Z24" s="12"/>
      <c r="AA24" s="12"/>
      <c r="AB24" s="12"/>
      <c r="AC24" s="33"/>
    </row>
    <row r="25" spans="2:30" ht="15.75" customHeight="1" thickBot="1" x14ac:dyDescent="0.3">
      <c r="B25" s="34"/>
      <c r="C25" s="11"/>
      <c r="D25" s="35"/>
      <c r="E25" s="35"/>
      <c r="F25" s="35"/>
      <c r="G25" s="36"/>
      <c r="H25" s="36"/>
      <c r="I25" s="37"/>
      <c r="J25" s="36"/>
      <c r="K25" s="36"/>
      <c r="L25" s="36"/>
      <c r="M25" s="36"/>
      <c r="N25" s="36"/>
      <c r="O25" s="36"/>
      <c r="P25" s="36"/>
      <c r="Q25" s="36"/>
      <c r="R25" s="36"/>
      <c r="S25" s="36"/>
      <c r="T25" s="38" t="str">
        <f t="shared" si="0"/>
        <v/>
      </c>
      <c r="U25" s="36"/>
      <c r="V25" s="36"/>
      <c r="W25" s="36"/>
      <c r="X25" s="36"/>
      <c r="Y25" s="36"/>
      <c r="Z25" s="39"/>
      <c r="AA25" s="39"/>
      <c r="AB25" s="39"/>
      <c r="AC25" s="36"/>
    </row>
    <row r="26" spans="2:30" ht="15.75" customHeight="1" thickBot="1" x14ac:dyDescent="0.3">
      <c r="B26" s="137" t="s">
        <v>57</v>
      </c>
      <c r="C26" s="136"/>
      <c r="D26" s="136"/>
      <c r="E26" s="136"/>
      <c r="F26" s="136"/>
      <c r="G26" s="126"/>
      <c r="H26" s="138" t="s">
        <v>58</v>
      </c>
      <c r="I26" s="107"/>
      <c r="J26" s="107"/>
      <c r="K26" s="107"/>
      <c r="L26" s="139"/>
      <c r="M26" s="140" t="s">
        <v>59</v>
      </c>
      <c r="N26" s="107"/>
      <c r="O26" s="107"/>
      <c r="P26" s="107"/>
      <c r="Q26" s="107"/>
      <c r="R26" s="107"/>
      <c r="S26" s="107"/>
      <c r="T26" s="107"/>
      <c r="U26" s="107"/>
      <c r="V26" s="107"/>
      <c r="W26" s="107"/>
      <c r="X26" s="107"/>
      <c r="Y26" s="107"/>
      <c r="Z26" s="107"/>
      <c r="AA26" s="107"/>
      <c r="AB26" s="107"/>
      <c r="AC26" s="107"/>
      <c r="AD26" s="40"/>
    </row>
    <row r="27" spans="2:30" ht="15.75" customHeight="1" thickBot="1" x14ac:dyDescent="0.3">
      <c r="B27" s="142" t="s">
        <v>60</v>
      </c>
      <c r="C27" s="143"/>
      <c r="D27" s="144"/>
      <c r="E27" s="145" t="s">
        <v>61</v>
      </c>
      <c r="F27" s="146" t="s">
        <v>62</v>
      </c>
      <c r="G27" s="126"/>
      <c r="H27" s="147" t="s">
        <v>60</v>
      </c>
      <c r="I27" s="148"/>
      <c r="J27" s="123" t="s">
        <v>61</v>
      </c>
      <c r="K27" s="125" t="s">
        <v>62</v>
      </c>
      <c r="L27" s="126"/>
      <c r="M27" s="141"/>
      <c r="N27" s="101"/>
      <c r="O27" s="101"/>
      <c r="P27" s="101"/>
      <c r="Q27" s="101"/>
      <c r="R27" s="101"/>
      <c r="S27" s="101"/>
      <c r="T27" s="101"/>
      <c r="U27" s="101"/>
      <c r="V27" s="101"/>
      <c r="W27" s="101"/>
      <c r="X27" s="101"/>
      <c r="Y27" s="101"/>
      <c r="Z27" s="101"/>
      <c r="AA27" s="101"/>
      <c r="AB27" s="101"/>
      <c r="AC27" s="107"/>
      <c r="AD27" s="40"/>
    </row>
    <row r="28" spans="2:30" ht="15.75" customHeight="1" thickBot="1" x14ac:dyDescent="0.3">
      <c r="B28" s="141"/>
      <c r="C28" s="107"/>
      <c r="D28" s="139"/>
      <c r="E28" s="141"/>
      <c r="F28" s="42" t="s">
        <v>63</v>
      </c>
      <c r="G28" s="43" t="s">
        <v>64</v>
      </c>
      <c r="H28" s="107"/>
      <c r="I28" s="149"/>
      <c r="J28" s="124"/>
      <c r="K28" s="44" t="s">
        <v>63</v>
      </c>
      <c r="L28" s="45" t="s">
        <v>64</v>
      </c>
      <c r="M28" s="141"/>
      <c r="N28" s="101"/>
      <c r="O28" s="101"/>
      <c r="P28" s="101"/>
      <c r="Q28" s="101"/>
      <c r="R28" s="101"/>
      <c r="S28" s="101"/>
      <c r="T28" s="101"/>
      <c r="U28" s="101"/>
      <c r="V28" s="101"/>
      <c r="W28" s="101"/>
      <c r="X28" s="101"/>
      <c r="Y28" s="101"/>
      <c r="Z28" s="101"/>
      <c r="AA28" s="101"/>
      <c r="AB28" s="101"/>
      <c r="AC28" s="107"/>
      <c r="AD28" s="40"/>
    </row>
    <row r="29" spans="2:30" ht="18.75" customHeight="1" x14ac:dyDescent="0.25">
      <c r="B29" s="118" t="s">
        <v>65</v>
      </c>
      <c r="C29" s="127" t="s">
        <v>30</v>
      </c>
      <c r="D29" s="122"/>
      <c r="E29" s="46">
        <f>SUM(F29:G29)</f>
        <v>6</v>
      </c>
      <c r="F29" s="47">
        <f>COUNTIFS($K$12:$K$24,$F$28,$M$12:$M$24,"/")</f>
        <v>5</v>
      </c>
      <c r="G29" s="48">
        <f>COUNTIFS($K$12:$K$24,$G$28,$M$12:$M$24,"/")</f>
        <v>1</v>
      </c>
      <c r="H29" s="128" t="s">
        <v>66</v>
      </c>
      <c r="I29" s="122"/>
      <c r="J29" s="49" t="str">
        <f t="shared" ref="J29:J39" si="4">IF(SUM(K29:L29)=0,"0",SUM(K29:L29))</f>
        <v>0</v>
      </c>
      <c r="K29" s="50">
        <f>COUNTIFS($K$12:$K26,"MALE",$W$12:$W26,"A")</f>
        <v>0</v>
      </c>
      <c r="L29" s="51">
        <f>COUNTIFS($K$12:$K26,"FEMALE",$W$12:$W26,"A")</f>
        <v>0</v>
      </c>
      <c r="M29" s="141"/>
      <c r="N29" s="101"/>
      <c r="O29" s="101"/>
      <c r="P29" s="101"/>
      <c r="Q29" s="101"/>
      <c r="R29" s="101"/>
      <c r="S29" s="101"/>
      <c r="T29" s="101"/>
      <c r="U29" s="101"/>
      <c r="V29" s="101"/>
      <c r="W29" s="101"/>
      <c r="X29" s="101"/>
      <c r="Y29" s="101"/>
      <c r="Z29" s="101"/>
      <c r="AA29" s="101"/>
      <c r="AB29" s="101"/>
      <c r="AC29" s="107"/>
      <c r="AD29" s="40"/>
    </row>
    <row r="30" spans="2:30" ht="18.75" customHeight="1" x14ac:dyDescent="0.25">
      <c r="B30" s="119"/>
      <c r="C30" s="129" t="s">
        <v>31</v>
      </c>
      <c r="D30" s="98"/>
      <c r="E30" s="52">
        <f>SUM(F30:G30)</f>
        <v>5</v>
      </c>
      <c r="F30" s="53">
        <f>COUNTIFS($K$12:$K$24,$F$28,$N$12:$N$24,"/")</f>
        <v>4</v>
      </c>
      <c r="G30" s="54">
        <f>COUNTIFS($K$12:$K$24,$G$28,$N$12:$N$24,"/")</f>
        <v>1</v>
      </c>
      <c r="H30" s="110" t="s">
        <v>67</v>
      </c>
      <c r="I30" s="98"/>
      <c r="J30" s="55" t="str">
        <f t="shared" si="4"/>
        <v>0</v>
      </c>
      <c r="K30" s="56">
        <f>COUNTIFS($K$12:$K26,"MALE",$W$12:$W26,"B")</f>
        <v>0</v>
      </c>
      <c r="L30" s="57">
        <f>COUNTIFS($K$12:$K26,"FEMALE",$W$12:$W26,"B")</f>
        <v>0</v>
      </c>
      <c r="M30" s="141"/>
      <c r="N30" s="101"/>
      <c r="O30" s="101"/>
      <c r="P30" s="101"/>
      <c r="Q30" s="101"/>
      <c r="R30" s="101"/>
      <c r="S30" s="101"/>
      <c r="T30" s="101"/>
      <c r="U30" s="101"/>
      <c r="V30" s="101"/>
      <c r="W30" s="101"/>
      <c r="X30" s="101"/>
      <c r="Y30" s="101"/>
      <c r="Z30" s="101"/>
      <c r="AA30" s="101"/>
      <c r="AB30" s="101"/>
      <c r="AC30" s="107"/>
      <c r="AD30" s="40"/>
    </row>
    <row r="31" spans="2:30" ht="15.75" customHeight="1" thickBot="1" x14ac:dyDescent="0.3">
      <c r="B31" s="119"/>
      <c r="C31" s="130" t="s">
        <v>61</v>
      </c>
      <c r="D31" s="131"/>
      <c r="E31" s="58">
        <f>IF(SUM(E29:E30)=SUM(F31:G31),SUM(E29:E30),"Something's Wrong")</f>
        <v>11</v>
      </c>
      <c r="F31" s="59">
        <f>SUM(F29:F30)</f>
        <v>9</v>
      </c>
      <c r="G31" s="60">
        <f>SUM(G29:G30)</f>
        <v>2</v>
      </c>
      <c r="H31" s="110" t="s">
        <v>68</v>
      </c>
      <c r="I31" s="98"/>
      <c r="J31" s="55" t="str">
        <f t="shared" si="4"/>
        <v>0</v>
      </c>
      <c r="K31" s="56">
        <f>COUNTIFS($K$12:$K26,"MALE",$W$12:$W26,"C")</f>
        <v>0</v>
      </c>
      <c r="L31" s="57">
        <f>COUNTIFS($K$12:$K26,"FEMALE",$W$12:$W26,"C")</f>
        <v>0</v>
      </c>
      <c r="M31" s="141"/>
      <c r="N31" s="101"/>
      <c r="O31" s="101"/>
      <c r="P31" s="101"/>
      <c r="Q31" s="101"/>
      <c r="R31" s="101"/>
      <c r="S31" s="101"/>
      <c r="T31" s="101"/>
      <c r="U31" s="101"/>
      <c r="V31" s="101"/>
      <c r="W31" s="101"/>
      <c r="X31" s="101"/>
      <c r="Y31" s="101"/>
      <c r="Z31" s="101"/>
      <c r="AA31" s="101"/>
      <c r="AB31" s="101"/>
      <c r="AC31" s="107"/>
      <c r="AD31" s="40"/>
    </row>
    <row r="32" spans="2:30" ht="15.75" customHeight="1" x14ac:dyDescent="0.25">
      <c r="B32" s="118" t="s">
        <v>69</v>
      </c>
      <c r="C32" s="121" t="s">
        <v>37</v>
      </c>
      <c r="D32" s="122"/>
      <c r="E32" s="46" t="str">
        <f t="shared" ref="E32:E44" si="5">IF(SUM(F32:G32)=0,"0",SUM(F32:G32))</f>
        <v>0</v>
      </c>
      <c r="F32" s="61">
        <f>COUNTIFS($K$12:$K$24,$F$28,$O$12:$O$24,"/")</f>
        <v>0</v>
      </c>
      <c r="G32" s="62">
        <f>COUNTIFS($K$12:$K$24,$G$28,$O$12:$O$24,"/")</f>
        <v>0</v>
      </c>
      <c r="H32" s="110" t="s">
        <v>70</v>
      </c>
      <c r="I32" s="98"/>
      <c r="J32" s="55" t="str">
        <f t="shared" si="4"/>
        <v>0</v>
      </c>
      <c r="K32" s="56">
        <f>COUNTIFS($K$12:$K26,"MALE",$W$12:$W26,"D")</f>
        <v>0</v>
      </c>
      <c r="L32" s="57">
        <f>COUNTIFS($K$12:$K26,"FEMALE",$W$12:$W26,"D")</f>
        <v>0</v>
      </c>
      <c r="M32" s="141"/>
      <c r="N32" s="101"/>
      <c r="O32" s="101"/>
      <c r="P32" s="101"/>
      <c r="Q32" s="101"/>
      <c r="R32" s="101"/>
      <c r="S32" s="101"/>
      <c r="T32" s="101"/>
      <c r="U32" s="101"/>
      <c r="V32" s="101"/>
      <c r="W32" s="101"/>
      <c r="X32" s="101"/>
      <c r="Y32" s="101"/>
      <c r="Z32" s="101"/>
      <c r="AA32" s="101"/>
      <c r="AB32" s="101"/>
      <c r="AC32" s="107"/>
      <c r="AD32" s="40"/>
    </row>
    <row r="33" spans="2:30" ht="15.75" customHeight="1" x14ac:dyDescent="0.25">
      <c r="B33" s="119"/>
      <c r="C33" s="97" t="s">
        <v>71</v>
      </c>
      <c r="D33" s="98"/>
      <c r="E33" s="52">
        <f t="shared" si="5"/>
        <v>10</v>
      </c>
      <c r="F33" s="53">
        <f>COUNTIFS($K$12:$K$24,$F$28,$P$12:$P$24,"/")</f>
        <v>8</v>
      </c>
      <c r="G33" s="54">
        <f>COUNTIFS($K$12:$K$24,$G$28,$P$12:$P$24,"/")</f>
        <v>2</v>
      </c>
      <c r="H33" s="110" t="s">
        <v>72</v>
      </c>
      <c r="I33" s="98"/>
      <c r="J33" s="55" t="str">
        <f t="shared" si="4"/>
        <v>0</v>
      </c>
      <c r="K33" s="56">
        <f>COUNTIFS($K$12:$K26,"MALE",$W$12:$W26,"E")</f>
        <v>0</v>
      </c>
      <c r="L33" s="57">
        <f>COUNTIFS($K$12:$K26,"FEMALE",$W$12:$W26,"E")</f>
        <v>0</v>
      </c>
      <c r="M33" s="141"/>
      <c r="N33" s="101"/>
      <c r="O33" s="101"/>
      <c r="P33" s="101"/>
      <c r="Q33" s="101"/>
      <c r="R33" s="101"/>
      <c r="S33" s="101"/>
      <c r="T33" s="101"/>
      <c r="U33" s="101"/>
      <c r="V33" s="101"/>
      <c r="W33" s="101"/>
      <c r="X33" s="101"/>
      <c r="Y33" s="101"/>
      <c r="Z33" s="101"/>
      <c r="AA33" s="101"/>
      <c r="AB33" s="101"/>
      <c r="AC33" s="107"/>
      <c r="AD33" s="40"/>
    </row>
    <row r="34" spans="2:30" ht="15.75" customHeight="1" x14ac:dyDescent="0.25">
      <c r="B34" s="119"/>
      <c r="C34" s="97" t="s">
        <v>73</v>
      </c>
      <c r="D34" s="98"/>
      <c r="E34" s="52">
        <f t="shared" si="5"/>
        <v>4</v>
      </c>
      <c r="F34" s="53">
        <f>COUNTIFS($K$12:$K$24,$F$28,$Q$12:$Q$24,"/")</f>
        <v>4</v>
      </c>
      <c r="G34" s="54">
        <f>COUNTIFS($K$12:$K$24,$G$28,$Q$12:$Q$24,"/")</f>
        <v>0</v>
      </c>
      <c r="H34" s="110" t="s">
        <v>74</v>
      </c>
      <c r="I34" s="98"/>
      <c r="J34" s="55" t="str">
        <f t="shared" si="4"/>
        <v>0</v>
      </c>
      <c r="K34" s="56">
        <f>COUNTIFS($K$12:$K26,"MALE",$W$12:$W26,"F")</f>
        <v>0</v>
      </c>
      <c r="L34" s="57">
        <f>COUNTIFS($K$12:$K26,"FEMALE",$W$12:$W26,"F")</f>
        <v>0</v>
      </c>
      <c r="M34" s="141"/>
      <c r="N34" s="101"/>
      <c r="O34" s="101"/>
      <c r="P34" s="101"/>
      <c r="Q34" s="101"/>
      <c r="R34" s="101"/>
      <c r="S34" s="101"/>
      <c r="T34" s="101"/>
      <c r="U34" s="101"/>
      <c r="V34" s="101"/>
      <c r="W34" s="101"/>
      <c r="X34" s="101"/>
      <c r="Y34" s="101"/>
      <c r="Z34" s="101"/>
      <c r="AA34" s="101"/>
      <c r="AB34" s="101"/>
      <c r="AC34" s="107"/>
      <c r="AD34" s="40"/>
    </row>
    <row r="35" spans="2:30" ht="15.75" customHeight="1" x14ac:dyDescent="0.25">
      <c r="B35" s="119"/>
      <c r="C35" s="97" t="s">
        <v>40</v>
      </c>
      <c r="D35" s="98"/>
      <c r="E35" s="52">
        <f t="shared" si="5"/>
        <v>3</v>
      </c>
      <c r="F35" s="53">
        <f>COUNTIFS(K$12:K$1012,"MALE",R$12:R$1012,"/")</f>
        <v>3</v>
      </c>
      <c r="G35" s="54">
        <f>COUNTIFS(K$12:K$1012,"FEMALE",R$12:R$1012,"/")</f>
        <v>0</v>
      </c>
      <c r="H35" s="110" t="s">
        <v>75</v>
      </c>
      <c r="I35" s="98"/>
      <c r="J35" s="55" t="str">
        <f t="shared" si="4"/>
        <v>0</v>
      </c>
      <c r="K35" s="56">
        <f>COUNTIFS($K$12:$K26,"MALE",$W$12:$W26,"G")</f>
        <v>0</v>
      </c>
      <c r="L35" s="57">
        <f>COUNTIFS($K$12:$K26,"FEMALE",$W$12:$W26,"G")</f>
        <v>0</v>
      </c>
      <c r="M35" s="141"/>
      <c r="N35" s="101"/>
      <c r="O35" s="101"/>
      <c r="P35" s="101"/>
      <c r="Q35" s="101"/>
      <c r="R35" s="101"/>
      <c r="S35" s="101"/>
      <c r="T35" s="101"/>
      <c r="U35" s="101"/>
      <c r="V35" s="101"/>
      <c r="W35" s="101"/>
      <c r="X35" s="101"/>
      <c r="Y35" s="101"/>
      <c r="Z35" s="101"/>
      <c r="AA35" s="101"/>
      <c r="AB35" s="101"/>
      <c r="AC35" s="107"/>
      <c r="AD35" s="40"/>
    </row>
    <row r="36" spans="2:30" ht="15.75" customHeight="1" x14ac:dyDescent="0.25">
      <c r="B36" s="119"/>
      <c r="C36" s="97" t="s">
        <v>76</v>
      </c>
      <c r="D36" s="98"/>
      <c r="E36" s="52">
        <f t="shared" si="5"/>
        <v>8</v>
      </c>
      <c r="F36" s="53">
        <f>COUNTIFS(K$12:K$1012,"MALE",S$12:S$1012,"/")</f>
        <v>6</v>
      </c>
      <c r="G36" s="54">
        <f>COUNTIFS(K$12:K$1012,"FEMALE",S$12:S$1012,"/")</f>
        <v>2</v>
      </c>
      <c r="H36" s="110" t="s">
        <v>77</v>
      </c>
      <c r="I36" s="98"/>
      <c r="J36" s="55" t="str">
        <f t="shared" si="4"/>
        <v>0</v>
      </c>
      <c r="K36" s="56">
        <f>COUNTIFS($K$12:$K26,"MALE",$W$12:$W26,"H")</f>
        <v>0</v>
      </c>
      <c r="L36" s="57">
        <f>COUNTIFS($K$12:$K26,"FEMALE",$W$12:$W26,"H")</f>
        <v>0</v>
      </c>
      <c r="M36" s="141"/>
      <c r="N36" s="107"/>
      <c r="O36" s="107"/>
      <c r="P36" s="107"/>
      <c r="Q36" s="107"/>
      <c r="R36" s="107"/>
      <c r="S36" s="107"/>
      <c r="T36" s="107"/>
      <c r="U36" s="107"/>
      <c r="V36" s="107"/>
      <c r="W36" s="107"/>
      <c r="X36" s="107"/>
      <c r="Y36" s="107"/>
      <c r="Z36" s="107"/>
      <c r="AA36" s="107"/>
      <c r="AB36" s="107"/>
      <c r="AC36" s="107"/>
      <c r="AD36" s="40"/>
    </row>
    <row r="37" spans="2:30" ht="20.25" customHeight="1" x14ac:dyDescent="0.25">
      <c r="B37" s="119"/>
      <c r="C37" s="97" t="s">
        <v>78</v>
      </c>
      <c r="D37" s="98"/>
      <c r="E37" s="52">
        <f t="shared" si="5"/>
        <v>3</v>
      </c>
      <c r="F37" s="53">
        <f>COUNTIFS($K$12:$K$24,$F$28,$T$12:$T$24,"/")</f>
        <v>3</v>
      </c>
      <c r="G37" s="54">
        <f>COUNTIFS($K$12:$K$24,$G$28,$T$12:$T$24,"/")</f>
        <v>0</v>
      </c>
      <c r="H37" s="110" t="s">
        <v>79</v>
      </c>
      <c r="I37" s="98"/>
      <c r="J37" s="55" t="str">
        <f t="shared" si="4"/>
        <v>0</v>
      </c>
      <c r="K37" s="56">
        <f>COUNTIFS($K$12:$K26,"MALE",$W$12:$W26,"I")</f>
        <v>0</v>
      </c>
      <c r="L37" s="57">
        <f>COUNTIFS($K$12:$K26,"FEMALE",$W$12:$W26,"I")</f>
        <v>0</v>
      </c>
      <c r="M37" s="115" t="s">
        <v>80</v>
      </c>
      <c r="N37" s="107"/>
      <c r="O37" s="63"/>
      <c r="P37" s="63"/>
      <c r="Q37" s="63"/>
      <c r="R37" s="116" t="s">
        <v>81</v>
      </c>
      <c r="S37" s="107"/>
      <c r="T37" s="107"/>
      <c r="U37" s="64"/>
      <c r="V37" s="63"/>
      <c r="W37" s="64"/>
      <c r="X37" s="117" t="s">
        <v>82</v>
      </c>
      <c r="Y37" s="107"/>
      <c r="Z37" s="107"/>
      <c r="AA37" s="107"/>
      <c r="AB37" s="65"/>
      <c r="AC37" s="66"/>
      <c r="AD37" s="40"/>
    </row>
    <row r="38" spans="2:30" ht="20.25" customHeight="1" x14ac:dyDescent="0.3">
      <c r="B38" s="119"/>
      <c r="C38" s="97" t="s">
        <v>83</v>
      </c>
      <c r="D38" s="98"/>
      <c r="E38" s="52" t="str">
        <f t="shared" si="5"/>
        <v>0</v>
      </c>
      <c r="F38" s="53">
        <f>COUNTIFS($K$12:$K$24,$F$28,$U$12:$U$24,"/")</f>
        <v>0</v>
      </c>
      <c r="G38" s="54">
        <f>COUNTIFS($K$12:$K$24,$G$28,$U$12:$U$24,"/")</f>
        <v>0</v>
      </c>
      <c r="H38" s="110" t="s">
        <v>84</v>
      </c>
      <c r="I38" s="98"/>
      <c r="J38" s="55" t="str">
        <f t="shared" si="4"/>
        <v>0</v>
      </c>
      <c r="K38" s="56">
        <f>COUNTIFS($K$12:$K26,"MALE",$W$12:$W26,"J")</f>
        <v>0</v>
      </c>
      <c r="L38" s="57">
        <f>COUNTIFS($K$12:$K26,"FEMALE",$W$12:$W26,"J")</f>
        <v>0</v>
      </c>
      <c r="M38" s="111" t="s">
        <v>85</v>
      </c>
      <c r="N38" s="112"/>
      <c r="O38" s="112"/>
      <c r="P38" s="112"/>
      <c r="Q38" s="112"/>
      <c r="R38" s="112"/>
      <c r="S38" s="112"/>
      <c r="T38" s="113" t="s">
        <v>86</v>
      </c>
      <c r="U38" s="107"/>
      <c r="V38" s="107"/>
      <c r="W38" s="107"/>
      <c r="X38" s="107"/>
      <c r="Y38" s="64"/>
      <c r="Z38" s="67" t="s">
        <v>87</v>
      </c>
      <c r="AA38" s="67"/>
      <c r="AB38" s="67"/>
      <c r="AC38" s="68"/>
      <c r="AD38" s="40"/>
    </row>
    <row r="39" spans="2:30" ht="20.25" customHeight="1" x14ac:dyDescent="0.25">
      <c r="B39" s="119"/>
      <c r="C39" s="97" t="s">
        <v>88</v>
      </c>
      <c r="D39" s="98"/>
      <c r="E39" s="52" t="str">
        <f t="shared" si="5"/>
        <v>0</v>
      </c>
      <c r="F39" s="53">
        <f>COUNTIFS(K$12:K$1012,"MALE",V$12:V$1012,"/")</f>
        <v>0</v>
      </c>
      <c r="G39" s="54">
        <f>COUNTIFS(K$12:K$1012,"FEMALE",V$12:V$1012,"/")</f>
        <v>0</v>
      </c>
      <c r="H39" s="110" t="s">
        <v>89</v>
      </c>
      <c r="I39" s="98"/>
      <c r="J39" s="55" t="str">
        <f t="shared" si="4"/>
        <v>0</v>
      </c>
      <c r="K39" s="56">
        <f>COUNTIFS($K$12:$K26,"MALE",$W$12:$W26,"K")</f>
        <v>0</v>
      </c>
      <c r="L39" s="57">
        <f>COUNTIFS($K$12:$K26,"FEMALE",$W$12:$W26,"K")</f>
        <v>0</v>
      </c>
      <c r="M39" s="114" t="s">
        <v>90</v>
      </c>
      <c r="N39" s="107"/>
      <c r="O39" s="107"/>
      <c r="P39" s="107"/>
      <c r="Q39" s="107"/>
      <c r="R39" s="107"/>
      <c r="S39" s="107"/>
      <c r="T39" s="106" t="s">
        <v>91</v>
      </c>
      <c r="U39" s="107"/>
      <c r="V39" s="107"/>
      <c r="W39" s="107"/>
      <c r="X39" s="107"/>
      <c r="Y39" s="69"/>
      <c r="Z39" s="106" t="s">
        <v>92</v>
      </c>
      <c r="AA39" s="107"/>
      <c r="AB39" s="107"/>
      <c r="AC39" s="70"/>
      <c r="AD39" s="40"/>
    </row>
    <row r="40" spans="2:30" ht="20.25" customHeight="1" x14ac:dyDescent="0.25">
      <c r="B40" s="119"/>
      <c r="C40" s="97" t="s">
        <v>93</v>
      </c>
      <c r="D40" s="98"/>
      <c r="E40" s="52">
        <f t="shared" si="5"/>
        <v>1</v>
      </c>
      <c r="F40" s="53">
        <f>COUNTIFS(K$12:K$1012,"MALE",W$12:W$1012,"/")</f>
        <v>1</v>
      </c>
      <c r="G40" s="54">
        <f>COUNTIFS(K$12:K$1012,"FEMALE",W$12:W$1012,"/")</f>
        <v>0</v>
      </c>
      <c r="H40" s="99"/>
      <c r="I40" s="98"/>
      <c r="J40" s="71"/>
      <c r="K40" s="72"/>
      <c r="L40" s="57"/>
      <c r="M40" s="73"/>
      <c r="N40" s="64"/>
      <c r="O40" s="63"/>
      <c r="P40" s="63"/>
      <c r="Q40" s="63"/>
      <c r="R40" s="64"/>
      <c r="S40" s="64"/>
      <c r="T40" s="63"/>
      <c r="U40" s="64"/>
      <c r="V40" s="63"/>
      <c r="W40" s="64"/>
      <c r="X40" s="64"/>
      <c r="Y40" s="64"/>
      <c r="Z40" s="64"/>
      <c r="AA40" s="64"/>
      <c r="AB40" s="64"/>
      <c r="AC40" s="70"/>
      <c r="AD40" s="40"/>
    </row>
    <row r="41" spans="2:30" ht="20.25" customHeight="1" x14ac:dyDescent="0.25">
      <c r="B41" s="119"/>
      <c r="C41" s="97" t="s">
        <v>94</v>
      </c>
      <c r="D41" s="98"/>
      <c r="E41" s="52" t="str">
        <f t="shared" si="5"/>
        <v>0</v>
      </c>
      <c r="F41" s="53">
        <f>COUNTIFS(K$12:K$1012,"MALE",X$12:X$1012,"/")</f>
        <v>0</v>
      </c>
      <c r="G41" s="54">
        <f>COUNTIFS(K$12:K$1012,"FEMALE",X$12:X$1012,"/")</f>
        <v>0</v>
      </c>
      <c r="H41" s="99"/>
      <c r="I41" s="98"/>
      <c r="J41" s="71"/>
      <c r="K41" s="72"/>
      <c r="L41" s="57"/>
      <c r="M41" s="74" t="s">
        <v>95</v>
      </c>
      <c r="N41" s="75"/>
      <c r="O41" s="75"/>
      <c r="P41" s="2"/>
      <c r="Q41" s="76"/>
      <c r="R41" s="77"/>
      <c r="S41" s="77"/>
      <c r="T41" s="76"/>
      <c r="U41" s="77"/>
      <c r="V41" s="76"/>
      <c r="W41" s="64" t="s">
        <v>96</v>
      </c>
      <c r="X41" s="64"/>
      <c r="Y41" s="64"/>
      <c r="Z41" s="64"/>
      <c r="AA41" s="64"/>
      <c r="AB41" s="64"/>
      <c r="AC41" s="78"/>
      <c r="AD41" s="40"/>
    </row>
    <row r="42" spans="2:30" ht="20.25" customHeight="1" x14ac:dyDescent="0.3">
      <c r="B42" s="119"/>
      <c r="C42" s="97" t="s">
        <v>97</v>
      </c>
      <c r="D42" s="98"/>
      <c r="E42" s="52" t="str">
        <f t="shared" si="5"/>
        <v>0</v>
      </c>
      <c r="F42" s="53">
        <f>COUNTIFS(K$12:K$1012,"MALE",Y$12:Y$1012,"/")</f>
        <v>0</v>
      </c>
      <c r="G42" s="54">
        <f>COUNTIFS(K$12:K$1012,"FEMALE",Y$12:Y$1012,"/")</f>
        <v>0</v>
      </c>
      <c r="H42" s="99"/>
      <c r="I42" s="98"/>
      <c r="J42" s="71"/>
      <c r="K42" s="72"/>
      <c r="L42" s="57"/>
      <c r="M42" s="108" t="s">
        <v>98</v>
      </c>
      <c r="N42" s="101"/>
      <c r="O42" s="101"/>
      <c r="P42" s="101"/>
      <c r="Q42" s="101"/>
      <c r="R42" s="101"/>
      <c r="S42" s="101"/>
      <c r="T42" s="101"/>
      <c r="U42" s="77"/>
      <c r="V42" s="79"/>
      <c r="W42" s="109" t="s">
        <v>99</v>
      </c>
      <c r="X42" s="101"/>
      <c r="Y42" s="101"/>
      <c r="Z42" s="101"/>
      <c r="AA42" s="101"/>
      <c r="AB42" s="101"/>
      <c r="AC42" s="80"/>
      <c r="AD42" s="40"/>
    </row>
    <row r="43" spans="2:30" ht="20.25" customHeight="1" x14ac:dyDescent="0.25">
      <c r="B43" s="119"/>
      <c r="C43" s="97" t="s">
        <v>100</v>
      </c>
      <c r="D43" s="98"/>
      <c r="E43" s="52" t="str">
        <f t="shared" si="5"/>
        <v>0</v>
      </c>
      <c r="F43" s="53">
        <f>COUNTIFS(K$12:K$1012,"MALE",Z$12:Z$1012,"/")</f>
        <v>0</v>
      </c>
      <c r="G43" s="54">
        <f>COUNTIFS(K$12:K$1012,"FEMALE",Z$12:Z$1012,"/")</f>
        <v>0</v>
      </c>
      <c r="H43" s="99"/>
      <c r="I43" s="98"/>
      <c r="J43" s="71"/>
      <c r="K43" s="72"/>
      <c r="L43" s="81"/>
      <c r="M43" s="100" t="s">
        <v>101</v>
      </c>
      <c r="N43" s="101"/>
      <c r="O43" s="101"/>
      <c r="P43" s="101"/>
      <c r="Q43" s="101"/>
      <c r="R43" s="101"/>
      <c r="S43" s="101"/>
      <c r="T43" s="101"/>
      <c r="U43" s="82"/>
      <c r="V43" s="83"/>
      <c r="W43" s="102" t="s">
        <v>102</v>
      </c>
      <c r="X43" s="101"/>
      <c r="Y43" s="101"/>
      <c r="Z43" s="101"/>
      <c r="AA43" s="101"/>
      <c r="AB43" s="101"/>
      <c r="AC43" s="70"/>
      <c r="AD43" s="40"/>
    </row>
    <row r="44" spans="2:30" ht="20.25" customHeight="1" thickBot="1" x14ac:dyDescent="0.3">
      <c r="B44" s="120"/>
      <c r="C44" s="103" t="s">
        <v>103</v>
      </c>
      <c r="D44" s="104"/>
      <c r="E44" s="84" t="str">
        <f t="shared" si="5"/>
        <v>0</v>
      </c>
      <c r="F44" s="85">
        <f>COUNTIFS(K$12:K$1012,"MALE",AA$12:AA$1012,"/")</f>
        <v>0</v>
      </c>
      <c r="G44" s="86">
        <f>COUNTIFS(K$12:K$1012,"FEMALE",AA$12:AA$1012,"/")</f>
        <v>0</v>
      </c>
      <c r="H44" s="105"/>
      <c r="I44" s="104"/>
      <c r="J44" s="87"/>
      <c r="K44" s="88"/>
      <c r="L44" s="89"/>
      <c r="M44" s="90"/>
      <c r="N44" s="90"/>
      <c r="O44" s="90"/>
      <c r="P44" s="90"/>
      <c r="Q44" s="90"/>
      <c r="R44" s="90"/>
      <c r="S44" s="91"/>
      <c r="T44" s="92"/>
      <c r="U44" s="91"/>
      <c r="V44" s="91"/>
      <c r="W44" s="91"/>
      <c r="X44" s="91"/>
      <c r="Y44" s="91"/>
      <c r="Z44" s="91"/>
      <c r="AA44" s="91"/>
      <c r="AB44" s="91"/>
      <c r="AC44" s="93"/>
      <c r="AD44" s="40"/>
    </row>
    <row r="45" spans="2:30" ht="20.25" customHeight="1" x14ac:dyDescent="0.25">
      <c r="J45" s="94"/>
      <c r="L45" s="94"/>
      <c r="M45" s="95"/>
      <c r="N45" s="96"/>
      <c r="O45" s="96"/>
      <c r="P45" s="96"/>
      <c r="Q45" s="96"/>
      <c r="R45" s="96"/>
      <c r="S45" s="96"/>
      <c r="T45" s="96"/>
      <c r="U45" s="96"/>
      <c r="V45" s="96"/>
      <c r="W45" s="96"/>
      <c r="X45" s="96"/>
      <c r="Y45" s="96"/>
      <c r="Z45" s="96"/>
      <c r="AA45" s="96"/>
      <c r="AB45" s="96"/>
      <c r="AC45" s="70"/>
    </row>
    <row r="46" spans="2:30" ht="15.75" customHeight="1" x14ac:dyDescent="0.25">
      <c r="J46" s="94"/>
      <c r="L46" s="94"/>
      <c r="AC46" s="94"/>
    </row>
    <row r="47" spans="2:30" ht="15.75" customHeight="1" x14ac:dyDescent="0.25">
      <c r="J47" s="94"/>
      <c r="L47" s="94"/>
      <c r="AC47" s="94"/>
    </row>
    <row r="48" spans="2:30" ht="15.75" customHeight="1" x14ac:dyDescent="0.25">
      <c r="J48" s="94"/>
      <c r="L48" s="94"/>
      <c r="AC48" s="94"/>
    </row>
    <row r="49" spans="10:29" ht="15.75" customHeight="1" x14ac:dyDescent="0.25">
      <c r="J49" s="94"/>
      <c r="L49" s="94"/>
      <c r="AC49" s="94"/>
    </row>
    <row r="50" spans="10:29" ht="15.75" customHeight="1" x14ac:dyDescent="0.25">
      <c r="J50" s="94"/>
      <c r="L50" s="94"/>
      <c r="AC50" s="94"/>
    </row>
    <row r="51" spans="10:29" ht="15.75" customHeight="1" x14ac:dyDescent="0.25">
      <c r="J51" s="94"/>
      <c r="L51" s="94"/>
      <c r="AC51" s="94"/>
    </row>
    <row r="52" spans="10:29" ht="15.75" customHeight="1" x14ac:dyDescent="0.25">
      <c r="J52" s="94"/>
      <c r="L52" s="94"/>
      <c r="AC52" s="94"/>
    </row>
    <row r="53" spans="10:29" ht="15.75" customHeight="1" x14ac:dyDescent="0.25">
      <c r="J53" s="94"/>
      <c r="L53" s="94"/>
      <c r="AC53" s="94"/>
    </row>
    <row r="54" spans="10:29" ht="15.75" customHeight="1" x14ac:dyDescent="0.25">
      <c r="J54" s="94"/>
      <c r="L54" s="94"/>
      <c r="AC54" s="94"/>
    </row>
    <row r="55" spans="10:29" ht="15.75" customHeight="1" x14ac:dyDescent="0.25">
      <c r="J55" s="94"/>
      <c r="L55" s="94"/>
      <c r="AC55" s="94"/>
    </row>
    <row r="56" spans="10:29" ht="15.75" customHeight="1" x14ac:dyDescent="0.25">
      <c r="J56" s="94"/>
      <c r="L56" s="94"/>
      <c r="AC56" s="94"/>
    </row>
    <row r="57" spans="10:29" ht="15.75" customHeight="1" x14ac:dyDescent="0.25">
      <c r="J57" s="94"/>
      <c r="L57" s="94"/>
      <c r="AC57" s="94"/>
    </row>
    <row r="58" spans="10:29" ht="15.75" customHeight="1" x14ac:dyDescent="0.25">
      <c r="J58" s="94"/>
      <c r="L58" s="94"/>
      <c r="AC58" s="94"/>
    </row>
    <row r="59" spans="10:29" ht="15.75" customHeight="1" x14ac:dyDescent="0.25">
      <c r="J59" s="94"/>
      <c r="L59" s="94"/>
      <c r="AC59" s="94"/>
    </row>
    <row r="60" spans="10:29" ht="15.75" customHeight="1" x14ac:dyDescent="0.25">
      <c r="J60" s="94"/>
      <c r="L60" s="94"/>
      <c r="AC60" s="94"/>
    </row>
    <row r="61" spans="10:29" ht="15.75" customHeight="1" x14ac:dyDescent="0.25">
      <c r="J61" s="94"/>
      <c r="L61" s="94"/>
      <c r="AC61" s="94"/>
    </row>
    <row r="62" spans="10:29" ht="15.75" customHeight="1" x14ac:dyDescent="0.25">
      <c r="J62" s="94"/>
      <c r="L62" s="94"/>
      <c r="AC62" s="94"/>
    </row>
    <row r="63" spans="10:29" ht="15.75" customHeight="1" x14ac:dyDescent="0.25">
      <c r="J63" s="94"/>
      <c r="L63" s="94"/>
      <c r="AC63" s="94"/>
    </row>
    <row r="64" spans="10:29" ht="15.75" customHeight="1" x14ac:dyDescent="0.25">
      <c r="J64" s="94"/>
      <c r="L64" s="94"/>
      <c r="AC64" s="94"/>
    </row>
    <row r="65" spans="10:29" ht="15.75" customHeight="1" x14ac:dyDescent="0.25">
      <c r="J65" s="94"/>
      <c r="L65" s="94"/>
      <c r="AC65" s="94"/>
    </row>
    <row r="66" spans="10:29" ht="15.75" customHeight="1" x14ac:dyDescent="0.25">
      <c r="J66" s="94"/>
      <c r="L66" s="94"/>
      <c r="AC66" s="94"/>
    </row>
    <row r="67" spans="10:29" ht="15.75" customHeight="1" x14ac:dyDescent="0.25">
      <c r="J67" s="94"/>
      <c r="L67" s="94"/>
      <c r="AC67" s="94"/>
    </row>
    <row r="68" spans="10:29" ht="15.75" customHeight="1" x14ac:dyDescent="0.25">
      <c r="J68" s="94"/>
      <c r="L68" s="94"/>
      <c r="AC68" s="94"/>
    </row>
    <row r="69" spans="10:29" ht="15.75" customHeight="1" x14ac:dyDescent="0.25">
      <c r="J69" s="94"/>
      <c r="L69" s="94"/>
      <c r="AC69" s="94"/>
    </row>
    <row r="70" spans="10:29" ht="15.75" customHeight="1" x14ac:dyDescent="0.25">
      <c r="J70" s="94"/>
      <c r="L70" s="94"/>
      <c r="AC70" s="94"/>
    </row>
    <row r="71" spans="10:29" ht="15.75" customHeight="1" x14ac:dyDescent="0.25">
      <c r="J71" s="94"/>
      <c r="L71" s="94"/>
      <c r="AC71" s="94"/>
    </row>
    <row r="72" spans="10:29" ht="15.75" customHeight="1" x14ac:dyDescent="0.25">
      <c r="J72" s="94"/>
      <c r="L72" s="94"/>
      <c r="AC72" s="94"/>
    </row>
    <row r="73" spans="10:29" ht="15.75" customHeight="1" x14ac:dyDescent="0.25">
      <c r="J73" s="94"/>
      <c r="L73" s="94"/>
      <c r="AC73" s="94"/>
    </row>
    <row r="74" spans="10:29" ht="15.75" customHeight="1" x14ac:dyDescent="0.25">
      <c r="J74" s="94"/>
      <c r="L74" s="94"/>
      <c r="AC74" s="94"/>
    </row>
    <row r="75" spans="10:29" ht="15.75" customHeight="1" x14ac:dyDescent="0.25">
      <c r="J75" s="94"/>
      <c r="L75" s="94"/>
      <c r="AC75" s="94"/>
    </row>
    <row r="76" spans="10:29" ht="15.75" customHeight="1" x14ac:dyDescent="0.25">
      <c r="J76" s="94"/>
      <c r="L76" s="94"/>
      <c r="AC76" s="94"/>
    </row>
    <row r="77" spans="10:29" ht="15.75" customHeight="1" x14ac:dyDescent="0.25">
      <c r="J77" s="94"/>
      <c r="L77" s="94"/>
      <c r="AC77" s="94"/>
    </row>
    <row r="78" spans="10:29" ht="15.75" customHeight="1" x14ac:dyDescent="0.25">
      <c r="J78" s="94"/>
      <c r="L78" s="94"/>
      <c r="AC78" s="94"/>
    </row>
    <row r="79" spans="10:29" ht="15.75" customHeight="1" x14ac:dyDescent="0.25">
      <c r="J79" s="94"/>
      <c r="L79" s="94"/>
      <c r="AC79" s="94"/>
    </row>
    <row r="80" spans="10:29" ht="15.75" customHeight="1" x14ac:dyDescent="0.25">
      <c r="J80" s="94"/>
      <c r="L80" s="94"/>
      <c r="AC80" s="94"/>
    </row>
    <row r="81" spans="10:29" ht="15.75" customHeight="1" x14ac:dyDescent="0.25">
      <c r="J81" s="94"/>
      <c r="L81" s="94"/>
      <c r="AC81" s="94"/>
    </row>
    <row r="82" spans="10:29" ht="15.75" customHeight="1" x14ac:dyDescent="0.25">
      <c r="J82" s="94"/>
      <c r="L82" s="94"/>
      <c r="AC82" s="94"/>
    </row>
    <row r="83" spans="10:29" ht="15.75" customHeight="1" x14ac:dyDescent="0.25">
      <c r="J83" s="94"/>
      <c r="L83" s="94"/>
      <c r="AC83" s="94"/>
    </row>
    <row r="84" spans="10:29" ht="15.75" customHeight="1" x14ac:dyDescent="0.25">
      <c r="J84" s="94"/>
      <c r="L84" s="94"/>
      <c r="AC84" s="94"/>
    </row>
    <row r="85" spans="10:29" ht="15.75" customHeight="1" x14ac:dyDescent="0.25">
      <c r="J85" s="94"/>
      <c r="L85" s="94"/>
      <c r="AC85" s="94"/>
    </row>
    <row r="86" spans="10:29" ht="15.75" customHeight="1" x14ac:dyDescent="0.25">
      <c r="J86" s="94"/>
      <c r="L86" s="94"/>
      <c r="AC86" s="94"/>
    </row>
    <row r="87" spans="10:29" ht="15.75" customHeight="1" x14ac:dyDescent="0.25">
      <c r="J87" s="94"/>
      <c r="L87" s="94"/>
      <c r="AC87" s="94"/>
    </row>
    <row r="88" spans="10:29" ht="15.75" customHeight="1" x14ac:dyDescent="0.25">
      <c r="J88" s="94"/>
      <c r="L88" s="94"/>
      <c r="AC88" s="94"/>
    </row>
    <row r="89" spans="10:29" ht="15.75" customHeight="1" x14ac:dyDescent="0.25">
      <c r="J89" s="94"/>
      <c r="L89" s="94"/>
      <c r="AC89" s="94"/>
    </row>
    <row r="90" spans="10:29" ht="15.75" customHeight="1" x14ac:dyDescent="0.25">
      <c r="J90" s="94"/>
      <c r="L90" s="94"/>
      <c r="AC90" s="94"/>
    </row>
    <row r="91" spans="10:29" ht="15.75" customHeight="1" x14ac:dyDescent="0.25">
      <c r="J91" s="94"/>
      <c r="L91" s="94"/>
      <c r="AC91" s="94"/>
    </row>
    <row r="92" spans="10:29" ht="15.75" customHeight="1" x14ac:dyDescent="0.25">
      <c r="J92" s="94"/>
      <c r="L92" s="94"/>
      <c r="AC92" s="94"/>
    </row>
    <row r="93" spans="10:29" ht="15.75" customHeight="1" x14ac:dyDescent="0.25">
      <c r="J93" s="94"/>
      <c r="L93" s="94"/>
      <c r="AC93" s="94"/>
    </row>
    <row r="94" spans="10:29" ht="15.75" customHeight="1" x14ac:dyDescent="0.25">
      <c r="J94" s="94"/>
      <c r="L94" s="94"/>
      <c r="AC94" s="94"/>
    </row>
    <row r="95" spans="10:29" ht="15.75" customHeight="1" x14ac:dyDescent="0.25">
      <c r="J95" s="94"/>
      <c r="L95" s="94"/>
      <c r="AC95" s="94"/>
    </row>
    <row r="96" spans="10:29" ht="15.75" customHeight="1" x14ac:dyDescent="0.25">
      <c r="J96" s="94"/>
      <c r="L96" s="94"/>
      <c r="AC96" s="94"/>
    </row>
    <row r="97" spans="10:29" ht="15.75" customHeight="1" x14ac:dyDescent="0.25">
      <c r="J97" s="94"/>
      <c r="L97" s="94"/>
      <c r="AC97" s="94"/>
    </row>
    <row r="98" spans="10:29" ht="15.75" customHeight="1" x14ac:dyDescent="0.25">
      <c r="J98" s="94"/>
      <c r="L98" s="94"/>
      <c r="AC98" s="94"/>
    </row>
    <row r="99" spans="10:29" ht="15.75" customHeight="1" x14ac:dyDescent="0.25">
      <c r="J99" s="94"/>
      <c r="L99" s="94"/>
      <c r="AC99" s="94"/>
    </row>
    <row r="100" spans="10:29" ht="15.75" customHeight="1" x14ac:dyDescent="0.25">
      <c r="J100" s="94"/>
      <c r="L100" s="94"/>
      <c r="AC100" s="94"/>
    </row>
    <row r="101" spans="10:29" ht="15.75" customHeight="1" x14ac:dyDescent="0.25">
      <c r="J101" s="94"/>
      <c r="L101" s="94"/>
      <c r="AC101" s="94"/>
    </row>
    <row r="102" spans="10:29" ht="15.75" customHeight="1" x14ac:dyDescent="0.25">
      <c r="J102" s="94"/>
      <c r="L102" s="94"/>
      <c r="AC102" s="94"/>
    </row>
    <row r="103" spans="10:29" ht="15.75" customHeight="1" x14ac:dyDescent="0.25">
      <c r="J103" s="94"/>
      <c r="L103" s="94"/>
      <c r="AC103" s="94"/>
    </row>
    <row r="104" spans="10:29" ht="15.75" customHeight="1" x14ac:dyDescent="0.25">
      <c r="J104" s="94"/>
      <c r="L104" s="94"/>
      <c r="AC104" s="94"/>
    </row>
    <row r="105" spans="10:29" ht="15.75" customHeight="1" x14ac:dyDescent="0.25">
      <c r="J105" s="94"/>
      <c r="L105" s="94"/>
      <c r="AC105" s="94"/>
    </row>
    <row r="106" spans="10:29" ht="15.75" customHeight="1" x14ac:dyDescent="0.25">
      <c r="J106" s="94"/>
      <c r="L106" s="94"/>
      <c r="AC106" s="94"/>
    </row>
    <row r="107" spans="10:29" ht="15.75" customHeight="1" x14ac:dyDescent="0.25">
      <c r="J107" s="94"/>
      <c r="L107" s="94"/>
      <c r="AC107" s="94"/>
    </row>
    <row r="108" spans="10:29" ht="15.75" customHeight="1" x14ac:dyDescent="0.25">
      <c r="J108" s="94"/>
      <c r="L108" s="94"/>
      <c r="AC108" s="94"/>
    </row>
    <row r="109" spans="10:29" ht="15.75" customHeight="1" x14ac:dyDescent="0.25">
      <c r="J109" s="94"/>
      <c r="L109" s="94"/>
      <c r="AC109" s="94"/>
    </row>
    <row r="110" spans="10:29" ht="15.75" customHeight="1" x14ac:dyDescent="0.25">
      <c r="J110" s="94"/>
      <c r="L110" s="94"/>
      <c r="AC110" s="94"/>
    </row>
    <row r="111" spans="10:29" ht="15.75" customHeight="1" x14ac:dyDescent="0.25">
      <c r="J111" s="94"/>
      <c r="L111" s="94"/>
      <c r="AC111" s="94"/>
    </row>
    <row r="112" spans="10:29" ht="15.75" customHeight="1" x14ac:dyDescent="0.25">
      <c r="J112" s="94"/>
      <c r="L112" s="94"/>
      <c r="AC112" s="94"/>
    </row>
    <row r="113" spans="10:29" ht="15.75" customHeight="1" x14ac:dyDescent="0.25">
      <c r="J113" s="94"/>
      <c r="L113" s="94"/>
      <c r="AC113" s="94"/>
    </row>
    <row r="114" spans="10:29" ht="15.75" customHeight="1" x14ac:dyDescent="0.25">
      <c r="J114" s="94"/>
      <c r="L114" s="94"/>
      <c r="AC114" s="94"/>
    </row>
    <row r="115" spans="10:29" ht="15.75" customHeight="1" x14ac:dyDescent="0.25">
      <c r="J115" s="94"/>
      <c r="L115" s="94"/>
      <c r="AC115" s="94"/>
    </row>
    <row r="116" spans="10:29" ht="15.75" customHeight="1" x14ac:dyDescent="0.25">
      <c r="J116" s="94"/>
      <c r="L116" s="94"/>
      <c r="AC116" s="94"/>
    </row>
    <row r="117" spans="10:29" ht="15.75" customHeight="1" x14ac:dyDescent="0.25">
      <c r="J117" s="94"/>
      <c r="L117" s="94"/>
      <c r="AC117" s="94"/>
    </row>
    <row r="118" spans="10:29" ht="15.75" customHeight="1" x14ac:dyDescent="0.25">
      <c r="J118" s="94"/>
      <c r="L118" s="94"/>
      <c r="AC118" s="94"/>
    </row>
    <row r="119" spans="10:29" ht="15.75" customHeight="1" x14ac:dyDescent="0.25">
      <c r="J119" s="94"/>
      <c r="L119" s="94"/>
      <c r="AC119" s="94"/>
    </row>
    <row r="120" spans="10:29" ht="15.75" customHeight="1" x14ac:dyDescent="0.25">
      <c r="J120" s="94"/>
      <c r="L120" s="94"/>
      <c r="AC120" s="94"/>
    </row>
    <row r="121" spans="10:29" ht="15.75" customHeight="1" x14ac:dyDescent="0.25">
      <c r="J121" s="94"/>
      <c r="L121" s="94"/>
      <c r="AC121" s="94"/>
    </row>
    <row r="122" spans="10:29" ht="15.75" customHeight="1" x14ac:dyDescent="0.25">
      <c r="J122" s="94"/>
      <c r="L122" s="94"/>
      <c r="AC122" s="94"/>
    </row>
    <row r="123" spans="10:29" ht="15.75" customHeight="1" x14ac:dyDescent="0.25">
      <c r="J123" s="94"/>
      <c r="L123" s="94"/>
      <c r="AC123" s="94"/>
    </row>
    <row r="124" spans="10:29" ht="15.75" customHeight="1" x14ac:dyDescent="0.25">
      <c r="J124" s="94"/>
      <c r="L124" s="94"/>
      <c r="AC124" s="94"/>
    </row>
    <row r="125" spans="10:29" ht="15.75" customHeight="1" x14ac:dyDescent="0.25">
      <c r="J125" s="94"/>
      <c r="L125" s="94"/>
      <c r="AC125" s="94"/>
    </row>
    <row r="126" spans="10:29" ht="15.75" customHeight="1" x14ac:dyDescent="0.25">
      <c r="J126" s="94"/>
      <c r="L126" s="94"/>
      <c r="AC126" s="94"/>
    </row>
    <row r="127" spans="10:29" ht="15.75" customHeight="1" x14ac:dyDescent="0.25">
      <c r="J127" s="94"/>
      <c r="L127" s="94"/>
      <c r="AC127" s="94"/>
    </row>
    <row r="128" spans="10:29" ht="15.75" customHeight="1" x14ac:dyDescent="0.25">
      <c r="J128" s="94"/>
      <c r="L128" s="94"/>
      <c r="AC128" s="94"/>
    </row>
    <row r="129" spans="10:29" ht="15.75" customHeight="1" x14ac:dyDescent="0.25">
      <c r="J129" s="94"/>
      <c r="L129" s="94"/>
      <c r="AC129" s="94"/>
    </row>
    <row r="130" spans="10:29" ht="15.75" customHeight="1" x14ac:dyDescent="0.25">
      <c r="J130" s="94"/>
      <c r="L130" s="94"/>
      <c r="AC130" s="94"/>
    </row>
    <row r="131" spans="10:29" ht="15.75" customHeight="1" x14ac:dyDescent="0.25">
      <c r="J131" s="94"/>
      <c r="L131" s="94"/>
      <c r="AC131" s="94"/>
    </row>
    <row r="132" spans="10:29" ht="15.75" customHeight="1" x14ac:dyDescent="0.25">
      <c r="J132" s="94"/>
      <c r="L132" s="94"/>
      <c r="AC132" s="94"/>
    </row>
    <row r="133" spans="10:29" ht="15.75" customHeight="1" x14ac:dyDescent="0.25">
      <c r="J133" s="94"/>
      <c r="L133" s="94"/>
      <c r="AC133" s="94"/>
    </row>
    <row r="134" spans="10:29" ht="15.75" customHeight="1" x14ac:dyDescent="0.25">
      <c r="J134" s="94"/>
      <c r="L134" s="94"/>
      <c r="AC134" s="94"/>
    </row>
    <row r="135" spans="10:29" ht="15.75" customHeight="1" x14ac:dyDescent="0.25">
      <c r="J135" s="94"/>
      <c r="L135" s="94"/>
      <c r="AC135" s="94"/>
    </row>
    <row r="136" spans="10:29" ht="15.75" customHeight="1" x14ac:dyDescent="0.25">
      <c r="J136" s="94"/>
      <c r="L136" s="94"/>
      <c r="AC136" s="94"/>
    </row>
    <row r="137" spans="10:29" ht="15.75" customHeight="1" x14ac:dyDescent="0.25">
      <c r="J137" s="94"/>
      <c r="L137" s="94"/>
      <c r="AC137" s="94"/>
    </row>
    <row r="138" spans="10:29" ht="15.75" customHeight="1" x14ac:dyDescent="0.25">
      <c r="J138" s="94"/>
      <c r="L138" s="94"/>
      <c r="AC138" s="94"/>
    </row>
    <row r="139" spans="10:29" ht="15.75" customHeight="1" x14ac:dyDescent="0.25">
      <c r="J139" s="94"/>
      <c r="L139" s="94"/>
      <c r="AC139" s="94"/>
    </row>
    <row r="140" spans="10:29" ht="15.75" customHeight="1" x14ac:dyDescent="0.25">
      <c r="J140" s="94"/>
      <c r="L140" s="94"/>
      <c r="AC140" s="94"/>
    </row>
    <row r="141" spans="10:29" ht="15.75" customHeight="1" x14ac:dyDescent="0.25">
      <c r="J141" s="94"/>
      <c r="L141" s="94"/>
      <c r="AC141" s="94"/>
    </row>
    <row r="142" spans="10:29" ht="15.75" customHeight="1" x14ac:dyDescent="0.25">
      <c r="J142" s="94"/>
      <c r="L142" s="94"/>
      <c r="AC142" s="94"/>
    </row>
    <row r="143" spans="10:29" ht="15.75" customHeight="1" x14ac:dyDescent="0.25">
      <c r="J143" s="94"/>
      <c r="L143" s="94"/>
      <c r="AC143" s="94"/>
    </row>
    <row r="144" spans="10:29" ht="15.75" customHeight="1" x14ac:dyDescent="0.25">
      <c r="J144" s="94"/>
      <c r="L144" s="94"/>
      <c r="AC144" s="94"/>
    </row>
    <row r="145" spans="10:29" ht="15.75" customHeight="1" x14ac:dyDescent="0.25">
      <c r="J145" s="94"/>
      <c r="L145" s="94"/>
      <c r="AC145" s="94"/>
    </row>
    <row r="146" spans="10:29" ht="15.75" customHeight="1" x14ac:dyDescent="0.25">
      <c r="J146" s="94"/>
      <c r="L146" s="94"/>
      <c r="AC146" s="94"/>
    </row>
    <row r="147" spans="10:29" ht="15.75" customHeight="1" x14ac:dyDescent="0.25">
      <c r="J147" s="94"/>
      <c r="L147" s="94"/>
      <c r="AC147" s="94"/>
    </row>
    <row r="148" spans="10:29" ht="15.75" customHeight="1" x14ac:dyDescent="0.25">
      <c r="J148" s="94"/>
      <c r="L148" s="94"/>
      <c r="AC148" s="94"/>
    </row>
    <row r="149" spans="10:29" ht="15.75" customHeight="1" x14ac:dyDescent="0.25">
      <c r="J149" s="94"/>
      <c r="L149" s="94"/>
      <c r="AC149" s="94"/>
    </row>
    <row r="150" spans="10:29" ht="15.75" customHeight="1" x14ac:dyDescent="0.25">
      <c r="J150" s="94"/>
      <c r="L150" s="94"/>
      <c r="AC150" s="94"/>
    </row>
    <row r="151" spans="10:29" ht="15.75" customHeight="1" x14ac:dyDescent="0.25">
      <c r="J151" s="94"/>
      <c r="L151" s="94"/>
      <c r="AC151" s="94"/>
    </row>
    <row r="152" spans="10:29" ht="15.75" customHeight="1" x14ac:dyDescent="0.25">
      <c r="J152" s="94"/>
      <c r="L152" s="94"/>
      <c r="AC152" s="94"/>
    </row>
    <row r="153" spans="10:29" ht="15.75" customHeight="1" x14ac:dyDescent="0.25">
      <c r="J153" s="94"/>
      <c r="L153" s="94"/>
      <c r="AC153" s="94"/>
    </row>
    <row r="154" spans="10:29" ht="15.75" customHeight="1" x14ac:dyDescent="0.25">
      <c r="J154" s="94"/>
      <c r="L154" s="94"/>
      <c r="AC154" s="94"/>
    </row>
    <row r="155" spans="10:29" ht="15.75" customHeight="1" x14ac:dyDescent="0.25">
      <c r="J155" s="94"/>
      <c r="L155" s="94"/>
      <c r="AC155" s="94"/>
    </row>
    <row r="156" spans="10:29" ht="15.75" customHeight="1" x14ac:dyDescent="0.25">
      <c r="J156" s="94"/>
      <c r="L156" s="94"/>
      <c r="AC156" s="94"/>
    </row>
    <row r="157" spans="10:29" ht="15.75" customHeight="1" x14ac:dyDescent="0.25">
      <c r="J157" s="94"/>
      <c r="L157" s="94"/>
      <c r="AC157" s="94"/>
    </row>
    <row r="158" spans="10:29" ht="15.75" customHeight="1" x14ac:dyDescent="0.25">
      <c r="J158" s="94"/>
      <c r="L158" s="94"/>
      <c r="AC158" s="94"/>
    </row>
    <row r="159" spans="10:29" ht="15.75" customHeight="1" x14ac:dyDescent="0.25">
      <c r="J159" s="94"/>
      <c r="L159" s="94"/>
      <c r="AC159" s="94"/>
    </row>
    <row r="160" spans="10:29" ht="15.75" customHeight="1" x14ac:dyDescent="0.25">
      <c r="J160" s="94"/>
      <c r="L160" s="94"/>
      <c r="AC160" s="94"/>
    </row>
    <row r="161" spans="10:29" ht="15.75" customHeight="1" x14ac:dyDescent="0.25">
      <c r="J161" s="94"/>
      <c r="L161" s="94"/>
      <c r="AC161" s="94"/>
    </row>
    <row r="162" spans="10:29" ht="15.75" customHeight="1" x14ac:dyDescent="0.25">
      <c r="J162" s="94"/>
      <c r="L162" s="94"/>
      <c r="AC162" s="94"/>
    </row>
    <row r="163" spans="10:29" ht="15.75" customHeight="1" x14ac:dyDescent="0.25">
      <c r="J163" s="94"/>
      <c r="L163" s="94"/>
      <c r="AC163" s="94"/>
    </row>
    <row r="164" spans="10:29" ht="15.75" customHeight="1" x14ac:dyDescent="0.25">
      <c r="J164" s="94"/>
      <c r="L164" s="94"/>
      <c r="AC164" s="94"/>
    </row>
    <row r="165" spans="10:29" ht="15.75" customHeight="1" x14ac:dyDescent="0.25">
      <c r="J165" s="94"/>
      <c r="L165" s="94"/>
      <c r="AC165" s="94"/>
    </row>
    <row r="166" spans="10:29" ht="15.75" customHeight="1" x14ac:dyDescent="0.25">
      <c r="J166" s="94"/>
      <c r="L166" s="94"/>
      <c r="AC166" s="94"/>
    </row>
    <row r="167" spans="10:29" ht="15.75" customHeight="1" x14ac:dyDescent="0.25">
      <c r="J167" s="94"/>
      <c r="L167" s="94"/>
      <c r="AC167" s="94"/>
    </row>
    <row r="168" spans="10:29" ht="15.75" customHeight="1" x14ac:dyDescent="0.25">
      <c r="J168" s="94"/>
      <c r="L168" s="94"/>
      <c r="AC168" s="94"/>
    </row>
    <row r="169" spans="10:29" ht="15.75" customHeight="1" x14ac:dyDescent="0.25">
      <c r="J169" s="94"/>
      <c r="L169" s="94"/>
      <c r="AC169" s="94"/>
    </row>
    <row r="170" spans="10:29" ht="15.75" customHeight="1" x14ac:dyDescent="0.25">
      <c r="J170" s="94"/>
      <c r="L170" s="94"/>
      <c r="AC170" s="94"/>
    </row>
    <row r="171" spans="10:29" ht="15.75" customHeight="1" x14ac:dyDescent="0.25">
      <c r="J171" s="94"/>
      <c r="L171" s="94"/>
      <c r="AC171" s="94"/>
    </row>
    <row r="172" spans="10:29" ht="15.75" customHeight="1" x14ac:dyDescent="0.25">
      <c r="J172" s="94"/>
      <c r="L172" s="94"/>
      <c r="AC172" s="94"/>
    </row>
    <row r="173" spans="10:29" ht="15.75" customHeight="1" x14ac:dyDescent="0.25">
      <c r="J173" s="94"/>
      <c r="L173" s="94"/>
      <c r="AC173" s="94"/>
    </row>
    <row r="174" spans="10:29" ht="15.75" customHeight="1" x14ac:dyDescent="0.25">
      <c r="J174" s="94"/>
      <c r="L174" s="94"/>
      <c r="AC174" s="94"/>
    </row>
    <row r="175" spans="10:29" ht="15.75" customHeight="1" x14ac:dyDescent="0.25">
      <c r="J175" s="94"/>
      <c r="L175" s="94"/>
      <c r="AC175" s="94"/>
    </row>
    <row r="176" spans="10:29" ht="15.75" customHeight="1" x14ac:dyDescent="0.25">
      <c r="J176" s="94"/>
      <c r="L176" s="94"/>
      <c r="AC176" s="94"/>
    </row>
    <row r="177" spans="10:29" ht="15.75" customHeight="1" x14ac:dyDescent="0.25">
      <c r="J177" s="94"/>
      <c r="L177" s="94"/>
      <c r="AC177" s="94"/>
    </row>
    <row r="178" spans="10:29" ht="15.75" customHeight="1" x14ac:dyDescent="0.25">
      <c r="J178" s="94"/>
      <c r="L178" s="94"/>
      <c r="AC178" s="94"/>
    </row>
    <row r="179" spans="10:29" ht="15.75" customHeight="1" x14ac:dyDescent="0.25">
      <c r="J179" s="94"/>
      <c r="L179" s="94"/>
      <c r="AC179" s="94"/>
    </row>
    <row r="180" spans="10:29" ht="15.75" customHeight="1" x14ac:dyDescent="0.25">
      <c r="J180" s="94"/>
      <c r="L180" s="94"/>
      <c r="AC180" s="94"/>
    </row>
    <row r="181" spans="10:29" ht="15.75" customHeight="1" x14ac:dyDescent="0.25">
      <c r="J181" s="94"/>
      <c r="L181" s="94"/>
      <c r="AC181" s="94"/>
    </row>
    <row r="182" spans="10:29" ht="15.75" customHeight="1" x14ac:dyDescent="0.25">
      <c r="J182" s="94"/>
      <c r="L182" s="94"/>
      <c r="AC182" s="94"/>
    </row>
    <row r="183" spans="10:29" ht="15.75" customHeight="1" x14ac:dyDescent="0.25">
      <c r="J183" s="94"/>
      <c r="L183" s="94"/>
      <c r="AC183" s="94"/>
    </row>
    <row r="184" spans="10:29" ht="15.75" customHeight="1" x14ac:dyDescent="0.25">
      <c r="J184" s="94"/>
      <c r="L184" s="94"/>
      <c r="AC184" s="94"/>
    </row>
    <row r="185" spans="10:29" ht="15.75" customHeight="1" x14ac:dyDescent="0.25">
      <c r="J185" s="94"/>
      <c r="L185" s="94"/>
      <c r="AC185" s="94"/>
    </row>
    <row r="186" spans="10:29" ht="15.75" customHeight="1" x14ac:dyDescent="0.25">
      <c r="J186" s="94"/>
      <c r="L186" s="94"/>
      <c r="AC186" s="94"/>
    </row>
    <row r="187" spans="10:29" ht="15.75" customHeight="1" x14ac:dyDescent="0.25">
      <c r="J187" s="94"/>
      <c r="L187" s="94"/>
      <c r="AC187" s="94"/>
    </row>
    <row r="188" spans="10:29" ht="15.75" customHeight="1" x14ac:dyDescent="0.25">
      <c r="J188" s="94"/>
      <c r="L188" s="94"/>
      <c r="AC188" s="94"/>
    </row>
    <row r="189" spans="10:29" ht="15.75" customHeight="1" x14ac:dyDescent="0.25">
      <c r="J189" s="94"/>
      <c r="L189" s="94"/>
      <c r="AC189" s="94"/>
    </row>
    <row r="190" spans="10:29" ht="15.75" customHeight="1" x14ac:dyDescent="0.25">
      <c r="J190" s="94"/>
      <c r="L190" s="94"/>
      <c r="AC190" s="94"/>
    </row>
    <row r="191" spans="10:29" ht="15.75" customHeight="1" x14ac:dyDescent="0.25">
      <c r="J191" s="94"/>
      <c r="L191" s="94"/>
      <c r="AC191" s="94"/>
    </row>
    <row r="192" spans="10:29" ht="15.75" customHeight="1" x14ac:dyDescent="0.25">
      <c r="J192" s="94"/>
      <c r="L192" s="94"/>
      <c r="AC192" s="94"/>
    </row>
    <row r="193" spans="10:29" ht="15.75" customHeight="1" x14ac:dyDescent="0.25">
      <c r="J193" s="94"/>
      <c r="L193" s="94"/>
      <c r="AC193" s="94"/>
    </row>
    <row r="194" spans="10:29" ht="15.75" customHeight="1" x14ac:dyDescent="0.25">
      <c r="J194" s="94"/>
      <c r="L194" s="94"/>
      <c r="AC194" s="94"/>
    </row>
    <row r="195" spans="10:29" ht="15.75" customHeight="1" x14ac:dyDescent="0.25">
      <c r="J195" s="94"/>
      <c r="L195" s="94"/>
      <c r="AC195" s="94"/>
    </row>
    <row r="196" spans="10:29" ht="15.75" customHeight="1" x14ac:dyDescent="0.25">
      <c r="J196" s="94"/>
      <c r="L196" s="94"/>
      <c r="AC196" s="94"/>
    </row>
    <row r="197" spans="10:29" ht="15.75" customHeight="1" x14ac:dyDescent="0.25">
      <c r="J197" s="94"/>
      <c r="L197" s="94"/>
      <c r="AC197" s="94"/>
    </row>
    <row r="198" spans="10:29" ht="15.75" customHeight="1" x14ac:dyDescent="0.25">
      <c r="J198" s="94"/>
      <c r="L198" s="94"/>
      <c r="AC198" s="94"/>
    </row>
    <row r="199" spans="10:29" ht="15.75" customHeight="1" x14ac:dyDescent="0.25">
      <c r="J199" s="94"/>
      <c r="L199" s="94"/>
      <c r="AC199" s="94"/>
    </row>
    <row r="200" spans="10:29" ht="15.75" customHeight="1" x14ac:dyDescent="0.25">
      <c r="J200" s="94"/>
      <c r="L200" s="94"/>
      <c r="AC200" s="94"/>
    </row>
    <row r="201" spans="10:29" ht="15.75" customHeight="1" x14ac:dyDescent="0.25">
      <c r="J201" s="94"/>
      <c r="L201" s="94"/>
      <c r="AC201" s="94"/>
    </row>
    <row r="202" spans="10:29" ht="15.75" customHeight="1" x14ac:dyDescent="0.25">
      <c r="J202" s="94"/>
      <c r="L202" s="94"/>
      <c r="AC202" s="94"/>
    </row>
    <row r="203" spans="10:29" ht="15.75" customHeight="1" x14ac:dyDescent="0.25">
      <c r="J203" s="94"/>
      <c r="L203" s="94"/>
      <c r="AC203" s="94"/>
    </row>
    <row r="204" spans="10:29" ht="15.75" customHeight="1" x14ac:dyDescent="0.25">
      <c r="J204" s="94"/>
      <c r="L204" s="94"/>
      <c r="AC204" s="94"/>
    </row>
    <row r="205" spans="10:29" ht="15.75" customHeight="1" x14ac:dyDescent="0.25">
      <c r="J205" s="94"/>
      <c r="L205" s="94"/>
      <c r="AC205" s="94"/>
    </row>
    <row r="206" spans="10:29" ht="15.75" customHeight="1" x14ac:dyDescent="0.25">
      <c r="J206" s="94"/>
      <c r="L206" s="94"/>
      <c r="AC206" s="94"/>
    </row>
    <row r="207" spans="10:29" ht="15.75" customHeight="1" x14ac:dyDescent="0.25">
      <c r="J207" s="94"/>
      <c r="L207" s="94"/>
      <c r="AC207" s="94"/>
    </row>
    <row r="208" spans="10:29" ht="15.75" customHeight="1" x14ac:dyDescent="0.25">
      <c r="J208" s="94"/>
      <c r="L208" s="94"/>
      <c r="AC208" s="94"/>
    </row>
    <row r="209" spans="10:29" ht="15.75" customHeight="1" x14ac:dyDescent="0.25">
      <c r="J209" s="94"/>
      <c r="L209" s="94"/>
      <c r="AC209" s="94"/>
    </row>
    <row r="210" spans="10:29" ht="15.75" customHeight="1" x14ac:dyDescent="0.25">
      <c r="J210" s="94"/>
      <c r="L210" s="94"/>
      <c r="AC210" s="94"/>
    </row>
    <row r="211" spans="10:29" ht="15.75" customHeight="1" x14ac:dyDescent="0.25">
      <c r="J211" s="94"/>
      <c r="L211" s="94"/>
      <c r="AC211" s="94"/>
    </row>
    <row r="212" spans="10:29" ht="15.75" customHeight="1" x14ac:dyDescent="0.25">
      <c r="J212" s="94"/>
      <c r="L212" s="94"/>
      <c r="AC212" s="94"/>
    </row>
    <row r="213" spans="10:29" ht="15.75" customHeight="1" x14ac:dyDescent="0.25">
      <c r="J213" s="94"/>
      <c r="L213" s="94"/>
      <c r="AC213" s="94"/>
    </row>
    <row r="214" spans="10:29" ht="15.75" customHeight="1" x14ac:dyDescent="0.25">
      <c r="J214" s="94"/>
      <c r="L214" s="94"/>
      <c r="AC214" s="94"/>
    </row>
    <row r="215" spans="10:29" ht="15.75" customHeight="1" x14ac:dyDescent="0.25">
      <c r="J215" s="94"/>
      <c r="L215" s="94"/>
      <c r="AC215" s="94"/>
    </row>
    <row r="216" spans="10:29" ht="15.75" customHeight="1" x14ac:dyDescent="0.25">
      <c r="J216" s="94"/>
      <c r="L216" s="94"/>
      <c r="AC216" s="94"/>
    </row>
    <row r="217" spans="10:29" ht="15.75" customHeight="1" x14ac:dyDescent="0.25">
      <c r="J217" s="94"/>
      <c r="L217" s="94"/>
      <c r="AC217" s="94"/>
    </row>
    <row r="218" spans="10:29" ht="15.75" customHeight="1" x14ac:dyDescent="0.25">
      <c r="J218" s="94"/>
      <c r="L218" s="94"/>
      <c r="AC218" s="94"/>
    </row>
    <row r="219" spans="10:29" ht="15.75" customHeight="1" x14ac:dyDescent="0.25">
      <c r="J219" s="94"/>
      <c r="L219" s="94"/>
      <c r="AC219" s="94"/>
    </row>
    <row r="220" spans="10:29" ht="15.75" customHeight="1" x14ac:dyDescent="0.25">
      <c r="J220" s="94"/>
      <c r="L220" s="94"/>
      <c r="AC220" s="94"/>
    </row>
    <row r="221" spans="10:29" ht="15.75" customHeight="1" x14ac:dyDescent="0.25">
      <c r="J221" s="94"/>
      <c r="L221" s="94"/>
      <c r="AC221" s="94"/>
    </row>
    <row r="222" spans="10:29" ht="15.75" customHeight="1" x14ac:dyDescent="0.25">
      <c r="J222" s="94"/>
      <c r="L222" s="94"/>
      <c r="AC222" s="94"/>
    </row>
    <row r="223" spans="10:29" ht="15.75" customHeight="1" x14ac:dyDescent="0.25">
      <c r="J223" s="94"/>
      <c r="L223" s="94"/>
      <c r="AC223" s="94"/>
    </row>
    <row r="224" spans="10:29" ht="15.75" customHeight="1" x14ac:dyDescent="0.25">
      <c r="J224" s="94"/>
      <c r="L224" s="94"/>
      <c r="AC224" s="94"/>
    </row>
    <row r="225" spans="10:29" ht="15.75" customHeight="1" x14ac:dyDescent="0.25">
      <c r="J225" s="94"/>
      <c r="L225" s="94"/>
      <c r="AC225" s="94"/>
    </row>
    <row r="226" spans="10:29" ht="15.75" customHeight="1" x14ac:dyDescent="0.25">
      <c r="J226" s="94"/>
      <c r="L226" s="94"/>
      <c r="AC226" s="94"/>
    </row>
    <row r="227" spans="10:29" ht="15.75" customHeight="1" x14ac:dyDescent="0.25">
      <c r="J227" s="94"/>
      <c r="L227" s="94"/>
      <c r="AC227" s="94"/>
    </row>
    <row r="228" spans="10:29" ht="15.75" customHeight="1" x14ac:dyDescent="0.25">
      <c r="J228" s="94"/>
      <c r="L228" s="94"/>
      <c r="AC228" s="94"/>
    </row>
    <row r="229" spans="10:29" ht="15.75" customHeight="1" x14ac:dyDescent="0.25">
      <c r="J229" s="94"/>
      <c r="L229" s="94"/>
      <c r="AC229" s="94"/>
    </row>
    <row r="230" spans="10:29" ht="15.75" customHeight="1" x14ac:dyDescent="0.25">
      <c r="J230" s="94"/>
      <c r="L230" s="94"/>
      <c r="AC230" s="94"/>
    </row>
    <row r="231" spans="10:29" ht="15.75" customHeight="1" x14ac:dyDescent="0.25">
      <c r="J231" s="94"/>
      <c r="L231" s="94"/>
      <c r="AC231" s="94"/>
    </row>
    <row r="232" spans="10:29" ht="15.75" customHeight="1" x14ac:dyDescent="0.25">
      <c r="J232" s="94"/>
      <c r="L232" s="94"/>
      <c r="AC232" s="94"/>
    </row>
    <row r="233" spans="10:29" ht="15.75" customHeight="1" x14ac:dyDescent="0.25">
      <c r="J233" s="94"/>
      <c r="L233" s="94"/>
      <c r="AC233" s="94"/>
    </row>
    <row r="234" spans="10:29" ht="15.75" customHeight="1" x14ac:dyDescent="0.25">
      <c r="J234" s="94"/>
      <c r="L234" s="94"/>
      <c r="AC234" s="94"/>
    </row>
    <row r="235" spans="10:29" ht="15.75" customHeight="1" x14ac:dyDescent="0.25">
      <c r="J235" s="94"/>
      <c r="L235" s="94"/>
      <c r="AC235" s="94"/>
    </row>
    <row r="236" spans="10:29" ht="15.75" customHeight="1" x14ac:dyDescent="0.25">
      <c r="J236" s="94"/>
      <c r="L236" s="94"/>
      <c r="AC236" s="94"/>
    </row>
    <row r="237" spans="10:29" ht="15.75" customHeight="1" x14ac:dyDescent="0.25">
      <c r="J237" s="94"/>
      <c r="L237" s="94"/>
      <c r="AC237" s="94"/>
    </row>
    <row r="238" spans="10:29" ht="15.75" customHeight="1" x14ac:dyDescent="0.25">
      <c r="J238" s="94"/>
      <c r="L238" s="94"/>
      <c r="AC238" s="94"/>
    </row>
    <row r="239" spans="10:29" ht="15.75" customHeight="1" x14ac:dyDescent="0.25">
      <c r="J239" s="94"/>
      <c r="L239" s="94"/>
      <c r="AC239" s="94"/>
    </row>
    <row r="240" spans="10:29" ht="15.75" customHeight="1" x14ac:dyDescent="0.25">
      <c r="J240" s="94"/>
      <c r="L240" s="94"/>
      <c r="AC240" s="94"/>
    </row>
    <row r="241" spans="10:29" ht="15.75" customHeight="1" x14ac:dyDescent="0.25">
      <c r="J241" s="94"/>
      <c r="L241" s="94"/>
      <c r="AC241" s="94"/>
    </row>
    <row r="242" spans="10:29" ht="15.75" customHeight="1" x14ac:dyDescent="0.25">
      <c r="J242" s="94"/>
      <c r="L242" s="94"/>
      <c r="AC242" s="94"/>
    </row>
    <row r="243" spans="10:29" ht="15.75" customHeight="1" x14ac:dyDescent="0.25">
      <c r="J243" s="94"/>
      <c r="L243" s="94"/>
      <c r="AC243" s="94"/>
    </row>
    <row r="244" spans="10:29" ht="15.75" customHeight="1" x14ac:dyDescent="0.25">
      <c r="J244" s="94"/>
      <c r="L244" s="94"/>
      <c r="AC244" s="94"/>
    </row>
    <row r="245" spans="10:29" ht="15.75" customHeight="1" x14ac:dyDescent="0.25">
      <c r="J245" s="94"/>
      <c r="L245" s="94"/>
      <c r="AC245" s="94"/>
    </row>
    <row r="246" spans="10:29" ht="15.75" customHeight="1" x14ac:dyDescent="0.25">
      <c r="J246" s="94"/>
      <c r="L246" s="94"/>
      <c r="AC246" s="94"/>
    </row>
    <row r="247" spans="10:29" ht="15.75" customHeight="1" x14ac:dyDescent="0.25">
      <c r="J247" s="94"/>
      <c r="L247" s="94"/>
      <c r="AC247" s="94"/>
    </row>
    <row r="248" spans="10:29" ht="15.75" customHeight="1" x14ac:dyDescent="0.25">
      <c r="J248" s="94"/>
      <c r="L248" s="94"/>
      <c r="AC248" s="94"/>
    </row>
    <row r="249" spans="10:29" ht="15.75" customHeight="1" x14ac:dyDescent="0.25">
      <c r="J249" s="94"/>
      <c r="L249" s="94"/>
      <c r="AC249" s="94"/>
    </row>
    <row r="250" spans="10:29" ht="15.75" customHeight="1" x14ac:dyDescent="0.25">
      <c r="J250" s="94"/>
      <c r="L250" s="94"/>
      <c r="AC250" s="94"/>
    </row>
    <row r="251" spans="10:29" ht="15.75" customHeight="1" x14ac:dyDescent="0.25">
      <c r="J251" s="94"/>
      <c r="L251" s="94"/>
      <c r="AC251" s="94"/>
    </row>
    <row r="252" spans="10:29" ht="15.75" customHeight="1" x14ac:dyDescent="0.25">
      <c r="J252" s="94"/>
      <c r="L252" s="94"/>
      <c r="AC252" s="94"/>
    </row>
    <row r="253" spans="10:29" ht="15.75" customHeight="1" x14ac:dyDescent="0.25">
      <c r="J253" s="94"/>
      <c r="L253" s="94"/>
      <c r="AC253" s="94"/>
    </row>
    <row r="254" spans="10:29" ht="15.75" customHeight="1" x14ac:dyDescent="0.25">
      <c r="J254" s="94"/>
      <c r="L254" s="94"/>
      <c r="AC254" s="94"/>
    </row>
    <row r="255" spans="10:29" ht="15.75" customHeight="1" x14ac:dyDescent="0.25">
      <c r="J255" s="94"/>
      <c r="L255" s="94"/>
      <c r="AC255" s="94"/>
    </row>
    <row r="256" spans="10:29" ht="15.75" customHeight="1" x14ac:dyDescent="0.25">
      <c r="J256" s="94"/>
      <c r="L256" s="94"/>
      <c r="AC256" s="94"/>
    </row>
    <row r="257" spans="10:29" ht="15.75" customHeight="1" x14ac:dyDescent="0.25">
      <c r="J257" s="94"/>
      <c r="L257" s="94"/>
      <c r="AC257" s="94"/>
    </row>
    <row r="258" spans="10:29" ht="15.75" customHeight="1" x14ac:dyDescent="0.25">
      <c r="J258" s="94"/>
      <c r="L258" s="94"/>
      <c r="AC258" s="94"/>
    </row>
    <row r="259" spans="10:29" ht="15.75" customHeight="1" x14ac:dyDescent="0.25">
      <c r="J259" s="94"/>
      <c r="L259" s="94"/>
      <c r="AC259" s="94"/>
    </row>
    <row r="260" spans="10:29" ht="15.75" customHeight="1" x14ac:dyDescent="0.25">
      <c r="J260" s="94"/>
      <c r="L260" s="94"/>
      <c r="AC260" s="94"/>
    </row>
    <row r="261" spans="10:29" ht="15.75" customHeight="1" x14ac:dyDescent="0.25">
      <c r="J261" s="94"/>
      <c r="L261" s="94"/>
      <c r="AC261" s="94"/>
    </row>
    <row r="262" spans="10:29" ht="15.75" customHeight="1" x14ac:dyDescent="0.25">
      <c r="J262" s="94"/>
      <c r="L262" s="94"/>
      <c r="AC262" s="94"/>
    </row>
    <row r="263" spans="10:29" ht="15.75" customHeight="1" x14ac:dyDescent="0.25">
      <c r="J263" s="94"/>
      <c r="L263" s="94"/>
      <c r="AC263" s="94"/>
    </row>
    <row r="264" spans="10:29" ht="15.75" customHeight="1" x14ac:dyDescent="0.25">
      <c r="J264" s="94"/>
      <c r="L264" s="94"/>
      <c r="AC264" s="94"/>
    </row>
    <row r="265" spans="10:29" ht="15.75" customHeight="1" x14ac:dyDescent="0.25">
      <c r="J265" s="94"/>
      <c r="L265" s="94"/>
      <c r="AC265" s="94"/>
    </row>
    <row r="266" spans="10:29" ht="15.75" customHeight="1" x14ac:dyDescent="0.25">
      <c r="J266" s="94"/>
      <c r="L266" s="94"/>
      <c r="AC266" s="94"/>
    </row>
    <row r="267" spans="10:29" ht="15.75" customHeight="1" x14ac:dyDescent="0.25">
      <c r="J267" s="94"/>
      <c r="L267" s="94"/>
      <c r="AC267" s="94"/>
    </row>
    <row r="268" spans="10:29" ht="15.75" customHeight="1" x14ac:dyDescent="0.25">
      <c r="J268" s="94"/>
      <c r="L268" s="94"/>
      <c r="AC268" s="94"/>
    </row>
    <row r="269" spans="10:29" ht="15.75" customHeight="1" x14ac:dyDescent="0.25">
      <c r="J269" s="94"/>
      <c r="L269" s="94"/>
      <c r="AC269" s="94"/>
    </row>
    <row r="270" spans="10:29" ht="15.75" customHeight="1" x14ac:dyDescent="0.25">
      <c r="J270" s="94"/>
      <c r="L270" s="94"/>
      <c r="AC270" s="94"/>
    </row>
    <row r="271" spans="10:29" ht="15.75" customHeight="1" x14ac:dyDescent="0.25">
      <c r="J271" s="94"/>
      <c r="L271" s="94"/>
      <c r="AC271" s="94"/>
    </row>
    <row r="272" spans="10:29" ht="15.75" customHeight="1" x14ac:dyDescent="0.25">
      <c r="J272" s="94"/>
      <c r="L272" s="94"/>
      <c r="AC272" s="94"/>
    </row>
    <row r="273" spans="10:29" ht="15.75" customHeight="1" x14ac:dyDescent="0.25">
      <c r="J273" s="94"/>
      <c r="L273" s="94"/>
      <c r="AC273" s="94"/>
    </row>
    <row r="274" spans="10:29" ht="15.75" customHeight="1" x14ac:dyDescent="0.25">
      <c r="J274" s="94"/>
      <c r="L274" s="94"/>
      <c r="AC274" s="94"/>
    </row>
    <row r="275" spans="10:29" ht="15.75" customHeight="1" x14ac:dyDescent="0.25">
      <c r="J275" s="94"/>
      <c r="L275" s="94"/>
      <c r="AC275" s="94"/>
    </row>
    <row r="276" spans="10:29" ht="15.75" customHeight="1" x14ac:dyDescent="0.25">
      <c r="J276" s="94"/>
      <c r="L276" s="94"/>
      <c r="AC276" s="94"/>
    </row>
    <row r="277" spans="10:29" ht="15.75" customHeight="1" x14ac:dyDescent="0.25">
      <c r="J277" s="94"/>
      <c r="L277" s="94"/>
      <c r="AC277" s="94"/>
    </row>
    <row r="278" spans="10:29" ht="15.75" customHeight="1" x14ac:dyDescent="0.25">
      <c r="J278" s="94"/>
      <c r="L278" s="94"/>
      <c r="AC278" s="94"/>
    </row>
    <row r="279" spans="10:29" ht="15.75" customHeight="1" x14ac:dyDescent="0.25">
      <c r="J279" s="94"/>
      <c r="L279" s="94"/>
      <c r="AC279" s="94"/>
    </row>
    <row r="280" spans="10:29" ht="15.75" customHeight="1" x14ac:dyDescent="0.25">
      <c r="J280" s="94"/>
      <c r="L280" s="94"/>
      <c r="AC280" s="94"/>
    </row>
    <row r="281" spans="10:29" ht="15.75" customHeight="1" x14ac:dyDescent="0.25">
      <c r="J281" s="94"/>
      <c r="L281" s="94"/>
      <c r="AC281" s="94"/>
    </row>
    <row r="282" spans="10:29" ht="15.75" customHeight="1" x14ac:dyDescent="0.25">
      <c r="J282" s="94"/>
      <c r="L282" s="94"/>
      <c r="AC282" s="94"/>
    </row>
    <row r="283" spans="10:29" ht="15.75" customHeight="1" x14ac:dyDescent="0.25">
      <c r="J283" s="94"/>
      <c r="L283" s="94"/>
      <c r="AC283" s="94"/>
    </row>
    <row r="284" spans="10:29" ht="15.75" customHeight="1" x14ac:dyDescent="0.25">
      <c r="J284" s="94"/>
      <c r="L284" s="94"/>
      <c r="AC284" s="94"/>
    </row>
    <row r="285" spans="10:29" ht="15.75" customHeight="1" x14ac:dyDescent="0.25">
      <c r="J285" s="94"/>
      <c r="L285" s="94"/>
      <c r="AC285" s="94"/>
    </row>
    <row r="286" spans="10:29" ht="15.75" customHeight="1" x14ac:dyDescent="0.25">
      <c r="J286" s="94"/>
      <c r="L286" s="94"/>
      <c r="AC286" s="94"/>
    </row>
    <row r="287" spans="10:29" ht="15.75" customHeight="1" x14ac:dyDescent="0.25">
      <c r="J287" s="94"/>
      <c r="L287" s="94"/>
      <c r="AC287" s="94"/>
    </row>
    <row r="288" spans="10:29" ht="15.75" customHeight="1" x14ac:dyDescent="0.25">
      <c r="J288" s="94"/>
      <c r="L288" s="94"/>
      <c r="AC288" s="94"/>
    </row>
    <row r="289" spans="10:29" ht="15.75" customHeight="1" x14ac:dyDescent="0.25">
      <c r="J289" s="94"/>
      <c r="L289" s="94"/>
      <c r="AC289" s="94"/>
    </row>
    <row r="290" spans="10:29" ht="15.75" customHeight="1" x14ac:dyDescent="0.25">
      <c r="J290" s="94"/>
      <c r="L290" s="94"/>
      <c r="AC290" s="94"/>
    </row>
    <row r="291" spans="10:29" ht="15.75" customHeight="1" x14ac:dyDescent="0.25">
      <c r="J291" s="94"/>
      <c r="L291" s="94"/>
      <c r="AC291" s="94"/>
    </row>
    <row r="292" spans="10:29" ht="15.75" customHeight="1" x14ac:dyDescent="0.25">
      <c r="J292" s="94"/>
      <c r="L292" s="94"/>
      <c r="AC292" s="94"/>
    </row>
    <row r="293" spans="10:29" ht="15.75" customHeight="1" x14ac:dyDescent="0.25">
      <c r="J293" s="94"/>
      <c r="L293" s="94"/>
      <c r="AC293" s="94"/>
    </row>
    <row r="294" spans="10:29" ht="15.75" customHeight="1" x14ac:dyDescent="0.25">
      <c r="J294" s="94"/>
      <c r="L294" s="94"/>
      <c r="AC294" s="94"/>
    </row>
    <row r="295" spans="10:29" ht="15.75" customHeight="1" x14ac:dyDescent="0.25">
      <c r="J295" s="94"/>
      <c r="L295" s="94"/>
      <c r="AC295" s="94"/>
    </row>
    <row r="296" spans="10:29" ht="15.75" customHeight="1" x14ac:dyDescent="0.25">
      <c r="J296" s="94"/>
      <c r="L296" s="94"/>
      <c r="AC296" s="94"/>
    </row>
    <row r="297" spans="10:29" ht="15.75" customHeight="1" x14ac:dyDescent="0.25">
      <c r="J297" s="94"/>
      <c r="L297" s="94"/>
      <c r="AC297" s="94"/>
    </row>
    <row r="298" spans="10:29" ht="15.75" customHeight="1" x14ac:dyDescent="0.25">
      <c r="J298" s="94"/>
      <c r="L298" s="94"/>
      <c r="AC298" s="94"/>
    </row>
    <row r="299" spans="10:29" ht="15.75" customHeight="1" x14ac:dyDescent="0.25">
      <c r="J299" s="94"/>
      <c r="L299" s="94"/>
      <c r="AC299" s="94"/>
    </row>
    <row r="300" spans="10:29" ht="15.75" customHeight="1" x14ac:dyDescent="0.25">
      <c r="J300" s="94"/>
      <c r="L300" s="94"/>
      <c r="AC300" s="94"/>
    </row>
    <row r="301" spans="10:29" ht="15.75" customHeight="1" x14ac:dyDescent="0.25">
      <c r="J301" s="94"/>
      <c r="L301" s="94"/>
      <c r="AC301" s="94"/>
    </row>
    <row r="302" spans="10:29" ht="15.75" customHeight="1" x14ac:dyDescent="0.25">
      <c r="J302" s="94"/>
      <c r="L302" s="94"/>
      <c r="AC302" s="94"/>
    </row>
    <row r="303" spans="10:29" ht="15.75" customHeight="1" x14ac:dyDescent="0.25">
      <c r="J303" s="94"/>
      <c r="L303" s="94"/>
      <c r="AC303" s="94"/>
    </row>
    <row r="304" spans="10:29" ht="15.75" customHeight="1" x14ac:dyDescent="0.25">
      <c r="J304" s="94"/>
      <c r="L304" s="94"/>
      <c r="AC304" s="94"/>
    </row>
    <row r="305" spans="10:29" ht="15.75" customHeight="1" x14ac:dyDescent="0.25">
      <c r="J305" s="94"/>
      <c r="L305" s="94"/>
      <c r="AC305" s="94"/>
    </row>
    <row r="306" spans="10:29" ht="15.75" customHeight="1" x14ac:dyDescent="0.25">
      <c r="J306" s="94"/>
      <c r="L306" s="94"/>
      <c r="AC306" s="94"/>
    </row>
    <row r="307" spans="10:29" ht="15.75" customHeight="1" x14ac:dyDescent="0.25">
      <c r="J307" s="94"/>
      <c r="L307" s="94"/>
      <c r="AC307" s="94"/>
    </row>
    <row r="308" spans="10:29" ht="15.75" customHeight="1" x14ac:dyDescent="0.25">
      <c r="J308" s="94"/>
      <c r="L308" s="94"/>
      <c r="AC308" s="94"/>
    </row>
    <row r="309" spans="10:29" ht="15.75" customHeight="1" x14ac:dyDescent="0.25">
      <c r="J309" s="94"/>
      <c r="L309" s="94"/>
      <c r="AC309" s="94"/>
    </row>
    <row r="310" spans="10:29" ht="15.75" customHeight="1" x14ac:dyDescent="0.25">
      <c r="J310" s="94"/>
      <c r="L310" s="94"/>
      <c r="AC310" s="94"/>
    </row>
    <row r="311" spans="10:29" ht="15.75" customHeight="1" x14ac:dyDescent="0.25">
      <c r="J311" s="94"/>
      <c r="L311" s="94"/>
      <c r="AC311" s="94"/>
    </row>
    <row r="312" spans="10:29" ht="15.75" customHeight="1" x14ac:dyDescent="0.25">
      <c r="J312" s="94"/>
      <c r="L312" s="94"/>
      <c r="AC312" s="94"/>
    </row>
    <row r="313" spans="10:29" ht="15.75" customHeight="1" x14ac:dyDescent="0.25">
      <c r="J313" s="94"/>
      <c r="L313" s="94"/>
      <c r="AC313" s="94"/>
    </row>
    <row r="314" spans="10:29" ht="15.75" customHeight="1" x14ac:dyDescent="0.25">
      <c r="J314" s="94"/>
      <c r="L314" s="94"/>
      <c r="AC314" s="94"/>
    </row>
    <row r="315" spans="10:29" ht="15.75" customHeight="1" x14ac:dyDescent="0.25">
      <c r="J315" s="94"/>
      <c r="L315" s="94"/>
      <c r="AC315" s="94"/>
    </row>
    <row r="316" spans="10:29" ht="15.75" customHeight="1" x14ac:dyDescent="0.25">
      <c r="J316" s="94"/>
      <c r="L316" s="94"/>
      <c r="AC316" s="94"/>
    </row>
    <row r="317" spans="10:29" ht="15.75" customHeight="1" x14ac:dyDescent="0.25">
      <c r="J317" s="94"/>
      <c r="L317" s="94"/>
      <c r="AC317" s="94"/>
    </row>
    <row r="318" spans="10:29" ht="15.75" customHeight="1" x14ac:dyDescent="0.25">
      <c r="J318" s="94"/>
      <c r="L318" s="94"/>
      <c r="AC318" s="94"/>
    </row>
    <row r="319" spans="10:29" ht="15.75" customHeight="1" x14ac:dyDescent="0.25">
      <c r="J319" s="94"/>
      <c r="L319" s="94"/>
      <c r="AC319" s="94"/>
    </row>
    <row r="320" spans="10:29" ht="15.75" customHeight="1" x14ac:dyDescent="0.25">
      <c r="J320" s="94"/>
      <c r="L320" s="94"/>
      <c r="AC320" s="94"/>
    </row>
    <row r="321" spans="10:29" ht="15.75" customHeight="1" x14ac:dyDescent="0.25">
      <c r="J321" s="94"/>
      <c r="L321" s="94"/>
      <c r="AC321" s="94"/>
    </row>
    <row r="322" spans="10:29" ht="15.75" customHeight="1" x14ac:dyDescent="0.25">
      <c r="J322" s="94"/>
      <c r="L322" s="94"/>
      <c r="AC322" s="94"/>
    </row>
    <row r="323" spans="10:29" ht="15.75" customHeight="1" x14ac:dyDescent="0.25">
      <c r="J323" s="94"/>
      <c r="L323" s="94"/>
      <c r="AC323" s="94"/>
    </row>
    <row r="324" spans="10:29" ht="15.75" customHeight="1" x14ac:dyDescent="0.25">
      <c r="J324" s="94"/>
      <c r="L324" s="94"/>
      <c r="AC324" s="94"/>
    </row>
    <row r="325" spans="10:29" ht="15.75" customHeight="1" x14ac:dyDescent="0.25">
      <c r="J325" s="94"/>
      <c r="L325" s="94"/>
      <c r="AC325" s="94"/>
    </row>
    <row r="326" spans="10:29" ht="15.75" customHeight="1" x14ac:dyDescent="0.25">
      <c r="J326" s="94"/>
      <c r="L326" s="94"/>
      <c r="AC326" s="94"/>
    </row>
    <row r="327" spans="10:29" ht="15.75" customHeight="1" x14ac:dyDescent="0.25">
      <c r="J327" s="94"/>
      <c r="L327" s="94"/>
      <c r="AC327" s="94"/>
    </row>
    <row r="328" spans="10:29" ht="15.75" customHeight="1" x14ac:dyDescent="0.25">
      <c r="J328" s="94"/>
      <c r="L328" s="94"/>
      <c r="AC328" s="94"/>
    </row>
    <row r="329" spans="10:29" ht="15.75" customHeight="1" x14ac:dyDescent="0.25">
      <c r="J329" s="94"/>
      <c r="L329" s="94"/>
      <c r="AC329" s="94"/>
    </row>
    <row r="330" spans="10:29" ht="15.75" customHeight="1" x14ac:dyDescent="0.25">
      <c r="J330" s="94"/>
      <c r="L330" s="94"/>
      <c r="AC330" s="94"/>
    </row>
    <row r="331" spans="10:29" ht="15.75" customHeight="1" x14ac:dyDescent="0.25">
      <c r="J331" s="94"/>
      <c r="L331" s="94"/>
      <c r="AC331" s="94"/>
    </row>
    <row r="332" spans="10:29" ht="15.75" customHeight="1" x14ac:dyDescent="0.25">
      <c r="J332" s="94"/>
      <c r="L332" s="94"/>
      <c r="AC332" s="94"/>
    </row>
    <row r="333" spans="10:29" ht="15.75" customHeight="1" x14ac:dyDescent="0.25">
      <c r="J333" s="94"/>
      <c r="L333" s="94"/>
      <c r="AC333" s="94"/>
    </row>
    <row r="334" spans="10:29" ht="15.75" customHeight="1" x14ac:dyDescent="0.25">
      <c r="J334" s="94"/>
      <c r="L334" s="94"/>
      <c r="AC334" s="94"/>
    </row>
    <row r="335" spans="10:29" ht="15.75" customHeight="1" x14ac:dyDescent="0.25">
      <c r="J335" s="94"/>
      <c r="L335" s="94"/>
      <c r="AC335" s="94"/>
    </row>
    <row r="336" spans="10:29" ht="15.75" customHeight="1" x14ac:dyDescent="0.25">
      <c r="J336" s="94"/>
      <c r="L336" s="94"/>
      <c r="AC336" s="94"/>
    </row>
    <row r="337" spans="10:29" ht="15.75" customHeight="1" x14ac:dyDescent="0.25">
      <c r="J337" s="94"/>
      <c r="L337" s="94"/>
      <c r="AC337" s="94"/>
    </row>
    <row r="338" spans="10:29" ht="15.75" customHeight="1" x14ac:dyDescent="0.25">
      <c r="J338" s="94"/>
      <c r="L338" s="94"/>
      <c r="AC338" s="94"/>
    </row>
    <row r="339" spans="10:29" ht="15.75" customHeight="1" x14ac:dyDescent="0.25">
      <c r="J339" s="94"/>
      <c r="L339" s="94"/>
      <c r="AC339" s="94"/>
    </row>
    <row r="340" spans="10:29" ht="15.75" customHeight="1" x14ac:dyDescent="0.25">
      <c r="J340" s="94"/>
      <c r="L340" s="94"/>
      <c r="AC340" s="94"/>
    </row>
    <row r="341" spans="10:29" ht="15.75" customHeight="1" x14ac:dyDescent="0.25">
      <c r="J341" s="94"/>
      <c r="L341" s="94"/>
      <c r="AC341" s="94"/>
    </row>
    <row r="342" spans="10:29" ht="15.75" customHeight="1" x14ac:dyDescent="0.25">
      <c r="J342" s="94"/>
      <c r="L342" s="94"/>
      <c r="AC342" s="94"/>
    </row>
    <row r="343" spans="10:29" ht="15.75" customHeight="1" x14ac:dyDescent="0.25">
      <c r="J343" s="94"/>
      <c r="L343" s="94"/>
      <c r="AC343" s="94"/>
    </row>
    <row r="344" spans="10:29" ht="15.75" customHeight="1" x14ac:dyDescent="0.25">
      <c r="J344" s="94"/>
      <c r="L344" s="94"/>
      <c r="AC344" s="94"/>
    </row>
    <row r="345" spans="10:29" ht="15.75" customHeight="1" x14ac:dyDescent="0.25">
      <c r="J345" s="94"/>
      <c r="L345" s="94"/>
      <c r="AC345" s="94"/>
    </row>
    <row r="346" spans="10:29" ht="15.75" customHeight="1" x14ac:dyDescent="0.25">
      <c r="J346" s="94"/>
      <c r="L346" s="94"/>
      <c r="AC346" s="94"/>
    </row>
    <row r="347" spans="10:29" ht="15.75" customHeight="1" x14ac:dyDescent="0.25">
      <c r="J347" s="94"/>
      <c r="L347" s="94"/>
      <c r="AC347" s="94"/>
    </row>
    <row r="348" spans="10:29" ht="15.75" customHeight="1" x14ac:dyDescent="0.25">
      <c r="J348" s="94"/>
      <c r="L348" s="94"/>
      <c r="AC348" s="94"/>
    </row>
    <row r="349" spans="10:29" ht="15.75" customHeight="1" x14ac:dyDescent="0.25">
      <c r="J349" s="94"/>
      <c r="L349" s="94"/>
      <c r="AC349" s="94"/>
    </row>
    <row r="350" spans="10:29" ht="15.75" customHeight="1" x14ac:dyDescent="0.25">
      <c r="J350" s="94"/>
      <c r="L350" s="94"/>
      <c r="AC350" s="94"/>
    </row>
    <row r="351" spans="10:29" ht="15.75" customHeight="1" x14ac:dyDescent="0.25">
      <c r="J351" s="94"/>
      <c r="L351" s="94"/>
      <c r="AC351" s="94"/>
    </row>
    <row r="352" spans="10:29" ht="15.75" customHeight="1" x14ac:dyDescent="0.25">
      <c r="J352" s="94"/>
      <c r="L352" s="94"/>
      <c r="AC352" s="94"/>
    </row>
    <row r="353" spans="10:29" ht="15.75" customHeight="1" x14ac:dyDescent="0.25">
      <c r="J353" s="94"/>
      <c r="L353" s="94"/>
      <c r="AC353" s="94"/>
    </row>
    <row r="354" spans="10:29" ht="15.75" customHeight="1" x14ac:dyDescent="0.25">
      <c r="J354" s="94"/>
      <c r="L354" s="94"/>
      <c r="AC354" s="94"/>
    </row>
    <row r="355" spans="10:29" ht="15.75" customHeight="1" x14ac:dyDescent="0.25">
      <c r="J355" s="94"/>
      <c r="L355" s="94"/>
      <c r="AC355" s="94"/>
    </row>
    <row r="356" spans="10:29" ht="15.75" customHeight="1" x14ac:dyDescent="0.25">
      <c r="J356" s="94"/>
      <c r="L356" s="94"/>
      <c r="AC356" s="94"/>
    </row>
    <row r="357" spans="10:29" ht="15.75" customHeight="1" x14ac:dyDescent="0.25">
      <c r="J357" s="94"/>
      <c r="L357" s="94"/>
      <c r="AC357" s="94"/>
    </row>
    <row r="358" spans="10:29" ht="15.75" customHeight="1" x14ac:dyDescent="0.25">
      <c r="J358" s="94"/>
      <c r="L358" s="94"/>
      <c r="AC358" s="94"/>
    </row>
    <row r="359" spans="10:29" ht="15.75" customHeight="1" x14ac:dyDescent="0.25">
      <c r="J359" s="94"/>
      <c r="L359" s="94"/>
      <c r="AC359" s="94"/>
    </row>
    <row r="360" spans="10:29" ht="15.75" customHeight="1" x14ac:dyDescent="0.25">
      <c r="J360" s="94"/>
      <c r="L360" s="94"/>
      <c r="AC360" s="94"/>
    </row>
    <row r="361" spans="10:29" ht="15.75" customHeight="1" x14ac:dyDescent="0.25">
      <c r="J361" s="94"/>
      <c r="L361" s="94"/>
      <c r="AC361" s="94"/>
    </row>
    <row r="362" spans="10:29" ht="15.75" customHeight="1" x14ac:dyDescent="0.25">
      <c r="J362" s="94"/>
      <c r="L362" s="94"/>
      <c r="AC362" s="94"/>
    </row>
    <row r="363" spans="10:29" ht="15.75" customHeight="1" x14ac:dyDescent="0.25">
      <c r="J363" s="94"/>
      <c r="L363" s="94"/>
      <c r="AC363" s="94"/>
    </row>
    <row r="364" spans="10:29" ht="15.75" customHeight="1" x14ac:dyDescent="0.25">
      <c r="J364" s="94"/>
      <c r="L364" s="94"/>
      <c r="AC364" s="94"/>
    </row>
    <row r="365" spans="10:29" ht="15.75" customHeight="1" x14ac:dyDescent="0.25">
      <c r="J365" s="94"/>
      <c r="L365" s="94"/>
      <c r="AC365" s="94"/>
    </row>
    <row r="366" spans="10:29" ht="15.75" customHeight="1" x14ac:dyDescent="0.25">
      <c r="J366" s="94"/>
      <c r="L366" s="94"/>
      <c r="AC366" s="94"/>
    </row>
    <row r="367" spans="10:29" ht="15.75" customHeight="1" x14ac:dyDescent="0.25">
      <c r="J367" s="94"/>
      <c r="L367" s="94"/>
      <c r="AC367" s="94"/>
    </row>
    <row r="368" spans="10:29" ht="15.75" customHeight="1" x14ac:dyDescent="0.25">
      <c r="J368" s="94"/>
      <c r="L368" s="94"/>
      <c r="AC368" s="94"/>
    </row>
    <row r="369" spans="10:29" ht="15.75" customHeight="1" x14ac:dyDescent="0.25">
      <c r="J369" s="94"/>
      <c r="L369" s="94"/>
      <c r="AC369" s="94"/>
    </row>
    <row r="370" spans="10:29" ht="15.75" customHeight="1" x14ac:dyDescent="0.25">
      <c r="J370" s="94"/>
      <c r="L370" s="94"/>
      <c r="AC370" s="94"/>
    </row>
    <row r="371" spans="10:29" ht="15.75" customHeight="1" x14ac:dyDescent="0.25">
      <c r="J371" s="94"/>
      <c r="L371" s="94"/>
      <c r="AC371" s="94"/>
    </row>
    <row r="372" spans="10:29" ht="15.75" customHeight="1" x14ac:dyDescent="0.25">
      <c r="J372" s="94"/>
      <c r="L372" s="94"/>
      <c r="AC372" s="94"/>
    </row>
    <row r="373" spans="10:29" ht="15.75" customHeight="1" x14ac:dyDescent="0.25">
      <c r="J373" s="94"/>
      <c r="L373" s="94"/>
      <c r="AC373" s="94"/>
    </row>
    <row r="374" spans="10:29" ht="15.75" customHeight="1" x14ac:dyDescent="0.25">
      <c r="J374" s="94"/>
      <c r="L374" s="94"/>
      <c r="AC374" s="94"/>
    </row>
    <row r="375" spans="10:29" ht="15.75" customHeight="1" x14ac:dyDescent="0.25">
      <c r="J375" s="94"/>
      <c r="L375" s="94"/>
      <c r="AC375" s="94"/>
    </row>
    <row r="376" spans="10:29" ht="15.75" customHeight="1" x14ac:dyDescent="0.25">
      <c r="J376" s="94"/>
      <c r="L376" s="94"/>
      <c r="AC376" s="94"/>
    </row>
    <row r="377" spans="10:29" ht="15.75" customHeight="1" x14ac:dyDescent="0.25">
      <c r="J377" s="94"/>
      <c r="L377" s="94"/>
      <c r="AC377" s="94"/>
    </row>
    <row r="378" spans="10:29" ht="15.75" customHeight="1" x14ac:dyDescent="0.25">
      <c r="J378" s="94"/>
      <c r="L378" s="94"/>
      <c r="AC378" s="94"/>
    </row>
    <row r="379" spans="10:29" ht="15.75" customHeight="1" x14ac:dyDescent="0.25">
      <c r="J379" s="94"/>
      <c r="L379" s="94"/>
      <c r="AC379" s="94"/>
    </row>
    <row r="380" spans="10:29" ht="15.75" customHeight="1" x14ac:dyDescent="0.25">
      <c r="J380" s="94"/>
      <c r="L380" s="94"/>
      <c r="AC380" s="94"/>
    </row>
    <row r="381" spans="10:29" ht="15.75" customHeight="1" x14ac:dyDescent="0.25">
      <c r="J381" s="94"/>
      <c r="L381" s="94"/>
      <c r="AC381" s="94"/>
    </row>
    <row r="382" spans="10:29" ht="15.75" customHeight="1" x14ac:dyDescent="0.25">
      <c r="J382" s="94"/>
      <c r="L382" s="94"/>
      <c r="AC382" s="94"/>
    </row>
    <row r="383" spans="10:29" ht="15.75" customHeight="1" x14ac:dyDescent="0.25">
      <c r="J383" s="94"/>
      <c r="L383" s="94"/>
      <c r="AC383" s="94"/>
    </row>
    <row r="384" spans="10:29" ht="15.75" customHeight="1" x14ac:dyDescent="0.25">
      <c r="J384" s="94"/>
      <c r="L384" s="94"/>
      <c r="AC384" s="94"/>
    </row>
    <row r="385" spans="10:29" ht="15.75" customHeight="1" x14ac:dyDescent="0.25">
      <c r="J385" s="94"/>
      <c r="L385" s="94"/>
      <c r="AC385" s="94"/>
    </row>
    <row r="386" spans="10:29" ht="15.75" customHeight="1" x14ac:dyDescent="0.25">
      <c r="J386" s="94"/>
      <c r="L386" s="94"/>
      <c r="AC386" s="94"/>
    </row>
    <row r="387" spans="10:29" ht="15.75" customHeight="1" x14ac:dyDescent="0.25">
      <c r="J387" s="94"/>
      <c r="L387" s="94"/>
      <c r="AC387" s="94"/>
    </row>
    <row r="388" spans="10:29" ht="15.75" customHeight="1" x14ac:dyDescent="0.25">
      <c r="J388" s="94"/>
      <c r="L388" s="94"/>
      <c r="AC388" s="94"/>
    </row>
    <row r="389" spans="10:29" ht="15.75" customHeight="1" x14ac:dyDescent="0.25">
      <c r="J389" s="94"/>
      <c r="L389" s="94"/>
      <c r="AC389" s="94"/>
    </row>
    <row r="390" spans="10:29" ht="15.75" customHeight="1" x14ac:dyDescent="0.25">
      <c r="J390" s="94"/>
      <c r="L390" s="94"/>
      <c r="AC390" s="94"/>
    </row>
    <row r="391" spans="10:29" ht="15.75" customHeight="1" x14ac:dyDescent="0.25">
      <c r="J391" s="94"/>
      <c r="L391" s="94"/>
      <c r="AC391" s="94"/>
    </row>
    <row r="392" spans="10:29" ht="15.75" customHeight="1" x14ac:dyDescent="0.25">
      <c r="J392" s="94"/>
      <c r="L392" s="94"/>
      <c r="AC392" s="94"/>
    </row>
    <row r="393" spans="10:29" ht="15.75" customHeight="1" x14ac:dyDescent="0.25">
      <c r="J393" s="94"/>
      <c r="L393" s="94"/>
      <c r="AC393" s="94"/>
    </row>
    <row r="394" spans="10:29" ht="15.75" customHeight="1" x14ac:dyDescent="0.25">
      <c r="J394" s="94"/>
      <c r="L394" s="94"/>
      <c r="AC394" s="94"/>
    </row>
    <row r="395" spans="10:29" ht="15.75" customHeight="1" x14ac:dyDescent="0.25">
      <c r="J395" s="94"/>
      <c r="L395" s="94"/>
      <c r="AC395" s="94"/>
    </row>
    <row r="396" spans="10:29" ht="15.75" customHeight="1" x14ac:dyDescent="0.25">
      <c r="J396" s="94"/>
      <c r="L396" s="94"/>
      <c r="AC396" s="94"/>
    </row>
    <row r="397" spans="10:29" ht="15.75" customHeight="1" x14ac:dyDescent="0.25">
      <c r="J397" s="94"/>
      <c r="L397" s="94"/>
      <c r="AC397" s="94"/>
    </row>
    <row r="398" spans="10:29" ht="15.75" customHeight="1" x14ac:dyDescent="0.25">
      <c r="J398" s="94"/>
      <c r="L398" s="94"/>
      <c r="AC398" s="94"/>
    </row>
    <row r="399" spans="10:29" ht="15.75" customHeight="1" x14ac:dyDescent="0.25">
      <c r="J399" s="94"/>
      <c r="L399" s="94"/>
      <c r="AC399" s="94"/>
    </row>
    <row r="400" spans="10:29" ht="15.75" customHeight="1" x14ac:dyDescent="0.25">
      <c r="J400" s="94"/>
      <c r="L400" s="94"/>
      <c r="AC400" s="94"/>
    </row>
    <row r="401" spans="10:29" ht="15.75" customHeight="1" x14ac:dyDescent="0.25">
      <c r="J401" s="94"/>
      <c r="L401" s="94"/>
      <c r="AC401" s="94"/>
    </row>
    <row r="402" spans="10:29" ht="15.75" customHeight="1" x14ac:dyDescent="0.25">
      <c r="J402" s="94"/>
      <c r="L402" s="94"/>
      <c r="AC402" s="94"/>
    </row>
    <row r="403" spans="10:29" ht="15.75" customHeight="1" x14ac:dyDescent="0.25">
      <c r="J403" s="94"/>
      <c r="L403" s="94"/>
      <c r="AC403" s="94"/>
    </row>
    <row r="404" spans="10:29" ht="15.75" customHeight="1" x14ac:dyDescent="0.25">
      <c r="J404" s="94"/>
      <c r="L404" s="94"/>
      <c r="AC404" s="94"/>
    </row>
    <row r="405" spans="10:29" ht="15.75" customHeight="1" x14ac:dyDescent="0.25">
      <c r="J405" s="94"/>
      <c r="L405" s="94"/>
      <c r="AC405" s="94"/>
    </row>
    <row r="406" spans="10:29" ht="15.75" customHeight="1" x14ac:dyDescent="0.25">
      <c r="J406" s="94"/>
      <c r="L406" s="94"/>
      <c r="AC406" s="94"/>
    </row>
    <row r="407" spans="10:29" ht="15.75" customHeight="1" x14ac:dyDescent="0.25">
      <c r="J407" s="94"/>
      <c r="L407" s="94"/>
      <c r="AC407" s="94"/>
    </row>
    <row r="408" spans="10:29" ht="15.75" customHeight="1" x14ac:dyDescent="0.25">
      <c r="J408" s="94"/>
      <c r="L408" s="94"/>
      <c r="AC408" s="94"/>
    </row>
    <row r="409" spans="10:29" ht="15.75" customHeight="1" x14ac:dyDescent="0.25">
      <c r="J409" s="94"/>
      <c r="L409" s="94"/>
      <c r="AC409" s="94"/>
    </row>
    <row r="410" spans="10:29" ht="15.75" customHeight="1" x14ac:dyDescent="0.25">
      <c r="J410" s="94"/>
      <c r="L410" s="94"/>
      <c r="AC410" s="94"/>
    </row>
    <row r="411" spans="10:29" ht="15.75" customHeight="1" x14ac:dyDescent="0.25">
      <c r="J411" s="94"/>
      <c r="L411" s="94"/>
      <c r="AC411" s="94"/>
    </row>
    <row r="412" spans="10:29" ht="15.75" customHeight="1" x14ac:dyDescent="0.25">
      <c r="J412" s="94"/>
      <c r="L412" s="94"/>
      <c r="AC412" s="94"/>
    </row>
    <row r="413" spans="10:29" ht="15.75" customHeight="1" x14ac:dyDescent="0.25">
      <c r="J413" s="94"/>
      <c r="L413" s="94"/>
      <c r="AC413" s="94"/>
    </row>
    <row r="414" spans="10:29" ht="15.75" customHeight="1" x14ac:dyDescent="0.25">
      <c r="J414" s="94"/>
      <c r="L414" s="94"/>
      <c r="AC414" s="94"/>
    </row>
    <row r="415" spans="10:29" ht="15.75" customHeight="1" x14ac:dyDescent="0.25">
      <c r="J415" s="94"/>
      <c r="L415" s="94"/>
      <c r="AC415" s="94"/>
    </row>
    <row r="416" spans="10:29" ht="15.75" customHeight="1" x14ac:dyDescent="0.25">
      <c r="J416" s="94"/>
      <c r="L416" s="94"/>
      <c r="AC416" s="94"/>
    </row>
    <row r="417" spans="10:29" ht="15.75" customHeight="1" x14ac:dyDescent="0.25">
      <c r="J417" s="94"/>
      <c r="L417" s="94"/>
      <c r="AC417" s="94"/>
    </row>
    <row r="418" spans="10:29" ht="15.75" customHeight="1" x14ac:dyDescent="0.25">
      <c r="J418" s="94"/>
      <c r="L418" s="94"/>
      <c r="AC418" s="94"/>
    </row>
    <row r="419" spans="10:29" ht="15.75" customHeight="1" x14ac:dyDescent="0.25">
      <c r="J419" s="94"/>
      <c r="L419" s="94"/>
      <c r="AC419" s="94"/>
    </row>
    <row r="420" spans="10:29" ht="15.75" customHeight="1" x14ac:dyDescent="0.25">
      <c r="J420" s="94"/>
      <c r="L420" s="94"/>
      <c r="AC420" s="94"/>
    </row>
    <row r="421" spans="10:29" ht="15.75" customHeight="1" x14ac:dyDescent="0.25">
      <c r="J421" s="94"/>
      <c r="L421" s="94"/>
      <c r="AC421" s="94"/>
    </row>
    <row r="422" spans="10:29" ht="15.75" customHeight="1" x14ac:dyDescent="0.25">
      <c r="J422" s="94"/>
      <c r="L422" s="94"/>
      <c r="AC422" s="94"/>
    </row>
    <row r="423" spans="10:29" ht="15.75" customHeight="1" x14ac:dyDescent="0.25">
      <c r="J423" s="94"/>
      <c r="L423" s="94"/>
      <c r="AC423" s="94"/>
    </row>
    <row r="424" spans="10:29" ht="15.75" customHeight="1" x14ac:dyDescent="0.25">
      <c r="J424" s="94"/>
      <c r="L424" s="94"/>
      <c r="AC424" s="94"/>
    </row>
    <row r="425" spans="10:29" ht="15.75" customHeight="1" x14ac:dyDescent="0.25">
      <c r="J425" s="94"/>
      <c r="L425" s="94"/>
      <c r="AC425" s="94"/>
    </row>
    <row r="426" spans="10:29" ht="15.75" customHeight="1" x14ac:dyDescent="0.25">
      <c r="J426" s="94"/>
      <c r="L426" s="94"/>
      <c r="AC426" s="94"/>
    </row>
    <row r="427" spans="10:29" ht="15.75" customHeight="1" x14ac:dyDescent="0.25">
      <c r="J427" s="94"/>
      <c r="L427" s="94"/>
      <c r="AC427" s="94"/>
    </row>
    <row r="428" spans="10:29" ht="15.75" customHeight="1" x14ac:dyDescent="0.25">
      <c r="J428" s="94"/>
      <c r="L428" s="94"/>
      <c r="AC428" s="94"/>
    </row>
    <row r="429" spans="10:29" ht="15.75" customHeight="1" x14ac:dyDescent="0.25">
      <c r="J429" s="94"/>
      <c r="L429" s="94"/>
      <c r="AC429" s="94"/>
    </row>
    <row r="430" spans="10:29" ht="15.75" customHeight="1" x14ac:dyDescent="0.25">
      <c r="J430" s="94"/>
      <c r="L430" s="94"/>
      <c r="AC430" s="94"/>
    </row>
    <row r="431" spans="10:29" ht="15.75" customHeight="1" x14ac:dyDescent="0.25">
      <c r="J431" s="94"/>
      <c r="L431" s="94"/>
      <c r="AC431" s="94"/>
    </row>
    <row r="432" spans="10:29" ht="15.75" customHeight="1" x14ac:dyDescent="0.25">
      <c r="J432" s="94"/>
      <c r="L432" s="94"/>
      <c r="AC432" s="94"/>
    </row>
    <row r="433" spans="10:29" ht="15.75" customHeight="1" x14ac:dyDescent="0.25">
      <c r="J433" s="94"/>
      <c r="L433" s="94"/>
      <c r="AC433" s="94"/>
    </row>
    <row r="434" spans="10:29" ht="15.75" customHeight="1" x14ac:dyDescent="0.25">
      <c r="J434" s="94"/>
      <c r="L434" s="94"/>
      <c r="AC434" s="94"/>
    </row>
    <row r="435" spans="10:29" ht="15.75" customHeight="1" x14ac:dyDescent="0.25">
      <c r="J435" s="94"/>
      <c r="L435" s="94"/>
      <c r="AC435" s="94"/>
    </row>
    <row r="436" spans="10:29" ht="15.75" customHeight="1" x14ac:dyDescent="0.25">
      <c r="J436" s="94"/>
      <c r="L436" s="94"/>
      <c r="AC436" s="94"/>
    </row>
    <row r="437" spans="10:29" ht="15.75" customHeight="1" x14ac:dyDescent="0.25">
      <c r="J437" s="94"/>
      <c r="L437" s="94"/>
      <c r="AC437" s="94"/>
    </row>
    <row r="438" spans="10:29" ht="15.75" customHeight="1" x14ac:dyDescent="0.25">
      <c r="J438" s="94"/>
      <c r="L438" s="94"/>
      <c r="AC438" s="94"/>
    </row>
    <row r="439" spans="10:29" ht="15.75" customHeight="1" x14ac:dyDescent="0.25">
      <c r="J439" s="94"/>
      <c r="L439" s="94"/>
      <c r="AC439" s="94"/>
    </row>
    <row r="440" spans="10:29" ht="15.75" customHeight="1" x14ac:dyDescent="0.25">
      <c r="J440" s="94"/>
      <c r="L440" s="94"/>
      <c r="AC440" s="94"/>
    </row>
    <row r="441" spans="10:29" ht="15.75" customHeight="1" x14ac:dyDescent="0.25">
      <c r="J441" s="94"/>
      <c r="L441" s="94"/>
      <c r="AC441" s="94"/>
    </row>
    <row r="442" spans="10:29" ht="15.75" customHeight="1" x14ac:dyDescent="0.25">
      <c r="J442" s="94"/>
      <c r="L442" s="94"/>
      <c r="AC442" s="94"/>
    </row>
    <row r="443" spans="10:29" ht="15.75" customHeight="1" x14ac:dyDescent="0.25">
      <c r="J443" s="94"/>
      <c r="L443" s="94"/>
      <c r="AC443" s="94"/>
    </row>
    <row r="444" spans="10:29" ht="15.75" customHeight="1" x14ac:dyDescent="0.25">
      <c r="J444" s="94"/>
      <c r="L444" s="94"/>
      <c r="AC444" s="94"/>
    </row>
    <row r="445" spans="10:29" ht="15.75" customHeight="1" x14ac:dyDescent="0.25">
      <c r="J445" s="94"/>
      <c r="L445" s="94"/>
      <c r="AC445" s="94"/>
    </row>
    <row r="446" spans="10:29" ht="15.75" customHeight="1" x14ac:dyDescent="0.25">
      <c r="J446" s="94"/>
      <c r="L446" s="94"/>
      <c r="AC446" s="94"/>
    </row>
    <row r="447" spans="10:29" ht="15.75" customHeight="1" x14ac:dyDescent="0.25">
      <c r="J447" s="94"/>
      <c r="L447" s="94"/>
      <c r="AC447" s="94"/>
    </row>
    <row r="448" spans="10:29" ht="15.75" customHeight="1" x14ac:dyDescent="0.25">
      <c r="J448" s="94"/>
      <c r="L448" s="94"/>
      <c r="AC448" s="94"/>
    </row>
    <row r="449" spans="10:29" ht="15.75" customHeight="1" x14ac:dyDescent="0.25">
      <c r="J449" s="94"/>
      <c r="L449" s="94"/>
      <c r="AC449" s="94"/>
    </row>
    <row r="450" spans="10:29" ht="15.75" customHeight="1" x14ac:dyDescent="0.25">
      <c r="J450" s="94"/>
      <c r="L450" s="94"/>
      <c r="AC450" s="94"/>
    </row>
    <row r="451" spans="10:29" ht="15.75" customHeight="1" x14ac:dyDescent="0.25">
      <c r="J451" s="94"/>
      <c r="L451" s="94"/>
      <c r="AC451" s="94"/>
    </row>
    <row r="452" spans="10:29" ht="15.75" customHeight="1" x14ac:dyDescent="0.25">
      <c r="J452" s="94"/>
      <c r="L452" s="94"/>
      <c r="AC452" s="94"/>
    </row>
    <row r="453" spans="10:29" ht="15.75" customHeight="1" x14ac:dyDescent="0.25">
      <c r="J453" s="94"/>
      <c r="L453" s="94"/>
      <c r="AC453" s="94"/>
    </row>
    <row r="454" spans="10:29" ht="15.75" customHeight="1" x14ac:dyDescent="0.25">
      <c r="J454" s="94"/>
      <c r="L454" s="94"/>
      <c r="AC454" s="94"/>
    </row>
    <row r="455" spans="10:29" ht="15.75" customHeight="1" x14ac:dyDescent="0.25">
      <c r="J455" s="94"/>
      <c r="L455" s="94"/>
      <c r="AC455" s="94"/>
    </row>
    <row r="456" spans="10:29" ht="15.75" customHeight="1" x14ac:dyDescent="0.25">
      <c r="J456" s="94"/>
      <c r="L456" s="94"/>
      <c r="AC456" s="94"/>
    </row>
    <row r="457" spans="10:29" ht="15.75" customHeight="1" x14ac:dyDescent="0.25">
      <c r="J457" s="94"/>
      <c r="L457" s="94"/>
      <c r="AC457" s="94"/>
    </row>
    <row r="458" spans="10:29" ht="15.75" customHeight="1" x14ac:dyDescent="0.25">
      <c r="J458" s="94"/>
      <c r="L458" s="94"/>
      <c r="AC458" s="94"/>
    </row>
    <row r="459" spans="10:29" ht="15.75" customHeight="1" x14ac:dyDescent="0.25">
      <c r="J459" s="94"/>
      <c r="L459" s="94"/>
      <c r="AC459" s="94"/>
    </row>
    <row r="460" spans="10:29" ht="15.75" customHeight="1" x14ac:dyDescent="0.25">
      <c r="J460" s="94"/>
      <c r="L460" s="94"/>
      <c r="AC460" s="94"/>
    </row>
    <row r="461" spans="10:29" ht="15.75" customHeight="1" x14ac:dyDescent="0.25">
      <c r="J461" s="94"/>
      <c r="L461" s="94"/>
      <c r="AC461" s="94"/>
    </row>
    <row r="462" spans="10:29" ht="15.75" customHeight="1" x14ac:dyDescent="0.25">
      <c r="J462" s="94"/>
      <c r="L462" s="94"/>
      <c r="AC462" s="94"/>
    </row>
    <row r="463" spans="10:29" ht="15.75" customHeight="1" x14ac:dyDescent="0.25">
      <c r="J463" s="94"/>
      <c r="L463" s="94"/>
      <c r="AC463" s="94"/>
    </row>
    <row r="464" spans="10:29" ht="15.75" customHeight="1" x14ac:dyDescent="0.25">
      <c r="J464" s="94"/>
      <c r="L464" s="94"/>
      <c r="AC464" s="94"/>
    </row>
    <row r="465" spans="10:29" ht="15.75" customHeight="1" x14ac:dyDescent="0.25">
      <c r="J465" s="94"/>
      <c r="L465" s="94"/>
      <c r="AC465" s="94"/>
    </row>
    <row r="466" spans="10:29" ht="15.75" customHeight="1" x14ac:dyDescent="0.25">
      <c r="J466" s="94"/>
      <c r="L466" s="94"/>
      <c r="AC466" s="94"/>
    </row>
    <row r="467" spans="10:29" ht="15.75" customHeight="1" x14ac:dyDescent="0.25">
      <c r="J467" s="94"/>
      <c r="L467" s="94"/>
      <c r="AC467" s="94"/>
    </row>
    <row r="468" spans="10:29" ht="15.75" customHeight="1" x14ac:dyDescent="0.25">
      <c r="J468" s="94"/>
      <c r="L468" s="94"/>
      <c r="AC468" s="94"/>
    </row>
    <row r="469" spans="10:29" ht="15.75" customHeight="1" x14ac:dyDescent="0.25">
      <c r="J469" s="94"/>
      <c r="L469" s="94"/>
      <c r="AC469" s="94"/>
    </row>
    <row r="470" spans="10:29" ht="15.75" customHeight="1" x14ac:dyDescent="0.25">
      <c r="J470" s="94"/>
      <c r="L470" s="94"/>
      <c r="AC470" s="94"/>
    </row>
    <row r="471" spans="10:29" ht="15.75" customHeight="1" x14ac:dyDescent="0.25">
      <c r="J471" s="94"/>
      <c r="L471" s="94"/>
      <c r="AC471" s="94"/>
    </row>
    <row r="472" spans="10:29" ht="15.75" customHeight="1" x14ac:dyDescent="0.25">
      <c r="J472" s="94"/>
      <c r="L472" s="94"/>
      <c r="AC472" s="94"/>
    </row>
    <row r="473" spans="10:29" ht="15.75" customHeight="1" x14ac:dyDescent="0.25">
      <c r="J473" s="94"/>
      <c r="L473" s="94"/>
      <c r="AC473" s="94"/>
    </row>
    <row r="474" spans="10:29" ht="15.75" customHeight="1" x14ac:dyDescent="0.25">
      <c r="J474" s="94"/>
      <c r="L474" s="94"/>
      <c r="AC474" s="94"/>
    </row>
    <row r="475" spans="10:29" ht="15.75" customHeight="1" x14ac:dyDescent="0.25">
      <c r="J475" s="94"/>
      <c r="L475" s="94"/>
      <c r="AC475" s="94"/>
    </row>
    <row r="476" spans="10:29" ht="15.75" customHeight="1" x14ac:dyDescent="0.25">
      <c r="J476" s="94"/>
      <c r="L476" s="94"/>
      <c r="AC476" s="94"/>
    </row>
    <row r="477" spans="10:29" ht="15.75" customHeight="1" x14ac:dyDescent="0.25">
      <c r="J477" s="94"/>
      <c r="L477" s="94"/>
      <c r="AC477" s="94"/>
    </row>
    <row r="478" spans="10:29" ht="15.75" customHeight="1" x14ac:dyDescent="0.25">
      <c r="J478" s="94"/>
      <c r="L478" s="94"/>
      <c r="AC478" s="94"/>
    </row>
    <row r="479" spans="10:29" ht="15.75" customHeight="1" x14ac:dyDescent="0.25">
      <c r="J479" s="94"/>
      <c r="L479" s="94"/>
      <c r="AC479" s="94"/>
    </row>
    <row r="480" spans="10:29" ht="15.75" customHeight="1" x14ac:dyDescent="0.25">
      <c r="J480" s="94"/>
      <c r="L480" s="94"/>
      <c r="AC480" s="94"/>
    </row>
    <row r="481" spans="10:29" ht="15.75" customHeight="1" x14ac:dyDescent="0.25">
      <c r="J481" s="94"/>
      <c r="L481" s="94"/>
      <c r="AC481" s="94"/>
    </row>
    <row r="482" spans="10:29" ht="15.75" customHeight="1" x14ac:dyDescent="0.25">
      <c r="J482" s="94"/>
      <c r="L482" s="94"/>
      <c r="AC482" s="94"/>
    </row>
    <row r="483" spans="10:29" ht="15.75" customHeight="1" x14ac:dyDescent="0.25">
      <c r="J483" s="94"/>
      <c r="L483" s="94"/>
      <c r="AC483" s="94"/>
    </row>
    <row r="484" spans="10:29" ht="15.75" customHeight="1" x14ac:dyDescent="0.25">
      <c r="J484" s="94"/>
      <c r="L484" s="94"/>
      <c r="AC484" s="94"/>
    </row>
    <row r="485" spans="10:29" ht="15.75" customHeight="1" x14ac:dyDescent="0.25">
      <c r="J485" s="94"/>
      <c r="L485" s="94"/>
      <c r="AC485" s="94"/>
    </row>
    <row r="486" spans="10:29" ht="15.75" customHeight="1" x14ac:dyDescent="0.25">
      <c r="J486" s="94"/>
      <c r="L486" s="94"/>
      <c r="AC486" s="94"/>
    </row>
    <row r="487" spans="10:29" ht="15.75" customHeight="1" x14ac:dyDescent="0.25">
      <c r="J487" s="94"/>
      <c r="L487" s="94"/>
      <c r="AC487" s="94"/>
    </row>
    <row r="488" spans="10:29" ht="15.75" customHeight="1" x14ac:dyDescent="0.25">
      <c r="J488" s="94"/>
      <c r="L488" s="94"/>
      <c r="AC488" s="94"/>
    </row>
    <row r="489" spans="10:29" ht="15.75" customHeight="1" x14ac:dyDescent="0.25">
      <c r="J489" s="94"/>
      <c r="L489" s="94"/>
      <c r="AC489" s="94"/>
    </row>
    <row r="490" spans="10:29" ht="15.75" customHeight="1" x14ac:dyDescent="0.25">
      <c r="J490" s="94"/>
      <c r="L490" s="94"/>
      <c r="AC490" s="94"/>
    </row>
    <row r="491" spans="10:29" ht="15.75" customHeight="1" x14ac:dyDescent="0.25">
      <c r="J491" s="94"/>
      <c r="L491" s="94"/>
      <c r="AC491" s="94"/>
    </row>
    <row r="492" spans="10:29" ht="15.75" customHeight="1" x14ac:dyDescent="0.25">
      <c r="J492" s="94"/>
      <c r="L492" s="94"/>
      <c r="AC492" s="94"/>
    </row>
    <row r="493" spans="10:29" ht="15.75" customHeight="1" x14ac:dyDescent="0.25">
      <c r="J493" s="94"/>
      <c r="L493" s="94"/>
      <c r="AC493" s="94"/>
    </row>
    <row r="494" spans="10:29" ht="15.75" customHeight="1" x14ac:dyDescent="0.25">
      <c r="J494" s="94"/>
      <c r="L494" s="94"/>
      <c r="AC494" s="94"/>
    </row>
    <row r="495" spans="10:29" ht="15.75" customHeight="1" x14ac:dyDescent="0.25">
      <c r="J495" s="94"/>
      <c r="L495" s="94"/>
      <c r="AC495" s="94"/>
    </row>
    <row r="496" spans="10:29" ht="15.75" customHeight="1" x14ac:dyDescent="0.25">
      <c r="J496" s="94"/>
      <c r="L496" s="94"/>
      <c r="AC496" s="94"/>
    </row>
    <row r="497" spans="10:29" ht="15.75" customHeight="1" x14ac:dyDescent="0.25">
      <c r="J497" s="94"/>
      <c r="L497" s="94"/>
      <c r="AC497" s="94"/>
    </row>
    <row r="498" spans="10:29" ht="15.75" customHeight="1" x14ac:dyDescent="0.25">
      <c r="J498" s="94"/>
      <c r="L498" s="94"/>
      <c r="AC498" s="94"/>
    </row>
    <row r="499" spans="10:29" ht="15.75" customHeight="1" x14ac:dyDescent="0.25">
      <c r="J499" s="94"/>
      <c r="L499" s="94"/>
      <c r="AC499" s="94"/>
    </row>
    <row r="500" spans="10:29" ht="15.75" customHeight="1" x14ac:dyDescent="0.25">
      <c r="J500" s="94"/>
      <c r="L500" s="94"/>
      <c r="AC500" s="94"/>
    </row>
    <row r="501" spans="10:29" ht="15.75" customHeight="1" x14ac:dyDescent="0.25">
      <c r="J501" s="94"/>
      <c r="L501" s="94"/>
      <c r="AC501" s="94"/>
    </row>
    <row r="502" spans="10:29" ht="15.75" customHeight="1" x14ac:dyDescent="0.25">
      <c r="J502" s="94"/>
      <c r="L502" s="94"/>
      <c r="AC502" s="94"/>
    </row>
    <row r="503" spans="10:29" ht="15.75" customHeight="1" x14ac:dyDescent="0.25">
      <c r="J503" s="94"/>
      <c r="L503" s="94"/>
      <c r="AC503" s="94"/>
    </row>
    <row r="504" spans="10:29" ht="15.75" customHeight="1" x14ac:dyDescent="0.25">
      <c r="J504" s="94"/>
      <c r="L504" s="94"/>
      <c r="AC504" s="94"/>
    </row>
    <row r="505" spans="10:29" ht="15.75" customHeight="1" x14ac:dyDescent="0.25">
      <c r="J505" s="94"/>
      <c r="L505" s="94"/>
      <c r="AC505" s="94"/>
    </row>
    <row r="506" spans="10:29" ht="15.75" customHeight="1" x14ac:dyDescent="0.25">
      <c r="J506" s="94"/>
      <c r="L506" s="94"/>
      <c r="AC506" s="94"/>
    </row>
    <row r="507" spans="10:29" ht="15.75" customHeight="1" x14ac:dyDescent="0.25">
      <c r="J507" s="94"/>
      <c r="L507" s="94"/>
      <c r="AC507" s="94"/>
    </row>
    <row r="508" spans="10:29" ht="15.75" customHeight="1" x14ac:dyDescent="0.25">
      <c r="J508" s="94"/>
      <c r="L508" s="94"/>
      <c r="AC508" s="94"/>
    </row>
    <row r="509" spans="10:29" ht="15.75" customHeight="1" x14ac:dyDescent="0.25">
      <c r="J509" s="94"/>
      <c r="L509" s="94"/>
      <c r="AC509" s="94"/>
    </row>
    <row r="510" spans="10:29" ht="15.75" customHeight="1" x14ac:dyDescent="0.25">
      <c r="J510" s="94"/>
      <c r="L510" s="94"/>
      <c r="AC510" s="94"/>
    </row>
    <row r="511" spans="10:29" ht="15.75" customHeight="1" x14ac:dyDescent="0.25">
      <c r="J511" s="94"/>
      <c r="L511" s="94"/>
      <c r="AC511" s="94"/>
    </row>
    <row r="512" spans="10:29" ht="15.75" customHeight="1" x14ac:dyDescent="0.25">
      <c r="J512" s="94"/>
      <c r="L512" s="94"/>
      <c r="AC512" s="94"/>
    </row>
    <row r="513" spans="10:29" ht="15.75" customHeight="1" x14ac:dyDescent="0.25">
      <c r="J513" s="94"/>
      <c r="L513" s="94"/>
      <c r="AC513" s="94"/>
    </row>
    <row r="514" spans="10:29" ht="15.75" customHeight="1" x14ac:dyDescent="0.25">
      <c r="J514" s="94"/>
      <c r="L514" s="94"/>
      <c r="AC514" s="94"/>
    </row>
    <row r="515" spans="10:29" ht="15.75" customHeight="1" x14ac:dyDescent="0.25">
      <c r="J515" s="94"/>
      <c r="L515" s="94"/>
      <c r="AC515" s="94"/>
    </row>
    <row r="516" spans="10:29" ht="15.75" customHeight="1" x14ac:dyDescent="0.25">
      <c r="J516" s="94"/>
      <c r="L516" s="94"/>
      <c r="AC516" s="94"/>
    </row>
    <row r="517" spans="10:29" ht="15.75" customHeight="1" x14ac:dyDescent="0.25">
      <c r="J517" s="94"/>
      <c r="L517" s="94"/>
      <c r="AC517" s="94"/>
    </row>
    <row r="518" spans="10:29" ht="15.75" customHeight="1" x14ac:dyDescent="0.25">
      <c r="J518" s="94"/>
      <c r="L518" s="94"/>
      <c r="AC518" s="94"/>
    </row>
    <row r="519" spans="10:29" ht="15.75" customHeight="1" x14ac:dyDescent="0.25">
      <c r="J519" s="94"/>
      <c r="L519" s="94"/>
      <c r="AC519" s="94"/>
    </row>
    <row r="520" spans="10:29" ht="15.75" customHeight="1" x14ac:dyDescent="0.25">
      <c r="J520" s="94"/>
      <c r="L520" s="94"/>
      <c r="AC520" s="94"/>
    </row>
    <row r="521" spans="10:29" ht="15.75" customHeight="1" x14ac:dyDescent="0.25">
      <c r="J521" s="94"/>
      <c r="L521" s="94"/>
      <c r="AC521" s="94"/>
    </row>
    <row r="522" spans="10:29" ht="15.75" customHeight="1" x14ac:dyDescent="0.25">
      <c r="J522" s="94"/>
      <c r="L522" s="94"/>
      <c r="AC522" s="94"/>
    </row>
    <row r="523" spans="10:29" ht="15.75" customHeight="1" x14ac:dyDescent="0.25">
      <c r="J523" s="94"/>
      <c r="L523" s="94"/>
      <c r="AC523" s="94"/>
    </row>
    <row r="524" spans="10:29" ht="15.75" customHeight="1" x14ac:dyDescent="0.25">
      <c r="J524" s="94"/>
      <c r="L524" s="94"/>
      <c r="AC524" s="94"/>
    </row>
    <row r="525" spans="10:29" ht="15.75" customHeight="1" x14ac:dyDescent="0.25">
      <c r="J525" s="94"/>
      <c r="L525" s="94"/>
      <c r="AC525" s="94"/>
    </row>
    <row r="526" spans="10:29" ht="15.75" customHeight="1" x14ac:dyDescent="0.25">
      <c r="J526" s="94"/>
      <c r="L526" s="94"/>
      <c r="AC526" s="94"/>
    </row>
    <row r="527" spans="10:29" ht="15.75" customHeight="1" x14ac:dyDescent="0.25">
      <c r="J527" s="94"/>
      <c r="L527" s="94"/>
      <c r="AC527" s="94"/>
    </row>
    <row r="528" spans="10:29" ht="15.75" customHeight="1" x14ac:dyDescent="0.25">
      <c r="J528" s="94"/>
      <c r="L528" s="94"/>
      <c r="AC528" s="94"/>
    </row>
    <row r="529" spans="10:29" ht="15.75" customHeight="1" x14ac:dyDescent="0.25">
      <c r="J529" s="94"/>
      <c r="L529" s="94"/>
      <c r="AC529" s="94"/>
    </row>
    <row r="530" spans="10:29" ht="15.75" customHeight="1" x14ac:dyDescent="0.25">
      <c r="J530" s="94"/>
      <c r="L530" s="94"/>
      <c r="AC530" s="94"/>
    </row>
    <row r="531" spans="10:29" ht="15.75" customHeight="1" x14ac:dyDescent="0.25">
      <c r="J531" s="94"/>
      <c r="L531" s="94"/>
      <c r="AC531" s="94"/>
    </row>
    <row r="532" spans="10:29" ht="15.75" customHeight="1" x14ac:dyDescent="0.25">
      <c r="J532" s="94"/>
      <c r="L532" s="94"/>
      <c r="AC532" s="94"/>
    </row>
    <row r="533" spans="10:29" ht="15.75" customHeight="1" x14ac:dyDescent="0.25">
      <c r="J533" s="94"/>
      <c r="L533" s="94"/>
      <c r="AC533" s="94"/>
    </row>
    <row r="534" spans="10:29" ht="15.75" customHeight="1" x14ac:dyDescent="0.25">
      <c r="J534" s="94"/>
      <c r="L534" s="94"/>
      <c r="AC534" s="94"/>
    </row>
    <row r="535" spans="10:29" ht="15.75" customHeight="1" x14ac:dyDescent="0.25">
      <c r="J535" s="94"/>
      <c r="L535" s="94"/>
      <c r="AC535" s="94"/>
    </row>
    <row r="536" spans="10:29" ht="15.75" customHeight="1" x14ac:dyDescent="0.25">
      <c r="J536" s="94"/>
      <c r="L536" s="94"/>
      <c r="AC536" s="94"/>
    </row>
    <row r="537" spans="10:29" ht="15.75" customHeight="1" x14ac:dyDescent="0.25">
      <c r="J537" s="94"/>
      <c r="L537" s="94"/>
      <c r="AC537" s="94"/>
    </row>
    <row r="538" spans="10:29" ht="15.75" customHeight="1" x14ac:dyDescent="0.25">
      <c r="J538" s="94"/>
      <c r="L538" s="94"/>
      <c r="AC538" s="94"/>
    </row>
    <row r="539" spans="10:29" ht="15.75" customHeight="1" x14ac:dyDescent="0.25">
      <c r="J539" s="94"/>
      <c r="L539" s="94"/>
      <c r="AC539" s="94"/>
    </row>
    <row r="540" spans="10:29" ht="15.75" customHeight="1" x14ac:dyDescent="0.25">
      <c r="J540" s="94"/>
      <c r="L540" s="94"/>
      <c r="AC540" s="94"/>
    </row>
    <row r="541" spans="10:29" ht="15.75" customHeight="1" x14ac:dyDescent="0.25">
      <c r="J541" s="94"/>
      <c r="L541" s="94"/>
      <c r="AC541" s="94"/>
    </row>
    <row r="542" spans="10:29" ht="15.75" customHeight="1" x14ac:dyDescent="0.25">
      <c r="J542" s="94"/>
      <c r="L542" s="94"/>
      <c r="AC542" s="94"/>
    </row>
    <row r="543" spans="10:29" ht="15.75" customHeight="1" x14ac:dyDescent="0.25">
      <c r="J543" s="94"/>
      <c r="L543" s="94"/>
      <c r="AC543" s="94"/>
    </row>
    <row r="544" spans="10:29" ht="15.75" customHeight="1" x14ac:dyDescent="0.25">
      <c r="J544" s="94"/>
      <c r="L544" s="94"/>
      <c r="AC544" s="94"/>
    </row>
    <row r="545" spans="10:29" ht="15.75" customHeight="1" x14ac:dyDescent="0.25">
      <c r="J545" s="94"/>
      <c r="L545" s="94"/>
      <c r="AC545" s="94"/>
    </row>
    <row r="546" spans="10:29" ht="15.75" customHeight="1" x14ac:dyDescent="0.25">
      <c r="J546" s="94"/>
      <c r="L546" s="94"/>
      <c r="AC546" s="94"/>
    </row>
    <row r="547" spans="10:29" ht="15.75" customHeight="1" x14ac:dyDescent="0.25">
      <c r="J547" s="94"/>
      <c r="L547" s="94"/>
      <c r="AC547" s="94"/>
    </row>
    <row r="548" spans="10:29" ht="15.75" customHeight="1" x14ac:dyDescent="0.25">
      <c r="J548" s="94"/>
      <c r="L548" s="94"/>
      <c r="AC548" s="94"/>
    </row>
    <row r="549" spans="10:29" ht="15.75" customHeight="1" x14ac:dyDescent="0.25">
      <c r="J549" s="94"/>
      <c r="L549" s="94"/>
      <c r="AC549" s="94"/>
    </row>
    <row r="550" spans="10:29" ht="15.75" customHeight="1" x14ac:dyDescent="0.25">
      <c r="J550" s="94"/>
      <c r="L550" s="94"/>
      <c r="AC550" s="94"/>
    </row>
    <row r="551" spans="10:29" ht="15.75" customHeight="1" x14ac:dyDescent="0.25">
      <c r="J551" s="94"/>
      <c r="L551" s="94"/>
      <c r="AC551" s="94"/>
    </row>
    <row r="552" spans="10:29" ht="15.75" customHeight="1" x14ac:dyDescent="0.25">
      <c r="J552" s="94"/>
      <c r="L552" s="94"/>
      <c r="AC552" s="94"/>
    </row>
    <row r="553" spans="10:29" ht="15.75" customHeight="1" x14ac:dyDescent="0.25">
      <c r="J553" s="94"/>
      <c r="L553" s="94"/>
      <c r="AC553" s="94"/>
    </row>
    <row r="554" spans="10:29" ht="15.75" customHeight="1" x14ac:dyDescent="0.25">
      <c r="J554" s="94"/>
      <c r="L554" s="94"/>
      <c r="AC554" s="94"/>
    </row>
    <row r="555" spans="10:29" ht="15.75" customHeight="1" x14ac:dyDescent="0.25">
      <c r="J555" s="94"/>
      <c r="L555" s="94"/>
      <c r="AC555" s="94"/>
    </row>
    <row r="556" spans="10:29" ht="15.75" customHeight="1" x14ac:dyDescent="0.25">
      <c r="J556" s="94"/>
      <c r="L556" s="94"/>
      <c r="AC556" s="94"/>
    </row>
    <row r="557" spans="10:29" ht="15.75" customHeight="1" x14ac:dyDescent="0.25">
      <c r="J557" s="94"/>
      <c r="L557" s="94"/>
      <c r="AC557" s="94"/>
    </row>
    <row r="558" spans="10:29" ht="15.75" customHeight="1" x14ac:dyDescent="0.25">
      <c r="J558" s="94"/>
      <c r="L558" s="94"/>
      <c r="AC558" s="94"/>
    </row>
    <row r="559" spans="10:29" ht="15.75" customHeight="1" x14ac:dyDescent="0.25">
      <c r="J559" s="94"/>
      <c r="L559" s="94"/>
      <c r="AC559" s="94"/>
    </row>
    <row r="560" spans="10:29" ht="15.75" customHeight="1" x14ac:dyDescent="0.25">
      <c r="J560" s="94"/>
      <c r="L560" s="94"/>
      <c r="AC560" s="94"/>
    </row>
    <row r="561" spans="10:29" ht="15.75" customHeight="1" x14ac:dyDescent="0.25">
      <c r="J561" s="94"/>
      <c r="L561" s="94"/>
      <c r="AC561" s="94"/>
    </row>
    <row r="562" spans="10:29" ht="15.75" customHeight="1" x14ac:dyDescent="0.25">
      <c r="J562" s="94"/>
      <c r="L562" s="94"/>
      <c r="AC562" s="94"/>
    </row>
    <row r="563" spans="10:29" ht="15.75" customHeight="1" x14ac:dyDescent="0.25">
      <c r="J563" s="94"/>
      <c r="L563" s="94"/>
      <c r="AC563" s="94"/>
    </row>
    <row r="564" spans="10:29" ht="15.75" customHeight="1" x14ac:dyDescent="0.25">
      <c r="J564" s="94"/>
      <c r="L564" s="94"/>
      <c r="AC564" s="94"/>
    </row>
    <row r="565" spans="10:29" ht="15.75" customHeight="1" x14ac:dyDescent="0.25">
      <c r="J565" s="94"/>
      <c r="L565" s="94"/>
      <c r="AC565" s="94"/>
    </row>
    <row r="566" spans="10:29" ht="15.75" customHeight="1" x14ac:dyDescent="0.25">
      <c r="J566" s="94"/>
      <c r="L566" s="94"/>
      <c r="AC566" s="94"/>
    </row>
    <row r="567" spans="10:29" ht="15.75" customHeight="1" x14ac:dyDescent="0.25">
      <c r="J567" s="94"/>
      <c r="L567" s="94"/>
      <c r="AC567" s="94"/>
    </row>
    <row r="568" spans="10:29" ht="15.75" customHeight="1" x14ac:dyDescent="0.25">
      <c r="J568" s="94"/>
      <c r="L568" s="94"/>
      <c r="AC568" s="94"/>
    </row>
    <row r="569" spans="10:29" ht="15.75" customHeight="1" x14ac:dyDescent="0.25">
      <c r="J569" s="94"/>
      <c r="L569" s="94"/>
      <c r="AC569" s="94"/>
    </row>
    <row r="570" spans="10:29" ht="15.75" customHeight="1" x14ac:dyDescent="0.25">
      <c r="J570" s="94"/>
      <c r="L570" s="94"/>
      <c r="AC570" s="94"/>
    </row>
    <row r="571" spans="10:29" ht="15.75" customHeight="1" x14ac:dyDescent="0.25">
      <c r="J571" s="94"/>
      <c r="L571" s="94"/>
      <c r="AC571" s="94"/>
    </row>
    <row r="572" spans="10:29" ht="15.75" customHeight="1" x14ac:dyDescent="0.25">
      <c r="J572" s="94"/>
      <c r="L572" s="94"/>
      <c r="AC572" s="94"/>
    </row>
    <row r="573" spans="10:29" ht="15.75" customHeight="1" x14ac:dyDescent="0.25">
      <c r="J573" s="94"/>
      <c r="L573" s="94"/>
      <c r="AC573" s="94"/>
    </row>
    <row r="574" spans="10:29" ht="15.75" customHeight="1" x14ac:dyDescent="0.25">
      <c r="J574" s="94"/>
      <c r="L574" s="94"/>
      <c r="AC574" s="94"/>
    </row>
    <row r="575" spans="10:29" ht="15.75" customHeight="1" x14ac:dyDescent="0.25">
      <c r="J575" s="94"/>
      <c r="L575" s="94"/>
      <c r="AC575" s="94"/>
    </row>
    <row r="576" spans="10:29" ht="15.75" customHeight="1" x14ac:dyDescent="0.25">
      <c r="J576" s="94"/>
      <c r="L576" s="94"/>
      <c r="AC576" s="94"/>
    </row>
    <row r="577" spans="10:29" ht="15.75" customHeight="1" x14ac:dyDescent="0.25">
      <c r="J577" s="94"/>
      <c r="L577" s="94"/>
      <c r="AC577" s="94"/>
    </row>
    <row r="578" spans="10:29" ht="15.75" customHeight="1" x14ac:dyDescent="0.25">
      <c r="J578" s="94"/>
      <c r="L578" s="94"/>
      <c r="AC578" s="94"/>
    </row>
    <row r="579" spans="10:29" ht="15.75" customHeight="1" x14ac:dyDescent="0.25">
      <c r="J579" s="94"/>
      <c r="L579" s="94"/>
      <c r="AC579" s="94"/>
    </row>
    <row r="580" spans="10:29" ht="15.75" customHeight="1" x14ac:dyDescent="0.25">
      <c r="J580" s="94"/>
      <c r="L580" s="94"/>
      <c r="AC580" s="94"/>
    </row>
    <row r="581" spans="10:29" ht="15.75" customHeight="1" x14ac:dyDescent="0.25">
      <c r="J581" s="94"/>
      <c r="L581" s="94"/>
      <c r="AC581" s="94"/>
    </row>
    <row r="582" spans="10:29" ht="15.75" customHeight="1" x14ac:dyDescent="0.25">
      <c r="J582" s="94"/>
      <c r="L582" s="94"/>
      <c r="AC582" s="94"/>
    </row>
    <row r="583" spans="10:29" ht="15.75" customHeight="1" x14ac:dyDescent="0.25">
      <c r="J583" s="94"/>
      <c r="L583" s="94"/>
      <c r="AC583" s="94"/>
    </row>
    <row r="584" spans="10:29" ht="15.75" customHeight="1" x14ac:dyDescent="0.25">
      <c r="J584" s="94"/>
      <c r="L584" s="94"/>
      <c r="AC584" s="94"/>
    </row>
    <row r="585" spans="10:29" ht="15.75" customHeight="1" x14ac:dyDescent="0.25">
      <c r="J585" s="94"/>
      <c r="L585" s="94"/>
      <c r="AC585" s="94"/>
    </row>
    <row r="586" spans="10:29" ht="15.75" customHeight="1" x14ac:dyDescent="0.25">
      <c r="J586" s="94"/>
      <c r="L586" s="94"/>
      <c r="AC586" s="94"/>
    </row>
    <row r="587" spans="10:29" ht="15.75" customHeight="1" x14ac:dyDescent="0.25">
      <c r="J587" s="94"/>
      <c r="L587" s="94"/>
      <c r="AC587" s="94"/>
    </row>
    <row r="588" spans="10:29" ht="15.75" customHeight="1" x14ac:dyDescent="0.25">
      <c r="J588" s="94"/>
      <c r="L588" s="94"/>
      <c r="AC588" s="94"/>
    </row>
    <row r="589" spans="10:29" ht="15.75" customHeight="1" x14ac:dyDescent="0.25">
      <c r="J589" s="94"/>
      <c r="L589" s="94"/>
      <c r="AC589" s="94"/>
    </row>
    <row r="590" spans="10:29" ht="15.75" customHeight="1" x14ac:dyDescent="0.25">
      <c r="J590" s="94"/>
      <c r="L590" s="94"/>
      <c r="AC590" s="94"/>
    </row>
    <row r="591" spans="10:29" ht="15.75" customHeight="1" x14ac:dyDescent="0.25">
      <c r="J591" s="94"/>
      <c r="L591" s="94"/>
      <c r="AC591" s="94"/>
    </row>
    <row r="592" spans="10:29" ht="15.75" customHeight="1" x14ac:dyDescent="0.25">
      <c r="J592" s="94"/>
      <c r="L592" s="94"/>
      <c r="AC592" s="94"/>
    </row>
    <row r="593" spans="10:29" ht="15.75" customHeight="1" x14ac:dyDescent="0.25">
      <c r="J593" s="94"/>
      <c r="L593" s="94"/>
      <c r="AC593" s="94"/>
    </row>
    <row r="594" spans="10:29" ht="15.75" customHeight="1" x14ac:dyDescent="0.25">
      <c r="J594" s="94"/>
      <c r="L594" s="94"/>
      <c r="AC594" s="94"/>
    </row>
    <row r="595" spans="10:29" ht="15.75" customHeight="1" x14ac:dyDescent="0.25">
      <c r="J595" s="94"/>
      <c r="L595" s="94"/>
      <c r="AC595" s="94"/>
    </row>
    <row r="596" spans="10:29" ht="15.75" customHeight="1" x14ac:dyDescent="0.25">
      <c r="J596" s="94"/>
      <c r="L596" s="94"/>
      <c r="AC596" s="94"/>
    </row>
    <row r="597" spans="10:29" ht="15.75" customHeight="1" x14ac:dyDescent="0.25">
      <c r="J597" s="94"/>
      <c r="L597" s="94"/>
      <c r="AC597" s="94"/>
    </row>
    <row r="598" spans="10:29" ht="15.75" customHeight="1" x14ac:dyDescent="0.25">
      <c r="J598" s="94"/>
      <c r="L598" s="94"/>
      <c r="AC598" s="94"/>
    </row>
    <row r="599" spans="10:29" ht="15.75" customHeight="1" x14ac:dyDescent="0.25">
      <c r="J599" s="94"/>
      <c r="L599" s="94"/>
      <c r="AC599" s="94"/>
    </row>
    <row r="600" spans="10:29" ht="15.75" customHeight="1" x14ac:dyDescent="0.25">
      <c r="J600" s="94"/>
      <c r="L600" s="94"/>
      <c r="AC600" s="94"/>
    </row>
    <row r="601" spans="10:29" ht="15.75" customHeight="1" x14ac:dyDescent="0.25">
      <c r="J601" s="94"/>
      <c r="L601" s="94"/>
      <c r="AC601" s="94"/>
    </row>
    <row r="602" spans="10:29" ht="15.75" customHeight="1" x14ac:dyDescent="0.25">
      <c r="J602" s="94"/>
      <c r="L602" s="94"/>
      <c r="AC602" s="94"/>
    </row>
    <row r="603" spans="10:29" ht="15.75" customHeight="1" x14ac:dyDescent="0.25">
      <c r="J603" s="94"/>
      <c r="L603" s="94"/>
      <c r="AC603" s="94"/>
    </row>
    <row r="604" spans="10:29" ht="15.75" customHeight="1" x14ac:dyDescent="0.25">
      <c r="J604" s="94"/>
      <c r="L604" s="94"/>
      <c r="AC604" s="94"/>
    </row>
    <row r="605" spans="10:29" ht="15.75" customHeight="1" x14ac:dyDescent="0.25">
      <c r="J605" s="94"/>
      <c r="L605" s="94"/>
      <c r="AC605" s="94"/>
    </row>
    <row r="606" spans="10:29" ht="15.75" customHeight="1" x14ac:dyDescent="0.25">
      <c r="J606" s="94"/>
      <c r="L606" s="94"/>
      <c r="AC606" s="94"/>
    </row>
    <row r="607" spans="10:29" ht="15.75" customHeight="1" x14ac:dyDescent="0.25">
      <c r="J607" s="94"/>
      <c r="L607" s="94"/>
      <c r="AC607" s="94"/>
    </row>
    <row r="608" spans="10:29" ht="15.75" customHeight="1" x14ac:dyDescent="0.25">
      <c r="J608" s="94"/>
      <c r="L608" s="94"/>
      <c r="AC608" s="94"/>
    </row>
    <row r="609" spans="10:29" ht="15.75" customHeight="1" x14ac:dyDescent="0.25">
      <c r="J609" s="94"/>
      <c r="L609" s="94"/>
      <c r="AC609" s="94"/>
    </row>
    <row r="610" spans="10:29" ht="15.75" customHeight="1" x14ac:dyDescent="0.25">
      <c r="J610" s="94"/>
      <c r="L610" s="94"/>
      <c r="AC610" s="94"/>
    </row>
    <row r="611" spans="10:29" ht="15.75" customHeight="1" x14ac:dyDescent="0.25">
      <c r="J611" s="94"/>
      <c r="L611" s="94"/>
      <c r="AC611" s="94"/>
    </row>
    <row r="612" spans="10:29" ht="15.75" customHeight="1" x14ac:dyDescent="0.25">
      <c r="J612" s="94"/>
      <c r="L612" s="94"/>
      <c r="AC612" s="94"/>
    </row>
    <row r="613" spans="10:29" ht="15.75" customHeight="1" x14ac:dyDescent="0.25">
      <c r="J613" s="94"/>
      <c r="L613" s="94"/>
      <c r="AC613" s="94"/>
    </row>
    <row r="614" spans="10:29" ht="15.75" customHeight="1" x14ac:dyDescent="0.25">
      <c r="J614" s="94"/>
      <c r="L614" s="94"/>
      <c r="AC614" s="94"/>
    </row>
    <row r="615" spans="10:29" ht="15.75" customHeight="1" x14ac:dyDescent="0.25">
      <c r="J615" s="94"/>
      <c r="L615" s="94"/>
      <c r="AC615" s="94"/>
    </row>
    <row r="616" spans="10:29" ht="15.75" customHeight="1" x14ac:dyDescent="0.25">
      <c r="J616" s="94"/>
      <c r="L616" s="94"/>
      <c r="AC616" s="94"/>
    </row>
    <row r="617" spans="10:29" ht="15.75" customHeight="1" x14ac:dyDescent="0.25">
      <c r="J617" s="94"/>
      <c r="L617" s="94"/>
      <c r="AC617" s="94"/>
    </row>
    <row r="618" spans="10:29" ht="15.75" customHeight="1" x14ac:dyDescent="0.25">
      <c r="J618" s="94"/>
      <c r="L618" s="94"/>
      <c r="AC618" s="94"/>
    </row>
    <row r="619" spans="10:29" ht="15.75" customHeight="1" x14ac:dyDescent="0.25">
      <c r="J619" s="94"/>
      <c r="L619" s="94"/>
      <c r="AC619" s="94"/>
    </row>
    <row r="620" spans="10:29" ht="15.75" customHeight="1" x14ac:dyDescent="0.25">
      <c r="J620" s="94"/>
      <c r="L620" s="94"/>
      <c r="AC620" s="94"/>
    </row>
    <row r="621" spans="10:29" ht="15.75" customHeight="1" x14ac:dyDescent="0.25">
      <c r="J621" s="94"/>
      <c r="L621" s="94"/>
      <c r="AC621" s="94"/>
    </row>
    <row r="622" spans="10:29" ht="15.75" customHeight="1" x14ac:dyDescent="0.25">
      <c r="J622" s="94"/>
      <c r="L622" s="94"/>
      <c r="AC622" s="94"/>
    </row>
    <row r="623" spans="10:29" ht="15.75" customHeight="1" x14ac:dyDescent="0.25">
      <c r="J623" s="94"/>
      <c r="L623" s="94"/>
      <c r="AC623" s="94"/>
    </row>
    <row r="624" spans="10:29" ht="15.75" customHeight="1" x14ac:dyDescent="0.25">
      <c r="J624" s="94"/>
      <c r="L624" s="94"/>
      <c r="AC624" s="94"/>
    </row>
    <row r="625" spans="10:29" ht="15.75" customHeight="1" x14ac:dyDescent="0.25">
      <c r="J625" s="94"/>
      <c r="L625" s="94"/>
      <c r="AC625" s="94"/>
    </row>
    <row r="626" spans="10:29" ht="15.75" customHeight="1" x14ac:dyDescent="0.25">
      <c r="J626" s="94"/>
      <c r="L626" s="94"/>
      <c r="AC626" s="94"/>
    </row>
    <row r="627" spans="10:29" ht="15.75" customHeight="1" x14ac:dyDescent="0.25">
      <c r="J627" s="94"/>
      <c r="L627" s="94"/>
      <c r="AC627" s="94"/>
    </row>
    <row r="628" spans="10:29" ht="15.75" customHeight="1" x14ac:dyDescent="0.25">
      <c r="J628" s="94"/>
      <c r="L628" s="94"/>
      <c r="AC628" s="94"/>
    </row>
    <row r="629" spans="10:29" ht="15.75" customHeight="1" x14ac:dyDescent="0.25">
      <c r="J629" s="94"/>
      <c r="L629" s="94"/>
      <c r="AC629" s="94"/>
    </row>
    <row r="630" spans="10:29" ht="15.75" customHeight="1" x14ac:dyDescent="0.25">
      <c r="J630" s="94"/>
      <c r="L630" s="94"/>
      <c r="AC630" s="94"/>
    </row>
    <row r="631" spans="10:29" ht="15.75" customHeight="1" x14ac:dyDescent="0.25">
      <c r="J631" s="94"/>
      <c r="L631" s="94"/>
      <c r="AC631" s="94"/>
    </row>
    <row r="632" spans="10:29" ht="15.75" customHeight="1" x14ac:dyDescent="0.25">
      <c r="J632" s="94"/>
      <c r="L632" s="94"/>
      <c r="AC632" s="94"/>
    </row>
    <row r="633" spans="10:29" ht="15.75" customHeight="1" x14ac:dyDescent="0.25">
      <c r="J633" s="94"/>
      <c r="L633" s="94"/>
      <c r="AC633" s="94"/>
    </row>
    <row r="634" spans="10:29" ht="15.75" customHeight="1" x14ac:dyDescent="0.25">
      <c r="J634" s="94"/>
      <c r="L634" s="94"/>
      <c r="AC634" s="94"/>
    </row>
    <row r="635" spans="10:29" ht="15.75" customHeight="1" x14ac:dyDescent="0.25">
      <c r="J635" s="94"/>
      <c r="L635" s="94"/>
      <c r="AC635" s="94"/>
    </row>
    <row r="636" spans="10:29" ht="15.75" customHeight="1" x14ac:dyDescent="0.25">
      <c r="J636" s="94"/>
      <c r="L636" s="94"/>
      <c r="AC636" s="94"/>
    </row>
    <row r="637" spans="10:29" ht="15.75" customHeight="1" x14ac:dyDescent="0.25">
      <c r="J637" s="94"/>
      <c r="L637" s="94"/>
      <c r="AC637" s="94"/>
    </row>
    <row r="638" spans="10:29" ht="15.75" customHeight="1" x14ac:dyDescent="0.25">
      <c r="J638" s="94"/>
      <c r="L638" s="94"/>
      <c r="AC638" s="94"/>
    </row>
    <row r="639" spans="10:29" ht="15.75" customHeight="1" x14ac:dyDescent="0.25">
      <c r="J639" s="94"/>
      <c r="L639" s="94"/>
      <c r="AC639" s="94"/>
    </row>
    <row r="640" spans="10:29" ht="15.75" customHeight="1" x14ac:dyDescent="0.25">
      <c r="J640" s="94"/>
      <c r="L640" s="94"/>
      <c r="AC640" s="94"/>
    </row>
    <row r="641" spans="10:29" ht="15.75" customHeight="1" x14ac:dyDescent="0.25">
      <c r="J641" s="94"/>
      <c r="L641" s="94"/>
      <c r="AC641" s="94"/>
    </row>
  </sheetData>
  <sortState xmlns:xlrd2="http://schemas.microsoft.com/office/spreadsheetml/2017/richdata2" ref="C12:AC15">
    <sortCondition ref="H12:H15"/>
    <sortCondition ref="C12:C15"/>
    <sortCondition ref="D12:D15"/>
    <sortCondition ref="E12:E15"/>
    <sortCondition ref="F12:F15"/>
  </sortState>
  <mergeCells count="74">
    <mergeCell ref="B7:AC7"/>
    <mergeCell ref="B1:AC1"/>
    <mergeCell ref="B2:AC2"/>
    <mergeCell ref="B3:AC3"/>
    <mergeCell ref="B4:AC4"/>
    <mergeCell ref="B5:AC5"/>
    <mergeCell ref="B8:AC8"/>
    <mergeCell ref="B9:B11"/>
    <mergeCell ref="C9:F10"/>
    <mergeCell ref="G9:G11"/>
    <mergeCell ref="H9:H11"/>
    <mergeCell ref="I9:I11"/>
    <mergeCell ref="J9:J11"/>
    <mergeCell ref="K9:K11"/>
    <mergeCell ref="L9:L11"/>
    <mergeCell ref="M9:AC9"/>
    <mergeCell ref="M10:M11"/>
    <mergeCell ref="N10:N11"/>
    <mergeCell ref="O10:AC10"/>
    <mergeCell ref="B26:G26"/>
    <mergeCell ref="H26:L26"/>
    <mergeCell ref="M26:AC36"/>
    <mergeCell ref="B27:D28"/>
    <mergeCell ref="E27:E28"/>
    <mergeCell ref="F27:G27"/>
    <mergeCell ref="H27:I28"/>
    <mergeCell ref="J27:J28"/>
    <mergeCell ref="K27:L27"/>
    <mergeCell ref="B29:B31"/>
    <mergeCell ref="C29:D29"/>
    <mergeCell ref="H29:I29"/>
    <mergeCell ref="C30:D30"/>
    <mergeCell ref="H30:I30"/>
    <mergeCell ref="C31:D31"/>
    <mergeCell ref="H31:I31"/>
    <mergeCell ref="X37:AA37"/>
    <mergeCell ref="B32:B44"/>
    <mergeCell ref="C32:D32"/>
    <mergeCell ref="H32:I32"/>
    <mergeCell ref="C33:D33"/>
    <mergeCell ref="H33:I33"/>
    <mergeCell ref="C34:D34"/>
    <mergeCell ref="H34:I34"/>
    <mergeCell ref="C35:D35"/>
    <mergeCell ref="H35:I35"/>
    <mergeCell ref="C36:D36"/>
    <mergeCell ref="H36:I36"/>
    <mergeCell ref="C37:D37"/>
    <mergeCell ref="H37:I37"/>
    <mergeCell ref="M37:N37"/>
    <mergeCell ref="R37:T37"/>
    <mergeCell ref="C42:D42"/>
    <mergeCell ref="H42:I42"/>
    <mergeCell ref="M42:T42"/>
    <mergeCell ref="W42:AB42"/>
    <mergeCell ref="C38:D38"/>
    <mergeCell ref="H38:I38"/>
    <mergeCell ref="M38:S38"/>
    <mergeCell ref="T38:X38"/>
    <mergeCell ref="C39:D39"/>
    <mergeCell ref="H39:I39"/>
    <mergeCell ref="M39:S39"/>
    <mergeCell ref="T39:X39"/>
    <mergeCell ref="Z39:AB39"/>
    <mergeCell ref="C40:D40"/>
    <mergeCell ref="H40:I40"/>
    <mergeCell ref="C41:D41"/>
    <mergeCell ref="H41:I41"/>
    <mergeCell ref="C43:D43"/>
    <mergeCell ref="H43:I43"/>
    <mergeCell ref="M43:T43"/>
    <mergeCell ref="W43:AB43"/>
    <mergeCell ref="C44:D44"/>
    <mergeCell ref="H44:I4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2026-02-22T05:38:08Z</dcterms:modified>
</cp:coreProperties>
</file>